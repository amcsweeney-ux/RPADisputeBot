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leep1\Desktop\AMAZON\"/>
    </mc:Choice>
  </mc:AlternateContent>
  <xr:revisionPtr revIDLastSave="0" documentId="8_{30355CAE-77F5-48DF-9979-5E64942EB8BB}" xr6:coauthVersionLast="47" xr6:coauthVersionMax="47" xr10:uidLastSave="{00000000-0000-0000-0000-000000000000}"/>
  <bookViews>
    <workbookView xWindow="-120" yWindow="-120" windowWidth="29040" windowHeight="17520" activeTab="2" xr2:uid="{0E929AB4-35F2-4397-A6FB-F8DD8C70E66E}"/>
  </bookViews>
  <sheets>
    <sheet name="Backup" sheetId="2" r:id="rId1"/>
    <sheet name="Recon" sheetId="3" r:id="rId2"/>
    <sheet name="Dispute Summary" sheetId="4" r:id="rId3"/>
  </sheets>
  <externalReferences>
    <externalReference r:id="rId4"/>
  </externalReferences>
  <definedNames>
    <definedName name="_xlnm._FilterDatabase" localSheetId="1" hidden="1">Recon!$A$2:$J$1217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17" i="3" l="1"/>
  <c r="E1217" i="3"/>
  <c r="H1217" i="3" s="1"/>
  <c r="I1217" i="3" s="1"/>
  <c r="D1217" i="3"/>
  <c r="C1217" i="3"/>
  <c r="J1217" i="3" s="1"/>
  <c r="F1216" i="3"/>
  <c r="E1216" i="3"/>
  <c r="H1216" i="3" s="1"/>
  <c r="D1216" i="3"/>
  <c r="C1216" i="3"/>
  <c r="J1216" i="3" s="1"/>
  <c r="F1215" i="3"/>
  <c r="E1215" i="3"/>
  <c r="H1215" i="3" s="1"/>
  <c r="D1215" i="3"/>
  <c r="C1215" i="3"/>
  <c r="J1215" i="3" s="1"/>
  <c r="F1214" i="3"/>
  <c r="E1214" i="3"/>
  <c r="H1214" i="3" s="1"/>
  <c r="D1214" i="3"/>
  <c r="C1214" i="3"/>
  <c r="J1214" i="3" s="1"/>
  <c r="F1213" i="3"/>
  <c r="E1213" i="3"/>
  <c r="H1213" i="3" s="1"/>
  <c r="D1213" i="3"/>
  <c r="C1213" i="3"/>
  <c r="J1213" i="3" s="1"/>
  <c r="F1212" i="3"/>
  <c r="E1212" i="3"/>
  <c r="H1212" i="3" s="1"/>
  <c r="D1212" i="3"/>
  <c r="C1212" i="3"/>
  <c r="J1212" i="3" s="1"/>
  <c r="F1211" i="3"/>
  <c r="E1211" i="3"/>
  <c r="H1211" i="3" s="1"/>
  <c r="D1211" i="3"/>
  <c r="C1211" i="3"/>
  <c r="J1211" i="3" s="1"/>
  <c r="F1210" i="3"/>
  <c r="E1210" i="3"/>
  <c r="H1210" i="3" s="1"/>
  <c r="D1210" i="3"/>
  <c r="C1210" i="3"/>
  <c r="J1210" i="3" s="1"/>
  <c r="F1209" i="3"/>
  <c r="E1209" i="3"/>
  <c r="H1209" i="3" s="1"/>
  <c r="D1209" i="3"/>
  <c r="C1209" i="3"/>
  <c r="J1209" i="3" s="1"/>
  <c r="F1208" i="3"/>
  <c r="E1208" i="3"/>
  <c r="H1208" i="3" s="1"/>
  <c r="D1208" i="3"/>
  <c r="C1208" i="3"/>
  <c r="J1208" i="3" s="1"/>
  <c r="F1207" i="3"/>
  <c r="E1207" i="3"/>
  <c r="H1207" i="3" s="1"/>
  <c r="D1207" i="3"/>
  <c r="C1207" i="3"/>
  <c r="J1207" i="3" s="1"/>
  <c r="F1206" i="3"/>
  <c r="E1206" i="3"/>
  <c r="H1206" i="3" s="1"/>
  <c r="D1206" i="3"/>
  <c r="C1206" i="3"/>
  <c r="J1206" i="3" s="1"/>
  <c r="F1205" i="3"/>
  <c r="E1205" i="3"/>
  <c r="H1205" i="3" s="1"/>
  <c r="D1205" i="3"/>
  <c r="C1205" i="3"/>
  <c r="J1205" i="3" s="1"/>
  <c r="F1204" i="3"/>
  <c r="E1204" i="3"/>
  <c r="H1204" i="3" s="1"/>
  <c r="D1204" i="3"/>
  <c r="C1204" i="3"/>
  <c r="J1204" i="3" s="1"/>
  <c r="F1203" i="3"/>
  <c r="E1203" i="3"/>
  <c r="H1203" i="3" s="1"/>
  <c r="D1203" i="3"/>
  <c r="C1203" i="3"/>
  <c r="J1203" i="3" s="1"/>
  <c r="F1202" i="3"/>
  <c r="E1202" i="3"/>
  <c r="H1202" i="3" s="1"/>
  <c r="D1202" i="3"/>
  <c r="C1202" i="3"/>
  <c r="J1202" i="3" s="1"/>
  <c r="F1201" i="3"/>
  <c r="E1201" i="3"/>
  <c r="H1201" i="3" s="1"/>
  <c r="D1201" i="3"/>
  <c r="C1201" i="3"/>
  <c r="J1201" i="3" s="1"/>
  <c r="F1200" i="3"/>
  <c r="E1200" i="3"/>
  <c r="H1200" i="3" s="1"/>
  <c r="D1200" i="3"/>
  <c r="C1200" i="3"/>
  <c r="J1200" i="3" s="1"/>
  <c r="F1199" i="3"/>
  <c r="E1199" i="3"/>
  <c r="H1199" i="3" s="1"/>
  <c r="D1199" i="3"/>
  <c r="C1199" i="3"/>
  <c r="J1199" i="3" s="1"/>
  <c r="F1198" i="3"/>
  <c r="E1198" i="3"/>
  <c r="H1198" i="3" s="1"/>
  <c r="D1198" i="3"/>
  <c r="C1198" i="3"/>
  <c r="J1198" i="3" s="1"/>
  <c r="F1197" i="3"/>
  <c r="E1197" i="3"/>
  <c r="H1197" i="3" s="1"/>
  <c r="D1197" i="3"/>
  <c r="C1197" i="3"/>
  <c r="J1197" i="3" s="1"/>
  <c r="F1196" i="3"/>
  <c r="E1196" i="3"/>
  <c r="H1196" i="3" s="1"/>
  <c r="D1196" i="3"/>
  <c r="C1196" i="3"/>
  <c r="J1196" i="3" s="1"/>
  <c r="F1195" i="3"/>
  <c r="E1195" i="3"/>
  <c r="H1195" i="3" s="1"/>
  <c r="D1195" i="3"/>
  <c r="C1195" i="3"/>
  <c r="J1195" i="3" s="1"/>
  <c r="F1194" i="3"/>
  <c r="E1194" i="3"/>
  <c r="H1194" i="3" s="1"/>
  <c r="D1194" i="3"/>
  <c r="C1194" i="3"/>
  <c r="J1194" i="3" s="1"/>
  <c r="F1193" i="3"/>
  <c r="E1193" i="3"/>
  <c r="H1193" i="3" s="1"/>
  <c r="D1193" i="3"/>
  <c r="C1193" i="3"/>
  <c r="J1193" i="3" s="1"/>
  <c r="F1192" i="3"/>
  <c r="E1192" i="3"/>
  <c r="H1192" i="3" s="1"/>
  <c r="D1192" i="3"/>
  <c r="C1192" i="3"/>
  <c r="J1192" i="3" s="1"/>
  <c r="F1191" i="3"/>
  <c r="E1191" i="3"/>
  <c r="H1191" i="3" s="1"/>
  <c r="D1191" i="3"/>
  <c r="C1191" i="3"/>
  <c r="J1191" i="3" s="1"/>
  <c r="F1190" i="3"/>
  <c r="E1190" i="3"/>
  <c r="H1190" i="3" s="1"/>
  <c r="D1190" i="3"/>
  <c r="C1190" i="3"/>
  <c r="J1190" i="3" s="1"/>
  <c r="F1189" i="3"/>
  <c r="E1189" i="3"/>
  <c r="H1189" i="3" s="1"/>
  <c r="D1189" i="3"/>
  <c r="C1189" i="3"/>
  <c r="J1189" i="3" s="1"/>
  <c r="F1188" i="3"/>
  <c r="E1188" i="3"/>
  <c r="H1188" i="3" s="1"/>
  <c r="D1188" i="3"/>
  <c r="C1188" i="3"/>
  <c r="J1188" i="3" s="1"/>
  <c r="F1187" i="3"/>
  <c r="E1187" i="3"/>
  <c r="H1187" i="3" s="1"/>
  <c r="D1187" i="3"/>
  <c r="C1187" i="3"/>
  <c r="J1187" i="3" s="1"/>
  <c r="F1186" i="3"/>
  <c r="E1186" i="3"/>
  <c r="H1186" i="3" s="1"/>
  <c r="D1186" i="3"/>
  <c r="C1186" i="3"/>
  <c r="J1186" i="3" s="1"/>
  <c r="F1185" i="3"/>
  <c r="E1185" i="3"/>
  <c r="H1185" i="3" s="1"/>
  <c r="D1185" i="3"/>
  <c r="C1185" i="3"/>
  <c r="J1185" i="3" s="1"/>
  <c r="F1184" i="3"/>
  <c r="E1184" i="3"/>
  <c r="H1184" i="3" s="1"/>
  <c r="D1184" i="3"/>
  <c r="C1184" i="3"/>
  <c r="J1184" i="3" s="1"/>
  <c r="F1183" i="3"/>
  <c r="E1183" i="3"/>
  <c r="H1183" i="3" s="1"/>
  <c r="D1183" i="3"/>
  <c r="C1183" i="3"/>
  <c r="J1183" i="3" s="1"/>
  <c r="F1182" i="3"/>
  <c r="E1182" i="3"/>
  <c r="H1182" i="3" s="1"/>
  <c r="D1182" i="3"/>
  <c r="C1182" i="3"/>
  <c r="J1182" i="3" s="1"/>
  <c r="F1181" i="3"/>
  <c r="E1181" i="3"/>
  <c r="H1181" i="3" s="1"/>
  <c r="D1181" i="3"/>
  <c r="C1181" i="3"/>
  <c r="J1181" i="3" s="1"/>
  <c r="F1180" i="3"/>
  <c r="E1180" i="3"/>
  <c r="H1180" i="3" s="1"/>
  <c r="D1180" i="3"/>
  <c r="C1180" i="3"/>
  <c r="J1180" i="3" s="1"/>
  <c r="F1179" i="3"/>
  <c r="E1179" i="3"/>
  <c r="H1179" i="3" s="1"/>
  <c r="D1179" i="3"/>
  <c r="C1179" i="3"/>
  <c r="J1179" i="3" s="1"/>
  <c r="F1178" i="3"/>
  <c r="E1178" i="3"/>
  <c r="H1178" i="3" s="1"/>
  <c r="D1178" i="3"/>
  <c r="C1178" i="3"/>
  <c r="J1178" i="3" s="1"/>
  <c r="F1177" i="3"/>
  <c r="E1177" i="3"/>
  <c r="H1177" i="3" s="1"/>
  <c r="D1177" i="3"/>
  <c r="C1177" i="3"/>
  <c r="J1177" i="3" s="1"/>
  <c r="F1176" i="3"/>
  <c r="E1176" i="3"/>
  <c r="H1176" i="3" s="1"/>
  <c r="D1176" i="3"/>
  <c r="C1176" i="3"/>
  <c r="J1176" i="3" s="1"/>
  <c r="F1175" i="3"/>
  <c r="E1175" i="3"/>
  <c r="H1175" i="3" s="1"/>
  <c r="D1175" i="3"/>
  <c r="C1175" i="3"/>
  <c r="J1175" i="3" s="1"/>
  <c r="F1174" i="3"/>
  <c r="E1174" i="3"/>
  <c r="H1174" i="3" s="1"/>
  <c r="D1174" i="3"/>
  <c r="C1174" i="3"/>
  <c r="J1174" i="3" s="1"/>
  <c r="F1173" i="3"/>
  <c r="E1173" i="3"/>
  <c r="H1173" i="3" s="1"/>
  <c r="D1173" i="3"/>
  <c r="C1173" i="3"/>
  <c r="J1173" i="3" s="1"/>
  <c r="F1172" i="3"/>
  <c r="E1172" i="3"/>
  <c r="H1172" i="3" s="1"/>
  <c r="D1172" i="3"/>
  <c r="C1172" i="3"/>
  <c r="J1172" i="3" s="1"/>
  <c r="F1171" i="3"/>
  <c r="E1171" i="3"/>
  <c r="H1171" i="3" s="1"/>
  <c r="D1171" i="3"/>
  <c r="C1171" i="3"/>
  <c r="J1171" i="3" s="1"/>
  <c r="F1170" i="3"/>
  <c r="E1170" i="3"/>
  <c r="H1170" i="3" s="1"/>
  <c r="D1170" i="3"/>
  <c r="C1170" i="3"/>
  <c r="J1170" i="3" s="1"/>
  <c r="F1169" i="3"/>
  <c r="E1169" i="3"/>
  <c r="H1169" i="3" s="1"/>
  <c r="D1169" i="3"/>
  <c r="C1169" i="3"/>
  <c r="J1169" i="3" s="1"/>
  <c r="F1168" i="3"/>
  <c r="E1168" i="3"/>
  <c r="H1168" i="3" s="1"/>
  <c r="D1168" i="3"/>
  <c r="C1168" i="3"/>
  <c r="J1168" i="3" s="1"/>
  <c r="F1167" i="3"/>
  <c r="E1167" i="3"/>
  <c r="H1167" i="3" s="1"/>
  <c r="D1167" i="3"/>
  <c r="C1167" i="3"/>
  <c r="J1167" i="3" s="1"/>
  <c r="F1166" i="3"/>
  <c r="E1166" i="3"/>
  <c r="H1166" i="3" s="1"/>
  <c r="D1166" i="3"/>
  <c r="C1166" i="3"/>
  <c r="J1166" i="3" s="1"/>
  <c r="F1165" i="3"/>
  <c r="E1165" i="3"/>
  <c r="H1165" i="3" s="1"/>
  <c r="D1165" i="3"/>
  <c r="C1165" i="3"/>
  <c r="J1165" i="3" s="1"/>
  <c r="F1164" i="3"/>
  <c r="E1164" i="3"/>
  <c r="H1164" i="3" s="1"/>
  <c r="D1164" i="3"/>
  <c r="C1164" i="3"/>
  <c r="J1164" i="3" s="1"/>
  <c r="F1163" i="3"/>
  <c r="E1163" i="3"/>
  <c r="H1163" i="3" s="1"/>
  <c r="D1163" i="3"/>
  <c r="C1163" i="3"/>
  <c r="J1163" i="3" s="1"/>
  <c r="F1162" i="3"/>
  <c r="E1162" i="3"/>
  <c r="H1162" i="3" s="1"/>
  <c r="D1162" i="3"/>
  <c r="C1162" i="3"/>
  <c r="J1162" i="3" s="1"/>
  <c r="F1161" i="3"/>
  <c r="E1161" i="3"/>
  <c r="H1161" i="3" s="1"/>
  <c r="D1161" i="3"/>
  <c r="C1161" i="3"/>
  <c r="J1161" i="3" s="1"/>
  <c r="F1160" i="3"/>
  <c r="E1160" i="3"/>
  <c r="H1160" i="3" s="1"/>
  <c r="D1160" i="3"/>
  <c r="C1160" i="3"/>
  <c r="J1160" i="3" s="1"/>
  <c r="F1159" i="3"/>
  <c r="E1159" i="3"/>
  <c r="H1159" i="3" s="1"/>
  <c r="D1159" i="3"/>
  <c r="C1159" i="3"/>
  <c r="J1159" i="3" s="1"/>
  <c r="F1158" i="3"/>
  <c r="E1158" i="3"/>
  <c r="H1158" i="3" s="1"/>
  <c r="D1158" i="3"/>
  <c r="C1158" i="3"/>
  <c r="J1158" i="3" s="1"/>
  <c r="F1157" i="3"/>
  <c r="E1157" i="3"/>
  <c r="H1157" i="3" s="1"/>
  <c r="D1157" i="3"/>
  <c r="C1157" i="3"/>
  <c r="J1157" i="3" s="1"/>
  <c r="F1156" i="3"/>
  <c r="E1156" i="3"/>
  <c r="H1156" i="3" s="1"/>
  <c r="D1156" i="3"/>
  <c r="C1156" i="3"/>
  <c r="J1156" i="3" s="1"/>
  <c r="F1155" i="3"/>
  <c r="E1155" i="3"/>
  <c r="H1155" i="3" s="1"/>
  <c r="D1155" i="3"/>
  <c r="C1155" i="3"/>
  <c r="J1155" i="3" s="1"/>
  <c r="F1154" i="3"/>
  <c r="E1154" i="3"/>
  <c r="H1154" i="3" s="1"/>
  <c r="D1154" i="3"/>
  <c r="C1154" i="3"/>
  <c r="J1154" i="3" s="1"/>
  <c r="F1153" i="3"/>
  <c r="E1153" i="3"/>
  <c r="H1153" i="3" s="1"/>
  <c r="D1153" i="3"/>
  <c r="C1153" i="3"/>
  <c r="J1153" i="3" s="1"/>
  <c r="F1152" i="3"/>
  <c r="E1152" i="3"/>
  <c r="H1152" i="3" s="1"/>
  <c r="D1152" i="3"/>
  <c r="C1152" i="3"/>
  <c r="J1152" i="3" s="1"/>
  <c r="F1151" i="3"/>
  <c r="E1151" i="3"/>
  <c r="H1151" i="3" s="1"/>
  <c r="D1151" i="3"/>
  <c r="C1151" i="3"/>
  <c r="J1151" i="3" s="1"/>
  <c r="F1150" i="3"/>
  <c r="E1150" i="3"/>
  <c r="H1150" i="3" s="1"/>
  <c r="D1150" i="3"/>
  <c r="C1150" i="3"/>
  <c r="J1150" i="3" s="1"/>
  <c r="F1149" i="3"/>
  <c r="E1149" i="3"/>
  <c r="H1149" i="3" s="1"/>
  <c r="D1149" i="3"/>
  <c r="C1149" i="3"/>
  <c r="J1149" i="3" s="1"/>
  <c r="F1148" i="3"/>
  <c r="E1148" i="3"/>
  <c r="H1148" i="3" s="1"/>
  <c r="D1148" i="3"/>
  <c r="C1148" i="3"/>
  <c r="J1148" i="3" s="1"/>
  <c r="F1147" i="3"/>
  <c r="E1147" i="3"/>
  <c r="H1147" i="3" s="1"/>
  <c r="D1147" i="3"/>
  <c r="C1147" i="3"/>
  <c r="J1147" i="3" s="1"/>
  <c r="F1146" i="3"/>
  <c r="E1146" i="3"/>
  <c r="H1146" i="3" s="1"/>
  <c r="D1146" i="3"/>
  <c r="C1146" i="3"/>
  <c r="J1146" i="3" s="1"/>
  <c r="F1145" i="3"/>
  <c r="E1145" i="3"/>
  <c r="H1145" i="3" s="1"/>
  <c r="D1145" i="3"/>
  <c r="C1145" i="3"/>
  <c r="J1145" i="3" s="1"/>
  <c r="F1144" i="3"/>
  <c r="E1144" i="3"/>
  <c r="H1144" i="3" s="1"/>
  <c r="D1144" i="3"/>
  <c r="C1144" i="3"/>
  <c r="J1144" i="3" s="1"/>
  <c r="F1143" i="3"/>
  <c r="E1143" i="3"/>
  <c r="H1143" i="3" s="1"/>
  <c r="D1143" i="3"/>
  <c r="C1143" i="3"/>
  <c r="J1143" i="3" s="1"/>
  <c r="F1142" i="3"/>
  <c r="E1142" i="3"/>
  <c r="H1142" i="3" s="1"/>
  <c r="D1142" i="3"/>
  <c r="C1142" i="3"/>
  <c r="J1142" i="3" s="1"/>
  <c r="F1141" i="3"/>
  <c r="E1141" i="3"/>
  <c r="H1141" i="3" s="1"/>
  <c r="D1141" i="3"/>
  <c r="C1141" i="3"/>
  <c r="J1141" i="3" s="1"/>
  <c r="F1140" i="3"/>
  <c r="E1140" i="3"/>
  <c r="H1140" i="3" s="1"/>
  <c r="D1140" i="3"/>
  <c r="C1140" i="3"/>
  <c r="J1140" i="3" s="1"/>
  <c r="F1139" i="3"/>
  <c r="E1139" i="3"/>
  <c r="H1139" i="3" s="1"/>
  <c r="D1139" i="3"/>
  <c r="C1139" i="3"/>
  <c r="J1139" i="3" s="1"/>
  <c r="F1138" i="3"/>
  <c r="E1138" i="3"/>
  <c r="H1138" i="3" s="1"/>
  <c r="D1138" i="3"/>
  <c r="C1138" i="3"/>
  <c r="J1138" i="3" s="1"/>
  <c r="F1137" i="3"/>
  <c r="E1137" i="3"/>
  <c r="H1137" i="3" s="1"/>
  <c r="D1137" i="3"/>
  <c r="C1137" i="3"/>
  <c r="J1137" i="3" s="1"/>
  <c r="F1136" i="3"/>
  <c r="E1136" i="3"/>
  <c r="H1136" i="3" s="1"/>
  <c r="D1136" i="3"/>
  <c r="C1136" i="3"/>
  <c r="J1136" i="3" s="1"/>
  <c r="F1135" i="3"/>
  <c r="E1135" i="3"/>
  <c r="H1135" i="3" s="1"/>
  <c r="D1135" i="3"/>
  <c r="C1135" i="3"/>
  <c r="J1135" i="3" s="1"/>
  <c r="F1134" i="3"/>
  <c r="E1134" i="3"/>
  <c r="H1134" i="3" s="1"/>
  <c r="D1134" i="3"/>
  <c r="C1134" i="3"/>
  <c r="J1134" i="3" s="1"/>
  <c r="F1133" i="3"/>
  <c r="E1133" i="3"/>
  <c r="H1133" i="3" s="1"/>
  <c r="D1133" i="3"/>
  <c r="C1133" i="3"/>
  <c r="J1133" i="3" s="1"/>
  <c r="F1132" i="3"/>
  <c r="E1132" i="3"/>
  <c r="H1132" i="3" s="1"/>
  <c r="D1132" i="3"/>
  <c r="C1132" i="3"/>
  <c r="J1132" i="3" s="1"/>
  <c r="F1131" i="3"/>
  <c r="E1131" i="3"/>
  <c r="H1131" i="3" s="1"/>
  <c r="D1131" i="3"/>
  <c r="C1131" i="3"/>
  <c r="J1131" i="3" s="1"/>
  <c r="F1130" i="3"/>
  <c r="E1130" i="3"/>
  <c r="H1130" i="3" s="1"/>
  <c r="D1130" i="3"/>
  <c r="C1130" i="3"/>
  <c r="J1130" i="3" s="1"/>
  <c r="F1129" i="3"/>
  <c r="E1129" i="3"/>
  <c r="H1129" i="3" s="1"/>
  <c r="D1129" i="3"/>
  <c r="C1129" i="3"/>
  <c r="J1129" i="3" s="1"/>
  <c r="F1128" i="3"/>
  <c r="E1128" i="3"/>
  <c r="H1128" i="3" s="1"/>
  <c r="D1128" i="3"/>
  <c r="C1128" i="3"/>
  <c r="J1128" i="3" s="1"/>
  <c r="F1127" i="3"/>
  <c r="E1127" i="3"/>
  <c r="H1127" i="3" s="1"/>
  <c r="D1127" i="3"/>
  <c r="C1127" i="3"/>
  <c r="J1127" i="3" s="1"/>
  <c r="F1126" i="3"/>
  <c r="E1126" i="3"/>
  <c r="H1126" i="3" s="1"/>
  <c r="D1126" i="3"/>
  <c r="C1126" i="3"/>
  <c r="J1126" i="3" s="1"/>
  <c r="F1125" i="3"/>
  <c r="E1125" i="3"/>
  <c r="H1125" i="3" s="1"/>
  <c r="D1125" i="3"/>
  <c r="C1125" i="3"/>
  <c r="J1125" i="3" s="1"/>
  <c r="H1124" i="3"/>
  <c r="F1124" i="3"/>
  <c r="D1124" i="3"/>
  <c r="G1124" i="3" s="1"/>
  <c r="C1124" i="3"/>
  <c r="J1124" i="3" s="1"/>
  <c r="F1123" i="3"/>
  <c r="E1123" i="3"/>
  <c r="H1123" i="3" s="1"/>
  <c r="D1123" i="3"/>
  <c r="C1123" i="3"/>
  <c r="J1123" i="3" s="1"/>
  <c r="F1122" i="3"/>
  <c r="E1122" i="3"/>
  <c r="H1122" i="3" s="1"/>
  <c r="D1122" i="3"/>
  <c r="C1122" i="3"/>
  <c r="J1122" i="3" s="1"/>
  <c r="F1121" i="3"/>
  <c r="E1121" i="3"/>
  <c r="H1121" i="3" s="1"/>
  <c r="D1121" i="3"/>
  <c r="C1121" i="3"/>
  <c r="J1121" i="3" s="1"/>
  <c r="F1120" i="3"/>
  <c r="E1120" i="3"/>
  <c r="H1120" i="3" s="1"/>
  <c r="D1120" i="3"/>
  <c r="C1120" i="3"/>
  <c r="J1120" i="3" s="1"/>
  <c r="F1119" i="3"/>
  <c r="E1119" i="3"/>
  <c r="H1119" i="3" s="1"/>
  <c r="D1119" i="3"/>
  <c r="C1119" i="3"/>
  <c r="J1119" i="3" s="1"/>
  <c r="F1118" i="3"/>
  <c r="E1118" i="3"/>
  <c r="H1118" i="3" s="1"/>
  <c r="D1118" i="3"/>
  <c r="C1118" i="3"/>
  <c r="J1118" i="3" s="1"/>
  <c r="F1117" i="3"/>
  <c r="E1117" i="3"/>
  <c r="H1117" i="3" s="1"/>
  <c r="D1117" i="3"/>
  <c r="C1117" i="3"/>
  <c r="J1117" i="3" s="1"/>
  <c r="F1116" i="3"/>
  <c r="E1116" i="3"/>
  <c r="H1116" i="3" s="1"/>
  <c r="D1116" i="3"/>
  <c r="C1116" i="3"/>
  <c r="J1116" i="3" s="1"/>
  <c r="F1115" i="3"/>
  <c r="E1115" i="3"/>
  <c r="H1115" i="3" s="1"/>
  <c r="D1115" i="3"/>
  <c r="C1115" i="3"/>
  <c r="J1115" i="3" s="1"/>
  <c r="F1114" i="3"/>
  <c r="E1114" i="3"/>
  <c r="H1114" i="3" s="1"/>
  <c r="D1114" i="3"/>
  <c r="C1114" i="3"/>
  <c r="J1114" i="3" s="1"/>
  <c r="F1113" i="3"/>
  <c r="E1113" i="3"/>
  <c r="H1113" i="3" s="1"/>
  <c r="D1113" i="3"/>
  <c r="C1113" i="3"/>
  <c r="J1113" i="3" s="1"/>
  <c r="F1112" i="3"/>
  <c r="E1112" i="3"/>
  <c r="H1112" i="3" s="1"/>
  <c r="D1112" i="3"/>
  <c r="C1112" i="3"/>
  <c r="J1112" i="3" s="1"/>
  <c r="F1111" i="3"/>
  <c r="E1111" i="3"/>
  <c r="H1111" i="3" s="1"/>
  <c r="D1111" i="3"/>
  <c r="C1111" i="3"/>
  <c r="F1110" i="3"/>
  <c r="E1110" i="3"/>
  <c r="H1110" i="3" s="1"/>
  <c r="D1110" i="3"/>
  <c r="C1110" i="3"/>
  <c r="J1110" i="3" s="1"/>
  <c r="F1109" i="3"/>
  <c r="E1109" i="3"/>
  <c r="H1109" i="3" s="1"/>
  <c r="D1109" i="3"/>
  <c r="C1109" i="3"/>
  <c r="J1109" i="3" s="1"/>
  <c r="F1108" i="3"/>
  <c r="E1108" i="3"/>
  <c r="H1108" i="3" s="1"/>
  <c r="D1108" i="3"/>
  <c r="C1108" i="3"/>
  <c r="J1108" i="3" s="1"/>
  <c r="F1107" i="3"/>
  <c r="E1107" i="3"/>
  <c r="H1107" i="3" s="1"/>
  <c r="D1107" i="3"/>
  <c r="C1107" i="3"/>
  <c r="J1107" i="3" s="1"/>
  <c r="F1106" i="3"/>
  <c r="E1106" i="3"/>
  <c r="H1106" i="3" s="1"/>
  <c r="D1106" i="3"/>
  <c r="C1106" i="3"/>
  <c r="J1106" i="3" s="1"/>
  <c r="F1105" i="3"/>
  <c r="E1105" i="3"/>
  <c r="H1105" i="3" s="1"/>
  <c r="D1105" i="3"/>
  <c r="C1105" i="3"/>
  <c r="F1104" i="3"/>
  <c r="E1104" i="3"/>
  <c r="H1104" i="3" s="1"/>
  <c r="D1104" i="3"/>
  <c r="C1104" i="3"/>
  <c r="J1104" i="3" s="1"/>
  <c r="F1103" i="3"/>
  <c r="E1103" i="3"/>
  <c r="H1103" i="3" s="1"/>
  <c r="D1103" i="3"/>
  <c r="C1103" i="3"/>
  <c r="J1103" i="3" s="1"/>
  <c r="F1102" i="3"/>
  <c r="E1102" i="3"/>
  <c r="H1102" i="3" s="1"/>
  <c r="D1102" i="3"/>
  <c r="C1102" i="3"/>
  <c r="J1102" i="3" s="1"/>
  <c r="F1101" i="3"/>
  <c r="E1101" i="3"/>
  <c r="H1101" i="3" s="1"/>
  <c r="D1101" i="3"/>
  <c r="C1101" i="3"/>
  <c r="J1101" i="3" s="1"/>
  <c r="F1100" i="3"/>
  <c r="E1100" i="3"/>
  <c r="H1100" i="3" s="1"/>
  <c r="D1100" i="3"/>
  <c r="C1100" i="3"/>
  <c r="J1100" i="3" s="1"/>
  <c r="F1099" i="3"/>
  <c r="E1099" i="3"/>
  <c r="H1099" i="3" s="1"/>
  <c r="D1099" i="3"/>
  <c r="C1099" i="3"/>
  <c r="F1098" i="3"/>
  <c r="E1098" i="3"/>
  <c r="H1098" i="3" s="1"/>
  <c r="D1098" i="3"/>
  <c r="C1098" i="3"/>
  <c r="J1098" i="3" s="1"/>
  <c r="F1097" i="3"/>
  <c r="E1097" i="3"/>
  <c r="H1097" i="3" s="1"/>
  <c r="D1097" i="3"/>
  <c r="C1097" i="3"/>
  <c r="J1097" i="3" s="1"/>
  <c r="F1096" i="3"/>
  <c r="E1096" i="3"/>
  <c r="H1096" i="3" s="1"/>
  <c r="D1096" i="3"/>
  <c r="C1096" i="3"/>
  <c r="F1095" i="3"/>
  <c r="E1095" i="3"/>
  <c r="H1095" i="3" s="1"/>
  <c r="D1095" i="3"/>
  <c r="C1095" i="3"/>
  <c r="J1095" i="3" s="1"/>
  <c r="F1094" i="3"/>
  <c r="E1094" i="3"/>
  <c r="H1094" i="3" s="1"/>
  <c r="D1094" i="3"/>
  <c r="C1094" i="3"/>
  <c r="J1094" i="3" s="1"/>
  <c r="F1093" i="3"/>
  <c r="E1093" i="3"/>
  <c r="H1093" i="3" s="1"/>
  <c r="D1093" i="3"/>
  <c r="C1093" i="3"/>
  <c r="F1092" i="3"/>
  <c r="E1092" i="3"/>
  <c r="H1092" i="3" s="1"/>
  <c r="D1092" i="3"/>
  <c r="C1092" i="3"/>
  <c r="J1092" i="3" s="1"/>
  <c r="F1091" i="3"/>
  <c r="E1091" i="3"/>
  <c r="H1091" i="3" s="1"/>
  <c r="D1091" i="3"/>
  <c r="C1091" i="3"/>
  <c r="J1091" i="3" s="1"/>
  <c r="F1090" i="3"/>
  <c r="E1090" i="3"/>
  <c r="H1090" i="3" s="1"/>
  <c r="D1090" i="3"/>
  <c r="C1090" i="3"/>
  <c r="F1089" i="3"/>
  <c r="E1089" i="3"/>
  <c r="H1089" i="3" s="1"/>
  <c r="D1089" i="3"/>
  <c r="C1089" i="3"/>
  <c r="J1089" i="3" s="1"/>
  <c r="F1088" i="3"/>
  <c r="E1088" i="3"/>
  <c r="H1088" i="3" s="1"/>
  <c r="D1088" i="3"/>
  <c r="C1088" i="3"/>
  <c r="J1088" i="3" s="1"/>
  <c r="F1087" i="3"/>
  <c r="E1087" i="3"/>
  <c r="H1087" i="3" s="1"/>
  <c r="D1087" i="3"/>
  <c r="C1087" i="3"/>
  <c r="F1086" i="3"/>
  <c r="E1086" i="3"/>
  <c r="H1086" i="3" s="1"/>
  <c r="D1086" i="3"/>
  <c r="C1086" i="3"/>
  <c r="J1086" i="3" s="1"/>
  <c r="F1085" i="3"/>
  <c r="E1085" i="3"/>
  <c r="H1085" i="3" s="1"/>
  <c r="D1085" i="3"/>
  <c r="C1085" i="3"/>
  <c r="J1085" i="3" s="1"/>
  <c r="F1084" i="3"/>
  <c r="E1084" i="3"/>
  <c r="H1084" i="3" s="1"/>
  <c r="D1084" i="3"/>
  <c r="C1084" i="3"/>
  <c r="F1083" i="3"/>
  <c r="E1083" i="3"/>
  <c r="H1083" i="3" s="1"/>
  <c r="D1083" i="3"/>
  <c r="C1083" i="3"/>
  <c r="J1083" i="3" s="1"/>
  <c r="F1082" i="3"/>
  <c r="E1082" i="3"/>
  <c r="H1082" i="3" s="1"/>
  <c r="D1082" i="3"/>
  <c r="C1082" i="3"/>
  <c r="J1082" i="3" s="1"/>
  <c r="F1081" i="3"/>
  <c r="E1081" i="3"/>
  <c r="H1081" i="3" s="1"/>
  <c r="D1081" i="3"/>
  <c r="C1081" i="3"/>
  <c r="F1080" i="3"/>
  <c r="E1080" i="3"/>
  <c r="H1080" i="3" s="1"/>
  <c r="D1080" i="3"/>
  <c r="C1080" i="3"/>
  <c r="J1080" i="3" s="1"/>
  <c r="F1079" i="3"/>
  <c r="E1079" i="3"/>
  <c r="H1079" i="3" s="1"/>
  <c r="D1079" i="3"/>
  <c r="C1079" i="3"/>
  <c r="J1079" i="3" s="1"/>
  <c r="F1078" i="3"/>
  <c r="E1078" i="3"/>
  <c r="H1078" i="3" s="1"/>
  <c r="D1078" i="3"/>
  <c r="C1078" i="3"/>
  <c r="F1077" i="3"/>
  <c r="E1077" i="3"/>
  <c r="H1077" i="3" s="1"/>
  <c r="D1077" i="3"/>
  <c r="C1077" i="3"/>
  <c r="J1077" i="3" s="1"/>
  <c r="F1076" i="3"/>
  <c r="E1076" i="3"/>
  <c r="H1076" i="3" s="1"/>
  <c r="D1076" i="3"/>
  <c r="C1076" i="3"/>
  <c r="J1076" i="3" s="1"/>
  <c r="F1075" i="3"/>
  <c r="E1075" i="3"/>
  <c r="H1075" i="3" s="1"/>
  <c r="D1075" i="3"/>
  <c r="C1075" i="3"/>
  <c r="F1074" i="3"/>
  <c r="E1074" i="3"/>
  <c r="H1074" i="3" s="1"/>
  <c r="D1074" i="3"/>
  <c r="C1074" i="3"/>
  <c r="J1074" i="3" s="1"/>
  <c r="F1073" i="3"/>
  <c r="E1073" i="3"/>
  <c r="H1073" i="3" s="1"/>
  <c r="D1073" i="3"/>
  <c r="C1073" i="3"/>
  <c r="J1073" i="3" s="1"/>
  <c r="F1072" i="3"/>
  <c r="E1072" i="3"/>
  <c r="H1072" i="3" s="1"/>
  <c r="D1072" i="3"/>
  <c r="C1072" i="3"/>
  <c r="F1071" i="3"/>
  <c r="E1071" i="3"/>
  <c r="H1071" i="3" s="1"/>
  <c r="D1071" i="3"/>
  <c r="C1071" i="3"/>
  <c r="J1071" i="3" s="1"/>
  <c r="F1070" i="3"/>
  <c r="E1070" i="3"/>
  <c r="H1070" i="3" s="1"/>
  <c r="D1070" i="3"/>
  <c r="C1070" i="3"/>
  <c r="J1070" i="3" s="1"/>
  <c r="F1069" i="3"/>
  <c r="E1069" i="3"/>
  <c r="H1069" i="3" s="1"/>
  <c r="D1069" i="3"/>
  <c r="C1069" i="3"/>
  <c r="F1068" i="3"/>
  <c r="E1068" i="3"/>
  <c r="H1068" i="3" s="1"/>
  <c r="D1068" i="3"/>
  <c r="C1068" i="3"/>
  <c r="J1068" i="3" s="1"/>
  <c r="F1067" i="3"/>
  <c r="E1067" i="3"/>
  <c r="H1067" i="3" s="1"/>
  <c r="D1067" i="3"/>
  <c r="C1067" i="3"/>
  <c r="J1067" i="3" s="1"/>
  <c r="F1066" i="3"/>
  <c r="E1066" i="3"/>
  <c r="H1066" i="3" s="1"/>
  <c r="D1066" i="3"/>
  <c r="C1066" i="3"/>
  <c r="F1065" i="3"/>
  <c r="E1065" i="3"/>
  <c r="H1065" i="3" s="1"/>
  <c r="D1065" i="3"/>
  <c r="C1065" i="3"/>
  <c r="J1065" i="3" s="1"/>
  <c r="F1064" i="3"/>
  <c r="E1064" i="3"/>
  <c r="H1064" i="3" s="1"/>
  <c r="D1064" i="3"/>
  <c r="C1064" i="3"/>
  <c r="J1064" i="3" s="1"/>
  <c r="F1063" i="3"/>
  <c r="E1063" i="3"/>
  <c r="H1063" i="3" s="1"/>
  <c r="D1063" i="3"/>
  <c r="C1063" i="3"/>
  <c r="F1062" i="3"/>
  <c r="E1062" i="3"/>
  <c r="H1062" i="3" s="1"/>
  <c r="D1062" i="3"/>
  <c r="C1062" i="3"/>
  <c r="J1062" i="3" s="1"/>
  <c r="F1061" i="3"/>
  <c r="E1061" i="3"/>
  <c r="H1061" i="3" s="1"/>
  <c r="D1061" i="3"/>
  <c r="C1061" i="3"/>
  <c r="J1061" i="3" s="1"/>
  <c r="F1060" i="3"/>
  <c r="E1060" i="3"/>
  <c r="H1060" i="3" s="1"/>
  <c r="D1060" i="3"/>
  <c r="C1060" i="3"/>
  <c r="F1059" i="3"/>
  <c r="E1059" i="3"/>
  <c r="H1059" i="3" s="1"/>
  <c r="D1059" i="3"/>
  <c r="C1059" i="3"/>
  <c r="J1059" i="3" s="1"/>
  <c r="F1058" i="3"/>
  <c r="E1058" i="3"/>
  <c r="H1058" i="3" s="1"/>
  <c r="D1058" i="3"/>
  <c r="C1058" i="3"/>
  <c r="J1058" i="3" s="1"/>
  <c r="H1057" i="3"/>
  <c r="F1057" i="3"/>
  <c r="J1057" i="3" s="1"/>
  <c r="E1057" i="3"/>
  <c r="D1057" i="3"/>
  <c r="C1057" i="3"/>
  <c r="H1056" i="3"/>
  <c r="F1056" i="3"/>
  <c r="J1056" i="3" s="1"/>
  <c r="E1056" i="3"/>
  <c r="D1056" i="3"/>
  <c r="C1056" i="3"/>
  <c r="H1055" i="3"/>
  <c r="F1055" i="3"/>
  <c r="J1055" i="3" s="1"/>
  <c r="E1055" i="3"/>
  <c r="D1055" i="3"/>
  <c r="C1055" i="3"/>
  <c r="F1054" i="3"/>
  <c r="J1054" i="3" s="1"/>
  <c r="E1054" i="3"/>
  <c r="H1054" i="3" s="1"/>
  <c r="D1054" i="3"/>
  <c r="C1054" i="3"/>
  <c r="F1053" i="3"/>
  <c r="J1053" i="3" s="1"/>
  <c r="E1053" i="3"/>
  <c r="H1053" i="3" s="1"/>
  <c r="D1053" i="3"/>
  <c r="C1053" i="3"/>
  <c r="F1052" i="3"/>
  <c r="J1052" i="3" s="1"/>
  <c r="E1052" i="3"/>
  <c r="H1052" i="3" s="1"/>
  <c r="D1052" i="3"/>
  <c r="C1052" i="3"/>
  <c r="F1051" i="3"/>
  <c r="J1051" i="3" s="1"/>
  <c r="E1051" i="3"/>
  <c r="H1051" i="3" s="1"/>
  <c r="D1051" i="3"/>
  <c r="C1051" i="3"/>
  <c r="H1050" i="3"/>
  <c r="F1050" i="3"/>
  <c r="J1050" i="3" s="1"/>
  <c r="E1050" i="3"/>
  <c r="D1050" i="3"/>
  <c r="C1050" i="3"/>
  <c r="H1049" i="3"/>
  <c r="I1049" i="3" s="1"/>
  <c r="F1049" i="3"/>
  <c r="J1049" i="3" s="1"/>
  <c r="E1049" i="3"/>
  <c r="D1049" i="3"/>
  <c r="C1049" i="3"/>
  <c r="J1048" i="3"/>
  <c r="H1048" i="3"/>
  <c r="F1048" i="3"/>
  <c r="E1048" i="3"/>
  <c r="D1048" i="3"/>
  <c r="C1048" i="3"/>
  <c r="J1047" i="3"/>
  <c r="H1047" i="3"/>
  <c r="F1047" i="3"/>
  <c r="E1047" i="3"/>
  <c r="D1047" i="3"/>
  <c r="C1047" i="3"/>
  <c r="J1046" i="3"/>
  <c r="H1046" i="3"/>
  <c r="F1046" i="3"/>
  <c r="E1046" i="3"/>
  <c r="D1046" i="3"/>
  <c r="C1046" i="3"/>
  <c r="J1045" i="3"/>
  <c r="H1045" i="3"/>
  <c r="F1045" i="3"/>
  <c r="E1045" i="3"/>
  <c r="D1045" i="3"/>
  <c r="C1045" i="3"/>
  <c r="J1044" i="3"/>
  <c r="H1044" i="3"/>
  <c r="F1044" i="3"/>
  <c r="E1044" i="3"/>
  <c r="D1044" i="3"/>
  <c r="C1044" i="3"/>
  <c r="J1043" i="3"/>
  <c r="H1043" i="3"/>
  <c r="F1043" i="3"/>
  <c r="E1043" i="3"/>
  <c r="D1043" i="3"/>
  <c r="C1043" i="3"/>
  <c r="J1042" i="3"/>
  <c r="H1042" i="3"/>
  <c r="F1042" i="3"/>
  <c r="E1042" i="3"/>
  <c r="D1042" i="3"/>
  <c r="C1042" i="3"/>
  <c r="J1041" i="3"/>
  <c r="H1041" i="3"/>
  <c r="F1041" i="3"/>
  <c r="E1041" i="3"/>
  <c r="D1041" i="3"/>
  <c r="C1041" i="3"/>
  <c r="J1040" i="3"/>
  <c r="H1040" i="3"/>
  <c r="F1040" i="3"/>
  <c r="E1040" i="3"/>
  <c r="D1040" i="3"/>
  <c r="C1040" i="3"/>
  <c r="I1039" i="3"/>
  <c r="H1039" i="3"/>
  <c r="F1039" i="3"/>
  <c r="E1039" i="3"/>
  <c r="D1039" i="3"/>
  <c r="C1039" i="3"/>
  <c r="J1039" i="3" s="1"/>
  <c r="J1038" i="3"/>
  <c r="H1038" i="3"/>
  <c r="F1038" i="3"/>
  <c r="E1038" i="3"/>
  <c r="D1038" i="3"/>
  <c r="C1038" i="3"/>
  <c r="J1037" i="3"/>
  <c r="H1037" i="3"/>
  <c r="F1037" i="3"/>
  <c r="E1037" i="3"/>
  <c r="D1037" i="3"/>
  <c r="C1037" i="3"/>
  <c r="H1036" i="3"/>
  <c r="F1036" i="3"/>
  <c r="E1036" i="3"/>
  <c r="D1036" i="3"/>
  <c r="C1036" i="3"/>
  <c r="J1036" i="3" s="1"/>
  <c r="J1035" i="3"/>
  <c r="H1035" i="3"/>
  <c r="F1035" i="3"/>
  <c r="E1035" i="3"/>
  <c r="D1035" i="3"/>
  <c r="C1035" i="3"/>
  <c r="H1034" i="3"/>
  <c r="F1034" i="3"/>
  <c r="E1034" i="3"/>
  <c r="D1034" i="3"/>
  <c r="C1034" i="3"/>
  <c r="J1034" i="3" s="1"/>
  <c r="J1033" i="3"/>
  <c r="H1033" i="3"/>
  <c r="F1033" i="3"/>
  <c r="E1033" i="3"/>
  <c r="D1033" i="3"/>
  <c r="C1033" i="3"/>
  <c r="H1032" i="3"/>
  <c r="F1032" i="3"/>
  <c r="E1032" i="3"/>
  <c r="D1032" i="3"/>
  <c r="C1032" i="3"/>
  <c r="J1032" i="3" s="1"/>
  <c r="J1031" i="3"/>
  <c r="H1031" i="3"/>
  <c r="F1031" i="3"/>
  <c r="E1031" i="3"/>
  <c r="D1031" i="3"/>
  <c r="C1031" i="3"/>
  <c r="H1030" i="3"/>
  <c r="F1030" i="3"/>
  <c r="E1030" i="3"/>
  <c r="D1030" i="3"/>
  <c r="C1030" i="3"/>
  <c r="J1030" i="3" s="1"/>
  <c r="H1029" i="3"/>
  <c r="F1029" i="3"/>
  <c r="E1029" i="3"/>
  <c r="D1029" i="3"/>
  <c r="C1029" i="3"/>
  <c r="J1029" i="3" s="1"/>
  <c r="H1028" i="3"/>
  <c r="F1028" i="3"/>
  <c r="E1028" i="3"/>
  <c r="D1028" i="3"/>
  <c r="C1028" i="3"/>
  <c r="J1028" i="3" s="1"/>
  <c r="H1027" i="3"/>
  <c r="F1027" i="3"/>
  <c r="E1027" i="3"/>
  <c r="D1027" i="3"/>
  <c r="C1027" i="3"/>
  <c r="J1027" i="3" s="1"/>
  <c r="H1026" i="3"/>
  <c r="F1026" i="3"/>
  <c r="E1026" i="3"/>
  <c r="D1026" i="3"/>
  <c r="C1026" i="3"/>
  <c r="J1026" i="3" s="1"/>
  <c r="H1025" i="3"/>
  <c r="F1025" i="3"/>
  <c r="E1025" i="3"/>
  <c r="D1025" i="3"/>
  <c r="C1025" i="3"/>
  <c r="J1025" i="3" s="1"/>
  <c r="H1024" i="3"/>
  <c r="F1024" i="3"/>
  <c r="E1024" i="3"/>
  <c r="D1024" i="3"/>
  <c r="C1024" i="3"/>
  <c r="J1024" i="3" s="1"/>
  <c r="J1023" i="3"/>
  <c r="H1023" i="3"/>
  <c r="F1023" i="3"/>
  <c r="E1023" i="3"/>
  <c r="D1023" i="3"/>
  <c r="C1023" i="3"/>
  <c r="H1022" i="3"/>
  <c r="F1022" i="3"/>
  <c r="E1022" i="3"/>
  <c r="D1022" i="3"/>
  <c r="C1022" i="3"/>
  <c r="J1022" i="3" s="1"/>
  <c r="H1021" i="3"/>
  <c r="F1021" i="3"/>
  <c r="E1021" i="3"/>
  <c r="D1021" i="3"/>
  <c r="C1021" i="3"/>
  <c r="J1021" i="3" s="1"/>
  <c r="H1020" i="3"/>
  <c r="F1020" i="3"/>
  <c r="E1020" i="3"/>
  <c r="D1020" i="3"/>
  <c r="C1020" i="3"/>
  <c r="J1020" i="3" s="1"/>
  <c r="H1019" i="3"/>
  <c r="F1019" i="3"/>
  <c r="E1019" i="3"/>
  <c r="D1019" i="3"/>
  <c r="C1019" i="3"/>
  <c r="J1019" i="3" s="1"/>
  <c r="H1018" i="3"/>
  <c r="F1018" i="3"/>
  <c r="E1018" i="3"/>
  <c r="D1018" i="3"/>
  <c r="C1018" i="3"/>
  <c r="J1018" i="3" s="1"/>
  <c r="H1017" i="3"/>
  <c r="F1017" i="3"/>
  <c r="E1017" i="3"/>
  <c r="D1017" i="3"/>
  <c r="C1017" i="3"/>
  <c r="J1017" i="3" s="1"/>
  <c r="H1016" i="3"/>
  <c r="F1016" i="3"/>
  <c r="E1016" i="3"/>
  <c r="D1016" i="3"/>
  <c r="C1016" i="3"/>
  <c r="J1016" i="3" s="1"/>
  <c r="H1015" i="3"/>
  <c r="F1015" i="3"/>
  <c r="E1015" i="3"/>
  <c r="D1015" i="3"/>
  <c r="C1015" i="3"/>
  <c r="J1015" i="3" s="1"/>
  <c r="H1014" i="3"/>
  <c r="F1014" i="3"/>
  <c r="E1014" i="3"/>
  <c r="D1014" i="3"/>
  <c r="C1014" i="3"/>
  <c r="J1014" i="3" s="1"/>
  <c r="F1013" i="3"/>
  <c r="E1013" i="3"/>
  <c r="H1013" i="3" s="1"/>
  <c r="D1013" i="3"/>
  <c r="C1013" i="3"/>
  <c r="J1013" i="3" s="1"/>
  <c r="H1012" i="3"/>
  <c r="F1012" i="3"/>
  <c r="E1012" i="3"/>
  <c r="D1012" i="3"/>
  <c r="C1012" i="3"/>
  <c r="J1012" i="3" s="1"/>
  <c r="F1011" i="3"/>
  <c r="E1011" i="3"/>
  <c r="H1011" i="3" s="1"/>
  <c r="D1011" i="3"/>
  <c r="C1011" i="3"/>
  <c r="J1011" i="3" s="1"/>
  <c r="H1010" i="3"/>
  <c r="F1010" i="3"/>
  <c r="E1010" i="3"/>
  <c r="D1010" i="3"/>
  <c r="C1010" i="3"/>
  <c r="J1010" i="3" s="1"/>
  <c r="F1009" i="3"/>
  <c r="E1009" i="3"/>
  <c r="H1009" i="3" s="1"/>
  <c r="D1009" i="3"/>
  <c r="C1009" i="3"/>
  <c r="J1009" i="3" s="1"/>
  <c r="H1008" i="3"/>
  <c r="F1008" i="3"/>
  <c r="E1008" i="3"/>
  <c r="D1008" i="3"/>
  <c r="C1008" i="3"/>
  <c r="J1008" i="3" s="1"/>
  <c r="F1007" i="3"/>
  <c r="E1007" i="3"/>
  <c r="H1007" i="3" s="1"/>
  <c r="D1007" i="3"/>
  <c r="C1007" i="3"/>
  <c r="J1007" i="3" s="1"/>
  <c r="H1006" i="3"/>
  <c r="F1006" i="3"/>
  <c r="E1006" i="3"/>
  <c r="D1006" i="3"/>
  <c r="C1006" i="3"/>
  <c r="J1006" i="3" s="1"/>
  <c r="F1005" i="3"/>
  <c r="E1005" i="3"/>
  <c r="H1005" i="3" s="1"/>
  <c r="D1005" i="3"/>
  <c r="C1005" i="3"/>
  <c r="J1005" i="3" s="1"/>
  <c r="H1004" i="3"/>
  <c r="F1004" i="3"/>
  <c r="E1004" i="3"/>
  <c r="D1004" i="3"/>
  <c r="C1004" i="3"/>
  <c r="J1004" i="3" s="1"/>
  <c r="F1003" i="3"/>
  <c r="E1003" i="3"/>
  <c r="H1003" i="3" s="1"/>
  <c r="D1003" i="3"/>
  <c r="C1003" i="3"/>
  <c r="J1003" i="3" s="1"/>
  <c r="H1002" i="3"/>
  <c r="F1002" i="3"/>
  <c r="E1002" i="3"/>
  <c r="D1002" i="3"/>
  <c r="C1002" i="3"/>
  <c r="J1002" i="3" s="1"/>
  <c r="F1001" i="3"/>
  <c r="E1001" i="3"/>
  <c r="H1001" i="3" s="1"/>
  <c r="D1001" i="3"/>
  <c r="C1001" i="3"/>
  <c r="J1001" i="3" s="1"/>
  <c r="H1000" i="3"/>
  <c r="F1000" i="3"/>
  <c r="E1000" i="3"/>
  <c r="D1000" i="3"/>
  <c r="C1000" i="3"/>
  <c r="J1000" i="3" s="1"/>
  <c r="F999" i="3"/>
  <c r="E999" i="3"/>
  <c r="H999" i="3" s="1"/>
  <c r="D999" i="3"/>
  <c r="C999" i="3"/>
  <c r="J999" i="3" s="1"/>
  <c r="H998" i="3"/>
  <c r="F998" i="3"/>
  <c r="E998" i="3"/>
  <c r="D998" i="3"/>
  <c r="C998" i="3"/>
  <c r="J998" i="3" s="1"/>
  <c r="F997" i="3"/>
  <c r="E997" i="3"/>
  <c r="H997" i="3" s="1"/>
  <c r="D997" i="3"/>
  <c r="C997" i="3"/>
  <c r="J997" i="3" s="1"/>
  <c r="F996" i="3"/>
  <c r="E996" i="3"/>
  <c r="H996" i="3" s="1"/>
  <c r="D996" i="3"/>
  <c r="C996" i="3"/>
  <c r="J996" i="3" s="1"/>
  <c r="F995" i="3"/>
  <c r="E995" i="3"/>
  <c r="H995" i="3" s="1"/>
  <c r="D995" i="3"/>
  <c r="C995" i="3"/>
  <c r="J995" i="3" s="1"/>
  <c r="F994" i="3"/>
  <c r="E994" i="3"/>
  <c r="H994" i="3" s="1"/>
  <c r="D994" i="3"/>
  <c r="C994" i="3"/>
  <c r="J994" i="3" s="1"/>
  <c r="F993" i="3"/>
  <c r="E993" i="3"/>
  <c r="H993" i="3" s="1"/>
  <c r="D993" i="3"/>
  <c r="C993" i="3"/>
  <c r="J993" i="3" s="1"/>
  <c r="F992" i="3"/>
  <c r="E992" i="3"/>
  <c r="H992" i="3" s="1"/>
  <c r="D992" i="3"/>
  <c r="C992" i="3"/>
  <c r="J992" i="3" s="1"/>
  <c r="F991" i="3"/>
  <c r="E991" i="3"/>
  <c r="H991" i="3" s="1"/>
  <c r="D991" i="3"/>
  <c r="C991" i="3"/>
  <c r="J991" i="3" s="1"/>
  <c r="F990" i="3"/>
  <c r="E990" i="3"/>
  <c r="H990" i="3" s="1"/>
  <c r="D990" i="3"/>
  <c r="C990" i="3"/>
  <c r="J990" i="3" s="1"/>
  <c r="F989" i="3"/>
  <c r="E989" i="3"/>
  <c r="H989" i="3" s="1"/>
  <c r="D989" i="3"/>
  <c r="C989" i="3"/>
  <c r="J989" i="3" s="1"/>
  <c r="F988" i="3"/>
  <c r="E988" i="3"/>
  <c r="H988" i="3" s="1"/>
  <c r="D988" i="3"/>
  <c r="C988" i="3"/>
  <c r="J988" i="3" s="1"/>
  <c r="F987" i="3"/>
  <c r="E987" i="3"/>
  <c r="H987" i="3" s="1"/>
  <c r="D987" i="3"/>
  <c r="C987" i="3"/>
  <c r="J987" i="3" s="1"/>
  <c r="F986" i="3"/>
  <c r="E986" i="3"/>
  <c r="H986" i="3" s="1"/>
  <c r="D986" i="3"/>
  <c r="C986" i="3"/>
  <c r="J986" i="3" s="1"/>
  <c r="F985" i="3"/>
  <c r="E985" i="3"/>
  <c r="H985" i="3" s="1"/>
  <c r="D985" i="3"/>
  <c r="C985" i="3"/>
  <c r="J985" i="3" s="1"/>
  <c r="F984" i="3"/>
  <c r="E984" i="3"/>
  <c r="H984" i="3" s="1"/>
  <c r="D984" i="3"/>
  <c r="C984" i="3"/>
  <c r="J984" i="3" s="1"/>
  <c r="F983" i="3"/>
  <c r="E983" i="3"/>
  <c r="H983" i="3" s="1"/>
  <c r="D983" i="3"/>
  <c r="C983" i="3"/>
  <c r="J983" i="3" s="1"/>
  <c r="F982" i="3"/>
  <c r="E982" i="3"/>
  <c r="H982" i="3" s="1"/>
  <c r="D982" i="3"/>
  <c r="C982" i="3"/>
  <c r="J982" i="3" s="1"/>
  <c r="F981" i="3"/>
  <c r="E981" i="3"/>
  <c r="H981" i="3" s="1"/>
  <c r="D981" i="3"/>
  <c r="C981" i="3"/>
  <c r="J981" i="3" s="1"/>
  <c r="F980" i="3"/>
  <c r="E980" i="3"/>
  <c r="H980" i="3" s="1"/>
  <c r="D980" i="3"/>
  <c r="C980" i="3"/>
  <c r="J980" i="3" s="1"/>
  <c r="F979" i="3"/>
  <c r="E979" i="3"/>
  <c r="H979" i="3" s="1"/>
  <c r="D979" i="3"/>
  <c r="C979" i="3"/>
  <c r="J979" i="3" s="1"/>
  <c r="F978" i="3"/>
  <c r="E978" i="3"/>
  <c r="H978" i="3" s="1"/>
  <c r="D978" i="3"/>
  <c r="C978" i="3"/>
  <c r="J978" i="3" s="1"/>
  <c r="F977" i="3"/>
  <c r="E977" i="3"/>
  <c r="H977" i="3" s="1"/>
  <c r="D977" i="3"/>
  <c r="C977" i="3"/>
  <c r="J977" i="3" s="1"/>
  <c r="F976" i="3"/>
  <c r="E976" i="3"/>
  <c r="H976" i="3" s="1"/>
  <c r="D976" i="3"/>
  <c r="C976" i="3"/>
  <c r="J976" i="3" s="1"/>
  <c r="F975" i="3"/>
  <c r="E975" i="3"/>
  <c r="H975" i="3" s="1"/>
  <c r="D975" i="3"/>
  <c r="C975" i="3"/>
  <c r="J975" i="3" s="1"/>
  <c r="F974" i="3"/>
  <c r="E974" i="3"/>
  <c r="H974" i="3" s="1"/>
  <c r="D974" i="3"/>
  <c r="C974" i="3"/>
  <c r="J974" i="3" s="1"/>
  <c r="F973" i="3"/>
  <c r="E973" i="3"/>
  <c r="H973" i="3" s="1"/>
  <c r="D973" i="3"/>
  <c r="C973" i="3"/>
  <c r="J973" i="3" s="1"/>
  <c r="F972" i="3"/>
  <c r="E972" i="3"/>
  <c r="H972" i="3" s="1"/>
  <c r="D972" i="3"/>
  <c r="C972" i="3"/>
  <c r="J972" i="3" s="1"/>
  <c r="F971" i="3"/>
  <c r="E971" i="3"/>
  <c r="H971" i="3" s="1"/>
  <c r="D971" i="3"/>
  <c r="C971" i="3"/>
  <c r="J971" i="3" s="1"/>
  <c r="F970" i="3"/>
  <c r="E970" i="3"/>
  <c r="H970" i="3" s="1"/>
  <c r="D970" i="3"/>
  <c r="C970" i="3"/>
  <c r="J970" i="3" s="1"/>
  <c r="F969" i="3"/>
  <c r="E969" i="3"/>
  <c r="H969" i="3" s="1"/>
  <c r="D969" i="3"/>
  <c r="C969" i="3"/>
  <c r="J969" i="3" s="1"/>
  <c r="F968" i="3"/>
  <c r="E968" i="3"/>
  <c r="H968" i="3" s="1"/>
  <c r="D968" i="3"/>
  <c r="C968" i="3"/>
  <c r="J968" i="3" s="1"/>
  <c r="F967" i="3"/>
  <c r="E967" i="3"/>
  <c r="H967" i="3" s="1"/>
  <c r="D967" i="3"/>
  <c r="C967" i="3"/>
  <c r="J967" i="3" s="1"/>
  <c r="F966" i="3"/>
  <c r="E966" i="3"/>
  <c r="H966" i="3" s="1"/>
  <c r="D966" i="3"/>
  <c r="C966" i="3"/>
  <c r="J966" i="3" s="1"/>
  <c r="F965" i="3"/>
  <c r="E965" i="3"/>
  <c r="H965" i="3" s="1"/>
  <c r="D965" i="3"/>
  <c r="C965" i="3"/>
  <c r="J965" i="3" s="1"/>
  <c r="F964" i="3"/>
  <c r="E964" i="3"/>
  <c r="H964" i="3" s="1"/>
  <c r="D964" i="3"/>
  <c r="C964" i="3"/>
  <c r="J964" i="3" s="1"/>
  <c r="F963" i="3"/>
  <c r="E963" i="3"/>
  <c r="H963" i="3" s="1"/>
  <c r="D963" i="3"/>
  <c r="C963" i="3"/>
  <c r="J963" i="3" s="1"/>
  <c r="F962" i="3"/>
  <c r="E962" i="3"/>
  <c r="H962" i="3" s="1"/>
  <c r="D962" i="3"/>
  <c r="C962" i="3"/>
  <c r="J962" i="3" s="1"/>
  <c r="F961" i="3"/>
  <c r="E961" i="3"/>
  <c r="H961" i="3" s="1"/>
  <c r="D961" i="3"/>
  <c r="C961" i="3"/>
  <c r="J961" i="3" s="1"/>
  <c r="F960" i="3"/>
  <c r="E960" i="3"/>
  <c r="H960" i="3" s="1"/>
  <c r="D960" i="3"/>
  <c r="C960" i="3"/>
  <c r="J960" i="3" s="1"/>
  <c r="F959" i="3"/>
  <c r="E959" i="3"/>
  <c r="H959" i="3" s="1"/>
  <c r="D959" i="3"/>
  <c r="C959" i="3"/>
  <c r="J959" i="3" s="1"/>
  <c r="F958" i="3"/>
  <c r="E958" i="3"/>
  <c r="H958" i="3" s="1"/>
  <c r="D958" i="3"/>
  <c r="C958" i="3"/>
  <c r="J958" i="3" s="1"/>
  <c r="F957" i="3"/>
  <c r="E957" i="3"/>
  <c r="H957" i="3" s="1"/>
  <c r="D957" i="3"/>
  <c r="C957" i="3"/>
  <c r="J957" i="3" s="1"/>
  <c r="F956" i="3"/>
  <c r="E956" i="3"/>
  <c r="H956" i="3" s="1"/>
  <c r="D956" i="3"/>
  <c r="C956" i="3"/>
  <c r="J956" i="3" s="1"/>
  <c r="F955" i="3"/>
  <c r="E955" i="3"/>
  <c r="H955" i="3" s="1"/>
  <c r="D955" i="3"/>
  <c r="C955" i="3"/>
  <c r="J955" i="3" s="1"/>
  <c r="F954" i="3"/>
  <c r="E954" i="3"/>
  <c r="H954" i="3" s="1"/>
  <c r="D954" i="3"/>
  <c r="C954" i="3"/>
  <c r="J954" i="3" s="1"/>
  <c r="F953" i="3"/>
  <c r="E953" i="3"/>
  <c r="H953" i="3" s="1"/>
  <c r="D953" i="3"/>
  <c r="C953" i="3"/>
  <c r="J953" i="3" s="1"/>
  <c r="F952" i="3"/>
  <c r="J952" i="3" s="1"/>
  <c r="E952" i="3"/>
  <c r="H952" i="3" s="1"/>
  <c r="I952" i="3" s="1"/>
  <c r="D952" i="3"/>
  <c r="C952" i="3"/>
  <c r="F951" i="3"/>
  <c r="E951" i="3"/>
  <c r="H951" i="3" s="1"/>
  <c r="D951" i="3"/>
  <c r="C951" i="3"/>
  <c r="J951" i="3" s="1"/>
  <c r="F950" i="3"/>
  <c r="E950" i="3"/>
  <c r="H950" i="3" s="1"/>
  <c r="D950" i="3"/>
  <c r="C950" i="3"/>
  <c r="J950" i="3" s="1"/>
  <c r="F949" i="3"/>
  <c r="E949" i="3"/>
  <c r="H949" i="3" s="1"/>
  <c r="D949" i="3"/>
  <c r="C949" i="3"/>
  <c r="J949" i="3" s="1"/>
  <c r="J948" i="3"/>
  <c r="F948" i="3"/>
  <c r="E948" i="3"/>
  <c r="H948" i="3" s="1"/>
  <c r="D948" i="3"/>
  <c r="C948" i="3"/>
  <c r="F947" i="3"/>
  <c r="E947" i="3"/>
  <c r="H947" i="3" s="1"/>
  <c r="D947" i="3"/>
  <c r="C947" i="3"/>
  <c r="J947" i="3" s="1"/>
  <c r="F946" i="3"/>
  <c r="E946" i="3"/>
  <c r="H946" i="3" s="1"/>
  <c r="D946" i="3"/>
  <c r="C946" i="3"/>
  <c r="J946" i="3" s="1"/>
  <c r="H945" i="3"/>
  <c r="F945" i="3"/>
  <c r="E945" i="3"/>
  <c r="D945" i="3"/>
  <c r="C945" i="3"/>
  <c r="J945" i="3" s="1"/>
  <c r="J944" i="3"/>
  <c r="H944" i="3"/>
  <c r="F944" i="3"/>
  <c r="E944" i="3"/>
  <c r="D944" i="3"/>
  <c r="C944" i="3"/>
  <c r="H943" i="3"/>
  <c r="F943" i="3"/>
  <c r="E943" i="3"/>
  <c r="D943" i="3"/>
  <c r="C943" i="3"/>
  <c r="J943" i="3" s="1"/>
  <c r="J942" i="3"/>
  <c r="H942" i="3"/>
  <c r="F942" i="3"/>
  <c r="E942" i="3"/>
  <c r="D942" i="3"/>
  <c r="C942" i="3"/>
  <c r="F941" i="3"/>
  <c r="E941" i="3"/>
  <c r="H941" i="3" s="1"/>
  <c r="D941" i="3"/>
  <c r="C941" i="3"/>
  <c r="F940" i="3"/>
  <c r="J940" i="3" s="1"/>
  <c r="E940" i="3"/>
  <c r="H940" i="3" s="1"/>
  <c r="D940" i="3"/>
  <c r="C940" i="3"/>
  <c r="F939" i="3"/>
  <c r="J939" i="3" s="1"/>
  <c r="E939" i="3"/>
  <c r="H939" i="3" s="1"/>
  <c r="D939" i="3"/>
  <c r="C939" i="3"/>
  <c r="J938" i="3"/>
  <c r="H938" i="3"/>
  <c r="F938" i="3"/>
  <c r="E938" i="3"/>
  <c r="D938" i="3"/>
  <c r="C938" i="3"/>
  <c r="F937" i="3"/>
  <c r="J937" i="3" s="1"/>
  <c r="E937" i="3"/>
  <c r="H937" i="3" s="1"/>
  <c r="D937" i="3"/>
  <c r="C937" i="3"/>
  <c r="J936" i="3"/>
  <c r="H936" i="3"/>
  <c r="F936" i="3"/>
  <c r="E936" i="3"/>
  <c r="D936" i="3"/>
  <c r="C936" i="3"/>
  <c r="F935" i="3"/>
  <c r="J935" i="3" s="1"/>
  <c r="E935" i="3"/>
  <c r="H935" i="3" s="1"/>
  <c r="D935" i="3"/>
  <c r="C935" i="3"/>
  <c r="F934" i="3"/>
  <c r="J934" i="3" s="1"/>
  <c r="E934" i="3"/>
  <c r="H934" i="3" s="1"/>
  <c r="D934" i="3"/>
  <c r="C934" i="3"/>
  <c r="F933" i="3"/>
  <c r="J933" i="3" s="1"/>
  <c r="E933" i="3"/>
  <c r="H933" i="3" s="1"/>
  <c r="D933" i="3"/>
  <c r="C933" i="3"/>
  <c r="F932" i="3"/>
  <c r="J932" i="3" s="1"/>
  <c r="E932" i="3"/>
  <c r="H932" i="3" s="1"/>
  <c r="D932" i="3"/>
  <c r="C932" i="3"/>
  <c r="F931" i="3"/>
  <c r="J931" i="3" s="1"/>
  <c r="E931" i="3"/>
  <c r="H931" i="3" s="1"/>
  <c r="D931" i="3"/>
  <c r="C931" i="3"/>
  <c r="J930" i="3"/>
  <c r="H930" i="3"/>
  <c r="F930" i="3"/>
  <c r="E930" i="3"/>
  <c r="D930" i="3"/>
  <c r="C930" i="3"/>
  <c r="F929" i="3"/>
  <c r="J929" i="3" s="1"/>
  <c r="E929" i="3"/>
  <c r="H929" i="3" s="1"/>
  <c r="D929" i="3"/>
  <c r="C929" i="3"/>
  <c r="F928" i="3"/>
  <c r="J928" i="3" s="1"/>
  <c r="E928" i="3"/>
  <c r="H928" i="3" s="1"/>
  <c r="D928" i="3"/>
  <c r="C928" i="3"/>
  <c r="F927" i="3"/>
  <c r="J927" i="3" s="1"/>
  <c r="E927" i="3"/>
  <c r="H927" i="3" s="1"/>
  <c r="D927" i="3"/>
  <c r="C927" i="3"/>
  <c r="J926" i="3"/>
  <c r="H926" i="3"/>
  <c r="F926" i="3"/>
  <c r="E926" i="3"/>
  <c r="D926" i="3"/>
  <c r="C926" i="3"/>
  <c r="F925" i="3"/>
  <c r="J925" i="3" s="1"/>
  <c r="E925" i="3"/>
  <c r="H925" i="3" s="1"/>
  <c r="D925" i="3"/>
  <c r="C925" i="3"/>
  <c r="J924" i="3"/>
  <c r="H924" i="3"/>
  <c r="F924" i="3"/>
  <c r="E924" i="3"/>
  <c r="D924" i="3"/>
  <c r="C924" i="3"/>
  <c r="F923" i="3"/>
  <c r="J923" i="3" s="1"/>
  <c r="E923" i="3"/>
  <c r="H923" i="3" s="1"/>
  <c r="D923" i="3"/>
  <c r="C923" i="3"/>
  <c r="J922" i="3"/>
  <c r="F922" i="3"/>
  <c r="E922" i="3"/>
  <c r="H922" i="3" s="1"/>
  <c r="D922" i="3"/>
  <c r="C922" i="3"/>
  <c r="F921" i="3"/>
  <c r="J921" i="3" s="1"/>
  <c r="E921" i="3"/>
  <c r="H921" i="3" s="1"/>
  <c r="D921" i="3"/>
  <c r="C921" i="3"/>
  <c r="F920" i="3"/>
  <c r="J920" i="3" s="1"/>
  <c r="E920" i="3"/>
  <c r="H920" i="3" s="1"/>
  <c r="D920" i="3"/>
  <c r="C920" i="3"/>
  <c r="H919" i="3"/>
  <c r="I919" i="3" s="1"/>
  <c r="F919" i="3"/>
  <c r="E919" i="3"/>
  <c r="D919" i="3"/>
  <c r="C919" i="3"/>
  <c r="J919" i="3" s="1"/>
  <c r="J918" i="3"/>
  <c r="H918" i="3"/>
  <c r="F918" i="3"/>
  <c r="E918" i="3"/>
  <c r="D918" i="3"/>
  <c r="C918" i="3"/>
  <c r="H917" i="3"/>
  <c r="F917" i="3"/>
  <c r="E917" i="3"/>
  <c r="D917" i="3"/>
  <c r="C917" i="3"/>
  <c r="J917" i="3" s="1"/>
  <c r="J916" i="3"/>
  <c r="H916" i="3"/>
  <c r="F916" i="3"/>
  <c r="E916" i="3"/>
  <c r="D916" i="3"/>
  <c r="C916" i="3"/>
  <c r="H915" i="3"/>
  <c r="F915" i="3"/>
  <c r="E915" i="3"/>
  <c r="D915" i="3"/>
  <c r="C915" i="3"/>
  <c r="H914" i="3"/>
  <c r="F914" i="3"/>
  <c r="J914" i="3" s="1"/>
  <c r="E914" i="3"/>
  <c r="D914" i="3"/>
  <c r="C914" i="3"/>
  <c r="H913" i="3"/>
  <c r="F913" i="3"/>
  <c r="E913" i="3"/>
  <c r="D913" i="3"/>
  <c r="C913" i="3"/>
  <c r="J913" i="3" s="1"/>
  <c r="H912" i="3"/>
  <c r="F912" i="3"/>
  <c r="J912" i="3" s="1"/>
  <c r="E912" i="3"/>
  <c r="D912" i="3"/>
  <c r="C912" i="3"/>
  <c r="H911" i="3"/>
  <c r="F911" i="3"/>
  <c r="E911" i="3"/>
  <c r="D911" i="3"/>
  <c r="C911" i="3"/>
  <c r="J910" i="3"/>
  <c r="H910" i="3"/>
  <c r="F910" i="3"/>
  <c r="E910" i="3"/>
  <c r="D910" i="3"/>
  <c r="C910" i="3"/>
  <c r="H909" i="3"/>
  <c r="F909" i="3"/>
  <c r="E909" i="3"/>
  <c r="D909" i="3"/>
  <c r="C909" i="3"/>
  <c r="J909" i="3" s="1"/>
  <c r="J908" i="3"/>
  <c r="H908" i="3"/>
  <c r="F908" i="3"/>
  <c r="E908" i="3"/>
  <c r="D908" i="3"/>
  <c r="C908" i="3"/>
  <c r="H907" i="3"/>
  <c r="F907" i="3"/>
  <c r="E907" i="3"/>
  <c r="D907" i="3"/>
  <c r="C907" i="3"/>
  <c r="J907" i="3" s="1"/>
  <c r="J906" i="3"/>
  <c r="H906" i="3"/>
  <c r="F906" i="3"/>
  <c r="E906" i="3"/>
  <c r="D906" i="3"/>
  <c r="C906" i="3"/>
  <c r="H905" i="3"/>
  <c r="F905" i="3"/>
  <c r="E905" i="3"/>
  <c r="D905" i="3"/>
  <c r="C905" i="3"/>
  <c r="J905" i="3" s="1"/>
  <c r="J904" i="3"/>
  <c r="H904" i="3"/>
  <c r="F904" i="3"/>
  <c r="E904" i="3"/>
  <c r="D904" i="3"/>
  <c r="C904" i="3"/>
  <c r="H903" i="3"/>
  <c r="F903" i="3"/>
  <c r="E903" i="3"/>
  <c r="D903" i="3"/>
  <c r="C903" i="3"/>
  <c r="J903" i="3" s="1"/>
  <c r="H902" i="3"/>
  <c r="F902" i="3"/>
  <c r="J902" i="3" s="1"/>
  <c r="E902" i="3"/>
  <c r="D902" i="3"/>
  <c r="C902" i="3"/>
  <c r="H901" i="3"/>
  <c r="F901" i="3"/>
  <c r="E901" i="3"/>
  <c r="D901" i="3"/>
  <c r="C901" i="3"/>
  <c r="J900" i="3"/>
  <c r="H900" i="3"/>
  <c r="F900" i="3"/>
  <c r="E900" i="3"/>
  <c r="D900" i="3"/>
  <c r="C900" i="3"/>
  <c r="H899" i="3"/>
  <c r="F899" i="3"/>
  <c r="E899" i="3"/>
  <c r="D899" i="3"/>
  <c r="C899" i="3"/>
  <c r="H898" i="3"/>
  <c r="F898" i="3"/>
  <c r="J898" i="3" s="1"/>
  <c r="E898" i="3"/>
  <c r="D898" i="3"/>
  <c r="C898" i="3"/>
  <c r="H897" i="3"/>
  <c r="F897" i="3"/>
  <c r="E897" i="3"/>
  <c r="D897" i="3"/>
  <c r="C897" i="3"/>
  <c r="J897" i="3" s="1"/>
  <c r="H896" i="3"/>
  <c r="F896" i="3"/>
  <c r="J896" i="3" s="1"/>
  <c r="E896" i="3"/>
  <c r="D896" i="3"/>
  <c r="C896" i="3"/>
  <c r="H895" i="3"/>
  <c r="F895" i="3"/>
  <c r="E895" i="3"/>
  <c r="D895" i="3"/>
  <c r="C895" i="3"/>
  <c r="J895" i="3" s="1"/>
  <c r="J894" i="3"/>
  <c r="H894" i="3"/>
  <c r="F894" i="3"/>
  <c r="E894" i="3"/>
  <c r="D894" i="3"/>
  <c r="C894" i="3"/>
  <c r="H893" i="3"/>
  <c r="F893" i="3"/>
  <c r="E893" i="3"/>
  <c r="D893" i="3"/>
  <c r="C893" i="3"/>
  <c r="J893" i="3" s="1"/>
  <c r="J892" i="3"/>
  <c r="H892" i="3"/>
  <c r="F892" i="3"/>
  <c r="E892" i="3"/>
  <c r="D892" i="3"/>
  <c r="C892" i="3"/>
  <c r="H891" i="3"/>
  <c r="F891" i="3"/>
  <c r="E891" i="3"/>
  <c r="D891" i="3"/>
  <c r="C891" i="3"/>
  <c r="H890" i="3"/>
  <c r="F890" i="3"/>
  <c r="J890" i="3" s="1"/>
  <c r="E890" i="3"/>
  <c r="D890" i="3"/>
  <c r="C890" i="3"/>
  <c r="H889" i="3"/>
  <c r="F889" i="3"/>
  <c r="E889" i="3"/>
  <c r="D889" i="3"/>
  <c r="C889" i="3"/>
  <c r="J889" i="3" s="1"/>
  <c r="J888" i="3"/>
  <c r="H888" i="3"/>
  <c r="I888" i="3" s="1"/>
  <c r="F888" i="3"/>
  <c r="E888" i="3"/>
  <c r="D888" i="3"/>
  <c r="C888" i="3"/>
  <c r="J887" i="3"/>
  <c r="H887" i="3"/>
  <c r="F887" i="3"/>
  <c r="E887" i="3"/>
  <c r="D887" i="3"/>
  <c r="C887" i="3"/>
  <c r="J886" i="3"/>
  <c r="H886" i="3"/>
  <c r="F886" i="3"/>
  <c r="E886" i="3"/>
  <c r="D886" i="3"/>
  <c r="C886" i="3"/>
  <c r="J885" i="3"/>
  <c r="H885" i="3"/>
  <c r="F885" i="3"/>
  <c r="E885" i="3"/>
  <c r="D885" i="3"/>
  <c r="C885" i="3"/>
  <c r="H884" i="3"/>
  <c r="F884" i="3"/>
  <c r="E884" i="3"/>
  <c r="D884" i="3"/>
  <c r="C884" i="3"/>
  <c r="J884" i="3" s="1"/>
  <c r="J883" i="3"/>
  <c r="H883" i="3"/>
  <c r="F883" i="3"/>
  <c r="E883" i="3"/>
  <c r="D883" i="3"/>
  <c r="C883" i="3"/>
  <c r="H882" i="3"/>
  <c r="F882" i="3"/>
  <c r="E882" i="3"/>
  <c r="D882" i="3"/>
  <c r="C882" i="3"/>
  <c r="J882" i="3" s="1"/>
  <c r="J881" i="3"/>
  <c r="H881" i="3"/>
  <c r="F881" i="3"/>
  <c r="E881" i="3"/>
  <c r="D881" i="3"/>
  <c r="C881" i="3"/>
  <c r="H880" i="3"/>
  <c r="F880" i="3"/>
  <c r="E880" i="3"/>
  <c r="D880" i="3"/>
  <c r="C880" i="3"/>
  <c r="J880" i="3" s="1"/>
  <c r="J879" i="3"/>
  <c r="H879" i="3"/>
  <c r="F879" i="3"/>
  <c r="E879" i="3"/>
  <c r="D879" i="3"/>
  <c r="C879" i="3"/>
  <c r="H878" i="3"/>
  <c r="F878" i="3"/>
  <c r="E878" i="3"/>
  <c r="D878" i="3"/>
  <c r="C878" i="3"/>
  <c r="J878" i="3" s="1"/>
  <c r="J877" i="3"/>
  <c r="H877" i="3"/>
  <c r="F877" i="3"/>
  <c r="E877" i="3"/>
  <c r="D877" i="3"/>
  <c r="C877" i="3"/>
  <c r="H876" i="3"/>
  <c r="F876" i="3"/>
  <c r="E876" i="3"/>
  <c r="D876" i="3"/>
  <c r="C876" i="3"/>
  <c r="J876" i="3" s="1"/>
  <c r="J875" i="3"/>
  <c r="H875" i="3"/>
  <c r="F875" i="3"/>
  <c r="E875" i="3"/>
  <c r="D875" i="3"/>
  <c r="C875" i="3"/>
  <c r="H874" i="3"/>
  <c r="F874" i="3"/>
  <c r="E874" i="3"/>
  <c r="D874" i="3"/>
  <c r="C874" i="3"/>
  <c r="J874" i="3" s="1"/>
  <c r="J873" i="3"/>
  <c r="H873" i="3"/>
  <c r="F873" i="3"/>
  <c r="E873" i="3"/>
  <c r="D873" i="3"/>
  <c r="C873" i="3"/>
  <c r="H872" i="3"/>
  <c r="F872" i="3"/>
  <c r="E872" i="3"/>
  <c r="D872" i="3"/>
  <c r="C872" i="3"/>
  <c r="J872" i="3" s="1"/>
  <c r="J871" i="3"/>
  <c r="H871" i="3"/>
  <c r="F871" i="3"/>
  <c r="E871" i="3"/>
  <c r="D871" i="3"/>
  <c r="C871" i="3"/>
  <c r="H870" i="3"/>
  <c r="F870" i="3"/>
  <c r="E870" i="3"/>
  <c r="D870" i="3"/>
  <c r="C870" i="3"/>
  <c r="J870" i="3" s="1"/>
  <c r="J869" i="3"/>
  <c r="H869" i="3"/>
  <c r="F869" i="3"/>
  <c r="E869" i="3"/>
  <c r="D869" i="3"/>
  <c r="C869" i="3"/>
  <c r="H868" i="3"/>
  <c r="F868" i="3"/>
  <c r="E868" i="3"/>
  <c r="D868" i="3"/>
  <c r="C868" i="3"/>
  <c r="J868" i="3" s="1"/>
  <c r="J867" i="3"/>
  <c r="H867" i="3"/>
  <c r="F867" i="3"/>
  <c r="E867" i="3"/>
  <c r="D867" i="3"/>
  <c r="C867" i="3"/>
  <c r="H866" i="3"/>
  <c r="F866" i="3"/>
  <c r="E866" i="3"/>
  <c r="D866" i="3"/>
  <c r="C866" i="3"/>
  <c r="J866" i="3" s="1"/>
  <c r="J865" i="3"/>
  <c r="H865" i="3"/>
  <c r="F865" i="3"/>
  <c r="E865" i="3"/>
  <c r="D865" i="3"/>
  <c r="C865" i="3"/>
  <c r="H864" i="3"/>
  <c r="F864" i="3"/>
  <c r="E864" i="3"/>
  <c r="D864" i="3"/>
  <c r="C864" i="3"/>
  <c r="J864" i="3" s="1"/>
  <c r="J863" i="3"/>
  <c r="F863" i="3"/>
  <c r="E863" i="3"/>
  <c r="H863" i="3" s="1"/>
  <c r="D863" i="3"/>
  <c r="I863" i="3" s="1"/>
  <c r="C863" i="3"/>
  <c r="F862" i="3"/>
  <c r="E862" i="3"/>
  <c r="H862" i="3" s="1"/>
  <c r="D862" i="3"/>
  <c r="C862" i="3"/>
  <c r="J862" i="3" s="1"/>
  <c r="J861" i="3"/>
  <c r="F861" i="3"/>
  <c r="E861" i="3"/>
  <c r="H861" i="3" s="1"/>
  <c r="D861" i="3"/>
  <c r="C861" i="3"/>
  <c r="J860" i="3"/>
  <c r="F860" i="3"/>
  <c r="E860" i="3"/>
  <c r="H860" i="3" s="1"/>
  <c r="D860" i="3"/>
  <c r="C860" i="3"/>
  <c r="F859" i="3"/>
  <c r="E859" i="3"/>
  <c r="H859" i="3" s="1"/>
  <c r="D859" i="3"/>
  <c r="C859" i="3"/>
  <c r="J859" i="3" s="1"/>
  <c r="J858" i="3"/>
  <c r="F858" i="3"/>
  <c r="E858" i="3"/>
  <c r="H858" i="3" s="1"/>
  <c r="D858" i="3"/>
  <c r="C858" i="3"/>
  <c r="F857" i="3"/>
  <c r="E857" i="3"/>
  <c r="H857" i="3" s="1"/>
  <c r="D857" i="3"/>
  <c r="C857" i="3"/>
  <c r="J857" i="3" s="1"/>
  <c r="F856" i="3"/>
  <c r="E856" i="3"/>
  <c r="H856" i="3" s="1"/>
  <c r="D856" i="3"/>
  <c r="C856" i="3"/>
  <c r="J856" i="3" s="1"/>
  <c r="F855" i="3"/>
  <c r="E855" i="3"/>
  <c r="H855" i="3" s="1"/>
  <c r="D855" i="3"/>
  <c r="C855" i="3"/>
  <c r="J855" i="3" s="1"/>
  <c r="F854" i="3"/>
  <c r="E854" i="3"/>
  <c r="H854" i="3" s="1"/>
  <c r="D854" i="3"/>
  <c r="C854" i="3"/>
  <c r="J854" i="3" s="1"/>
  <c r="F853" i="3"/>
  <c r="E853" i="3"/>
  <c r="H853" i="3" s="1"/>
  <c r="D853" i="3"/>
  <c r="C853" i="3"/>
  <c r="J853" i="3" s="1"/>
  <c r="J852" i="3"/>
  <c r="F852" i="3"/>
  <c r="E852" i="3"/>
  <c r="H852" i="3" s="1"/>
  <c r="D852" i="3"/>
  <c r="C852" i="3"/>
  <c r="J851" i="3"/>
  <c r="F851" i="3"/>
  <c r="E851" i="3"/>
  <c r="H851" i="3" s="1"/>
  <c r="D851" i="3"/>
  <c r="C851" i="3"/>
  <c r="F850" i="3"/>
  <c r="E850" i="3"/>
  <c r="H850" i="3" s="1"/>
  <c r="D850" i="3"/>
  <c r="C850" i="3"/>
  <c r="J850" i="3" s="1"/>
  <c r="J849" i="3"/>
  <c r="F849" i="3"/>
  <c r="E849" i="3"/>
  <c r="H849" i="3" s="1"/>
  <c r="D849" i="3"/>
  <c r="C849" i="3"/>
  <c r="J848" i="3"/>
  <c r="F848" i="3"/>
  <c r="E848" i="3"/>
  <c r="H848" i="3" s="1"/>
  <c r="D848" i="3"/>
  <c r="C848" i="3"/>
  <c r="F847" i="3"/>
  <c r="E847" i="3"/>
  <c r="H847" i="3" s="1"/>
  <c r="D847" i="3"/>
  <c r="C847" i="3"/>
  <c r="J847" i="3" s="1"/>
  <c r="J846" i="3"/>
  <c r="F846" i="3"/>
  <c r="E846" i="3"/>
  <c r="H846" i="3" s="1"/>
  <c r="D846" i="3"/>
  <c r="C846" i="3"/>
  <c r="J845" i="3"/>
  <c r="F845" i="3"/>
  <c r="E845" i="3"/>
  <c r="H845" i="3" s="1"/>
  <c r="D845" i="3"/>
  <c r="C845" i="3"/>
  <c r="F844" i="3"/>
  <c r="E844" i="3"/>
  <c r="H844" i="3" s="1"/>
  <c r="D844" i="3"/>
  <c r="C844" i="3"/>
  <c r="J844" i="3" s="1"/>
  <c r="F843" i="3"/>
  <c r="E843" i="3"/>
  <c r="H843" i="3" s="1"/>
  <c r="D843" i="3"/>
  <c r="C843" i="3"/>
  <c r="J843" i="3" s="1"/>
  <c r="F842" i="3"/>
  <c r="E842" i="3"/>
  <c r="H842" i="3" s="1"/>
  <c r="D842" i="3"/>
  <c r="C842" i="3"/>
  <c r="J842" i="3" s="1"/>
  <c r="F841" i="3"/>
  <c r="E841" i="3"/>
  <c r="H841" i="3" s="1"/>
  <c r="D841" i="3"/>
  <c r="C841" i="3"/>
  <c r="J841" i="3" s="1"/>
  <c r="J840" i="3"/>
  <c r="F840" i="3"/>
  <c r="E840" i="3"/>
  <c r="H840" i="3" s="1"/>
  <c r="D840" i="3"/>
  <c r="C840" i="3"/>
  <c r="J839" i="3"/>
  <c r="F839" i="3"/>
  <c r="E839" i="3"/>
  <c r="H839" i="3" s="1"/>
  <c r="D839" i="3"/>
  <c r="C839" i="3"/>
  <c r="F838" i="3"/>
  <c r="E838" i="3"/>
  <c r="H838" i="3" s="1"/>
  <c r="D838" i="3"/>
  <c r="C838" i="3"/>
  <c r="J838" i="3" s="1"/>
  <c r="J837" i="3"/>
  <c r="F837" i="3"/>
  <c r="E837" i="3"/>
  <c r="H837" i="3" s="1"/>
  <c r="D837" i="3"/>
  <c r="C837" i="3"/>
  <c r="F836" i="3"/>
  <c r="E836" i="3"/>
  <c r="H836" i="3" s="1"/>
  <c r="D836" i="3"/>
  <c r="C836" i="3"/>
  <c r="J836" i="3" s="1"/>
  <c r="F835" i="3"/>
  <c r="E835" i="3"/>
  <c r="H835" i="3" s="1"/>
  <c r="D835" i="3"/>
  <c r="C835" i="3"/>
  <c r="J835" i="3" s="1"/>
  <c r="J834" i="3"/>
  <c r="F834" i="3"/>
  <c r="E834" i="3"/>
  <c r="H834" i="3" s="1"/>
  <c r="D834" i="3"/>
  <c r="C834" i="3"/>
  <c r="F833" i="3"/>
  <c r="E833" i="3"/>
  <c r="H833" i="3" s="1"/>
  <c r="D833" i="3"/>
  <c r="C833" i="3"/>
  <c r="J833" i="3" s="1"/>
  <c r="F832" i="3"/>
  <c r="E832" i="3"/>
  <c r="H832" i="3" s="1"/>
  <c r="D832" i="3"/>
  <c r="C832" i="3"/>
  <c r="J832" i="3" s="1"/>
  <c r="F831" i="3"/>
  <c r="E831" i="3"/>
  <c r="H831" i="3" s="1"/>
  <c r="D831" i="3"/>
  <c r="C831" i="3"/>
  <c r="J831" i="3" s="1"/>
  <c r="F830" i="3"/>
  <c r="E830" i="3"/>
  <c r="H830" i="3" s="1"/>
  <c r="D830" i="3"/>
  <c r="C830" i="3"/>
  <c r="J830" i="3" s="1"/>
  <c r="F829" i="3"/>
  <c r="E829" i="3"/>
  <c r="H829" i="3" s="1"/>
  <c r="D829" i="3"/>
  <c r="C829" i="3"/>
  <c r="J829" i="3" s="1"/>
  <c r="J828" i="3"/>
  <c r="F828" i="3"/>
  <c r="E828" i="3"/>
  <c r="H828" i="3" s="1"/>
  <c r="D828" i="3"/>
  <c r="C828" i="3"/>
  <c r="J827" i="3"/>
  <c r="F827" i="3"/>
  <c r="E827" i="3"/>
  <c r="H827" i="3" s="1"/>
  <c r="D827" i="3"/>
  <c r="C827" i="3"/>
  <c r="F826" i="3"/>
  <c r="E826" i="3"/>
  <c r="H826" i="3" s="1"/>
  <c r="D826" i="3"/>
  <c r="C826" i="3"/>
  <c r="J826" i="3" s="1"/>
  <c r="J825" i="3"/>
  <c r="F825" i="3"/>
  <c r="E825" i="3"/>
  <c r="H825" i="3" s="1"/>
  <c r="D825" i="3"/>
  <c r="C825" i="3"/>
  <c r="J824" i="3"/>
  <c r="F824" i="3"/>
  <c r="E824" i="3"/>
  <c r="H824" i="3" s="1"/>
  <c r="D824" i="3"/>
  <c r="C824" i="3"/>
  <c r="F823" i="3"/>
  <c r="E823" i="3"/>
  <c r="H823" i="3" s="1"/>
  <c r="D823" i="3"/>
  <c r="C823" i="3"/>
  <c r="J823" i="3" s="1"/>
  <c r="J822" i="3"/>
  <c r="F822" i="3"/>
  <c r="E822" i="3"/>
  <c r="H822" i="3" s="1"/>
  <c r="D822" i="3"/>
  <c r="C822" i="3"/>
  <c r="J821" i="3"/>
  <c r="F821" i="3"/>
  <c r="E821" i="3"/>
  <c r="H821" i="3" s="1"/>
  <c r="D821" i="3"/>
  <c r="C821" i="3"/>
  <c r="F820" i="3"/>
  <c r="E820" i="3"/>
  <c r="H820" i="3" s="1"/>
  <c r="D820" i="3"/>
  <c r="C820" i="3"/>
  <c r="F819" i="3"/>
  <c r="E819" i="3"/>
  <c r="H819" i="3" s="1"/>
  <c r="D819" i="3"/>
  <c r="C819" i="3"/>
  <c r="J819" i="3" s="1"/>
  <c r="F818" i="3"/>
  <c r="E818" i="3"/>
  <c r="H818" i="3" s="1"/>
  <c r="D818" i="3"/>
  <c r="C818" i="3"/>
  <c r="F817" i="3"/>
  <c r="E817" i="3"/>
  <c r="H817" i="3" s="1"/>
  <c r="D817" i="3"/>
  <c r="C817" i="3"/>
  <c r="F816" i="3"/>
  <c r="E816" i="3"/>
  <c r="H816" i="3" s="1"/>
  <c r="D816" i="3"/>
  <c r="C816" i="3"/>
  <c r="J816" i="3" s="1"/>
  <c r="F815" i="3"/>
  <c r="E815" i="3"/>
  <c r="H815" i="3" s="1"/>
  <c r="D815" i="3"/>
  <c r="C815" i="3"/>
  <c r="J815" i="3" s="1"/>
  <c r="F814" i="3"/>
  <c r="E814" i="3"/>
  <c r="H814" i="3" s="1"/>
  <c r="D814" i="3"/>
  <c r="C814" i="3"/>
  <c r="F813" i="3"/>
  <c r="E813" i="3"/>
  <c r="H813" i="3" s="1"/>
  <c r="D813" i="3"/>
  <c r="C813" i="3"/>
  <c r="J813" i="3" s="1"/>
  <c r="F812" i="3"/>
  <c r="E812" i="3"/>
  <c r="H812" i="3" s="1"/>
  <c r="D812" i="3"/>
  <c r="C812" i="3"/>
  <c r="J812" i="3" s="1"/>
  <c r="F811" i="3"/>
  <c r="E811" i="3"/>
  <c r="H811" i="3" s="1"/>
  <c r="D811" i="3"/>
  <c r="C811" i="3"/>
  <c r="F810" i="3"/>
  <c r="E810" i="3"/>
  <c r="H810" i="3" s="1"/>
  <c r="D810" i="3"/>
  <c r="C810" i="3"/>
  <c r="J810" i="3" s="1"/>
  <c r="H809" i="3"/>
  <c r="F809" i="3"/>
  <c r="E809" i="3"/>
  <c r="D809" i="3"/>
  <c r="C809" i="3"/>
  <c r="J809" i="3" s="1"/>
  <c r="H808" i="3"/>
  <c r="F808" i="3"/>
  <c r="J808" i="3" s="1"/>
  <c r="E808" i="3"/>
  <c r="D808" i="3"/>
  <c r="C808" i="3"/>
  <c r="F807" i="3"/>
  <c r="J807" i="3" s="1"/>
  <c r="E807" i="3"/>
  <c r="H807" i="3" s="1"/>
  <c r="D807" i="3"/>
  <c r="C807" i="3"/>
  <c r="F806" i="3"/>
  <c r="J806" i="3" s="1"/>
  <c r="E806" i="3"/>
  <c r="H806" i="3" s="1"/>
  <c r="D806" i="3"/>
  <c r="C806" i="3"/>
  <c r="H805" i="3"/>
  <c r="F805" i="3"/>
  <c r="J805" i="3" s="1"/>
  <c r="E805" i="3"/>
  <c r="D805" i="3"/>
  <c r="C805" i="3"/>
  <c r="F804" i="3"/>
  <c r="J804" i="3" s="1"/>
  <c r="E804" i="3"/>
  <c r="H804" i="3" s="1"/>
  <c r="D804" i="3"/>
  <c r="C804" i="3"/>
  <c r="F803" i="3"/>
  <c r="J803" i="3" s="1"/>
  <c r="E803" i="3"/>
  <c r="H803" i="3" s="1"/>
  <c r="D803" i="3"/>
  <c r="C803" i="3"/>
  <c r="H802" i="3"/>
  <c r="F802" i="3"/>
  <c r="J802" i="3" s="1"/>
  <c r="E802" i="3"/>
  <c r="D802" i="3"/>
  <c r="C802" i="3"/>
  <c r="F801" i="3"/>
  <c r="J801" i="3" s="1"/>
  <c r="E801" i="3"/>
  <c r="H801" i="3" s="1"/>
  <c r="D801" i="3"/>
  <c r="C801" i="3"/>
  <c r="F800" i="3"/>
  <c r="J800" i="3" s="1"/>
  <c r="E800" i="3"/>
  <c r="H800" i="3" s="1"/>
  <c r="D800" i="3"/>
  <c r="C800" i="3"/>
  <c r="F799" i="3"/>
  <c r="J799" i="3" s="1"/>
  <c r="E799" i="3"/>
  <c r="H799" i="3" s="1"/>
  <c r="D799" i="3"/>
  <c r="C799" i="3"/>
  <c r="H798" i="3"/>
  <c r="F798" i="3"/>
  <c r="J798" i="3" s="1"/>
  <c r="E798" i="3"/>
  <c r="D798" i="3"/>
  <c r="C798" i="3"/>
  <c r="H797" i="3"/>
  <c r="F797" i="3"/>
  <c r="J797" i="3" s="1"/>
  <c r="E797" i="3"/>
  <c r="D797" i="3"/>
  <c r="C797" i="3"/>
  <c r="H796" i="3"/>
  <c r="F796" i="3"/>
  <c r="J796" i="3" s="1"/>
  <c r="E796" i="3"/>
  <c r="D796" i="3"/>
  <c r="C796" i="3"/>
  <c r="F795" i="3"/>
  <c r="J795" i="3" s="1"/>
  <c r="E795" i="3"/>
  <c r="H795" i="3" s="1"/>
  <c r="D795" i="3"/>
  <c r="C795" i="3"/>
  <c r="F794" i="3"/>
  <c r="J794" i="3" s="1"/>
  <c r="E794" i="3"/>
  <c r="H794" i="3" s="1"/>
  <c r="D794" i="3"/>
  <c r="C794" i="3"/>
  <c r="F793" i="3"/>
  <c r="J793" i="3" s="1"/>
  <c r="E793" i="3"/>
  <c r="H793" i="3" s="1"/>
  <c r="D793" i="3"/>
  <c r="C793" i="3"/>
  <c r="F792" i="3"/>
  <c r="J792" i="3" s="1"/>
  <c r="E792" i="3"/>
  <c r="H792" i="3" s="1"/>
  <c r="D792" i="3"/>
  <c r="C792" i="3"/>
  <c r="H791" i="3"/>
  <c r="F791" i="3"/>
  <c r="J791" i="3" s="1"/>
  <c r="E791" i="3"/>
  <c r="D791" i="3"/>
  <c r="C791" i="3"/>
  <c r="H790" i="3"/>
  <c r="F790" i="3"/>
  <c r="J790" i="3" s="1"/>
  <c r="E790" i="3"/>
  <c r="D790" i="3"/>
  <c r="C790" i="3"/>
  <c r="F789" i="3"/>
  <c r="J789" i="3" s="1"/>
  <c r="E789" i="3"/>
  <c r="H789" i="3" s="1"/>
  <c r="D789" i="3"/>
  <c r="C789" i="3"/>
  <c r="F788" i="3"/>
  <c r="J788" i="3" s="1"/>
  <c r="E788" i="3"/>
  <c r="H788" i="3" s="1"/>
  <c r="D788" i="3"/>
  <c r="C788" i="3"/>
  <c r="F787" i="3"/>
  <c r="J787" i="3" s="1"/>
  <c r="E787" i="3"/>
  <c r="H787" i="3" s="1"/>
  <c r="D787" i="3"/>
  <c r="C787" i="3"/>
  <c r="H786" i="3"/>
  <c r="F786" i="3"/>
  <c r="J786" i="3" s="1"/>
  <c r="E786" i="3"/>
  <c r="D786" i="3"/>
  <c r="C786" i="3"/>
  <c r="F785" i="3"/>
  <c r="J785" i="3" s="1"/>
  <c r="E785" i="3"/>
  <c r="H785" i="3" s="1"/>
  <c r="I785" i="3" s="1"/>
  <c r="D785" i="3"/>
  <c r="C785" i="3"/>
  <c r="J784" i="3"/>
  <c r="H784" i="3"/>
  <c r="F784" i="3"/>
  <c r="E784" i="3"/>
  <c r="D784" i="3"/>
  <c r="C784" i="3"/>
  <c r="H783" i="3"/>
  <c r="I783" i="3" s="1"/>
  <c r="F783" i="3"/>
  <c r="J783" i="3" s="1"/>
  <c r="E783" i="3"/>
  <c r="D783" i="3"/>
  <c r="C783" i="3"/>
  <c r="H782" i="3"/>
  <c r="F782" i="3"/>
  <c r="E782" i="3"/>
  <c r="D782" i="3"/>
  <c r="C782" i="3"/>
  <c r="J782" i="3" s="1"/>
  <c r="H781" i="3"/>
  <c r="F781" i="3"/>
  <c r="E781" i="3"/>
  <c r="D781" i="3"/>
  <c r="C781" i="3"/>
  <c r="J781" i="3" s="1"/>
  <c r="H780" i="3"/>
  <c r="F780" i="3"/>
  <c r="E780" i="3"/>
  <c r="D780" i="3"/>
  <c r="C780" i="3"/>
  <c r="J780" i="3" s="1"/>
  <c r="H779" i="3"/>
  <c r="F779" i="3"/>
  <c r="E779" i="3"/>
  <c r="D779" i="3"/>
  <c r="C779" i="3"/>
  <c r="J779" i="3" s="1"/>
  <c r="H778" i="3"/>
  <c r="F778" i="3"/>
  <c r="E778" i="3"/>
  <c r="D778" i="3"/>
  <c r="C778" i="3"/>
  <c r="J778" i="3" s="1"/>
  <c r="H777" i="3"/>
  <c r="F777" i="3"/>
  <c r="E777" i="3"/>
  <c r="D777" i="3"/>
  <c r="C777" i="3"/>
  <c r="H776" i="3"/>
  <c r="F776" i="3"/>
  <c r="E776" i="3"/>
  <c r="D776" i="3"/>
  <c r="C776" i="3"/>
  <c r="J776" i="3" s="1"/>
  <c r="H775" i="3"/>
  <c r="F775" i="3"/>
  <c r="E775" i="3"/>
  <c r="D775" i="3"/>
  <c r="C775" i="3"/>
  <c r="H774" i="3"/>
  <c r="F774" i="3"/>
  <c r="E774" i="3"/>
  <c r="D774" i="3"/>
  <c r="C774" i="3"/>
  <c r="J774" i="3" s="1"/>
  <c r="H773" i="3"/>
  <c r="F773" i="3"/>
  <c r="E773" i="3"/>
  <c r="D773" i="3"/>
  <c r="C773" i="3"/>
  <c r="H772" i="3"/>
  <c r="F772" i="3"/>
  <c r="E772" i="3"/>
  <c r="D772" i="3"/>
  <c r="C772" i="3"/>
  <c r="J772" i="3" s="1"/>
  <c r="H771" i="3"/>
  <c r="F771" i="3"/>
  <c r="E771" i="3"/>
  <c r="D771" i="3"/>
  <c r="C771" i="3"/>
  <c r="H770" i="3"/>
  <c r="F770" i="3"/>
  <c r="E770" i="3"/>
  <c r="D770" i="3"/>
  <c r="C770" i="3"/>
  <c r="J770" i="3" s="1"/>
  <c r="H769" i="3"/>
  <c r="F769" i="3"/>
  <c r="E769" i="3"/>
  <c r="D769" i="3"/>
  <c r="C769" i="3"/>
  <c r="J769" i="3" s="1"/>
  <c r="H768" i="3"/>
  <c r="F768" i="3"/>
  <c r="E768" i="3"/>
  <c r="D768" i="3"/>
  <c r="C768" i="3"/>
  <c r="J768" i="3" s="1"/>
  <c r="H767" i="3"/>
  <c r="F767" i="3"/>
  <c r="E767" i="3"/>
  <c r="D767" i="3"/>
  <c r="C767" i="3"/>
  <c r="J767" i="3" s="1"/>
  <c r="H766" i="3"/>
  <c r="F766" i="3"/>
  <c r="E766" i="3"/>
  <c r="D766" i="3"/>
  <c r="C766" i="3"/>
  <c r="J766" i="3" s="1"/>
  <c r="H765" i="3"/>
  <c r="F765" i="3"/>
  <c r="E765" i="3"/>
  <c r="D765" i="3"/>
  <c r="C765" i="3"/>
  <c r="H764" i="3"/>
  <c r="F764" i="3"/>
  <c r="E764" i="3"/>
  <c r="D764" i="3"/>
  <c r="C764" i="3"/>
  <c r="J764" i="3" s="1"/>
  <c r="H763" i="3"/>
  <c r="F763" i="3"/>
  <c r="E763" i="3"/>
  <c r="D763" i="3"/>
  <c r="C763" i="3"/>
  <c r="H762" i="3"/>
  <c r="F762" i="3"/>
  <c r="E762" i="3"/>
  <c r="D762" i="3"/>
  <c r="C762" i="3"/>
  <c r="J762" i="3" s="1"/>
  <c r="H761" i="3"/>
  <c r="F761" i="3"/>
  <c r="E761" i="3"/>
  <c r="D761" i="3"/>
  <c r="C761" i="3"/>
  <c r="H760" i="3"/>
  <c r="F760" i="3"/>
  <c r="E760" i="3"/>
  <c r="D760" i="3"/>
  <c r="C760" i="3"/>
  <c r="J760" i="3" s="1"/>
  <c r="H759" i="3"/>
  <c r="F759" i="3"/>
  <c r="E759" i="3"/>
  <c r="D759" i="3"/>
  <c r="C759" i="3"/>
  <c r="H758" i="3"/>
  <c r="F758" i="3"/>
  <c r="E758" i="3"/>
  <c r="D758" i="3"/>
  <c r="C758" i="3"/>
  <c r="J758" i="3" s="1"/>
  <c r="H757" i="3"/>
  <c r="F757" i="3"/>
  <c r="E757" i="3"/>
  <c r="D757" i="3"/>
  <c r="C757" i="3"/>
  <c r="J757" i="3" s="1"/>
  <c r="H756" i="3"/>
  <c r="F756" i="3"/>
  <c r="E756" i="3"/>
  <c r="D756" i="3"/>
  <c r="C756" i="3"/>
  <c r="J756" i="3" s="1"/>
  <c r="H755" i="3"/>
  <c r="F755" i="3"/>
  <c r="E755" i="3"/>
  <c r="D755" i="3"/>
  <c r="C755" i="3"/>
  <c r="J755" i="3" s="1"/>
  <c r="H754" i="3"/>
  <c r="F754" i="3"/>
  <c r="E754" i="3"/>
  <c r="D754" i="3"/>
  <c r="C754" i="3"/>
  <c r="J754" i="3" s="1"/>
  <c r="H753" i="3"/>
  <c r="F753" i="3"/>
  <c r="E753" i="3"/>
  <c r="D753" i="3"/>
  <c r="C753" i="3"/>
  <c r="H752" i="3"/>
  <c r="F752" i="3"/>
  <c r="E752" i="3"/>
  <c r="D752" i="3"/>
  <c r="C752" i="3"/>
  <c r="J752" i="3" s="1"/>
  <c r="H751" i="3"/>
  <c r="F751" i="3"/>
  <c r="E751" i="3"/>
  <c r="D751" i="3"/>
  <c r="C751" i="3"/>
  <c r="J750" i="3"/>
  <c r="H750" i="3"/>
  <c r="F750" i="3"/>
  <c r="E750" i="3"/>
  <c r="D750" i="3"/>
  <c r="I750" i="3" s="1"/>
  <c r="C750" i="3"/>
  <c r="J749" i="3"/>
  <c r="H749" i="3"/>
  <c r="F749" i="3"/>
  <c r="E749" i="3"/>
  <c r="D749" i="3"/>
  <c r="C749" i="3"/>
  <c r="H748" i="3"/>
  <c r="F748" i="3"/>
  <c r="J748" i="3" s="1"/>
  <c r="E748" i="3"/>
  <c r="D748" i="3"/>
  <c r="C748" i="3"/>
  <c r="J747" i="3"/>
  <c r="H747" i="3"/>
  <c r="F747" i="3"/>
  <c r="E747" i="3"/>
  <c r="D747" i="3"/>
  <c r="C747" i="3"/>
  <c r="H746" i="3"/>
  <c r="F746" i="3"/>
  <c r="J746" i="3" s="1"/>
  <c r="E746" i="3"/>
  <c r="D746" i="3"/>
  <c r="C746" i="3"/>
  <c r="J745" i="3"/>
  <c r="H745" i="3"/>
  <c r="F745" i="3"/>
  <c r="E745" i="3"/>
  <c r="D745" i="3"/>
  <c r="C745" i="3"/>
  <c r="H744" i="3"/>
  <c r="F744" i="3"/>
  <c r="J744" i="3" s="1"/>
  <c r="E744" i="3"/>
  <c r="D744" i="3"/>
  <c r="C744" i="3"/>
  <c r="J743" i="3"/>
  <c r="H743" i="3"/>
  <c r="F743" i="3"/>
  <c r="E743" i="3"/>
  <c r="D743" i="3"/>
  <c r="C743" i="3"/>
  <c r="H742" i="3"/>
  <c r="F742" i="3"/>
  <c r="J742" i="3" s="1"/>
  <c r="E742" i="3"/>
  <c r="D742" i="3"/>
  <c r="C742" i="3"/>
  <c r="J741" i="3"/>
  <c r="H741" i="3"/>
  <c r="F741" i="3"/>
  <c r="E741" i="3"/>
  <c r="D741" i="3"/>
  <c r="C741" i="3"/>
  <c r="H740" i="3"/>
  <c r="F740" i="3"/>
  <c r="J740" i="3" s="1"/>
  <c r="E740" i="3"/>
  <c r="D740" i="3"/>
  <c r="C740" i="3"/>
  <c r="J739" i="3"/>
  <c r="H739" i="3"/>
  <c r="F739" i="3"/>
  <c r="E739" i="3"/>
  <c r="D739" i="3"/>
  <c r="C739" i="3"/>
  <c r="H738" i="3"/>
  <c r="F738" i="3"/>
  <c r="J738" i="3" s="1"/>
  <c r="E738" i="3"/>
  <c r="D738" i="3"/>
  <c r="C738" i="3"/>
  <c r="J737" i="3"/>
  <c r="H737" i="3"/>
  <c r="F737" i="3"/>
  <c r="E737" i="3"/>
  <c r="D737" i="3"/>
  <c r="C737" i="3"/>
  <c r="H736" i="3"/>
  <c r="F736" i="3"/>
  <c r="J736" i="3" s="1"/>
  <c r="E736" i="3"/>
  <c r="D736" i="3"/>
  <c r="C736" i="3"/>
  <c r="J735" i="3"/>
  <c r="H735" i="3"/>
  <c r="F735" i="3"/>
  <c r="E735" i="3"/>
  <c r="D735" i="3"/>
  <c r="C735" i="3"/>
  <c r="H734" i="3"/>
  <c r="F734" i="3"/>
  <c r="J734" i="3" s="1"/>
  <c r="E734" i="3"/>
  <c r="D734" i="3"/>
  <c r="C734" i="3"/>
  <c r="J733" i="3"/>
  <c r="H733" i="3"/>
  <c r="F733" i="3"/>
  <c r="E733" i="3"/>
  <c r="D733" i="3"/>
  <c r="C733" i="3"/>
  <c r="H732" i="3"/>
  <c r="F732" i="3"/>
  <c r="J732" i="3" s="1"/>
  <c r="E732" i="3"/>
  <c r="D732" i="3"/>
  <c r="C732" i="3"/>
  <c r="J731" i="3"/>
  <c r="H731" i="3"/>
  <c r="F731" i="3"/>
  <c r="E731" i="3"/>
  <c r="D731" i="3"/>
  <c r="C731" i="3"/>
  <c r="H730" i="3"/>
  <c r="F730" i="3"/>
  <c r="J730" i="3" s="1"/>
  <c r="E730" i="3"/>
  <c r="D730" i="3"/>
  <c r="C730" i="3"/>
  <c r="J729" i="3"/>
  <c r="H729" i="3"/>
  <c r="F729" i="3"/>
  <c r="E729" i="3"/>
  <c r="D729" i="3"/>
  <c r="C729" i="3"/>
  <c r="H728" i="3"/>
  <c r="F728" i="3"/>
  <c r="J728" i="3" s="1"/>
  <c r="E728" i="3"/>
  <c r="D728" i="3"/>
  <c r="C728" i="3"/>
  <c r="J727" i="3"/>
  <c r="H727" i="3"/>
  <c r="F727" i="3"/>
  <c r="E727" i="3"/>
  <c r="D727" i="3"/>
  <c r="C727" i="3"/>
  <c r="H726" i="3"/>
  <c r="F726" i="3"/>
  <c r="J726" i="3" s="1"/>
  <c r="E726" i="3"/>
  <c r="D726" i="3"/>
  <c r="C726" i="3"/>
  <c r="J725" i="3"/>
  <c r="H725" i="3"/>
  <c r="F725" i="3"/>
  <c r="E725" i="3"/>
  <c r="D725" i="3"/>
  <c r="C725" i="3"/>
  <c r="H724" i="3"/>
  <c r="F724" i="3"/>
  <c r="J724" i="3" s="1"/>
  <c r="E724" i="3"/>
  <c r="D724" i="3"/>
  <c r="C724" i="3"/>
  <c r="J723" i="3"/>
  <c r="H723" i="3"/>
  <c r="F723" i="3"/>
  <c r="E723" i="3"/>
  <c r="D723" i="3"/>
  <c r="C723" i="3"/>
  <c r="H722" i="3"/>
  <c r="F722" i="3"/>
  <c r="J722" i="3" s="1"/>
  <c r="E722" i="3"/>
  <c r="D722" i="3"/>
  <c r="C722" i="3"/>
  <c r="J721" i="3"/>
  <c r="H721" i="3"/>
  <c r="F721" i="3"/>
  <c r="E721" i="3"/>
  <c r="D721" i="3"/>
  <c r="C721" i="3"/>
  <c r="H720" i="3"/>
  <c r="F720" i="3"/>
  <c r="J720" i="3" s="1"/>
  <c r="E720" i="3"/>
  <c r="D720" i="3"/>
  <c r="C720" i="3"/>
  <c r="J719" i="3"/>
  <c r="H719" i="3"/>
  <c r="F719" i="3"/>
  <c r="E719" i="3"/>
  <c r="D719" i="3"/>
  <c r="C719" i="3"/>
  <c r="F718" i="3"/>
  <c r="J718" i="3" s="1"/>
  <c r="E718" i="3"/>
  <c r="H718" i="3" s="1"/>
  <c r="D718" i="3"/>
  <c r="C718" i="3"/>
  <c r="H717" i="3"/>
  <c r="F717" i="3"/>
  <c r="E717" i="3"/>
  <c r="D717" i="3"/>
  <c r="C717" i="3"/>
  <c r="J717" i="3" s="1"/>
  <c r="J716" i="3"/>
  <c r="F716" i="3"/>
  <c r="E716" i="3"/>
  <c r="H716" i="3" s="1"/>
  <c r="D716" i="3"/>
  <c r="C716" i="3"/>
  <c r="F715" i="3"/>
  <c r="E715" i="3"/>
  <c r="H715" i="3" s="1"/>
  <c r="D715" i="3"/>
  <c r="C715" i="3"/>
  <c r="J715" i="3" s="1"/>
  <c r="F714" i="3"/>
  <c r="J714" i="3" s="1"/>
  <c r="E714" i="3"/>
  <c r="H714" i="3" s="1"/>
  <c r="D714" i="3"/>
  <c r="C714" i="3"/>
  <c r="F713" i="3"/>
  <c r="E713" i="3"/>
  <c r="H713" i="3" s="1"/>
  <c r="D713" i="3"/>
  <c r="C713" i="3"/>
  <c r="J713" i="3" s="1"/>
  <c r="F712" i="3"/>
  <c r="J712" i="3" s="1"/>
  <c r="E712" i="3"/>
  <c r="H712" i="3" s="1"/>
  <c r="D712" i="3"/>
  <c r="C712" i="3"/>
  <c r="H711" i="3"/>
  <c r="F711" i="3"/>
  <c r="E711" i="3"/>
  <c r="D711" i="3"/>
  <c r="C711" i="3"/>
  <c r="J711" i="3" s="1"/>
  <c r="F710" i="3"/>
  <c r="J710" i="3" s="1"/>
  <c r="E710" i="3"/>
  <c r="H710" i="3" s="1"/>
  <c r="D710" i="3"/>
  <c r="C710" i="3"/>
  <c r="F709" i="3"/>
  <c r="E709" i="3"/>
  <c r="H709" i="3" s="1"/>
  <c r="D709" i="3"/>
  <c r="C709" i="3"/>
  <c r="J709" i="3" s="1"/>
  <c r="J708" i="3"/>
  <c r="F708" i="3"/>
  <c r="E708" i="3"/>
  <c r="H708" i="3" s="1"/>
  <c r="D708" i="3"/>
  <c r="C708" i="3"/>
  <c r="H707" i="3"/>
  <c r="F707" i="3"/>
  <c r="E707" i="3"/>
  <c r="D707" i="3"/>
  <c r="C707" i="3"/>
  <c r="J707" i="3" s="1"/>
  <c r="F706" i="3"/>
  <c r="J706" i="3" s="1"/>
  <c r="E706" i="3"/>
  <c r="H706" i="3" s="1"/>
  <c r="D706" i="3"/>
  <c r="C706" i="3"/>
  <c r="H705" i="3"/>
  <c r="F705" i="3"/>
  <c r="E705" i="3"/>
  <c r="D705" i="3"/>
  <c r="C705" i="3"/>
  <c r="J705" i="3" s="1"/>
  <c r="J704" i="3"/>
  <c r="F704" i="3"/>
  <c r="E704" i="3"/>
  <c r="H704" i="3" s="1"/>
  <c r="D704" i="3"/>
  <c r="C704" i="3"/>
  <c r="F703" i="3"/>
  <c r="E703" i="3"/>
  <c r="H703" i="3" s="1"/>
  <c r="D703" i="3"/>
  <c r="C703" i="3"/>
  <c r="J703" i="3" s="1"/>
  <c r="F702" i="3"/>
  <c r="J702" i="3" s="1"/>
  <c r="E702" i="3"/>
  <c r="H702" i="3" s="1"/>
  <c r="D702" i="3"/>
  <c r="C702" i="3"/>
  <c r="F701" i="3"/>
  <c r="E701" i="3"/>
  <c r="H701" i="3" s="1"/>
  <c r="D701" i="3"/>
  <c r="C701" i="3"/>
  <c r="J701" i="3" s="1"/>
  <c r="F700" i="3"/>
  <c r="J700" i="3" s="1"/>
  <c r="E700" i="3"/>
  <c r="H700" i="3" s="1"/>
  <c r="D700" i="3"/>
  <c r="C700" i="3"/>
  <c r="F699" i="3"/>
  <c r="E699" i="3"/>
  <c r="H699" i="3" s="1"/>
  <c r="D699" i="3"/>
  <c r="C699" i="3"/>
  <c r="J699" i="3" s="1"/>
  <c r="F698" i="3"/>
  <c r="E698" i="3"/>
  <c r="H698" i="3" s="1"/>
  <c r="D698" i="3"/>
  <c r="C698" i="3"/>
  <c r="J698" i="3" s="1"/>
  <c r="F697" i="3"/>
  <c r="E697" i="3"/>
  <c r="H697" i="3" s="1"/>
  <c r="D697" i="3"/>
  <c r="C697" i="3"/>
  <c r="J697" i="3" s="1"/>
  <c r="H696" i="3"/>
  <c r="F696" i="3"/>
  <c r="E696" i="3"/>
  <c r="D696" i="3"/>
  <c r="C696" i="3"/>
  <c r="J696" i="3" s="1"/>
  <c r="F695" i="3"/>
  <c r="E695" i="3"/>
  <c r="H695" i="3" s="1"/>
  <c r="D695" i="3"/>
  <c r="C695" i="3"/>
  <c r="J695" i="3" s="1"/>
  <c r="F694" i="3"/>
  <c r="E694" i="3"/>
  <c r="H694" i="3" s="1"/>
  <c r="D694" i="3"/>
  <c r="C694" i="3"/>
  <c r="J694" i="3" s="1"/>
  <c r="J693" i="3"/>
  <c r="F693" i="3"/>
  <c r="E693" i="3"/>
  <c r="H693" i="3" s="1"/>
  <c r="D693" i="3"/>
  <c r="C693" i="3"/>
  <c r="J692" i="3"/>
  <c r="H692" i="3"/>
  <c r="F692" i="3"/>
  <c r="E692" i="3"/>
  <c r="D692" i="3"/>
  <c r="C692" i="3"/>
  <c r="J691" i="3"/>
  <c r="F691" i="3"/>
  <c r="E691" i="3"/>
  <c r="H691" i="3" s="1"/>
  <c r="D691" i="3"/>
  <c r="C691" i="3"/>
  <c r="H690" i="3"/>
  <c r="F690" i="3"/>
  <c r="E690" i="3"/>
  <c r="D690" i="3"/>
  <c r="C690" i="3"/>
  <c r="J690" i="3" s="1"/>
  <c r="F689" i="3"/>
  <c r="E689" i="3"/>
  <c r="H689" i="3" s="1"/>
  <c r="D689" i="3"/>
  <c r="C689" i="3"/>
  <c r="H688" i="3"/>
  <c r="F688" i="3"/>
  <c r="E688" i="3"/>
  <c r="D688" i="3"/>
  <c r="C688" i="3"/>
  <c r="J688" i="3" s="1"/>
  <c r="F687" i="3"/>
  <c r="E687" i="3"/>
  <c r="H687" i="3" s="1"/>
  <c r="D687" i="3"/>
  <c r="C687" i="3"/>
  <c r="J687" i="3" s="1"/>
  <c r="F686" i="3"/>
  <c r="E686" i="3"/>
  <c r="H686" i="3" s="1"/>
  <c r="D686" i="3"/>
  <c r="C686" i="3"/>
  <c r="F685" i="3"/>
  <c r="E685" i="3"/>
  <c r="H685" i="3" s="1"/>
  <c r="D685" i="3"/>
  <c r="C685" i="3"/>
  <c r="F684" i="3"/>
  <c r="E684" i="3"/>
  <c r="H684" i="3" s="1"/>
  <c r="D684" i="3"/>
  <c r="C684" i="3"/>
  <c r="J684" i="3" s="1"/>
  <c r="F683" i="3"/>
  <c r="E683" i="3"/>
  <c r="H683" i="3" s="1"/>
  <c r="D683" i="3"/>
  <c r="C683" i="3"/>
  <c r="J683" i="3" s="1"/>
  <c r="H682" i="3"/>
  <c r="F682" i="3"/>
  <c r="E682" i="3"/>
  <c r="D682" i="3"/>
  <c r="C682" i="3"/>
  <c r="J682" i="3" s="1"/>
  <c r="J681" i="3"/>
  <c r="F681" i="3"/>
  <c r="E681" i="3"/>
  <c r="H681" i="3" s="1"/>
  <c r="D681" i="3"/>
  <c r="C681" i="3"/>
  <c r="J680" i="3"/>
  <c r="H680" i="3"/>
  <c r="F680" i="3"/>
  <c r="E680" i="3"/>
  <c r="D680" i="3"/>
  <c r="C680" i="3"/>
  <c r="F679" i="3"/>
  <c r="J679" i="3" s="1"/>
  <c r="E679" i="3"/>
  <c r="H679" i="3" s="1"/>
  <c r="D679" i="3"/>
  <c r="C679" i="3"/>
  <c r="H678" i="3"/>
  <c r="F678" i="3"/>
  <c r="E678" i="3"/>
  <c r="D678" i="3"/>
  <c r="C678" i="3"/>
  <c r="J677" i="3"/>
  <c r="F677" i="3"/>
  <c r="E677" i="3"/>
  <c r="H677" i="3" s="1"/>
  <c r="D677" i="3"/>
  <c r="C677" i="3"/>
  <c r="J676" i="3"/>
  <c r="F676" i="3"/>
  <c r="E676" i="3"/>
  <c r="H676" i="3" s="1"/>
  <c r="D676" i="3"/>
  <c r="C676" i="3"/>
  <c r="F675" i="3"/>
  <c r="E675" i="3"/>
  <c r="H675" i="3" s="1"/>
  <c r="D675" i="3"/>
  <c r="C675" i="3"/>
  <c r="J675" i="3" s="1"/>
  <c r="J674" i="3"/>
  <c r="H674" i="3"/>
  <c r="F674" i="3"/>
  <c r="E674" i="3"/>
  <c r="D674" i="3"/>
  <c r="C674" i="3"/>
  <c r="F673" i="3"/>
  <c r="E673" i="3"/>
  <c r="H673" i="3" s="1"/>
  <c r="D673" i="3"/>
  <c r="C673" i="3"/>
  <c r="J673" i="3" s="1"/>
  <c r="H672" i="3"/>
  <c r="F672" i="3"/>
  <c r="J672" i="3" s="1"/>
  <c r="E672" i="3"/>
  <c r="D672" i="3"/>
  <c r="C672" i="3"/>
  <c r="J671" i="3"/>
  <c r="F671" i="3"/>
  <c r="E671" i="3"/>
  <c r="H671" i="3" s="1"/>
  <c r="D671" i="3"/>
  <c r="C671" i="3"/>
  <c r="F670" i="3"/>
  <c r="E670" i="3"/>
  <c r="H670" i="3" s="1"/>
  <c r="D670" i="3"/>
  <c r="C670" i="3"/>
  <c r="F669" i="3"/>
  <c r="E669" i="3"/>
  <c r="H669" i="3" s="1"/>
  <c r="D669" i="3"/>
  <c r="C669" i="3"/>
  <c r="J669" i="3" s="1"/>
  <c r="F668" i="3"/>
  <c r="J668" i="3" s="1"/>
  <c r="E668" i="3"/>
  <c r="H668" i="3" s="1"/>
  <c r="D668" i="3"/>
  <c r="C668" i="3"/>
  <c r="J667" i="3"/>
  <c r="F667" i="3"/>
  <c r="E667" i="3"/>
  <c r="H667" i="3" s="1"/>
  <c r="D667" i="3"/>
  <c r="C667" i="3"/>
  <c r="F666" i="3"/>
  <c r="E666" i="3"/>
  <c r="H666" i="3" s="1"/>
  <c r="D666" i="3"/>
  <c r="C666" i="3"/>
  <c r="J666" i="3" s="1"/>
  <c r="F665" i="3"/>
  <c r="E665" i="3"/>
  <c r="H665" i="3" s="1"/>
  <c r="D665" i="3"/>
  <c r="C665" i="3"/>
  <c r="J665" i="3" s="1"/>
  <c r="J664" i="3"/>
  <c r="H664" i="3"/>
  <c r="F664" i="3"/>
  <c r="E664" i="3"/>
  <c r="D664" i="3"/>
  <c r="C664" i="3"/>
  <c r="F663" i="3"/>
  <c r="J663" i="3" s="1"/>
  <c r="E663" i="3"/>
  <c r="H663" i="3" s="1"/>
  <c r="D663" i="3"/>
  <c r="C663" i="3"/>
  <c r="H662" i="3"/>
  <c r="F662" i="3"/>
  <c r="E662" i="3"/>
  <c r="D662" i="3"/>
  <c r="C662" i="3"/>
  <c r="J662" i="3" s="1"/>
  <c r="F661" i="3"/>
  <c r="E661" i="3"/>
  <c r="H661" i="3" s="1"/>
  <c r="D661" i="3"/>
  <c r="C661" i="3"/>
  <c r="J661" i="3" s="1"/>
  <c r="I660" i="3"/>
  <c r="H660" i="3"/>
  <c r="F660" i="3"/>
  <c r="E660" i="3"/>
  <c r="D660" i="3"/>
  <c r="C660" i="3"/>
  <c r="J660" i="3" s="1"/>
  <c r="F659" i="3"/>
  <c r="E659" i="3"/>
  <c r="H659" i="3" s="1"/>
  <c r="D659" i="3"/>
  <c r="C659" i="3"/>
  <c r="H658" i="3"/>
  <c r="F658" i="3"/>
  <c r="E658" i="3"/>
  <c r="D658" i="3"/>
  <c r="C658" i="3"/>
  <c r="J658" i="3" s="1"/>
  <c r="F657" i="3"/>
  <c r="E657" i="3"/>
  <c r="H657" i="3" s="1"/>
  <c r="D657" i="3"/>
  <c r="C657" i="3"/>
  <c r="J656" i="3"/>
  <c r="F656" i="3"/>
  <c r="E656" i="3"/>
  <c r="H656" i="3" s="1"/>
  <c r="D656" i="3"/>
  <c r="C656" i="3"/>
  <c r="F655" i="3"/>
  <c r="E655" i="3"/>
  <c r="H655" i="3" s="1"/>
  <c r="D655" i="3"/>
  <c r="C655" i="3"/>
  <c r="J655" i="3" s="1"/>
  <c r="H654" i="3"/>
  <c r="F654" i="3"/>
  <c r="E654" i="3"/>
  <c r="D654" i="3"/>
  <c r="C654" i="3"/>
  <c r="J654" i="3" s="1"/>
  <c r="F653" i="3"/>
  <c r="E653" i="3"/>
  <c r="H653" i="3" s="1"/>
  <c r="D653" i="3"/>
  <c r="C653" i="3"/>
  <c r="J653" i="3" s="1"/>
  <c r="J652" i="3"/>
  <c r="H652" i="3"/>
  <c r="F652" i="3"/>
  <c r="E652" i="3"/>
  <c r="D652" i="3"/>
  <c r="C652" i="3"/>
  <c r="H651" i="3"/>
  <c r="F651" i="3"/>
  <c r="E651" i="3"/>
  <c r="D651" i="3"/>
  <c r="C651" i="3"/>
  <c r="J651" i="3" s="1"/>
  <c r="J650" i="3"/>
  <c r="H650" i="3"/>
  <c r="F650" i="3"/>
  <c r="E650" i="3"/>
  <c r="D650" i="3"/>
  <c r="C650" i="3"/>
  <c r="H649" i="3"/>
  <c r="F649" i="3"/>
  <c r="E649" i="3"/>
  <c r="D649" i="3"/>
  <c r="C649" i="3"/>
  <c r="J649" i="3" s="1"/>
  <c r="H648" i="3"/>
  <c r="F648" i="3"/>
  <c r="J648" i="3" s="1"/>
  <c r="E648" i="3"/>
  <c r="D648" i="3"/>
  <c r="C648" i="3"/>
  <c r="H647" i="3"/>
  <c r="F647" i="3"/>
  <c r="E647" i="3"/>
  <c r="D647" i="3"/>
  <c r="C647" i="3"/>
  <c r="F646" i="3"/>
  <c r="E646" i="3"/>
  <c r="H646" i="3" s="1"/>
  <c r="D646" i="3"/>
  <c r="C646" i="3"/>
  <c r="J646" i="3" s="1"/>
  <c r="F645" i="3"/>
  <c r="E645" i="3"/>
  <c r="H645" i="3" s="1"/>
  <c r="D645" i="3"/>
  <c r="C645" i="3"/>
  <c r="F644" i="3"/>
  <c r="E644" i="3"/>
  <c r="H644" i="3" s="1"/>
  <c r="D644" i="3"/>
  <c r="C644" i="3"/>
  <c r="J644" i="3" s="1"/>
  <c r="H643" i="3"/>
  <c r="F643" i="3"/>
  <c r="E643" i="3"/>
  <c r="D643" i="3"/>
  <c r="C643" i="3"/>
  <c r="J643" i="3" s="1"/>
  <c r="F642" i="3"/>
  <c r="E642" i="3"/>
  <c r="H642" i="3" s="1"/>
  <c r="D642" i="3"/>
  <c r="C642" i="3"/>
  <c r="J642" i="3" s="1"/>
  <c r="H641" i="3"/>
  <c r="F641" i="3"/>
  <c r="E641" i="3"/>
  <c r="D641" i="3"/>
  <c r="C641" i="3"/>
  <c r="F640" i="3"/>
  <c r="E640" i="3"/>
  <c r="H640" i="3" s="1"/>
  <c r="D640" i="3"/>
  <c r="C640" i="3"/>
  <c r="J640" i="3" s="1"/>
  <c r="H639" i="3"/>
  <c r="F639" i="3"/>
  <c r="E639" i="3"/>
  <c r="D639" i="3"/>
  <c r="C639" i="3"/>
  <c r="J639" i="3" s="1"/>
  <c r="J638" i="3"/>
  <c r="H638" i="3"/>
  <c r="F638" i="3"/>
  <c r="E638" i="3"/>
  <c r="D638" i="3"/>
  <c r="C638" i="3"/>
  <c r="H637" i="3"/>
  <c r="F637" i="3"/>
  <c r="E637" i="3"/>
  <c r="D637" i="3"/>
  <c r="C637" i="3"/>
  <c r="H636" i="3"/>
  <c r="F636" i="3"/>
  <c r="E636" i="3"/>
  <c r="D636" i="3"/>
  <c r="C636" i="3"/>
  <c r="J636" i="3" s="1"/>
  <c r="F635" i="3"/>
  <c r="E635" i="3"/>
  <c r="H635" i="3" s="1"/>
  <c r="D635" i="3"/>
  <c r="C635" i="3"/>
  <c r="H634" i="3"/>
  <c r="F634" i="3"/>
  <c r="J634" i="3" s="1"/>
  <c r="E634" i="3"/>
  <c r="D634" i="3"/>
  <c r="C634" i="3"/>
  <c r="F633" i="3"/>
  <c r="E633" i="3"/>
  <c r="H633" i="3" s="1"/>
  <c r="D633" i="3"/>
  <c r="C633" i="3"/>
  <c r="J632" i="3"/>
  <c r="F632" i="3"/>
  <c r="E632" i="3"/>
  <c r="H632" i="3" s="1"/>
  <c r="D632" i="3"/>
  <c r="C632" i="3"/>
  <c r="F631" i="3"/>
  <c r="E631" i="3"/>
  <c r="H631" i="3" s="1"/>
  <c r="D631" i="3"/>
  <c r="C631" i="3"/>
  <c r="J631" i="3" s="1"/>
  <c r="H630" i="3"/>
  <c r="F630" i="3"/>
  <c r="E630" i="3"/>
  <c r="D630" i="3"/>
  <c r="C630" i="3"/>
  <c r="J630" i="3" s="1"/>
  <c r="F629" i="3"/>
  <c r="E629" i="3"/>
  <c r="H629" i="3" s="1"/>
  <c r="D629" i="3"/>
  <c r="C629" i="3"/>
  <c r="J629" i="3" s="1"/>
  <c r="J628" i="3"/>
  <c r="F628" i="3"/>
  <c r="E628" i="3"/>
  <c r="H628" i="3" s="1"/>
  <c r="D628" i="3"/>
  <c r="C628" i="3"/>
  <c r="H627" i="3"/>
  <c r="F627" i="3"/>
  <c r="E627" i="3"/>
  <c r="D627" i="3"/>
  <c r="C627" i="3"/>
  <c r="J627" i="3" s="1"/>
  <c r="J626" i="3"/>
  <c r="H626" i="3"/>
  <c r="F626" i="3"/>
  <c r="E626" i="3"/>
  <c r="D626" i="3"/>
  <c r="C626" i="3"/>
  <c r="H625" i="3"/>
  <c r="F625" i="3"/>
  <c r="E625" i="3"/>
  <c r="D625" i="3"/>
  <c r="C625" i="3"/>
  <c r="J625" i="3" s="1"/>
  <c r="H624" i="3"/>
  <c r="F624" i="3"/>
  <c r="J624" i="3" s="1"/>
  <c r="E624" i="3"/>
  <c r="D624" i="3"/>
  <c r="C624" i="3"/>
  <c r="H623" i="3"/>
  <c r="F623" i="3"/>
  <c r="E623" i="3"/>
  <c r="D623" i="3"/>
  <c r="C623" i="3"/>
  <c r="F622" i="3"/>
  <c r="E622" i="3"/>
  <c r="H622" i="3" s="1"/>
  <c r="D622" i="3"/>
  <c r="C622" i="3"/>
  <c r="F621" i="3"/>
  <c r="E621" i="3"/>
  <c r="H621" i="3" s="1"/>
  <c r="D621" i="3"/>
  <c r="C621" i="3"/>
  <c r="F620" i="3"/>
  <c r="E620" i="3"/>
  <c r="H620" i="3" s="1"/>
  <c r="D620" i="3"/>
  <c r="C620" i="3"/>
  <c r="J620" i="3" s="1"/>
  <c r="H619" i="3"/>
  <c r="F619" i="3"/>
  <c r="E619" i="3"/>
  <c r="D619" i="3"/>
  <c r="C619" i="3"/>
  <c r="J619" i="3" s="1"/>
  <c r="F618" i="3"/>
  <c r="E618" i="3"/>
  <c r="H618" i="3" s="1"/>
  <c r="D618" i="3"/>
  <c r="C618" i="3"/>
  <c r="J618" i="3" s="1"/>
  <c r="F617" i="3"/>
  <c r="E617" i="3"/>
  <c r="H617" i="3" s="1"/>
  <c r="D617" i="3"/>
  <c r="C617" i="3"/>
  <c r="F616" i="3"/>
  <c r="E616" i="3"/>
  <c r="H616" i="3" s="1"/>
  <c r="D616" i="3"/>
  <c r="C616" i="3"/>
  <c r="J616" i="3" s="1"/>
  <c r="F615" i="3"/>
  <c r="E615" i="3"/>
  <c r="H615" i="3" s="1"/>
  <c r="D615" i="3"/>
  <c r="C615" i="3"/>
  <c r="J615" i="3" s="1"/>
  <c r="J614" i="3"/>
  <c r="H614" i="3"/>
  <c r="F614" i="3"/>
  <c r="E614" i="3"/>
  <c r="D614" i="3"/>
  <c r="C614" i="3"/>
  <c r="H613" i="3"/>
  <c r="F613" i="3"/>
  <c r="E613" i="3"/>
  <c r="D613" i="3"/>
  <c r="C613" i="3"/>
  <c r="H612" i="3"/>
  <c r="F612" i="3"/>
  <c r="E612" i="3"/>
  <c r="D612" i="3"/>
  <c r="C612" i="3"/>
  <c r="J612" i="3" s="1"/>
  <c r="F611" i="3"/>
  <c r="E611" i="3"/>
  <c r="H611" i="3" s="1"/>
  <c r="D611" i="3"/>
  <c r="C611" i="3"/>
  <c r="J611" i="3" s="1"/>
  <c r="H610" i="3"/>
  <c r="F610" i="3"/>
  <c r="J610" i="3" s="1"/>
  <c r="E610" i="3"/>
  <c r="D610" i="3"/>
  <c r="C610" i="3"/>
  <c r="F609" i="3"/>
  <c r="E609" i="3"/>
  <c r="H609" i="3" s="1"/>
  <c r="D609" i="3"/>
  <c r="C609" i="3"/>
  <c r="J608" i="3"/>
  <c r="F608" i="3"/>
  <c r="E608" i="3"/>
  <c r="H608" i="3" s="1"/>
  <c r="D608" i="3"/>
  <c r="C608" i="3"/>
  <c r="F607" i="3"/>
  <c r="E607" i="3"/>
  <c r="H607" i="3" s="1"/>
  <c r="D607" i="3"/>
  <c r="C607" i="3"/>
  <c r="J607" i="3" s="1"/>
  <c r="H606" i="3"/>
  <c r="F606" i="3"/>
  <c r="E606" i="3"/>
  <c r="D606" i="3"/>
  <c r="C606" i="3"/>
  <c r="J606" i="3" s="1"/>
  <c r="F605" i="3"/>
  <c r="E605" i="3"/>
  <c r="H605" i="3" s="1"/>
  <c r="D605" i="3"/>
  <c r="C605" i="3"/>
  <c r="J605" i="3" s="1"/>
  <c r="F604" i="3"/>
  <c r="J604" i="3" s="1"/>
  <c r="E604" i="3"/>
  <c r="H604" i="3" s="1"/>
  <c r="D604" i="3"/>
  <c r="C604" i="3"/>
  <c r="H603" i="3"/>
  <c r="F603" i="3"/>
  <c r="E603" i="3"/>
  <c r="D603" i="3"/>
  <c r="C603" i="3"/>
  <c r="J603" i="3" s="1"/>
  <c r="J602" i="3"/>
  <c r="F602" i="3"/>
  <c r="E602" i="3"/>
  <c r="H602" i="3" s="1"/>
  <c r="D602" i="3"/>
  <c r="C602" i="3"/>
  <c r="H601" i="3"/>
  <c r="F601" i="3"/>
  <c r="E601" i="3"/>
  <c r="D601" i="3"/>
  <c r="C601" i="3"/>
  <c r="J601" i="3" s="1"/>
  <c r="H600" i="3"/>
  <c r="F600" i="3"/>
  <c r="J600" i="3" s="1"/>
  <c r="E600" i="3"/>
  <c r="D600" i="3"/>
  <c r="C600" i="3"/>
  <c r="H599" i="3"/>
  <c r="F599" i="3"/>
  <c r="E599" i="3"/>
  <c r="D599" i="3"/>
  <c r="C599" i="3"/>
  <c r="F598" i="3"/>
  <c r="E598" i="3"/>
  <c r="H598" i="3" s="1"/>
  <c r="D598" i="3"/>
  <c r="C598" i="3"/>
  <c r="J598" i="3" s="1"/>
  <c r="F597" i="3"/>
  <c r="E597" i="3"/>
  <c r="H597" i="3" s="1"/>
  <c r="D597" i="3"/>
  <c r="C597" i="3"/>
  <c r="F596" i="3"/>
  <c r="E596" i="3"/>
  <c r="H596" i="3" s="1"/>
  <c r="D596" i="3"/>
  <c r="C596" i="3"/>
  <c r="J596" i="3" s="1"/>
  <c r="H595" i="3"/>
  <c r="F595" i="3"/>
  <c r="E595" i="3"/>
  <c r="D595" i="3"/>
  <c r="C595" i="3"/>
  <c r="J595" i="3" s="1"/>
  <c r="F594" i="3"/>
  <c r="E594" i="3"/>
  <c r="H594" i="3" s="1"/>
  <c r="D594" i="3"/>
  <c r="C594" i="3"/>
  <c r="J594" i="3" s="1"/>
  <c r="F593" i="3"/>
  <c r="E593" i="3"/>
  <c r="H593" i="3" s="1"/>
  <c r="D593" i="3"/>
  <c r="C593" i="3"/>
  <c r="F592" i="3"/>
  <c r="E592" i="3"/>
  <c r="H592" i="3" s="1"/>
  <c r="D592" i="3"/>
  <c r="C592" i="3"/>
  <c r="J592" i="3" s="1"/>
  <c r="F591" i="3"/>
  <c r="E591" i="3"/>
  <c r="H591" i="3" s="1"/>
  <c r="D591" i="3"/>
  <c r="C591" i="3"/>
  <c r="J591" i="3" s="1"/>
  <c r="J590" i="3"/>
  <c r="H590" i="3"/>
  <c r="F590" i="3"/>
  <c r="E590" i="3"/>
  <c r="D590" i="3"/>
  <c r="C590" i="3"/>
  <c r="H589" i="3"/>
  <c r="F589" i="3"/>
  <c r="E589" i="3"/>
  <c r="D589" i="3"/>
  <c r="C589" i="3"/>
  <c r="H588" i="3"/>
  <c r="F588" i="3"/>
  <c r="E588" i="3"/>
  <c r="D588" i="3"/>
  <c r="C588" i="3"/>
  <c r="J588" i="3" s="1"/>
  <c r="F587" i="3"/>
  <c r="E587" i="3"/>
  <c r="H587" i="3" s="1"/>
  <c r="D587" i="3"/>
  <c r="C587" i="3"/>
  <c r="J587" i="3" s="1"/>
  <c r="I586" i="3"/>
  <c r="H586" i="3"/>
  <c r="F586" i="3"/>
  <c r="J586" i="3" s="1"/>
  <c r="E586" i="3"/>
  <c r="D586" i="3"/>
  <c r="C586" i="3"/>
  <c r="H585" i="3"/>
  <c r="F585" i="3"/>
  <c r="J585" i="3" s="1"/>
  <c r="E585" i="3"/>
  <c r="D585" i="3"/>
  <c r="C585" i="3"/>
  <c r="J584" i="3"/>
  <c r="H584" i="3"/>
  <c r="F584" i="3"/>
  <c r="E584" i="3"/>
  <c r="D584" i="3"/>
  <c r="C584" i="3"/>
  <c r="H583" i="3"/>
  <c r="F583" i="3"/>
  <c r="J583" i="3" s="1"/>
  <c r="E583" i="3"/>
  <c r="D583" i="3"/>
  <c r="C583" i="3"/>
  <c r="J582" i="3"/>
  <c r="H582" i="3"/>
  <c r="F582" i="3"/>
  <c r="E582" i="3"/>
  <c r="D582" i="3"/>
  <c r="C582" i="3"/>
  <c r="H581" i="3"/>
  <c r="F581" i="3"/>
  <c r="J581" i="3" s="1"/>
  <c r="E581" i="3"/>
  <c r="D581" i="3"/>
  <c r="C581" i="3"/>
  <c r="J580" i="3"/>
  <c r="H580" i="3"/>
  <c r="F580" i="3"/>
  <c r="E580" i="3"/>
  <c r="D580" i="3"/>
  <c r="C580" i="3"/>
  <c r="H579" i="3"/>
  <c r="F579" i="3"/>
  <c r="J579" i="3" s="1"/>
  <c r="E579" i="3"/>
  <c r="D579" i="3"/>
  <c r="C579" i="3"/>
  <c r="J578" i="3"/>
  <c r="H578" i="3"/>
  <c r="F578" i="3"/>
  <c r="E578" i="3"/>
  <c r="D578" i="3"/>
  <c r="C578" i="3"/>
  <c r="H577" i="3"/>
  <c r="F577" i="3"/>
  <c r="J577" i="3" s="1"/>
  <c r="E577" i="3"/>
  <c r="D577" i="3"/>
  <c r="C577" i="3"/>
  <c r="J576" i="3"/>
  <c r="H576" i="3"/>
  <c r="F576" i="3"/>
  <c r="E576" i="3"/>
  <c r="D576" i="3"/>
  <c r="C576" i="3"/>
  <c r="H575" i="3"/>
  <c r="F575" i="3"/>
  <c r="J575" i="3" s="1"/>
  <c r="E575" i="3"/>
  <c r="D575" i="3"/>
  <c r="C575" i="3"/>
  <c r="J574" i="3"/>
  <c r="H574" i="3"/>
  <c r="F574" i="3"/>
  <c r="E574" i="3"/>
  <c r="D574" i="3"/>
  <c r="C574" i="3"/>
  <c r="H573" i="3"/>
  <c r="F573" i="3"/>
  <c r="J573" i="3" s="1"/>
  <c r="E573" i="3"/>
  <c r="D573" i="3"/>
  <c r="C573" i="3"/>
  <c r="J572" i="3"/>
  <c r="H572" i="3"/>
  <c r="I572" i="3" s="1"/>
  <c r="F572" i="3"/>
  <c r="E572" i="3"/>
  <c r="D572" i="3"/>
  <c r="C572" i="3"/>
  <c r="J571" i="3"/>
  <c r="H571" i="3"/>
  <c r="F571" i="3"/>
  <c r="E571" i="3"/>
  <c r="D571" i="3"/>
  <c r="C571" i="3"/>
  <c r="J570" i="3"/>
  <c r="H570" i="3"/>
  <c r="F570" i="3"/>
  <c r="E570" i="3"/>
  <c r="D570" i="3"/>
  <c r="C570" i="3"/>
  <c r="J569" i="3"/>
  <c r="H569" i="3"/>
  <c r="F569" i="3"/>
  <c r="E569" i="3"/>
  <c r="D569" i="3"/>
  <c r="C569" i="3"/>
  <c r="H568" i="3"/>
  <c r="F568" i="3"/>
  <c r="E568" i="3"/>
  <c r="D568" i="3"/>
  <c r="C568" i="3"/>
  <c r="J568" i="3" s="1"/>
  <c r="J567" i="3"/>
  <c r="I567" i="3"/>
  <c r="H567" i="3"/>
  <c r="F567" i="3"/>
  <c r="E567" i="3"/>
  <c r="D567" i="3"/>
  <c r="C567" i="3"/>
  <c r="H566" i="3"/>
  <c r="F566" i="3"/>
  <c r="E566" i="3"/>
  <c r="D566" i="3"/>
  <c r="C566" i="3"/>
  <c r="J566" i="3" s="1"/>
  <c r="H565" i="3"/>
  <c r="F565" i="3"/>
  <c r="J565" i="3" s="1"/>
  <c r="E565" i="3"/>
  <c r="D565" i="3"/>
  <c r="C565" i="3"/>
  <c r="H564" i="3"/>
  <c r="F564" i="3"/>
  <c r="E564" i="3"/>
  <c r="D564" i="3"/>
  <c r="C564" i="3"/>
  <c r="J564" i="3" s="1"/>
  <c r="F563" i="3"/>
  <c r="J563" i="3" s="1"/>
  <c r="E563" i="3"/>
  <c r="H563" i="3" s="1"/>
  <c r="D563" i="3"/>
  <c r="C563" i="3"/>
  <c r="H562" i="3"/>
  <c r="F562" i="3"/>
  <c r="E562" i="3"/>
  <c r="D562" i="3"/>
  <c r="C562" i="3"/>
  <c r="J562" i="3" s="1"/>
  <c r="J561" i="3"/>
  <c r="F561" i="3"/>
  <c r="E561" i="3"/>
  <c r="H561" i="3" s="1"/>
  <c r="D561" i="3"/>
  <c r="C561" i="3"/>
  <c r="H560" i="3"/>
  <c r="F560" i="3"/>
  <c r="E560" i="3"/>
  <c r="D560" i="3"/>
  <c r="C560" i="3"/>
  <c r="J560" i="3" s="1"/>
  <c r="J559" i="3"/>
  <c r="H559" i="3"/>
  <c r="I559" i="3" s="1"/>
  <c r="F559" i="3"/>
  <c r="E559" i="3"/>
  <c r="D559" i="3"/>
  <c r="C559" i="3"/>
  <c r="F558" i="3"/>
  <c r="E558" i="3"/>
  <c r="H558" i="3" s="1"/>
  <c r="D558" i="3"/>
  <c r="C558" i="3"/>
  <c r="J558" i="3" s="1"/>
  <c r="H557" i="3"/>
  <c r="F557" i="3"/>
  <c r="E557" i="3"/>
  <c r="D557" i="3"/>
  <c r="C557" i="3"/>
  <c r="J557" i="3" s="1"/>
  <c r="F556" i="3"/>
  <c r="E556" i="3"/>
  <c r="H556" i="3" s="1"/>
  <c r="D556" i="3"/>
  <c r="C556" i="3"/>
  <c r="J556" i="3" s="1"/>
  <c r="H555" i="3"/>
  <c r="F555" i="3"/>
  <c r="E555" i="3"/>
  <c r="D555" i="3"/>
  <c r="C555" i="3"/>
  <c r="J555" i="3" s="1"/>
  <c r="F554" i="3"/>
  <c r="E554" i="3"/>
  <c r="H554" i="3" s="1"/>
  <c r="D554" i="3"/>
  <c r="C554" i="3"/>
  <c r="J554" i="3" s="1"/>
  <c r="H553" i="3"/>
  <c r="F553" i="3"/>
  <c r="E553" i="3"/>
  <c r="D553" i="3"/>
  <c r="C553" i="3"/>
  <c r="J553" i="3" s="1"/>
  <c r="F552" i="3"/>
  <c r="E552" i="3"/>
  <c r="H552" i="3" s="1"/>
  <c r="D552" i="3"/>
  <c r="C552" i="3"/>
  <c r="J552" i="3" s="1"/>
  <c r="H551" i="3"/>
  <c r="F551" i="3"/>
  <c r="E551" i="3"/>
  <c r="D551" i="3"/>
  <c r="C551" i="3"/>
  <c r="J551" i="3" s="1"/>
  <c r="F550" i="3"/>
  <c r="E550" i="3"/>
  <c r="H550" i="3" s="1"/>
  <c r="D550" i="3"/>
  <c r="C550" i="3"/>
  <c r="J550" i="3" s="1"/>
  <c r="H549" i="3"/>
  <c r="F549" i="3"/>
  <c r="E549" i="3"/>
  <c r="D549" i="3"/>
  <c r="C549" i="3"/>
  <c r="J549" i="3" s="1"/>
  <c r="F548" i="3"/>
  <c r="E548" i="3"/>
  <c r="H548" i="3" s="1"/>
  <c r="D548" i="3"/>
  <c r="C548" i="3"/>
  <c r="J548" i="3" s="1"/>
  <c r="H547" i="3"/>
  <c r="F547" i="3"/>
  <c r="E547" i="3"/>
  <c r="D547" i="3"/>
  <c r="C547" i="3"/>
  <c r="J547" i="3" s="1"/>
  <c r="F546" i="3"/>
  <c r="E546" i="3"/>
  <c r="H546" i="3" s="1"/>
  <c r="D546" i="3"/>
  <c r="C546" i="3"/>
  <c r="J546" i="3" s="1"/>
  <c r="H545" i="3"/>
  <c r="F545" i="3"/>
  <c r="E545" i="3"/>
  <c r="D545" i="3"/>
  <c r="C545" i="3"/>
  <c r="J545" i="3" s="1"/>
  <c r="F544" i="3"/>
  <c r="E544" i="3"/>
  <c r="H544" i="3" s="1"/>
  <c r="D544" i="3"/>
  <c r="C544" i="3"/>
  <c r="J544" i="3" s="1"/>
  <c r="I543" i="3"/>
  <c r="F543" i="3"/>
  <c r="J543" i="3" s="1"/>
  <c r="E543" i="3"/>
  <c r="H543" i="3" s="1"/>
  <c r="D543" i="3"/>
  <c r="C543" i="3"/>
  <c r="F542" i="3"/>
  <c r="E542" i="3"/>
  <c r="H542" i="3" s="1"/>
  <c r="D542" i="3"/>
  <c r="C542" i="3"/>
  <c r="J542" i="3" s="1"/>
  <c r="H541" i="3"/>
  <c r="F541" i="3"/>
  <c r="E541" i="3"/>
  <c r="D541" i="3"/>
  <c r="C541" i="3"/>
  <c r="J541" i="3" s="1"/>
  <c r="F540" i="3"/>
  <c r="E540" i="3"/>
  <c r="H540" i="3" s="1"/>
  <c r="D540" i="3"/>
  <c r="C540" i="3"/>
  <c r="J540" i="3" s="1"/>
  <c r="J539" i="3"/>
  <c r="F539" i="3"/>
  <c r="E539" i="3"/>
  <c r="H539" i="3" s="1"/>
  <c r="D539" i="3"/>
  <c r="C539" i="3"/>
  <c r="F538" i="3"/>
  <c r="E538" i="3"/>
  <c r="H538" i="3" s="1"/>
  <c r="D538" i="3"/>
  <c r="C538" i="3"/>
  <c r="J538" i="3" s="1"/>
  <c r="J537" i="3"/>
  <c r="H537" i="3"/>
  <c r="F537" i="3"/>
  <c r="E537" i="3"/>
  <c r="D537" i="3"/>
  <c r="C537" i="3"/>
  <c r="F536" i="3"/>
  <c r="E536" i="3"/>
  <c r="H536" i="3" s="1"/>
  <c r="D536" i="3"/>
  <c r="C536" i="3"/>
  <c r="J536" i="3" s="1"/>
  <c r="H535" i="3"/>
  <c r="F535" i="3"/>
  <c r="J535" i="3" s="1"/>
  <c r="E535" i="3"/>
  <c r="D535" i="3"/>
  <c r="C535" i="3"/>
  <c r="J534" i="3"/>
  <c r="F534" i="3"/>
  <c r="E534" i="3"/>
  <c r="H534" i="3" s="1"/>
  <c r="D534" i="3"/>
  <c r="C534" i="3"/>
  <c r="F533" i="3"/>
  <c r="E533" i="3"/>
  <c r="H533" i="3" s="1"/>
  <c r="D533" i="3"/>
  <c r="C533" i="3"/>
  <c r="J533" i="3" s="1"/>
  <c r="F532" i="3"/>
  <c r="J532" i="3" s="1"/>
  <c r="E532" i="3"/>
  <c r="H532" i="3" s="1"/>
  <c r="D532" i="3"/>
  <c r="C532" i="3"/>
  <c r="F531" i="3"/>
  <c r="E531" i="3"/>
  <c r="H531" i="3" s="1"/>
  <c r="D531" i="3"/>
  <c r="C531" i="3"/>
  <c r="J531" i="3" s="1"/>
  <c r="J530" i="3"/>
  <c r="F530" i="3"/>
  <c r="E530" i="3"/>
  <c r="H530" i="3" s="1"/>
  <c r="D530" i="3"/>
  <c r="C530" i="3"/>
  <c r="F529" i="3"/>
  <c r="E529" i="3"/>
  <c r="H529" i="3" s="1"/>
  <c r="D529" i="3"/>
  <c r="C529" i="3"/>
  <c r="J529" i="3" s="1"/>
  <c r="F528" i="3"/>
  <c r="E528" i="3"/>
  <c r="H528" i="3" s="1"/>
  <c r="D528" i="3"/>
  <c r="C528" i="3"/>
  <c r="F527" i="3"/>
  <c r="E527" i="3"/>
  <c r="H527" i="3" s="1"/>
  <c r="D527" i="3"/>
  <c r="C527" i="3"/>
  <c r="J527" i="3" s="1"/>
  <c r="J526" i="3"/>
  <c r="F526" i="3"/>
  <c r="E526" i="3"/>
  <c r="H526" i="3" s="1"/>
  <c r="D526" i="3"/>
  <c r="C526" i="3"/>
  <c r="H525" i="3"/>
  <c r="F525" i="3"/>
  <c r="E525" i="3"/>
  <c r="D525" i="3"/>
  <c r="C525" i="3"/>
  <c r="J525" i="3" s="1"/>
  <c r="F524" i="3"/>
  <c r="J524" i="3" s="1"/>
  <c r="E524" i="3"/>
  <c r="H524" i="3" s="1"/>
  <c r="D524" i="3"/>
  <c r="C524" i="3"/>
  <c r="J523" i="3"/>
  <c r="H523" i="3"/>
  <c r="F523" i="3"/>
  <c r="E523" i="3"/>
  <c r="D523" i="3"/>
  <c r="C523" i="3"/>
  <c r="F522" i="3"/>
  <c r="E522" i="3"/>
  <c r="H522" i="3" s="1"/>
  <c r="D522" i="3"/>
  <c r="C522" i="3"/>
  <c r="J522" i="3" s="1"/>
  <c r="H521" i="3"/>
  <c r="F521" i="3"/>
  <c r="J521" i="3" s="1"/>
  <c r="E521" i="3"/>
  <c r="D521" i="3"/>
  <c r="C521" i="3"/>
  <c r="F520" i="3"/>
  <c r="J520" i="3" s="1"/>
  <c r="E520" i="3"/>
  <c r="H520" i="3" s="1"/>
  <c r="D520" i="3"/>
  <c r="C520" i="3"/>
  <c r="J519" i="3"/>
  <c r="F519" i="3"/>
  <c r="E519" i="3"/>
  <c r="H519" i="3" s="1"/>
  <c r="D519" i="3"/>
  <c r="C519" i="3"/>
  <c r="F518" i="3"/>
  <c r="E518" i="3"/>
  <c r="H518" i="3" s="1"/>
  <c r="D518" i="3"/>
  <c r="C518" i="3"/>
  <c r="J518" i="3" s="1"/>
  <c r="H517" i="3"/>
  <c r="F517" i="3"/>
  <c r="E517" i="3"/>
  <c r="D517" i="3"/>
  <c r="C517" i="3"/>
  <c r="J517" i="3" s="1"/>
  <c r="F516" i="3"/>
  <c r="E516" i="3"/>
  <c r="H516" i="3" s="1"/>
  <c r="D516" i="3"/>
  <c r="C516" i="3"/>
  <c r="J516" i="3" s="1"/>
  <c r="J515" i="3"/>
  <c r="F515" i="3"/>
  <c r="E515" i="3"/>
  <c r="H515" i="3" s="1"/>
  <c r="D515" i="3"/>
  <c r="C515" i="3"/>
  <c r="F514" i="3"/>
  <c r="E514" i="3"/>
  <c r="H514" i="3" s="1"/>
  <c r="D514" i="3"/>
  <c r="C514" i="3"/>
  <c r="J514" i="3" s="1"/>
  <c r="J513" i="3"/>
  <c r="F513" i="3"/>
  <c r="E513" i="3"/>
  <c r="H513" i="3" s="1"/>
  <c r="D513" i="3"/>
  <c r="C513" i="3"/>
  <c r="F512" i="3"/>
  <c r="E512" i="3"/>
  <c r="H512" i="3" s="1"/>
  <c r="D512" i="3"/>
  <c r="C512" i="3"/>
  <c r="J512" i="3" s="1"/>
  <c r="H511" i="3"/>
  <c r="F511" i="3"/>
  <c r="J511" i="3" s="1"/>
  <c r="E511" i="3"/>
  <c r="D511" i="3"/>
  <c r="C511" i="3"/>
  <c r="J510" i="3"/>
  <c r="F510" i="3"/>
  <c r="E510" i="3"/>
  <c r="H510" i="3" s="1"/>
  <c r="D510" i="3"/>
  <c r="C510" i="3"/>
  <c r="F509" i="3"/>
  <c r="E509" i="3"/>
  <c r="H509" i="3" s="1"/>
  <c r="D509" i="3"/>
  <c r="C509" i="3"/>
  <c r="J509" i="3" s="1"/>
  <c r="F508" i="3"/>
  <c r="J508" i="3" s="1"/>
  <c r="E508" i="3"/>
  <c r="H508" i="3" s="1"/>
  <c r="D508" i="3"/>
  <c r="C508" i="3"/>
  <c r="F507" i="3"/>
  <c r="E507" i="3"/>
  <c r="H507" i="3" s="1"/>
  <c r="D507" i="3"/>
  <c r="C507" i="3"/>
  <c r="J507" i="3" s="1"/>
  <c r="J506" i="3"/>
  <c r="F506" i="3"/>
  <c r="E506" i="3"/>
  <c r="H506" i="3" s="1"/>
  <c r="D506" i="3"/>
  <c r="C506" i="3"/>
  <c r="F505" i="3"/>
  <c r="E505" i="3"/>
  <c r="H505" i="3" s="1"/>
  <c r="D505" i="3"/>
  <c r="C505" i="3"/>
  <c r="J505" i="3" s="1"/>
  <c r="F504" i="3"/>
  <c r="E504" i="3"/>
  <c r="H504" i="3" s="1"/>
  <c r="D504" i="3"/>
  <c r="C504" i="3"/>
  <c r="J504" i="3" s="1"/>
  <c r="F503" i="3"/>
  <c r="E503" i="3"/>
  <c r="H503" i="3" s="1"/>
  <c r="D503" i="3"/>
  <c r="C503" i="3"/>
  <c r="J503" i="3" s="1"/>
  <c r="J502" i="3"/>
  <c r="F502" i="3"/>
  <c r="E502" i="3"/>
  <c r="H502" i="3" s="1"/>
  <c r="D502" i="3"/>
  <c r="C502" i="3"/>
  <c r="H501" i="3"/>
  <c r="F501" i="3"/>
  <c r="E501" i="3"/>
  <c r="D501" i="3"/>
  <c r="C501" i="3"/>
  <c r="J501" i="3" s="1"/>
  <c r="J500" i="3"/>
  <c r="F500" i="3"/>
  <c r="E500" i="3"/>
  <c r="H500" i="3" s="1"/>
  <c r="D500" i="3"/>
  <c r="C500" i="3"/>
  <c r="J499" i="3"/>
  <c r="H499" i="3"/>
  <c r="F499" i="3"/>
  <c r="E499" i="3"/>
  <c r="D499" i="3"/>
  <c r="C499" i="3"/>
  <c r="H498" i="3"/>
  <c r="F498" i="3"/>
  <c r="J498" i="3" s="1"/>
  <c r="E498" i="3"/>
  <c r="D498" i="3"/>
  <c r="C498" i="3"/>
  <c r="J497" i="3"/>
  <c r="H497" i="3"/>
  <c r="F497" i="3"/>
  <c r="E497" i="3"/>
  <c r="D497" i="3"/>
  <c r="C497" i="3"/>
  <c r="H496" i="3"/>
  <c r="F496" i="3"/>
  <c r="J496" i="3" s="1"/>
  <c r="E496" i="3"/>
  <c r="D496" i="3"/>
  <c r="C496" i="3"/>
  <c r="J495" i="3"/>
  <c r="H495" i="3"/>
  <c r="F495" i="3"/>
  <c r="E495" i="3"/>
  <c r="D495" i="3"/>
  <c r="C495" i="3"/>
  <c r="H494" i="3"/>
  <c r="F494" i="3"/>
  <c r="J494" i="3" s="1"/>
  <c r="E494" i="3"/>
  <c r="D494" i="3"/>
  <c r="C494" i="3"/>
  <c r="J493" i="3"/>
  <c r="H493" i="3"/>
  <c r="F493" i="3"/>
  <c r="E493" i="3"/>
  <c r="D493" i="3"/>
  <c r="C493" i="3"/>
  <c r="H492" i="3"/>
  <c r="F492" i="3"/>
  <c r="J492" i="3" s="1"/>
  <c r="E492" i="3"/>
  <c r="D492" i="3"/>
  <c r="C492" i="3"/>
  <c r="J491" i="3"/>
  <c r="H491" i="3"/>
  <c r="F491" i="3"/>
  <c r="E491" i="3"/>
  <c r="D491" i="3"/>
  <c r="C491" i="3"/>
  <c r="H490" i="3"/>
  <c r="F490" i="3"/>
  <c r="J490" i="3" s="1"/>
  <c r="E490" i="3"/>
  <c r="D490" i="3"/>
  <c r="C490" i="3"/>
  <c r="J489" i="3"/>
  <c r="H489" i="3"/>
  <c r="F489" i="3"/>
  <c r="E489" i="3"/>
  <c r="D489" i="3"/>
  <c r="C489" i="3"/>
  <c r="H488" i="3"/>
  <c r="F488" i="3"/>
  <c r="J488" i="3" s="1"/>
  <c r="E488" i="3"/>
  <c r="D488" i="3"/>
  <c r="C488" i="3"/>
  <c r="J487" i="3"/>
  <c r="H487" i="3"/>
  <c r="F487" i="3"/>
  <c r="E487" i="3"/>
  <c r="D487" i="3"/>
  <c r="C487" i="3"/>
  <c r="H486" i="3"/>
  <c r="F486" i="3"/>
  <c r="J486" i="3" s="1"/>
  <c r="E486" i="3"/>
  <c r="D486" i="3"/>
  <c r="C486" i="3"/>
  <c r="J485" i="3"/>
  <c r="H485" i="3"/>
  <c r="F485" i="3"/>
  <c r="E485" i="3"/>
  <c r="D485" i="3"/>
  <c r="C485" i="3"/>
  <c r="H484" i="3"/>
  <c r="F484" i="3"/>
  <c r="J484" i="3" s="1"/>
  <c r="E484" i="3"/>
  <c r="D484" i="3"/>
  <c r="C484" i="3"/>
  <c r="J483" i="3"/>
  <c r="F483" i="3"/>
  <c r="E483" i="3"/>
  <c r="H483" i="3" s="1"/>
  <c r="D483" i="3"/>
  <c r="C483" i="3"/>
  <c r="F482" i="3"/>
  <c r="E482" i="3"/>
  <c r="H482" i="3" s="1"/>
  <c r="I482" i="3" s="1"/>
  <c r="D482" i="3"/>
  <c r="C482" i="3"/>
  <c r="J482" i="3" s="1"/>
  <c r="H481" i="3"/>
  <c r="F481" i="3"/>
  <c r="E481" i="3"/>
  <c r="D481" i="3"/>
  <c r="C481" i="3"/>
  <c r="J481" i="3" s="1"/>
  <c r="J480" i="3"/>
  <c r="F480" i="3"/>
  <c r="E480" i="3"/>
  <c r="H480" i="3" s="1"/>
  <c r="D480" i="3"/>
  <c r="C480" i="3"/>
  <c r="H479" i="3"/>
  <c r="F479" i="3"/>
  <c r="E479" i="3"/>
  <c r="D479" i="3"/>
  <c r="C479" i="3"/>
  <c r="J479" i="3" s="1"/>
  <c r="J478" i="3"/>
  <c r="F478" i="3"/>
  <c r="E478" i="3"/>
  <c r="H478" i="3" s="1"/>
  <c r="D478" i="3"/>
  <c r="C478" i="3"/>
  <c r="H477" i="3"/>
  <c r="F477" i="3"/>
  <c r="E477" i="3"/>
  <c r="D477" i="3"/>
  <c r="C477" i="3"/>
  <c r="J477" i="3" s="1"/>
  <c r="J476" i="3"/>
  <c r="H476" i="3"/>
  <c r="F476" i="3"/>
  <c r="E476" i="3"/>
  <c r="D476" i="3"/>
  <c r="C476" i="3"/>
  <c r="H475" i="3"/>
  <c r="F475" i="3"/>
  <c r="E475" i="3"/>
  <c r="D475" i="3"/>
  <c r="C475" i="3"/>
  <c r="J475" i="3" s="1"/>
  <c r="J474" i="3"/>
  <c r="F474" i="3"/>
  <c r="E474" i="3"/>
  <c r="H474" i="3" s="1"/>
  <c r="D474" i="3"/>
  <c r="C474" i="3"/>
  <c r="H473" i="3"/>
  <c r="F473" i="3"/>
  <c r="E473" i="3"/>
  <c r="D473" i="3"/>
  <c r="C473" i="3"/>
  <c r="J473" i="3" s="1"/>
  <c r="J472" i="3"/>
  <c r="F472" i="3"/>
  <c r="E472" i="3"/>
  <c r="H472" i="3" s="1"/>
  <c r="D472" i="3"/>
  <c r="C472" i="3"/>
  <c r="H471" i="3"/>
  <c r="F471" i="3"/>
  <c r="E471" i="3"/>
  <c r="D471" i="3"/>
  <c r="C471" i="3"/>
  <c r="J471" i="3" s="1"/>
  <c r="J470" i="3"/>
  <c r="F470" i="3"/>
  <c r="E470" i="3"/>
  <c r="H470" i="3" s="1"/>
  <c r="D470" i="3"/>
  <c r="C470" i="3"/>
  <c r="H469" i="3"/>
  <c r="F469" i="3"/>
  <c r="E469" i="3"/>
  <c r="D469" i="3"/>
  <c r="C469" i="3"/>
  <c r="J469" i="3" s="1"/>
  <c r="J468" i="3"/>
  <c r="H468" i="3"/>
  <c r="F468" i="3"/>
  <c r="E468" i="3"/>
  <c r="D468" i="3"/>
  <c r="C468" i="3"/>
  <c r="F467" i="3"/>
  <c r="E467" i="3"/>
  <c r="H467" i="3" s="1"/>
  <c r="D467" i="3"/>
  <c r="C467" i="3"/>
  <c r="J467" i="3" s="1"/>
  <c r="J466" i="3"/>
  <c r="F466" i="3"/>
  <c r="E466" i="3"/>
  <c r="H466" i="3" s="1"/>
  <c r="D466" i="3"/>
  <c r="C466" i="3"/>
  <c r="F465" i="3"/>
  <c r="E465" i="3"/>
  <c r="H465" i="3" s="1"/>
  <c r="D465" i="3"/>
  <c r="C465" i="3"/>
  <c r="J465" i="3" s="1"/>
  <c r="J464" i="3"/>
  <c r="H464" i="3"/>
  <c r="F464" i="3"/>
  <c r="E464" i="3"/>
  <c r="D464" i="3"/>
  <c r="C464" i="3"/>
  <c r="F463" i="3"/>
  <c r="E463" i="3"/>
  <c r="H463" i="3" s="1"/>
  <c r="D463" i="3"/>
  <c r="C463" i="3"/>
  <c r="J463" i="3" s="1"/>
  <c r="J462" i="3"/>
  <c r="F462" i="3"/>
  <c r="E462" i="3"/>
  <c r="H462" i="3" s="1"/>
  <c r="D462" i="3"/>
  <c r="C462" i="3"/>
  <c r="F461" i="3"/>
  <c r="E461" i="3"/>
  <c r="H461" i="3" s="1"/>
  <c r="D461" i="3"/>
  <c r="C461" i="3"/>
  <c r="J461" i="3" s="1"/>
  <c r="J460" i="3"/>
  <c r="H460" i="3"/>
  <c r="F460" i="3"/>
  <c r="E460" i="3"/>
  <c r="D460" i="3"/>
  <c r="C460" i="3"/>
  <c r="F459" i="3"/>
  <c r="E459" i="3"/>
  <c r="H459" i="3" s="1"/>
  <c r="D459" i="3"/>
  <c r="C459" i="3"/>
  <c r="J459" i="3" s="1"/>
  <c r="J458" i="3"/>
  <c r="F458" i="3"/>
  <c r="E458" i="3"/>
  <c r="H458" i="3" s="1"/>
  <c r="D458" i="3"/>
  <c r="C458" i="3"/>
  <c r="F457" i="3"/>
  <c r="E457" i="3"/>
  <c r="H457" i="3" s="1"/>
  <c r="D457" i="3"/>
  <c r="C457" i="3"/>
  <c r="J457" i="3" s="1"/>
  <c r="J456" i="3"/>
  <c r="H456" i="3"/>
  <c r="F456" i="3"/>
  <c r="E456" i="3"/>
  <c r="D456" i="3"/>
  <c r="C456" i="3"/>
  <c r="F455" i="3"/>
  <c r="E455" i="3"/>
  <c r="H455" i="3" s="1"/>
  <c r="D455" i="3"/>
  <c r="C455" i="3"/>
  <c r="J455" i="3" s="1"/>
  <c r="J454" i="3"/>
  <c r="F454" i="3"/>
  <c r="E454" i="3"/>
  <c r="H454" i="3" s="1"/>
  <c r="D454" i="3"/>
  <c r="C454" i="3"/>
  <c r="F453" i="3"/>
  <c r="E453" i="3"/>
  <c r="H453" i="3" s="1"/>
  <c r="D453" i="3"/>
  <c r="C453" i="3"/>
  <c r="J453" i="3" s="1"/>
  <c r="J452" i="3"/>
  <c r="H452" i="3"/>
  <c r="F452" i="3"/>
  <c r="E452" i="3"/>
  <c r="D452" i="3"/>
  <c r="C452" i="3"/>
  <c r="F451" i="3"/>
  <c r="E451" i="3"/>
  <c r="H451" i="3" s="1"/>
  <c r="D451" i="3"/>
  <c r="C451" i="3"/>
  <c r="J451" i="3" s="1"/>
  <c r="J450" i="3"/>
  <c r="F450" i="3"/>
  <c r="E450" i="3"/>
  <c r="H450" i="3" s="1"/>
  <c r="D450" i="3"/>
  <c r="C450" i="3"/>
  <c r="F449" i="3"/>
  <c r="E449" i="3"/>
  <c r="H449" i="3" s="1"/>
  <c r="D449" i="3"/>
  <c r="C449" i="3"/>
  <c r="J449" i="3" s="1"/>
  <c r="J448" i="3"/>
  <c r="H448" i="3"/>
  <c r="F448" i="3"/>
  <c r="E448" i="3"/>
  <c r="D448" i="3"/>
  <c r="C448" i="3"/>
  <c r="F447" i="3"/>
  <c r="E447" i="3"/>
  <c r="H447" i="3" s="1"/>
  <c r="D447" i="3"/>
  <c r="C447" i="3"/>
  <c r="J447" i="3" s="1"/>
  <c r="J446" i="3"/>
  <c r="F446" i="3"/>
  <c r="E446" i="3"/>
  <c r="H446" i="3" s="1"/>
  <c r="D446" i="3"/>
  <c r="C446" i="3"/>
  <c r="F445" i="3"/>
  <c r="E445" i="3"/>
  <c r="H445" i="3" s="1"/>
  <c r="D445" i="3"/>
  <c r="C445" i="3"/>
  <c r="J445" i="3" s="1"/>
  <c r="J444" i="3"/>
  <c r="H444" i="3"/>
  <c r="F444" i="3"/>
  <c r="E444" i="3"/>
  <c r="D444" i="3"/>
  <c r="C444" i="3"/>
  <c r="F443" i="3"/>
  <c r="E443" i="3"/>
  <c r="H443" i="3" s="1"/>
  <c r="D443" i="3"/>
  <c r="C443" i="3"/>
  <c r="J443" i="3" s="1"/>
  <c r="J442" i="3"/>
  <c r="F442" i="3"/>
  <c r="E442" i="3"/>
  <c r="H442" i="3" s="1"/>
  <c r="D442" i="3"/>
  <c r="C442" i="3"/>
  <c r="F441" i="3"/>
  <c r="E441" i="3"/>
  <c r="H441" i="3" s="1"/>
  <c r="D441" i="3"/>
  <c r="C441" i="3"/>
  <c r="J441" i="3" s="1"/>
  <c r="J440" i="3"/>
  <c r="H440" i="3"/>
  <c r="F440" i="3"/>
  <c r="E440" i="3"/>
  <c r="D440" i="3"/>
  <c r="C440" i="3"/>
  <c r="F439" i="3"/>
  <c r="E439" i="3"/>
  <c r="H439" i="3" s="1"/>
  <c r="D439" i="3"/>
  <c r="C439" i="3"/>
  <c r="J439" i="3" s="1"/>
  <c r="J438" i="3"/>
  <c r="F438" i="3"/>
  <c r="E438" i="3"/>
  <c r="H438" i="3" s="1"/>
  <c r="D438" i="3"/>
  <c r="C438" i="3"/>
  <c r="F437" i="3"/>
  <c r="E437" i="3"/>
  <c r="H437" i="3" s="1"/>
  <c r="D437" i="3"/>
  <c r="C437" i="3"/>
  <c r="J437" i="3" s="1"/>
  <c r="J436" i="3"/>
  <c r="H436" i="3"/>
  <c r="F436" i="3"/>
  <c r="E436" i="3"/>
  <c r="D436" i="3"/>
  <c r="C436" i="3"/>
  <c r="F435" i="3"/>
  <c r="E435" i="3"/>
  <c r="H435" i="3" s="1"/>
  <c r="D435" i="3"/>
  <c r="C435" i="3"/>
  <c r="J435" i="3" s="1"/>
  <c r="J434" i="3"/>
  <c r="F434" i="3"/>
  <c r="E434" i="3"/>
  <c r="H434" i="3" s="1"/>
  <c r="D434" i="3"/>
  <c r="C434" i="3"/>
  <c r="F433" i="3"/>
  <c r="E433" i="3"/>
  <c r="H433" i="3" s="1"/>
  <c r="D433" i="3"/>
  <c r="C433" i="3"/>
  <c r="J433" i="3" s="1"/>
  <c r="J432" i="3"/>
  <c r="H432" i="3"/>
  <c r="F432" i="3"/>
  <c r="E432" i="3"/>
  <c r="D432" i="3"/>
  <c r="C432" i="3"/>
  <c r="F431" i="3"/>
  <c r="E431" i="3"/>
  <c r="H431" i="3" s="1"/>
  <c r="D431" i="3"/>
  <c r="C431" i="3"/>
  <c r="J431" i="3" s="1"/>
  <c r="J430" i="3"/>
  <c r="F430" i="3"/>
  <c r="E430" i="3"/>
  <c r="H430" i="3" s="1"/>
  <c r="D430" i="3"/>
  <c r="C430" i="3"/>
  <c r="F429" i="3"/>
  <c r="E429" i="3"/>
  <c r="H429" i="3" s="1"/>
  <c r="D429" i="3"/>
  <c r="C429" i="3"/>
  <c r="J429" i="3" s="1"/>
  <c r="J428" i="3"/>
  <c r="H428" i="3"/>
  <c r="F428" i="3"/>
  <c r="E428" i="3"/>
  <c r="D428" i="3"/>
  <c r="C428" i="3"/>
  <c r="F427" i="3"/>
  <c r="E427" i="3"/>
  <c r="H427" i="3" s="1"/>
  <c r="D427" i="3"/>
  <c r="C427" i="3"/>
  <c r="J427" i="3" s="1"/>
  <c r="J426" i="3"/>
  <c r="F426" i="3"/>
  <c r="E426" i="3"/>
  <c r="H426" i="3" s="1"/>
  <c r="D426" i="3"/>
  <c r="C426" i="3"/>
  <c r="F425" i="3"/>
  <c r="E425" i="3"/>
  <c r="H425" i="3" s="1"/>
  <c r="D425" i="3"/>
  <c r="C425" i="3"/>
  <c r="J425" i="3" s="1"/>
  <c r="J424" i="3"/>
  <c r="H424" i="3"/>
  <c r="F424" i="3"/>
  <c r="E424" i="3"/>
  <c r="D424" i="3"/>
  <c r="C424" i="3"/>
  <c r="F423" i="3"/>
  <c r="E423" i="3"/>
  <c r="H423" i="3" s="1"/>
  <c r="D423" i="3"/>
  <c r="C423" i="3"/>
  <c r="J423" i="3" s="1"/>
  <c r="J422" i="3"/>
  <c r="F422" i="3"/>
  <c r="E422" i="3"/>
  <c r="H422" i="3" s="1"/>
  <c r="D422" i="3"/>
  <c r="C422" i="3"/>
  <c r="F421" i="3"/>
  <c r="E421" i="3"/>
  <c r="H421" i="3" s="1"/>
  <c r="D421" i="3"/>
  <c r="C421" i="3"/>
  <c r="J421" i="3" s="1"/>
  <c r="J420" i="3"/>
  <c r="H420" i="3"/>
  <c r="F420" i="3"/>
  <c r="E420" i="3"/>
  <c r="D420" i="3"/>
  <c r="C420" i="3"/>
  <c r="F419" i="3"/>
  <c r="E419" i="3"/>
  <c r="H419" i="3" s="1"/>
  <c r="D419" i="3"/>
  <c r="C419" i="3"/>
  <c r="J419" i="3" s="1"/>
  <c r="J418" i="3"/>
  <c r="F418" i="3"/>
  <c r="E418" i="3"/>
  <c r="H418" i="3" s="1"/>
  <c r="D418" i="3"/>
  <c r="C418" i="3"/>
  <c r="F417" i="3"/>
  <c r="E417" i="3"/>
  <c r="H417" i="3" s="1"/>
  <c r="D417" i="3"/>
  <c r="C417" i="3"/>
  <c r="J417" i="3" s="1"/>
  <c r="J416" i="3"/>
  <c r="H416" i="3"/>
  <c r="F416" i="3"/>
  <c r="E416" i="3"/>
  <c r="D416" i="3"/>
  <c r="C416" i="3"/>
  <c r="F415" i="3"/>
  <c r="E415" i="3"/>
  <c r="H415" i="3" s="1"/>
  <c r="I415" i="3" s="1"/>
  <c r="D415" i="3"/>
  <c r="C415" i="3"/>
  <c r="J415" i="3" s="1"/>
  <c r="F414" i="3"/>
  <c r="J414" i="3" s="1"/>
  <c r="E414" i="3"/>
  <c r="H414" i="3" s="1"/>
  <c r="D414" i="3"/>
  <c r="C414" i="3"/>
  <c r="F413" i="3"/>
  <c r="E413" i="3"/>
  <c r="H413" i="3" s="1"/>
  <c r="D413" i="3"/>
  <c r="C413" i="3"/>
  <c r="J412" i="3"/>
  <c r="F412" i="3"/>
  <c r="E412" i="3"/>
  <c r="H412" i="3" s="1"/>
  <c r="D412" i="3"/>
  <c r="C412" i="3"/>
  <c r="F411" i="3"/>
  <c r="E411" i="3"/>
  <c r="H411" i="3" s="1"/>
  <c r="D411" i="3"/>
  <c r="C411" i="3"/>
  <c r="J411" i="3" s="1"/>
  <c r="F410" i="3"/>
  <c r="J410" i="3" s="1"/>
  <c r="E410" i="3"/>
  <c r="H410" i="3" s="1"/>
  <c r="D410" i="3"/>
  <c r="C410" i="3"/>
  <c r="F409" i="3"/>
  <c r="E409" i="3"/>
  <c r="H409" i="3" s="1"/>
  <c r="D409" i="3"/>
  <c r="C409" i="3"/>
  <c r="J408" i="3"/>
  <c r="H408" i="3"/>
  <c r="I408" i="3" s="1"/>
  <c r="F408" i="3"/>
  <c r="E408" i="3"/>
  <c r="D408" i="3"/>
  <c r="C408" i="3"/>
  <c r="F407" i="3"/>
  <c r="E407" i="3"/>
  <c r="H407" i="3" s="1"/>
  <c r="D407" i="3"/>
  <c r="C407" i="3"/>
  <c r="J407" i="3" s="1"/>
  <c r="F406" i="3"/>
  <c r="J406" i="3" s="1"/>
  <c r="E406" i="3"/>
  <c r="H406" i="3" s="1"/>
  <c r="D406" i="3"/>
  <c r="C406" i="3"/>
  <c r="H405" i="3"/>
  <c r="F405" i="3"/>
  <c r="E405" i="3"/>
  <c r="D405" i="3"/>
  <c r="C405" i="3"/>
  <c r="J405" i="3" s="1"/>
  <c r="F404" i="3"/>
  <c r="J404" i="3" s="1"/>
  <c r="E404" i="3"/>
  <c r="H404" i="3" s="1"/>
  <c r="D404" i="3"/>
  <c r="C404" i="3"/>
  <c r="F403" i="3"/>
  <c r="E403" i="3"/>
  <c r="H403" i="3" s="1"/>
  <c r="D403" i="3"/>
  <c r="C403" i="3"/>
  <c r="J403" i="3" s="1"/>
  <c r="F402" i="3"/>
  <c r="J402" i="3" s="1"/>
  <c r="E402" i="3"/>
  <c r="H402" i="3" s="1"/>
  <c r="D402" i="3"/>
  <c r="C402" i="3"/>
  <c r="H401" i="3"/>
  <c r="F401" i="3"/>
  <c r="E401" i="3"/>
  <c r="D401" i="3"/>
  <c r="C401" i="3"/>
  <c r="J401" i="3" s="1"/>
  <c r="F400" i="3"/>
  <c r="J400" i="3" s="1"/>
  <c r="E400" i="3"/>
  <c r="H400" i="3" s="1"/>
  <c r="D400" i="3"/>
  <c r="C400" i="3"/>
  <c r="F399" i="3"/>
  <c r="E399" i="3"/>
  <c r="H399" i="3" s="1"/>
  <c r="D399" i="3"/>
  <c r="C399" i="3"/>
  <c r="J399" i="3" s="1"/>
  <c r="F398" i="3"/>
  <c r="J398" i="3" s="1"/>
  <c r="E398" i="3"/>
  <c r="H398" i="3" s="1"/>
  <c r="D398" i="3"/>
  <c r="C398" i="3"/>
  <c r="H397" i="3"/>
  <c r="F397" i="3"/>
  <c r="E397" i="3"/>
  <c r="D397" i="3"/>
  <c r="C397" i="3"/>
  <c r="J397" i="3" s="1"/>
  <c r="H396" i="3"/>
  <c r="F396" i="3"/>
  <c r="J396" i="3" s="1"/>
  <c r="E396" i="3"/>
  <c r="D396" i="3"/>
  <c r="C396" i="3"/>
  <c r="F395" i="3"/>
  <c r="E395" i="3"/>
  <c r="H395" i="3" s="1"/>
  <c r="D395" i="3"/>
  <c r="C395" i="3"/>
  <c r="J395" i="3" s="1"/>
  <c r="F394" i="3"/>
  <c r="J394" i="3" s="1"/>
  <c r="E394" i="3"/>
  <c r="H394" i="3" s="1"/>
  <c r="D394" i="3"/>
  <c r="C394" i="3"/>
  <c r="H393" i="3"/>
  <c r="F393" i="3"/>
  <c r="E393" i="3"/>
  <c r="D393" i="3"/>
  <c r="C393" i="3"/>
  <c r="J393" i="3" s="1"/>
  <c r="F392" i="3"/>
  <c r="J392" i="3" s="1"/>
  <c r="E392" i="3"/>
  <c r="H392" i="3" s="1"/>
  <c r="D392" i="3"/>
  <c r="C392" i="3"/>
  <c r="F391" i="3"/>
  <c r="E391" i="3"/>
  <c r="H391" i="3" s="1"/>
  <c r="D391" i="3"/>
  <c r="C391" i="3"/>
  <c r="J391" i="3" s="1"/>
  <c r="F390" i="3"/>
  <c r="J390" i="3" s="1"/>
  <c r="E390" i="3"/>
  <c r="H390" i="3" s="1"/>
  <c r="D390" i="3"/>
  <c r="C390" i="3"/>
  <c r="H389" i="3"/>
  <c r="F389" i="3"/>
  <c r="E389" i="3"/>
  <c r="D389" i="3"/>
  <c r="C389" i="3"/>
  <c r="J389" i="3" s="1"/>
  <c r="F388" i="3"/>
  <c r="J388" i="3" s="1"/>
  <c r="E388" i="3"/>
  <c r="H388" i="3" s="1"/>
  <c r="D388" i="3"/>
  <c r="C388" i="3"/>
  <c r="F387" i="3"/>
  <c r="E387" i="3"/>
  <c r="H387" i="3" s="1"/>
  <c r="D387" i="3"/>
  <c r="C387" i="3"/>
  <c r="J387" i="3" s="1"/>
  <c r="F386" i="3"/>
  <c r="J386" i="3" s="1"/>
  <c r="E386" i="3"/>
  <c r="H386" i="3" s="1"/>
  <c r="D386" i="3"/>
  <c r="C386" i="3"/>
  <c r="H385" i="3"/>
  <c r="F385" i="3"/>
  <c r="E385" i="3"/>
  <c r="D385" i="3"/>
  <c r="C385" i="3"/>
  <c r="J385" i="3" s="1"/>
  <c r="H384" i="3"/>
  <c r="F384" i="3"/>
  <c r="J384" i="3" s="1"/>
  <c r="E384" i="3"/>
  <c r="D384" i="3"/>
  <c r="C384" i="3"/>
  <c r="F383" i="3"/>
  <c r="E383" i="3"/>
  <c r="H383" i="3" s="1"/>
  <c r="D383" i="3"/>
  <c r="C383" i="3"/>
  <c r="J383" i="3" s="1"/>
  <c r="F382" i="3"/>
  <c r="J382" i="3" s="1"/>
  <c r="E382" i="3"/>
  <c r="H382" i="3" s="1"/>
  <c r="D382" i="3"/>
  <c r="C382" i="3"/>
  <c r="H381" i="3"/>
  <c r="F381" i="3"/>
  <c r="E381" i="3"/>
  <c r="D381" i="3"/>
  <c r="C381" i="3"/>
  <c r="J381" i="3" s="1"/>
  <c r="F380" i="3"/>
  <c r="J380" i="3" s="1"/>
  <c r="E380" i="3"/>
  <c r="H380" i="3" s="1"/>
  <c r="D380" i="3"/>
  <c r="C380" i="3"/>
  <c r="F379" i="3"/>
  <c r="E379" i="3"/>
  <c r="H379" i="3" s="1"/>
  <c r="D379" i="3"/>
  <c r="C379" i="3"/>
  <c r="J379" i="3" s="1"/>
  <c r="F378" i="3"/>
  <c r="J378" i="3" s="1"/>
  <c r="E378" i="3"/>
  <c r="H378" i="3" s="1"/>
  <c r="D378" i="3"/>
  <c r="C378" i="3"/>
  <c r="H377" i="3"/>
  <c r="F377" i="3"/>
  <c r="E377" i="3"/>
  <c r="D377" i="3"/>
  <c r="C377" i="3"/>
  <c r="J377" i="3" s="1"/>
  <c r="F376" i="3"/>
  <c r="J376" i="3" s="1"/>
  <c r="E376" i="3"/>
  <c r="H376" i="3" s="1"/>
  <c r="D376" i="3"/>
  <c r="C376" i="3"/>
  <c r="F375" i="3"/>
  <c r="E375" i="3"/>
  <c r="H375" i="3" s="1"/>
  <c r="D375" i="3"/>
  <c r="C375" i="3"/>
  <c r="F374" i="3"/>
  <c r="J374" i="3" s="1"/>
  <c r="E374" i="3"/>
  <c r="H374" i="3" s="1"/>
  <c r="D374" i="3"/>
  <c r="C374" i="3"/>
  <c r="H373" i="3"/>
  <c r="F373" i="3"/>
  <c r="E373" i="3"/>
  <c r="D373" i="3"/>
  <c r="C373" i="3"/>
  <c r="J373" i="3" s="1"/>
  <c r="H372" i="3"/>
  <c r="F372" i="3"/>
  <c r="J372" i="3" s="1"/>
  <c r="E372" i="3"/>
  <c r="D372" i="3"/>
  <c r="C372" i="3"/>
  <c r="F371" i="3"/>
  <c r="E371" i="3"/>
  <c r="H371" i="3" s="1"/>
  <c r="D371" i="3"/>
  <c r="C371" i="3"/>
  <c r="J371" i="3" s="1"/>
  <c r="F370" i="3"/>
  <c r="J370" i="3" s="1"/>
  <c r="E370" i="3"/>
  <c r="H370" i="3" s="1"/>
  <c r="D370" i="3"/>
  <c r="C370" i="3"/>
  <c r="H369" i="3"/>
  <c r="F369" i="3"/>
  <c r="E369" i="3"/>
  <c r="D369" i="3"/>
  <c r="C369" i="3"/>
  <c r="J369" i="3" s="1"/>
  <c r="F368" i="3"/>
  <c r="E368" i="3"/>
  <c r="H368" i="3" s="1"/>
  <c r="D368" i="3"/>
  <c r="C368" i="3"/>
  <c r="J368" i="3" s="1"/>
  <c r="F367" i="3"/>
  <c r="E367" i="3"/>
  <c r="H367" i="3" s="1"/>
  <c r="D367" i="3"/>
  <c r="C367" i="3"/>
  <c r="J367" i="3" s="1"/>
  <c r="F366" i="3"/>
  <c r="E366" i="3"/>
  <c r="H366" i="3" s="1"/>
  <c r="D366" i="3"/>
  <c r="C366" i="3"/>
  <c r="J366" i="3" s="1"/>
  <c r="H365" i="3"/>
  <c r="F365" i="3"/>
  <c r="E365" i="3"/>
  <c r="D365" i="3"/>
  <c r="C365" i="3"/>
  <c r="J365" i="3" s="1"/>
  <c r="F364" i="3"/>
  <c r="E364" i="3"/>
  <c r="H364" i="3" s="1"/>
  <c r="D364" i="3"/>
  <c r="C364" i="3"/>
  <c r="J364" i="3" s="1"/>
  <c r="F363" i="3"/>
  <c r="E363" i="3"/>
  <c r="H363" i="3" s="1"/>
  <c r="I363" i="3" s="1"/>
  <c r="D363" i="3"/>
  <c r="C363" i="3"/>
  <c r="J362" i="3"/>
  <c r="H362" i="3"/>
  <c r="F362" i="3"/>
  <c r="E362" i="3"/>
  <c r="D362" i="3"/>
  <c r="C362" i="3"/>
  <c r="F361" i="3"/>
  <c r="J361" i="3" s="1"/>
  <c r="E361" i="3"/>
  <c r="H361" i="3" s="1"/>
  <c r="D361" i="3"/>
  <c r="C361" i="3"/>
  <c r="J360" i="3"/>
  <c r="H360" i="3"/>
  <c r="F360" i="3"/>
  <c r="E360" i="3"/>
  <c r="D360" i="3"/>
  <c r="C360" i="3"/>
  <c r="F359" i="3"/>
  <c r="J359" i="3" s="1"/>
  <c r="E359" i="3"/>
  <c r="H359" i="3" s="1"/>
  <c r="D359" i="3"/>
  <c r="C359" i="3"/>
  <c r="J358" i="3"/>
  <c r="H358" i="3"/>
  <c r="I358" i="3" s="1"/>
  <c r="F358" i="3"/>
  <c r="E358" i="3"/>
  <c r="D358" i="3"/>
  <c r="C358" i="3"/>
  <c r="F357" i="3"/>
  <c r="J357" i="3" s="1"/>
  <c r="E357" i="3"/>
  <c r="H357" i="3" s="1"/>
  <c r="D357" i="3"/>
  <c r="C357" i="3"/>
  <c r="H356" i="3"/>
  <c r="F356" i="3"/>
  <c r="E356" i="3"/>
  <c r="D356" i="3"/>
  <c r="C356" i="3"/>
  <c r="J356" i="3" s="1"/>
  <c r="F355" i="3"/>
  <c r="E355" i="3"/>
  <c r="H355" i="3" s="1"/>
  <c r="D355" i="3"/>
  <c r="C355" i="3"/>
  <c r="J355" i="3" s="1"/>
  <c r="H354" i="3"/>
  <c r="F354" i="3"/>
  <c r="E354" i="3"/>
  <c r="D354" i="3"/>
  <c r="C354" i="3"/>
  <c r="J354" i="3" s="1"/>
  <c r="J353" i="3"/>
  <c r="F353" i="3"/>
  <c r="E353" i="3"/>
  <c r="H353" i="3" s="1"/>
  <c r="D353" i="3"/>
  <c r="C353" i="3"/>
  <c r="H352" i="3"/>
  <c r="F352" i="3"/>
  <c r="E352" i="3"/>
  <c r="D352" i="3"/>
  <c r="C352" i="3"/>
  <c r="J352" i="3" s="1"/>
  <c r="H351" i="3"/>
  <c r="F351" i="3"/>
  <c r="E351" i="3"/>
  <c r="D351" i="3"/>
  <c r="C351" i="3"/>
  <c r="J351" i="3" s="1"/>
  <c r="H350" i="3"/>
  <c r="F350" i="3"/>
  <c r="E350" i="3"/>
  <c r="D350" i="3"/>
  <c r="C350" i="3"/>
  <c r="J350" i="3" s="1"/>
  <c r="F349" i="3"/>
  <c r="E349" i="3"/>
  <c r="H349" i="3" s="1"/>
  <c r="D349" i="3"/>
  <c r="C349" i="3"/>
  <c r="J349" i="3" s="1"/>
  <c r="H348" i="3"/>
  <c r="F348" i="3"/>
  <c r="E348" i="3"/>
  <c r="D348" i="3"/>
  <c r="C348" i="3"/>
  <c r="J348" i="3" s="1"/>
  <c r="F347" i="3"/>
  <c r="E347" i="3"/>
  <c r="H347" i="3" s="1"/>
  <c r="D347" i="3"/>
  <c r="C347" i="3"/>
  <c r="J347" i="3" s="1"/>
  <c r="H346" i="3"/>
  <c r="F346" i="3"/>
  <c r="E346" i="3"/>
  <c r="D346" i="3"/>
  <c r="C346" i="3"/>
  <c r="J346" i="3" s="1"/>
  <c r="J345" i="3"/>
  <c r="F345" i="3"/>
  <c r="E345" i="3"/>
  <c r="H345" i="3" s="1"/>
  <c r="D345" i="3"/>
  <c r="C345" i="3"/>
  <c r="H344" i="3"/>
  <c r="F344" i="3"/>
  <c r="E344" i="3"/>
  <c r="D344" i="3"/>
  <c r="C344" i="3"/>
  <c r="J344" i="3" s="1"/>
  <c r="H343" i="3"/>
  <c r="F343" i="3"/>
  <c r="E343" i="3"/>
  <c r="D343" i="3"/>
  <c r="C343" i="3"/>
  <c r="J343" i="3" s="1"/>
  <c r="H342" i="3"/>
  <c r="F342" i="3"/>
  <c r="E342" i="3"/>
  <c r="D342" i="3"/>
  <c r="C342" i="3"/>
  <c r="J342" i="3" s="1"/>
  <c r="F341" i="3"/>
  <c r="J341" i="3" s="1"/>
  <c r="E341" i="3"/>
  <c r="H341" i="3" s="1"/>
  <c r="D341" i="3"/>
  <c r="C341" i="3"/>
  <c r="H340" i="3"/>
  <c r="F340" i="3"/>
  <c r="E340" i="3"/>
  <c r="D340" i="3"/>
  <c r="C340" i="3"/>
  <c r="J340" i="3" s="1"/>
  <c r="J339" i="3"/>
  <c r="F339" i="3"/>
  <c r="E339" i="3"/>
  <c r="H339" i="3" s="1"/>
  <c r="D339" i="3"/>
  <c r="C339" i="3"/>
  <c r="F338" i="3"/>
  <c r="E338" i="3"/>
  <c r="H338" i="3" s="1"/>
  <c r="D338" i="3"/>
  <c r="C338" i="3"/>
  <c r="J338" i="3" s="1"/>
  <c r="J337" i="3"/>
  <c r="H337" i="3"/>
  <c r="F337" i="3"/>
  <c r="E337" i="3"/>
  <c r="D337" i="3"/>
  <c r="C337" i="3"/>
  <c r="F336" i="3"/>
  <c r="E336" i="3"/>
  <c r="H336" i="3" s="1"/>
  <c r="D336" i="3"/>
  <c r="C336" i="3"/>
  <c r="J336" i="3" s="1"/>
  <c r="H335" i="3"/>
  <c r="F335" i="3"/>
  <c r="E335" i="3"/>
  <c r="D335" i="3"/>
  <c r="C335" i="3"/>
  <c r="J335" i="3" s="1"/>
  <c r="F334" i="3"/>
  <c r="E334" i="3"/>
  <c r="H334" i="3" s="1"/>
  <c r="D334" i="3"/>
  <c r="C334" i="3"/>
  <c r="J334" i="3" s="1"/>
  <c r="F333" i="3"/>
  <c r="J333" i="3" s="1"/>
  <c r="E333" i="3"/>
  <c r="H333" i="3" s="1"/>
  <c r="D333" i="3"/>
  <c r="C333" i="3"/>
  <c r="H332" i="3"/>
  <c r="F332" i="3"/>
  <c r="E332" i="3"/>
  <c r="D332" i="3"/>
  <c r="C332" i="3"/>
  <c r="J332" i="3" s="1"/>
  <c r="J331" i="3"/>
  <c r="F331" i="3"/>
  <c r="E331" i="3"/>
  <c r="H331" i="3" s="1"/>
  <c r="D331" i="3"/>
  <c r="C331" i="3"/>
  <c r="F330" i="3"/>
  <c r="E330" i="3"/>
  <c r="H330" i="3" s="1"/>
  <c r="D330" i="3"/>
  <c r="C330" i="3"/>
  <c r="J330" i="3" s="1"/>
  <c r="J329" i="3"/>
  <c r="H329" i="3"/>
  <c r="F329" i="3"/>
  <c r="E329" i="3"/>
  <c r="D329" i="3"/>
  <c r="C329" i="3"/>
  <c r="F328" i="3"/>
  <c r="E328" i="3"/>
  <c r="H328" i="3" s="1"/>
  <c r="D328" i="3"/>
  <c r="C328" i="3"/>
  <c r="J328" i="3" s="1"/>
  <c r="H327" i="3"/>
  <c r="F327" i="3"/>
  <c r="E327" i="3"/>
  <c r="D327" i="3"/>
  <c r="C327" i="3"/>
  <c r="J327" i="3" s="1"/>
  <c r="H326" i="3"/>
  <c r="F326" i="3"/>
  <c r="E326" i="3"/>
  <c r="D326" i="3"/>
  <c r="C326" i="3"/>
  <c r="J326" i="3" s="1"/>
  <c r="F325" i="3"/>
  <c r="E325" i="3"/>
  <c r="H325" i="3" s="1"/>
  <c r="D325" i="3"/>
  <c r="C325" i="3"/>
  <c r="J325" i="3" s="1"/>
  <c r="H324" i="3"/>
  <c r="F324" i="3"/>
  <c r="E324" i="3"/>
  <c r="D324" i="3"/>
  <c r="C324" i="3"/>
  <c r="J324" i="3" s="1"/>
  <c r="F323" i="3"/>
  <c r="E323" i="3"/>
  <c r="H323" i="3" s="1"/>
  <c r="D323" i="3"/>
  <c r="C323" i="3"/>
  <c r="J323" i="3" s="1"/>
  <c r="F322" i="3"/>
  <c r="E322" i="3"/>
  <c r="H322" i="3" s="1"/>
  <c r="D322" i="3"/>
  <c r="C322" i="3"/>
  <c r="J322" i="3" s="1"/>
  <c r="J321" i="3"/>
  <c r="F321" i="3"/>
  <c r="E321" i="3"/>
  <c r="H321" i="3" s="1"/>
  <c r="D321" i="3"/>
  <c r="C321" i="3"/>
  <c r="F320" i="3"/>
  <c r="E320" i="3"/>
  <c r="H320" i="3" s="1"/>
  <c r="D320" i="3"/>
  <c r="C320" i="3"/>
  <c r="J320" i="3" s="1"/>
  <c r="H319" i="3"/>
  <c r="F319" i="3"/>
  <c r="E319" i="3"/>
  <c r="D319" i="3"/>
  <c r="C319" i="3"/>
  <c r="J319" i="3" s="1"/>
  <c r="H318" i="3"/>
  <c r="F318" i="3"/>
  <c r="E318" i="3"/>
  <c r="D318" i="3"/>
  <c r="C318" i="3"/>
  <c r="J318" i="3" s="1"/>
  <c r="F317" i="3"/>
  <c r="J317" i="3" s="1"/>
  <c r="E317" i="3"/>
  <c r="H317" i="3" s="1"/>
  <c r="D317" i="3"/>
  <c r="C317" i="3"/>
  <c r="H316" i="3"/>
  <c r="F316" i="3"/>
  <c r="E316" i="3"/>
  <c r="D316" i="3"/>
  <c r="C316" i="3"/>
  <c r="J316" i="3" s="1"/>
  <c r="J315" i="3"/>
  <c r="F315" i="3"/>
  <c r="E315" i="3"/>
  <c r="H315" i="3" s="1"/>
  <c r="D315" i="3"/>
  <c r="C315" i="3"/>
  <c r="F314" i="3"/>
  <c r="E314" i="3"/>
  <c r="H314" i="3" s="1"/>
  <c r="D314" i="3"/>
  <c r="C314" i="3"/>
  <c r="J314" i="3" s="1"/>
  <c r="J313" i="3"/>
  <c r="H313" i="3"/>
  <c r="F313" i="3"/>
  <c r="E313" i="3"/>
  <c r="D313" i="3"/>
  <c r="C313" i="3"/>
  <c r="F312" i="3"/>
  <c r="E312" i="3"/>
  <c r="H312" i="3" s="1"/>
  <c r="D312" i="3"/>
  <c r="C312" i="3"/>
  <c r="J312" i="3" s="1"/>
  <c r="H311" i="3"/>
  <c r="F311" i="3"/>
  <c r="E311" i="3"/>
  <c r="D311" i="3"/>
  <c r="C311" i="3"/>
  <c r="J311" i="3" s="1"/>
  <c r="H310" i="3"/>
  <c r="F310" i="3"/>
  <c r="E310" i="3"/>
  <c r="D310" i="3"/>
  <c r="C310" i="3"/>
  <c r="J310" i="3" s="1"/>
  <c r="F309" i="3"/>
  <c r="J309" i="3" s="1"/>
  <c r="E309" i="3"/>
  <c r="H309" i="3" s="1"/>
  <c r="D309" i="3"/>
  <c r="C309" i="3"/>
  <c r="H308" i="3"/>
  <c r="F308" i="3"/>
  <c r="E308" i="3"/>
  <c r="D308" i="3"/>
  <c r="C308" i="3"/>
  <c r="J308" i="3" s="1"/>
  <c r="J307" i="3"/>
  <c r="F307" i="3"/>
  <c r="E307" i="3"/>
  <c r="H307" i="3" s="1"/>
  <c r="D307" i="3"/>
  <c r="C307" i="3"/>
  <c r="H306" i="3"/>
  <c r="F306" i="3"/>
  <c r="E306" i="3"/>
  <c r="D306" i="3"/>
  <c r="I306" i="3" s="1"/>
  <c r="C306" i="3"/>
  <c r="J306" i="3" s="1"/>
  <c r="J305" i="3"/>
  <c r="H305" i="3"/>
  <c r="F305" i="3"/>
  <c r="E305" i="3"/>
  <c r="D305" i="3"/>
  <c r="C305" i="3"/>
  <c r="H304" i="3"/>
  <c r="F304" i="3"/>
  <c r="E304" i="3"/>
  <c r="D304" i="3"/>
  <c r="C304" i="3"/>
  <c r="J304" i="3" s="1"/>
  <c r="J303" i="3"/>
  <c r="H303" i="3"/>
  <c r="F303" i="3"/>
  <c r="E303" i="3"/>
  <c r="D303" i="3"/>
  <c r="C303" i="3"/>
  <c r="H302" i="3"/>
  <c r="F302" i="3"/>
  <c r="E302" i="3"/>
  <c r="D302" i="3"/>
  <c r="C302" i="3"/>
  <c r="J302" i="3" s="1"/>
  <c r="J301" i="3"/>
  <c r="H301" i="3"/>
  <c r="F301" i="3"/>
  <c r="E301" i="3"/>
  <c r="D301" i="3"/>
  <c r="C301" i="3"/>
  <c r="F300" i="3"/>
  <c r="E300" i="3"/>
  <c r="H300" i="3" s="1"/>
  <c r="D300" i="3"/>
  <c r="C300" i="3"/>
  <c r="J300" i="3" s="1"/>
  <c r="J299" i="3"/>
  <c r="H299" i="3"/>
  <c r="F299" i="3"/>
  <c r="E299" i="3"/>
  <c r="D299" i="3"/>
  <c r="C299" i="3"/>
  <c r="F298" i="3"/>
  <c r="E298" i="3"/>
  <c r="H298" i="3" s="1"/>
  <c r="D298" i="3"/>
  <c r="C298" i="3"/>
  <c r="J298" i="3" s="1"/>
  <c r="H297" i="3"/>
  <c r="F297" i="3"/>
  <c r="J297" i="3" s="1"/>
  <c r="E297" i="3"/>
  <c r="D297" i="3"/>
  <c r="C297" i="3"/>
  <c r="J296" i="3"/>
  <c r="F296" i="3"/>
  <c r="E296" i="3"/>
  <c r="H296" i="3" s="1"/>
  <c r="D296" i="3"/>
  <c r="C296" i="3"/>
  <c r="H295" i="3"/>
  <c r="F295" i="3"/>
  <c r="E295" i="3"/>
  <c r="D295" i="3"/>
  <c r="C295" i="3"/>
  <c r="J295" i="3" s="1"/>
  <c r="J294" i="3"/>
  <c r="F294" i="3"/>
  <c r="E294" i="3"/>
  <c r="H294" i="3" s="1"/>
  <c r="D294" i="3"/>
  <c r="C294" i="3"/>
  <c r="F293" i="3"/>
  <c r="E293" i="3"/>
  <c r="H293" i="3" s="1"/>
  <c r="D293" i="3"/>
  <c r="C293" i="3"/>
  <c r="J293" i="3" s="1"/>
  <c r="H292" i="3"/>
  <c r="I292" i="3" s="1"/>
  <c r="F292" i="3"/>
  <c r="E292" i="3"/>
  <c r="D292" i="3"/>
  <c r="C292" i="3"/>
  <c r="J292" i="3" s="1"/>
  <c r="F291" i="3"/>
  <c r="E291" i="3"/>
  <c r="H291" i="3" s="1"/>
  <c r="D291" i="3"/>
  <c r="C291" i="3"/>
  <c r="J291" i="3" s="1"/>
  <c r="F290" i="3"/>
  <c r="E290" i="3"/>
  <c r="H290" i="3" s="1"/>
  <c r="D290" i="3"/>
  <c r="C290" i="3"/>
  <c r="J290" i="3" s="1"/>
  <c r="J289" i="3"/>
  <c r="F289" i="3"/>
  <c r="E289" i="3"/>
  <c r="H289" i="3" s="1"/>
  <c r="D289" i="3"/>
  <c r="C289" i="3"/>
  <c r="F288" i="3"/>
  <c r="E288" i="3"/>
  <c r="H288" i="3" s="1"/>
  <c r="D288" i="3"/>
  <c r="C288" i="3"/>
  <c r="J288" i="3" s="1"/>
  <c r="H287" i="3"/>
  <c r="F287" i="3"/>
  <c r="E287" i="3"/>
  <c r="D287" i="3"/>
  <c r="C287" i="3"/>
  <c r="J287" i="3" s="1"/>
  <c r="H286" i="3"/>
  <c r="F286" i="3"/>
  <c r="E286" i="3"/>
  <c r="D286" i="3"/>
  <c r="C286" i="3"/>
  <c r="J286" i="3" s="1"/>
  <c r="F285" i="3"/>
  <c r="J285" i="3" s="1"/>
  <c r="E285" i="3"/>
  <c r="H285" i="3" s="1"/>
  <c r="D285" i="3"/>
  <c r="C285" i="3"/>
  <c r="H284" i="3"/>
  <c r="F284" i="3"/>
  <c r="E284" i="3"/>
  <c r="D284" i="3"/>
  <c r="C284" i="3"/>
  <c r="J284" i="3" s="1"/>
  <c r="J283" i="3"/>
  <c r="F283" i="3"/>
  <c r="E283" i="3"/>
  <c r="H283" i="3" s="1"/>
  <c r="D283" i="3"/>
  <c r="C283" i="3"/>
  <c r="F282" i="3"/>
  <c r="E282" i="3"/>
  <c r="H282" i="3" s="1"/>
  <c r="D282" i="3"/>
  <c r="C282" i="3"/>
  <c r="J282" i="3" s="1"/>
  <c r="J281" i="3"/>
  <c r="H281" i="3"/>
  <c r="F281" i="3"/>
  <c r="E281" i="3"/>
  <c r="D281" i="3"/>
  <c r="C281" i="3"/>
  <c r="F280" i="3"/>
  <c r="E280" i="3"/>
  <c r="H280" i="3" s="1"/>
  <c r="D280" i="3"/>
  <c r="C280" i="3"/>
  <c r="J280" i="3" s="1"/>
  <c r="H279" i="3"/>
  <c r="F279" i="3"/>
  <c r="E279" i="3"/>
  <c r="D279" i="3"/>
  <c r="C279" i="3"/>
  <c r="J279" i="3" s="1"/>
  <c r="F278" i="3"/>
  <c r="E278" i="3"/>
  <c r="H278" i="3" s="1"/>
  <c r="D278" i="3"/>
  <c r="I278" i="3" s="1"/>
  <c r="C278" i="3"/>
  <c r="J278" i="3" s="1"/>
  <c r="F277" i="3"/>
  <c r="J277" i="3" s="1"/>
  <c r="E277" i="3"/>
  <c r="H277" i="3" s="1"/>
  <c r="D277" i="3"/>
  <c r="C277" i="3"/>
  <c r="F276" i="3"/>
  <c r="E276" i="3"/>
  <c r="H276" i="3" s="1"/>
  <c r="D276" i="3"/>
  <c r="C276" i="3"/>
  <c r="J276" i="3" s="1"/>
  <c r="J275" i="3"/>
  <c r="F275" i="3"/>
  <c r="E275" i="3"/>
  <c r="H275" i="3" s="1"/>
  <c r="D275" i="3"/>
  <c r="C275" i="3"/>
  <c r="F274" i="3"/>
  <c r="E274" i="3"/>
  <c r="H274" i="3" s="1"/>
  <c r="D274" i="3"/>
  <c r="C274" i="3"/>
  <c r="J274" i="3" s="1"/>
  <c r="J273" i="3"/>
  <c r="H273" i="3"/>
  <c r="F273" i="3"/>
  <c r="E273" i="3"/>
  <c r="D273" i="3"/>
  <c r="C273" i="3"/>
  <c r="F272" i="3"/>
  <c r="E272" i="3"/>
  <c r="H272" i="3" s="1"/>
  <c r="D272" i="3"/>
  <c r="C272" i="3"/>
  <c r="J272" i="3" s="1"/>
  <c r="H271" i="3"/>
  <c r="F271" i="3"/>
  <c r="J271" i="3" s="1"/>
  <c r="E271" i="3"/>
  <c r="D271" i="3"/>
  <c r="C271" i="3"/>
  <c r="J270" i="3"/>
  <c r="F270" i="3"/>
  <c r="E270" i="3"/>
  <c r="H270" i="3" s="1"/>
  <c r="D270" i="3"/>
  <c r="C270" i="3"/>
  <c r="H269" i="3"/>
  <c r="F269" i="3"/>
  <c r="J269" i="3" s="1"/>
  <c r="E269" i="3"/>
  <c r="D269" i="3"/>
  <c r="C269" i="3"/>
  <c r="J268" i="3"/>
  <c r="F268" i="3"/>
  <c r="E268" i="3"/>
  <c r="H268" i="3" s="1"/>
  <c r="D268" i="3"/>
  <c r="C268" i="3"/>
  <c r="H267" i="3"/>
  <c r="F267" i="3"/>
  <c r="J267" i="3" s="1"/>
  <c r="E267" i="3"/>
  <c r="D267" i="3"/>
  <c r="C267" i="3"/>
  <c r="J266" i="3"/>
  <c r="F266" i="3"/>
  <c r="E266" i="3"/>
  <c r="H266" i="3" s="1"/>
  <c r="D266" i="3"/>
  <c r="C266" i="3"/>
  <c r="H265" i="3"/>
  <c r="F265" i="3"/>
  <c r="J265" i="3" s="1"/>
  <c r="E265" i="3"/>
  <c r="D265" i="3"/>
  <c r="C265" i="3"/>
  <c r="J264" i="3"/>
  <c r="F264" i="3"/>
  <c r="E264" i="3"/>
  <c r="H264" i="3" s="1"/>
  <c r="D264" i="3"/>
  <c r="C264" i="3"/>
  <c r="H263" i="3"/>
  <c r="F263" i="3"/>
  <c r="J263" i="3" s="1"/>
  <c r="E263" i="3"/>
  <c r="D263" i="3"/>
  <c r="C263" i="3"/>
  <c r="J262" i="3"/>
  <c r="F262" i="3"/>
  <c r="E262" i="3"/>
  <c r="H262" i="3" s="1"/>
  <c r="D262" i="3"/>
  <c r="C262" i="3"/>
  <c r="H261" i="3"/>
  <c r="F261" i="3"/>
  <c r="J261" i="3" s="1"/>
  <c r="E261" i="3"/>
  <c r="D261" i="3"/>
  <c r="C261" i="3"/>
  <c r="J260" i="3"/>
  <c r="F260" i="3"/>
  <c r="E260" i="3"/>
  <c r="H260" i="3" s="1"/>
  <c r="D260" i="3"/>
  <c r="C260" i="3"/>
  <c r="H259" i="3"/>
  <c r="F259" i="3"/>
  <c r="J259" i="3" s="1"/>
  <c r="E259" i="3"/>
  <c r="D259" i="3"/>
  <c r="C259" i="3"/>
  <c r="J258" i="3"/>
  <c r="F258" i="3"/>
  <c r="E258" i="3"/>
  <c r="H258" i="3" s="1"/>
  <c r="D258" i="3"/>
  <c r="C258" i="3"/>
  <c r="H257" i="3"/>
  <c r="F257" i="3"/>
  <c r="J257" i="3" s="1"/>
  <c r="E257" i="3"/>
  <c r="D257" i="3"/>
  <c r="C257" i="3"/>
  <c r="J256" i="3"/>
  <c r="F256" i="3"/>
  <c r="E256" i="3"/>
  <c r="H256" i="3" s="1"/>
  <c r="D256" i="3"/>
  <c r="C256" i="3"/>
  <c r="H255" i="3"/>
  <c r="F255" i="3"/>
  <c r="J255" i="3" s="1"/>
  <c r="E255" i="3"/>
  <c r="D255" i="3"/>
  <c r="C255" i="3"/>
  <c r="J254" i="3"/>
  <c r="F254" i="3"/>
  <c r="E254" i="3"/>
  <c r="H254" i="3" s="1"/>
  <c r="D254" i="3"/>
  <c r="C254" i="3"/>
  <c r="H253" i="3"/>
  <c r="F253" i="3"/>
  <c r="J253" i="3" s="1"/>
  <c r="E253" i="3"/>
  <c r="D253" i="3"/>
  <c r="C253" i="3"/>
  <c r="J252" i="3"/>
  <c r="F252" i="3"/>
  <c r="E252" i="3"/>
  <c r="H252" i="3" s="1"/>
  <c r="D252" i="3"/>
  <c r="C252" i="3"/>
  <c r="H251" i="3"/>
  <c r="F251" i="3"/>
  <c r="J251" i="3" s="1"/>
  <c r="E251" i="3"/>
  <c r="D251" i="3"/>
  <c r="C251" i="3"/>
  <c r="J250" i="3"/>
  <c r="F250" i="3"/>
  <c r="E250" i="3"/>
  <c r="H250" i="3" s="1"/>
  <c r="D250" i="3"/>
  <c r="C250" i="3"/>
  <c r="H249" i="3"/>
  <c r="F249" i="3"/>
  <c r="J249" i="3" s="1"/>
  <c r="E249" i="3"/>
  <c r="D249" i="3"/>
  <c r="C249" i="3"/>
  <c r="J248" i="3"/>
  <c r="F248" i="3"/>
  <c r="E248" i="3"/>
  <c r="H248" i="3" s="1"/>
  <c r="D248" i="3"/>
  <c r="C248" i="3"/>
  <c r="H247" i="3"/>
  <c r="F247" i="3"/>
  <c r="J247" i="3" s="1"/>
  <c r="E247" i="3"/>
  <c r="D247" i="3"/>
  <c r="C247" i="3"/>
  <c r="J246" i="3"/>
  <c r="F246" i="3"/>
  <c r="E246" i="3"/>
  <c r="H246" i="3" s="1"/>
  <c r="D246" i="3"/>
  <c r="C246" i="3"/>
  <c r="H245" i="3"/>
  <c r="F245" i="3"/>
  <c r="E245" i="3"/>
  <c r="D245" i="3"/>
  <c r="C245" i="3"/>
  <c r="J245" i="3" s="1"/>
  <c r="J244" i="3"/>
  <c r="F244" i="3"/>
  <c r="E244" i="3"/>
  <c r="H244" i="3" s="1"/>
  <c r="D244" i="3"/>
  <c r="C244" i="3"/>
  <c r="H243" i="3"/>
  <c r="F243" i="3"/>
  <c r="E243" i="3"/>
  <c r="D243" i="3"/>
  <c r="C243" i="3"/>
  <c r="J243" i="3" s="1"/>
  <c r="J242" i="3"/>
  <c r="F242" i="3"/>
  <c r="E242" i="3"/>
  <c r="H242" i="3" s="1"/>
  <c r="D242" i="3"/>
  <c r="C242" i="3"/>
  <c r="H241" i="3"/>
  <c r="F241" i="3"/>
  <c r="E241" i="3"/>
  <c r="D241" i="3"/>
  <c r="C241" i="3"/>
  <c r="J241" i="3" s="1"/>
  <c r="F240" i="3"/>
  <c r="J240" i="3" s="1"/>
  <c r="E240" i="3"/>
  <c r="H240" i="3" s="1"/>
  <c r="I240" i="3" s="1"/>
  <c r="D240" i="3"/>
  <c r="C240" i="3"/>
  <c r="J239" i="3"/>
  <c r="F239" i="3"/>
  <c r="E239" i="3"/>
  <c r="H239" i="3" s="1"/>
  <c r="D239" i="3"/>
  <c r="C239" i="3"/>
  <c r="F238" i="3"/>
  <c r="E238" i="3"/>
  <c r="H238" i="3" s="1"/>
  <c r="D238" i="3"/>
  <c r="C238" i="3"/>
  <c r="J238" i="3" s="1"/>
  <c r="J237" i="3"/>
  <c r="F237" i="3"/>
  <c r="E237" i="3"/>
  <c r="H237" i="3" s="1"/>
  <c r="D237" i="3"/>
  <c r="C237" i="3"/>
  <c r="F236" i="3"/>
  <c r="E236" i="3"/>
  <c r="H236" i="3" s="1"/>
  <c r="D236" i="3"/>
  <c r="C236" i="3"/>
  <c r="J236" i="3" s="1"/>
  <c r="J235" i="3"/>
  <c r="F235" i="3"/>
  <c r="E235" i="3"/>
  <c r="H235" i="3" s="1"/>
  <c r="D235" i="3"/>
  <c r="C235" i="3"/>
  <c r="F234" i="3"/>
  <c r="E234" i="3"/>
  <c r="H234" i="3" s="1"/>
  <c r="D234" i="3"/>
  <c r="C234" i="3"/>
  <c r="J234" i="3" s="1"/>
  <c r="J233" i="3"/>
  <c r="F233" i="3"/>
  <c r="E233" i="3"/>
  <c r="H233" i="3" s="1"/>
  <c r="D233" i="3"/>
  <c r="C233" i="3"/>
  <c r="F232" i="3"/>
  <c r="E232" i="3"/>
  <c r="H232" i="3" s="1"/>
  <c r="D232" i="3"/>
  <c r="C232" i="3"/>
  <c r="J232" i="3" s="1"/>
  <c r="J231" i="3"/>
  <c r="F231" i="3"/>
  <c r="E231" i="3"/>
  <c r="H231" i="3" s="1"/>
  <c r="D231" i="3"/>
  <c r="C231" i="3"/>
  <c r="F230" i="3"/>
  <c r="E230" i="3"/>
  <c r="H230" i="3" s="1"/>
  <c r="D230" i="3"/>
  <c r="C230" i="3"/>
  <c r="J230" i="3" s="1"/>
  <c r="J229" i="3"/>
  <c r="F229" i="3"/>
  <c r="E229" i="3"/>
  <c r="H229" i="3" s="1"/>
  <c r="D229" i="3"/>
  <c r="C229" i="3"/>
  <c r="F228" i="3"/>
  <c r="E228" i="3"/>
  <c r="H228" i="3" s="1"/>
  <c r="D228" i="3"/>
  <c r="C228" i="3"/>
  <c r="J228" i="3" s="1"/>
  <c r="J227" i="3"/>
  <c r="F227" i="3"/>
  <c r="E227" i="3"/>
  <c r="H227" i="3" s="1"/>
  <c r="D227" i="3"/>
  <c r="C227" i="3"/>
  <c r="F226" i="3"/>
  <c r="E226" i="3"/>
  <c r="H226" i="3" s="1"/>
  <c r="D226" i="3"/>
  <c r="C226" i="3"/>
  <c r="J226" i="3" s="1"/>
  <c r="J225" i="3"/>
  <c r="F225" i="3"/>
  <c r="E225" i="3"/>
  <c r="H225" i="3" s="1"/>
  <c r="D225" i="3"/>
  <c r="C225" i="3"/>
  <c r="F224" i="3"/>
  <c r="E224" i="3"/>
  <c r="H224" i="3" s="1"/>
  <c r="D224" i="3"/>
  <c r="C224" i="3"/>
  <c r="J224" i="3" s="1"/>
  <c r="J223" i="3"/>
  <c r="F223" i="3"/>
  <c r="E223" i="3"/>
  <c r="H223" i="3" s="1"/>
  <c r="D223" i="3"/>
  <c r="C223" i="3"/>
  <c r="H222" i="3"/>
  <c r="I222" i="3" s="1"/>
  <c r="F222" i="3"/>
  <c r="E222" i="3"/>
  <c r="D222" i="3"/>
  <c r="C222" i="3"/>
  <c r="J222" i="3" s="1"/>
  <c r="H221" i="3"/>
  <c r="F221" i="3"/>
  <c r="J221" i="3" s="1"/>
  <c r="E221" i="3"/>
  <c r="D221" i="3"/>
  <c r="C221" i="3"/>
  <c r="H220" i="3"/>
  <c r="F220" i="3"/>
  <c r="E220" i="3"/>
  <c r="D220" i="3"/>
  <c r="C220" i="3"/>
  <c r="J220" i="3" s="1"/>
  <c r="H219" i="3"/>
  <c r="F219" i="3"/>
  <c r="J219" i="3" s="1"/>
  <c r="E219" i="3"/>
  <c r="D219" i="3"/>
  <c r="C219" i="3"/>
  <c r="H218" i="3"/>
  <c r="F218" i="3"/>
  <c r="E218" i="3"/>
  <c r="D218" i="3"/>
  <c r="C218" i="3"/>
  <c r="J218" i="3" s="1"/>
  <c r="H217" i="3"/>
  <c r="F217" i="3"/>
  <c r="J217" i="3" s="1"/>
  <c r="E217" i="3"/>
  <c r="D217" i="3"/>
  <c r="C217" i="3"/>
  <c r="H216" i="3"/>
  <c r="F216" i="3"/>
  <c r="E216" i="3"/>
  <c r="D216" i="3"/>
  <c r="C216" i="3"/>
  <c r="J216" i="3" s="1"/>
  <c r="H215" i="3"/>
  <c r="F215" i="3"/>
  <c r="J215" i="3" s="1"/>
  <c r="E215" i="3"/>
  <c r="D215" i="3"/>
  <c r="C215" i="3"/>
  <c r="H214" i="3"/>
  <c r="F214" i="3"/>
  <c r="E214" i="3"/>
  <c r="D214" i="3"/>
  <c r="C214" i="3"/>
  <c r="J214" i="3" s="1"/>
  <c r="H213" i="3"/>
  <c r="F213" i="3"/>
  <c r="J213" i="3" s="1"/>
  <c r="E213" i="3"/>
  <c r="D213" i="3"/>
  <c r="C213" i="3"/>
  <c r="H212" i="3"/>
  <c r="F212" i="3"/>
  <c r="E212" i="3"/>
  <c r="D212" i="3"/>
  <c r="C212" i="3"/>
  <c r="J212" i="3" s="1"/>
  <c r="H211" i="3"/>
  <c r="F211" i="3"/>
  <c r="J211" i="3" s="1"/>
  <c r="E211" i="3"/>
  <c r="D211" i="3"/>
  <c r="C211" i="3"/>
  <c r="H210" i="3"/>
  <c r="F210" i="3"/>
  <c r="E210" i="3"/>
  <c r="D210" i="3"/>
  <c r="C210" i="3"/>
  <c r="J210" i="3" s="1"/>
  <c r="H209" i="3"/>
  <c r="F209" i="3"/>
  <c r="J209" i="3" s="1"/>
  <c r="E209" i="3"/>
  <c r="D209" i="3"/>
  <c r="C209" i="3"/>
  <c r="H208" i="3"/>
  <c r="F208" i="3"/>
  <c r="E208" i="3"/>
  <c r="D208" i="3"/>
  <c r="C208" i="3"/>
  <c r="J208" i="3" s="1"/>
  <c r="H207" i="3"/>
  <c r="F207" i="3"/>
  <c r="J207" i="3" s="1"/>
  <c r="E207" i="3"/>
  <c r="D207" i="3"/>
  <c r="C207" i="3"/>
  <c r="H206" i="3"/>
  <c r="F206" i="3"/>
  <c r="E206" i="3"/>
  <c r="D206" i="3"/>
  <c r="C206" i="3"/>
  <c r="J206" i="3" s="1"/>
  <c r="H205" i="3"/>
  <c r="F205" i="3"/>
  <c r="J205" i="3" s="1"/>
  <c r="E205" i="3"/>
  <c r="D205" i="3"/>
  <c r="C205" i="3"/>
  <c r="H204" i="3"/>
  <c r="F204" i="3"/>
  <c r="E204" i="3"/>
  <c r="D204" i="3"/>
  <c r="C204" i="3"/>
  <c r="J204" i="3" s="1"/>
  <c r="H203" i="3"/>
  <c r="F203" i="3"/>
  <c r="J203" i="3" s="1"/>
  <c r="E203" i="3"/>
  <c r="D203" i="3"/>
  <c r="C203" i="3"/>
  <c r="H202" i="3"/>
  <c r="F202" i="3"/>
  <c r="E202" i="3"/>
  <c r="D202" i="3"/>
  <c r="C202" i="3"/>
  <c r="J202" i="3" s="1"/>
  <c r="H201" i="3"/>
  <c r="F201" i="3"/>
  <c r="J201" i="3" s="1"/>
  <c r="E201" i="3"/>
  <c r="D201" i="3"/>
  <c r="C201" i="3"/>
  <c r="H200" i="3"/>
  <c r="F200" i="3"/>
  <c r="E200" i="3"/>
  <c r="D200" i="3"/>
  <c r="C200" i="3"/>
  <c r="J200" i="3" s="1"/>
  <c r="H199" i="3"/>
  <c r="F199" i="3"/>
  <c r="J199" i="3" s="1"/>
  <c r="E199" i="3"/>
  <c r="D199" i="3"/>
  <c r="C199" i="3"/>
  <c r="H198" i="3"/>
  <c r="F198" i="3"/>
  <c r="E198" i="3"/>
  <c r="D198" i="3"/>
  <c r="C198" i="3"/>
  <c r="J198" i="3" s="1"/>
  <c r="I197" i="3"/>
  <c r="H197" i="3"/>
  <c r="F197" i="3"/>
  <c r="J197" i="3" s="1"/>
  <c r="E197" i="3"/>
  <c r="D197" i="3"/>
  <c r="C197" i="3"/>
  <c r="J196" i="3"/>
  <c r="H196" i="3"/>
  <c r="F196" i="3"/>
  <c r="E196" i="3"/>
  <c r="D196" i="3"/>
  <c r="C196" i="3"/>
  <c r="J195" i="3"/>
  <c r="H195" i="3"/>
  <c r="F195" i="3"/>
  <c r="E195" i="3"/>
  <c r="D195" i="3"/>
  <c r="C195" i="3"/>
  <c r="J194" i="3"/>
  <c r="H194" i="3"/>
  <c r="F194" i="3"/>
  <c r="E194" i="3"/>
  <c r="D194" i="3"/>
  <c r="C194" i="3"/>
  <c r="J193" i="3"/>
  <c r="H193" i="3"/>
  <c r="F193" i="3"/>
  <c r="E193" i="3"/>
  <c r="D193" i="3"/>
  <c r="C193" i="3"/>
  <c r="F192" i="3"/>
  <c r="E192" i="3"/>
  <c r="H192" i="3" s="1"/>
  <c r="I192" i="3" s="1"/>
  <c r="D192" i="3"/>
  <c r="C192" i="3"/>
  <c r="J192" i="3" s="1"/>
  <c r="H191" i="3"/>
  <c r="F191" i="3"/>
  <c r="E191" i="3"/>
  <c r="D191" i="3"/>
  <c r="C191" i="3"/>
  <c r="J191" i="3" s="1"/>
  <c r="F190" i="3"/>
  <c r="E190" i="3"/>
  <c r="H190" i="3" s="1"/>
  <c r="D190" i="3"/>
  <c r="C190" i="3"/>
  <c r="J190" i="3" s="1"/>
  <c r="H189" i="3"/>
  <c r="F189" i="3"/>
  <c r="E189" i="3"/>
  <c r="D189" i="3"/>
  <c r="C189" i="3"/>
  <c r="J189" i="3" s="1"/>
  <c r="F188" i="3"/>
  <c r="E188" i="3"/>
  <c r="H188" i="3" s="1"/>
  <c r="D188" i="3"/>
  <c r="C188" i="3"/>
  <c r="J188" i="3" s="1"/>
  <c r="H187" i="3"/>
  <c r="F187" i="3"/>
  <c r="E187" i="3"/>
  <c r="D187" i="3"/>
  <c r="C187" i="3"/>
  <c r="J187" i="3" s="1"/>
  <c r="F186" i="3"/>
  <c r="E186" i="3"/>
  <c r="H186" i="3" s="1"/>
  <c r="D186" i="3"/>
  <c r="C186" i="3"/>
  <c r="J186" i="3" s="1"/>
  <c r="H185" i="3"/>
  <c r="F185" i="3"/>
  <c r="E185" i="3"/>
  <c r="D185" i="3"/>
  <c r="C185" i="3"/>
  <c r="J185" i="3" s="1"/>
  <c r="F184" i="3"/>
  <c r="E184" i="3"/>
  <c r="H184" i="3" s="1"/>
  <c r="D184" i="3"/>
  <c r="C184" i="3"/>
  <c r="J184" i="3" s="1"/>
  <c r="H183" i="3"/>
  <c r="F183" i="3"/>
  <c r="E183" i="3"/>
  <c r="D183" i="3"/>
  <c r="C183" i="3"/>
  <c r="J183" i="3" s="1"/>
  <c r="F182" i="3"/>
  <c r="E182" i="3"/>
  <c r="H182" i="3" s="1"/>
  <c r="D182" i="3"/>
  <c r="C182" i="3"/>
  <c r="J182" i="3" s="1"/>
  <c r="H181" i="3"/>
  <c r="F181" i="3"/>
  <c r="E181" i="3"/>
  <c r="D181" i="3"/>
  <c r="C181" i="3"/>
  <c r="J181" i="3" s="1"/>
  <c r="F180" i="3"/>
  <c r="E180" i="3"/>
  <c r="H180" i="3" s="1"/>
  <c r="D180" i="3"/>
  <c r="C180" i="3"/>
  <c r="J180" i="3" s="1"/>
  <c r="H179" i="3"/>
  <c r="F179" i="3"/>
  <c r="E179" i="3"/>
  <c r="D179" i="3"/>
  <c r="C179" i="3"/>
  <c r="J179" i="3" s="1"/>
  <c r="F178" i="3"/>
  <c r="E178" i="3"/>
  <c r="H178" i="3" s="1"/>
  <c r="D178" i="3"/>
  <c r="C178" i="3"/>
  <c r="J178" i="3" s="1"/>
  <c r="H177" i="3"/>
  <c r="F177" i="3"/>
  <c r="E177" i="3"/>
  <c r="D177" i="3"/>
  <c r="C177" i="3"/>
  <c r="J177" i="3" s="1"/>
  <c r="F176" i="3"/>
  <c r="E176" i="3"/>
  <c r="H176" i="3" s="1"/>
  <c r="D176" i="3"/>
  <c r="C176" i="3"/>
  <c r="J176" i="3" s="1"/>
  <c r="H175" i="3"/>
  <c r="F175" i="3"/>
  <c r="E175" i="3"/>
  <c r="D175" i="3"/>
  <c r="C175" i="3"/>
  <c r="J175" i="3" s="1"/>
  <c r="F174" i="3"/>
  <c r="E174" i="3"/>
  <c r="H174" i="3" s="1"/>
  <c r="D174" i="3"/>
  <c r="C174" i="3"/>
  <c r="J174" i="3" s="1"/>
  <c r="H173" i="3"/>
  <c r="F173" i="3"/>
  <c r="E173" i="3"/>
  <c r="D173" i="3"/>
  <c r="C173" i="3"/>
  <c r="J173" i="3" s="1"/>
  <c r="F172" i="3"/>
  <c r="E172" i="3"/>
  <c r="H172" i="3" s="1"/>
  <c r="D172" i="3"/>
  <c r="C172" i="3"/>
  <c r="J172" i="3" s="1"/>
  <c r="H171" i="3"/>
  <c r="F171" i="3"/>
  <c r="E171" i="3"/>
  <c r="D171" i="3"/>
  <c r="C171" i="3"/>
  <c r="J171" i="3" s="1"/>
  <c r="F170" i="3"/>
  <c r="E170" i="3"/>
  <c r="H170" i="3" s="1"/>
  <c r="D170" i="3"/>
  <c r="C170" i="3"/>
  <c r="J170" i="3" s="1"/>
  <c r="H169" i="3"/>
  <c r="F169" i="3"/>
  <c r="E169" i="3"/>
  <c r="D169" i="3"/>
  <c r="C169" i="3"/>
  <c r="J169" i="3" s="1"/>
  <c r="F168" i="3"/>
  <c r="E168" i="3"/>
  <c r="H168" i="3" s="1"/>
  <c r="D168" i="3"/>
  <c r="C168" i="3"/>
  <c r="J168" i="3" s="1"/>
  <c r="H167" i="3"/>
  <c r="F167" i="3"/>
  <c r="E167" i="3"/>
  <c r="D167" i="3"/>
  <c r="C167" i="3"/>
  <c r="J167" i="3" s="1"/>
  <c r="F166" i="3"/>
  <c r="E166" i="3"/>
  <c r="H166" i="3" s="1"/>
  <c r="D166" i="3"/>
  <c r="C166" i="3"/>
  <c r="J166" i="3" s="1"/>
  <c r="H165" i="3"/>
  <c r="F165" i="3"/>
  <c r="E165" i="3"/>
  <c r="D165" i="3"/>
  <c r="C165" i="3"/>
  <c r="J165" i="3" s="1"/>
  <c r="F164" i="3"/>
  <c r="E164" i="3"/>
  <c r="H164" i="3" s="1"/>
  <c r="D164" i="3"/>
  <c r="C164" i="3"/>
  <c r="J164" i="3" s="1"/>
  <c r="H163" i="3"/>
  <c r="F163" i="3"/>
  <c r="E163" i="3"/>
  <c r="D163" i="3"/>
  <c r="C163" i="3"/>
  <c r="J163" i="3" s="1"/>
  <c r="F162" i="3"/>
  <c r="E162" i="3"/>
  <c r="H162" i="3" s="1"/>
  <c r="D162" i="3"/>
  <c r="C162" i="3"/>
  <c r="J162" i="3" s="1"/>
  <c r="H161" i="3"/>
  <c r="F161" i="3"/>
  <c r="E161" i="3"/>
  <c r="D161" i="3"/>
  <c r="C161" i="3"/>
  <c r="J161" i="3" s="1"/>
  <c r="F160" i="3"/>
  <c r="E160" i="3"/>
  <c r="H160" i="3" s="1"/>
  <c r="D160" i="3"/>
  <c r="C160" i="3"/>
  <c r="J160" i="3" s="1"/>
  <c r="H159" i="3"/>
  <c r="F159" i="3"/>
  <c r="E159" i="3"/>
  <c r="D159" i="3"/>
  <c r="C159" i="3"/>
  <c r="J159" i="3" s="1"/>
  <c r="F158" i="3"/>
  <c r="E158" i="3"/>
  <c r="H158" i="3" s="1"/>
  <c r="D158" i="3"/>
  <c r="C158" i="3"/>
  <c r="J158" i="3" s="1"/>
  <c r="H157" i="3"/>
  <c r="F157" i="3"/>
  <c r="E157" i="3"/>
  <c r="D157" i="3"/>
  <c r="C157" i="3"/>
  <c r="J157" i="3" s="1"/>
  <c r="F156" i="3"/>
  <c r="E156" i="3"/>
  <c r="H156" i="3" s="1"/>
  <c r="D156" i="3"/>
  <c r="C156" i="3"/>
  <c r="J156" i="3" s="1"/>
  <c r="H155" i="3"/>
  <c r="F155" i="3"/>
  <c r="E155" i="3"/>
  <c r="D155" i="3"/>
  <c r="C155" i="3"/>
  <c r="J155" i="3" s="1"/>
  <c r="F154" i="3"/>
  <c r="E154" i="3"/>
  <c r="H154" i="3" s="1"/>
  <c r="D154" i="3"/>
  <c r="C154" i="3"/>
  <c r="J154" i="3" s="1"/>
  <c r="H153" i="3"/>
  <c r="F153" i="3"/>
  <c r="E153" i="3"/>
  <c r="D153" i="3"/>
  <c r="C153" i="3"/>
  <c r="J153" i="3" s="1"/>
  <c r="F152" i="3"/>
  <c r="E152" i="3"/>
  <c r="H152" i="3" s="1"/>
  <c r="D152" i="3"/>
  <c r="C152" i="3"/>
  <c r="J152" i="3" s="1"/>
  <c r="H151" i="3"/>
  <c r="F151" i="3"/>
  <c r="E151" i="3"/>
  <c r="D151" i="3"/>
  <c r="C151" i="3"/>
  <c r="J151" i="3" s="1"/>
  <c r="F150" i="3"/>
  <c r="E150" i="3"/>
  <c r="H150" i="3" s="1"/>
  <c r="D150" i="3"/>
  <c r="C150" i="3"/>
  <c r="J150" i="3" s="1"/>
  <c r="H149" i="3"/>
  <c r="F149" i="3"/>
  <c r="E149" i="3"/>
  <c r="D149" i="3"/>
  <c r="C149" i="3"/>
  <c r="J149" i="3" s="1"/>
  <c r="F148" i="3"/>
  <c r="E148" i="3"/>
  <c r="H148" i="3" s="1"/>
  <c r="D148" i="3"/>
  <c r="C148" i="3"/>
  <c r="J148" i="3" s="1"/>
  <c r="H147" i="3"/>
  <c r="F147" i="3"/>
  <c r="E147" i="3"/>
  <c r="D147" i="3"/>
  <c r="C147" i="3"/>
  <c r="J147" i="3" s="1"/>
  <c r="F146" i="3"/>
  <c r="E146" i="3"/>
  <c r="H146" i="3" s="1"/>
  <c r="D146" i="3"/>
  <c r="C146" i="3"/>
  <c r="J146" i="3" s="1"/>
  <c r="H145" i="3"/>
  <c r="F145" i="3"/>
  <c r="E145" i="3"/>
  <c r="D145" i="3"/>
  <c r="C145" i="3"/>
  <c r="J145" i="3" s="1"/>
  <c r="F144" i="3"/>
  <c r="E144" i="3"/>
  <c r="H144" i="3" s="1"/>
  <c r="D144" i="3"/>
  <c r="C144" i="3"/>
  <c r="J144" i="3" s="1"/>
  <c r="H143" i="3"/>
  <c r="F143" i="3"/>
  <c r="E143" i="3"/>
  <c r="D143" i="3"/>
  <c r="C143" i="3"/>
  <c r="J143" i="3" s="1"/>
  <c r="F142" i="3"/>
  <c r="E142" i="3"/>
  <c r="H142" i="3" s="1"/>
  <c r="D142" i="3"/>
  <c r="C142" i="3"/>
  <c r="J142" i="3" s="1"/>
  <c r="H141" i="3"/>
  <c r="F141" i="3"/>
  <c r="E141" i="3"/>
  <c r="D141" i="3"/>
  <c r="C141" i="3"/>
  <c r="J141" i="3" s="1"/>
  <c r="F140" i="3"/>
  <c r="E140" i="3"/>
  <c r="H140" i="3" s="1"/>
  <c r="D140" i="3"/>
  <c r="C140" i="3"/>
  <c r="J140" i="3" s="1"/>
  <c r="H139" i="3"/>
  <c r="F139" i="3"/>
  <c r="E139" i="3"/>
  <c r="D139" i="3"/>
  <c r="C139" i="3"/>
  <c r="J139" i="3" s="1"/>
  <c r="F138" i="3"/>
  <c r="E138" i="3"/>
  <c r="H138" i="3" s="1"/>
  <c r="D138" i="3"/>
  <c r="C138" i="3"/>
  <c r="J138" i="3" s="1"/>
  <c r="H137" i="3"/>
  <c r="F137" i="3"/>
  <c r="E137" i="3"/>
  <c r="D137" i="3"/>
  <c r="C137" i="3"/>
  <c r="J137" i="3" s="1"/>
  <c r="F136" i="3"/>
  <c r="E136" i="3"/>
  <c r="H136" i="3" s="1"/>
  <c r="D136" i="3"/>
  <c r="C136" i="3"/>
  <c r="J136" i="3" s="1"/>
  <c r="H135" i="3"/>
  <c r="F135" i="3"/>
  <c r="E135" i="3"/>
  <c r="D135" i="3"/>
  <c r="C135" i="3"/>
  <c r="J135" i="3" s="1"/>
  <c r="F134" i="3"/>
  <c r="E134" i="3"/>
  <c r="H134" i="3" s="1"/>
  <c r="D134" i="3"/>
  <c r="C134" i="3"/>
  <c r="J134" i="3" s="1"/>
  <c r="F133" i="3"/>
  <c r="E133" i="3"/>
  <c r="H133" i="3" s="1"/>
  <c r="D133" i="3"/>
  <c r="C133" i="3"/>
  <c r="J133" i="3" s="1"/>
  <c r="F132" i="3"/>
  <c r="E132" i="3"/>
  <c r="H132" i="3" s="1"/>
  <c r="D132" i="3"/>
  <c r="C132" i="3"/>
  <c r="J132" i="3" s="1"/>
  <c r="F131" i="3"/>
  <c r="E131" i="3"/>
  <c r="H131" i="3" s="1"/>
  <c r="D131" i="3"/>
  <c r="C131" i="3"/>
  <c r="J131" i="3" s="1"/>
  <c r="F130" i="3"/>
  <c r="E130" i="3"/>
  <c r="H130" i="3" s="1"/>
  <c r="D130" i="3"/>
  <c r="C130" i="3"/>
  <c r="J130" i="3" s="1"/>
  <c r="F129" i="3"/>
  <c r="E129" i="3"/>
  <c r="H129" i="3" s="1"/>
  <c r="D129" i="3"/>
  <c r="C129" i="3"/>
  <c r="J129" i="3" s="1"/>
  <c r="F128" i="3"/>
  <c r="E128" i="3"/>
  <c r="H128" i="3" s="1"/>
  <c r="D128" i="3"/>
  <c r="C128" i="3"/>
  <c r="J128" i="3" s="1"/>
  <c r="H127" i="3"/>
  <c r="F127" i="3"/>
  <c r="J127" i="3" s="1"/>
  <c r="E127" i="3"/>
  <c r="D127" i="3"/>
  <c r="I127" i="3" s="1"/>
  <c r="C127" i="3"/>
  <c r="F126" i="3"/>
  <c r="E126" i="3"/>
  <c r="H126" i="3" s="1"/>
  <c r="D126" i="3"/>
  <c r="C126" i="3"/>
  <c r="J126" i="3" s="1"/>
  <c r="H125" i="3"/>
  <c r="F125" i="3"/>
  <c r="J125" i="3" s="1"/>
  <c r="E125" i="3"/>
  <c r="D125" i="3"/>
  <c r="C125" i="3"/>
  <c r="F124" i="3"/>
  <c r="E124" i="3"/>
  <c r="H124" i="3" s="1"/>
  <c r="D124" i="3"/>
  <c r="C124" i="3"/>
  <c r="J124" i="3" s="1"/>
  <c r="H123" i="3"/>
  <c r="F123" i="3"/>
  <c r="J123" i="3" s="1"/>
  <c r="E123" i="3"/>
  <c r="D123" i="3"/>
  <c r="C123" i="3"/>
  <c r="F122" i="3"/>
  <c r="E122" i="3"/>
  <c r="H122" i="3" s="1"/>
  <c r="D122" i="3"/>
  <c r="C122" i="3"/>
  <c r="J122" i="3" s="1"/>
  <c r="H121" i="3"/>
  <c r="F121" i="3"/>
  <c r="J121" i="3" s="1"/>
  <c r="E121" i="3"/>
  <c r="D121" i="3"/>
  <c r="C121" i="3"/>
  <c r="F120" i="3"/>
  <c r="E120" i="3"/>
  <c r="H120" i="3" s="1"/>
  <c r="D120" i="3"/>
  <c r="C120" i="3"/>
  <c r="J120" i="3" s="1"/>
  <c r="H119" i="3"/>
  <c r="F119" i="3"/>
  <c r="J119" i="3" s="1"/>
  <c r="E119" i="3"/>
  <c r="D119" i="3"/>
  <c r="C119" i="3"/>
  <c r="F118" i="3"/>
  <c r="E118" i="3"/>
  <c r="H118" i="3" s="1"/>
  <c r="D118" i="3"/>
  <c r="C118" i="3"/>
  <c r="J118" i="3" s="1"/>
  <c r="H117" i="3"/>
  <c r="F117" i="3"/>
  <c r="J117" i="3" s="1"/>
  <c r="E117" i="3"/>
  <c r="D117" i="3"/>
  <c r="C117" i="3"/>
  <c r="F116" i="3"/>
  <c r="E116" i="3"/>
  <c r="H116" i="3" s="1"/>
  <c r="D116" i="3"/>
  <c r="C116" i="3"/>
  <c r="J116" i="3" s="1"/>
  <c r="H115" i="3"/>
  <c r="F115" i="3"/>
  <c r="J115" i="3" s="1"/>
  <c r="E115" i="3"/>
  <c r="D115" i="3"/>
  <c r="C115" i="3"/>
  <c r="F114" i="3"/>
  <c r="E114" i="3"/>
  <c r="H114" i="3" s="1"/>
  <c r="D114" i="3"/>
  <c r="C114" i="3"/>
  <c r="J114" i="3" s="1"/>
  <c r="H113" i="3"/>
  <c r="F113" i="3"/>
  <c r="J113" i="3" s="1"/>
  <c r="E113" i="3"/>
  <c r="D113" i="3"/>
  <c r="C113" i="3"/>
  <c r="F112" i="3"/>
  <c r="E112" i="3"/>
  <c r="H112" i="3" s="1"/>
  <c r="D112" i="3"/>
  <c r="C112" i="3"/>
  <c r="J112" i="3" s="1"/>
  <c r="H111" i="3"/>
  <c r="F111" i="3"/>
  <c r="J111" i="3" s="1"/>
  <c r="E111" i="3"/>
  <c r="D111" i="3"/>
  <c r="C111" i="3"/>
  <c r="F110" i="3"/>
  <c r="E110" i="3"/>
  <c r="H110" i="3" s="1"/>
  <c r="D110" i="3"/>
  <c r="C110" i="3"/>
  <c r="J110" i="3" s="1"/>
  <c r="H109" i="3"/>
  <c r="F109" i="3"/>
  <c r="J109" i="3" s="1"/>
  <c r="E109" i="3"/>
  <c r="D109" i="3"/>
  <c r="C109" i="3"/>
  <c r="F108" i="3"/>
  <c r="E108" i="3"/>
  <c r="H108" i="3" s="1"/>
  <c r="D108" i="3"/>
  <c r="C108" i="3"/>
  <c r="J108" i="3" s="1"/>
  <c r="H107" i="3"/>
  <c r="F107" i="3"/>
  <c r="J107" i="3" s="1"/>
  <c r="E107" i="3"/>
  <c r="D107" i="3"/>
  <c r="C107" i="3"/>
  <c r="F106" i="3"/>
  <c r="E106" i="3"/>
  <c r="H106" i="3" s="1"/>
  <c r="D106" i="3"/>
  <c r="C106" i="3"/>
  <c r="J106" i="3" s="1"/>
  <c r="H105" i="3"/>
  <c r="F105" i="3"/>
  <c r="J105" i="3" s="1"/>
  <c r="E105" i="3"/>
  <c r="D105" i="3"/>
  <c r="C105" i="3"/>
  <c r="F104" i="3"/>
  <c r="E104" i="3"/>
  <c r="H104" i="3" s="1"/>
  <c r="D104" i="3"/>
  <c r="C104" i="3"/>
  <c r="J104" i="3" s="1"/>
  <c r="J103" i="3"/>
  <c r="F103" i="3"/>
  <c r="E103" i="3"/>
  <c r="H103" i="3" s="1"/>
  <c r="I103" i="3" s="1"/>
  <c r="D103" i="3"/>
  <c r="C103" i="3"/>
  <c r="H102" i="3"/>
  <c r="F102" i="3"/>
  <c r="E102" i="3"/>
  <c r="D102" i="3"/>
  <c r="C102" i="3"/>
  <c r="J102" i="3" s="1"/>
  <c r="J101" i="3"/>
  <c r="F101" i="3"/>
  <c r="E101" i="3"/>
  <c r="H101" i="3" s="1"/>
  <c r="D101" i="3"/>
  <c r="C101" i="3"/>
  <c r="H100" i="3"/>
  <c r="F100" i="3"/>
  <c r="E100" i="3"/>
  <c r="D100" i="3"/>
  <c r="C100" i="3"/>
  <c r="J100" i="3" s="1"/>
  <c r="J99" i="3"/>
  <c r="F99" i="3"/>
  <c r="E99" i="3"/>
  <c r="H99" i="3" s="1"/>
  <c r="D99" i="3"/>
  <c r="C99" i="3"/>
  <c r="H98" i="3"/>
  <c r="F98" i="3"/>
  <c r="E98" i="3"/>
  <c r="D98" i="3"/>
  <c r="C98" i="3"/>
  <c r="J98" i="3" s="1"/>
  <c r="F97" i="3"/>
  <c r="J97" i="3" s="1"/>
  <c r="E97" i="3"/>
  <c r="H97" i="3" s="1"/>
  <c r="I97" i="3" s="1"/>
  <c r="D97" i="3"/>
  <c r="C97" i="3"/>
  <c r="J96" i="3"/>
  <c r="H96" i="3"/>
  <c r="F96" i="3"/>
  <c r="E96" i="3"/>
  <c r="D96" i="3"/>
  <c r="C96" i="3"/>
  <c r="F95" i="3"/>
  <c r="J95" i="3" s="1"/>
  <c r="E95" i="3"/>
  <c r="H95" i="3" s="1"/>
  <c r="D95" i="3"/>
  <c r="C95" i="3"/>
  <c r="J94" i="3"/>
  <c r="H94" i="3"/>
  <c r="F94" i="3"/>
  <c r="E94" i="3"/>
  <c r="D94" i="3"/>
  <c r="C94" i="3"/>
  <c r="F93" i="3"/>
  <c r="J93" i="3" s="1"/>
  <c r="E93" i="3"/>
  <c r="H93" i="3" s="1"/>
  <c r="D93" i="3"/>
  <c r="C93" i="3"/>
  <c r="J92" i="3"/>
  <c r="H92" i="3"/>
  <c r="F92" i="3"/>
  <c r="E92" i="3"/>
  <c r="D92" i="3"/>
  <c r="C92" i="3"/>
  <c r="F91" i="3"/>
  <c r="J91" i="3" s="1"/>
  <c r="E91" i="3"/>
  <c r="H91" i="3" s="1"/>
  <c r="D91" i="3"/>
  <c r="C91" i="3"/>
  <c r="J90" i="3"/>
  <c r="H90" i="3"/>
  <c r="F90" i="3"/>
  <c r="E90" i="3"/>
  <c r="D90" i="3"/>
  <c r="C90" i="3"/>
  <c r="F89" i="3"/>
  <c r="J89" i="3" s="1"/>
  <c r="E89" i="3"/>
  <c r="H89" i="3" s="1"/>
  <c r="D89" i="3"/>
  <c r="C89" i="3"/>
  <c r="J88" i="3"/>
  <c r="H88" i="3"/>
  <c r="F88" i="3"/>
  <c r="E88" i="3"/>
  <c r="D88" i="3"/>
  <c r="C88" i="3"/>
  <c r="F87" i="3"/>
  <c r="J87" i="3" s="1"/>
  <c r="E87" i="3"/>
  <c r="H87" i="3" s="1"/>
  <c r="D87" i="3"/>
  <c r="C87" i="3"/>
  <c r="J86" i="3"/>
  <c r="F86" i="3"/>
  <c r="E86" i="3"/>
  <c r="H86" i="3" s="1"/>
  <c r="D86" i="3"/>
  <c r="C86" i="3"/>
  <c r="F85" i="3"/>
  <c r="J85" i="3" s="1"/>
  <c r="E85" i="3"/>
  <c r="H85" i="3" s="1"/>
  <c r="D85" i="3"/>
  <c r="C85" i="3"/>
  <c r="J84" i="3"/>
  <c r="F84" i="3"/>
  <c r="E84" i="3"/>
  <c r="H84" i="3" s="1"/>
  <c r="D84" i="3"/>
  <c r="C84" i="3"/>
  <c r="F83" i="3"/>
  <c r="J83" i="3" s="1"/>
  <c r="E83" i="3"/>
  <c r="H83" i="3" s="1"/>
  <c r="D83" i="3"/>
  <c r="C83" i="3"/>
  <c r="J82" i="3"/>
  <c r="F82" i="3"/>
  <c r="E82" i="3"/>
  <c r="H82" i="3" s="1"/>
  <c r="D82" i="3"/>
  <c r="C82" i="3"/>
  <c r="F81" i="3"/>
  <c r="J81" i="3" s="1"/>
  <c r="E81" i="3"/>
  <c r="H81" i="3" s="1"/>
  <c r="D81" i="3"/>
  <c r="C81" i="3"/>
  <c r="J80" i="3"/>
  <c r="F80" i="3"/>
  <c r="E80" i="3"/>
  <c r="H80" i="3" s="1"/>
  <c r="D80" i="3"/>
  <c r="C80" i="3"/>
  <c r="F79" i="3"/>
  <c r="J79" i="3" s="1"/>
  <c r="E79" i="3"/>
  <c r="H79" i="3" s="1"/>
  <c r="D79" i="3"/>
  <c r="C79" i="3"/>
  <c r="J78" i="3"/>
  <c r="F78" i="3"/>
  <c r="E78" i="3"/>
  <c r="H78" i="3" s="1"/>
  <c r="D78" i="3"/>
  <c r="C78" i="3"/>
  <c r="F77" i="3"/>
  <c r="J77" i="3" s="1"/>
  <c r="E77" i="3"/>
  <c r="H77" i="3" s="1"/>
  <c r="D77" i="3"/>
  <c r="C77" i="3"/>
  <c r="J76" i="3"/>
  <c r="F76" i="3"/>
  <c r="E76" i="3"/>
  <c r="H76" i="3" s="1"/>
  <c r="D76" i="3"/>
  <c r="C76" i="3"/>
  <c r="F75" i="3"/>
  <c r="J75" i="3" s="1"/>
  <c r="E75" i="3"/>
  <c r="H75" i="3" s="1"/>
  <c r="D75" i="3"/>
  <c r="C75" i="3"/>
  <c r="J74" i="3"/>
  <c r="F74" i="3"/>
  <c r="E74" i="3"/>
  <c r="H74" i="3" s="1"/>
  <c r="D74" i="3"/>
  <c r="C74" i="3"/>
  <c r="F73" i="3"/>
  <c r="J73" i="3" s="1"/>
  <c r="E73" i="3"/>
  <c r="H73" i="3" s="1"/>
  <c r="D73" i="3"/>
  <c r="C73" i="3"/>
  <c r="J72" i="3"/>
  <c r="F72" i="3"/>
  <c r="E72" i="3"/>
  <c r="H72" i="3" s="1"/>
  <c r="D72" i="3"/>
  <c r="C72" i="3"/>
  <c r="F71" i="3"/>
  <c r="J71" i="3" s="1"/>
  <c r="E71" i="3"/>
  <c r="H71" i="3" s="1"/>
  <c r="D71" i="3"/>
  <c r="C71" i="3"/>
  <c r="J70" i="3"/>
  <c r="F70" i="3"/>
  <c r="E70" i="3"/>
  <c r="H70" i="3" s="1"/>
  <c r="D70" i="3"/>
  <c r="C70" i="3"/>
  <c r="F69" i="3"/>
  <c r="J69" i="3" s="1"/>
  <c r="E69" i="3"/>
  <c r="H69" i="3" s="1"/>
  <c r="D69" i="3"/>
  <c r="C69" i="3"/>
  <c r="J68" i="3"/>
  <c r="F68" i="3"/>
  <c r="E68" i="3"/>
  <c r="H68" i="3" s="1"/>
  <c r="D68" i="3"/>
  <c r="C68" i="3"/>
  <c r="F67" i="3"/>
  <c r="J67" i="3" s="1"/>
  <c r="E67" i="3"/>
  <c r="H67" i="3" s="1"/>
  <c r="D67" i="3"/>
  <c r="C67" i="3"/>
  <c r="J66" i="3"/>
  <c r="F66" i="3"/>
  <c r="E66" i="3"/>
  <c r="H66" i="3" s="1"/>
  <c r="D66" i="3"/>
  <c r="C66" i="3"/>
  <c r="F65" i="3"/>
  <c r="J65" i="3" s="1"/>
  <c r="E65" i="3"/>
  <c r="H65" i="3" s="1"/>
  <c r="D65" i="3"/>
  <c r="C65" i="3"/>
  <c r="J64" i="3"/>
  <c r="F64" i="3"/>
  <c r="E64" i="3"/>
  <c r="H64" i="3" s="1"/>
  <c r="D64" i="3"/>
  <c r="C64" i="3"/>
  <c r="F63" i="3"/>
  <c r="J63" i="3" s="1"/>
  <c r="E63" i="3"/>
  <c r="H63" i="3" s="1"/>
  <c r="D63" i="3"/>
  <c r="C63" i="3"/>
  <c r="J62" i="3"/>
  <c r="F62" i="3"/>
  <c r="E62" i="3"/>
  <c r="H62" i="3" s="1"/>
  <c r="D62" i="3"/>
  <c r="C62" i="3"/>
  <c r="F61" i="3"/>
  <c r="J61" i="3" s="1"/>
  <c r="E61" i="3"/>
  <c r="H61" i="3" s="1"/>
  <c r="D61" i="3"/>
  <c r="C61" i="3"/>
  <c r="J60" i="3"/>
  <c r="F60" i="3"/>
  <c r="E60" i="3"/>
  <c r="H60" i="3" s="1"/>
  <c r="D60" i="3"/>
  <c r="C60" i="3"/>
  <c r="F59" i="3"/>
  <c r="J59" i="3" s="1"/>
  <c r="E59" i="3"/>
  <c r="H59" i="3" s="1"/>
  <c r="D59" i="3"/>
  <c r="C59" i="3"/>
  <c r="J58" i="3"/>
  <c r="F58" i="3"/>
  <c r="E58" i="3"/>
  <c r="H58" i="3" s="1"/>
  <c r="D58" i="3"/>
  <c r="C58" i="3"/>
  <c r="F57" i="3"/>
  <c r="J57" i="3" s="1"/>
  <c r="E57" i="3"/>
  <c r="H57" i="3" s="1"/>
  <c r="D57" i="3"/>
  <c r="C57" i="3"/>
  <c r="J56" i="3"/>
  <c r="F56" i="3"/>
  <c r="E56" i="3"/>
  <c r="H56" i="3" s="1"/>
  <c r="D56" i="3"/>
  <c r="C56" i="3"/>
  <c r="F55" i="3"/>
  <c r="J55" i="3" s="1"/>
  <c r="E55" i="3"/>
  <c r="H55" i="3" s="1"/>
  <c r="D55" i="3"/>
  <c r="C55" i="3"/>
  <c r="J54" i="3"/>
  <c r="F54" i="3"/>
  <c r="E54" i="3"/>
  <c r="H54" i="3" s="1"/>
  <c r="D54" i="3"/>
  <c r="C54" i="3"/>
  <c r="F53" i="3"/>
  <c r="J53" i="3" s="1"/>
  <c r="E53" i="3"/>
  <c r="H53" i="3" s="1"/>
  <c r="D53" i="3"/>
  <c r="C53" i="3"/>
  <c r="J52" i="3"/>
  <c r="F52" i="3"/>
  <c r="E52" i="3"/>
  <c r="H52" i="3" s="1"/>
  <c r="D52" i="3"/>
  <c r="C52" i="3"/>
  <c r="F51" i="3"/>
  <c r="J51" i="3" s="1"/>
  <c r="E51" i="3"/>
  <c r="H51" i="3" s="1"/>
  <c r="D51" i="3"/>
  <c r="C51" i="3"/>
  <c r="J50" i="3"/>
  <c r="F50" i="3"/>
  <c r="E50" i="3"/>
  <c r="H50" i="3" s="1"/>
  <c r="D50" i="3"/>
  <c r="C50" i="3"/>
  <c r="F49" i="3"/>
  <c r="J49" i="3" s="1"/>
  <c r="E49" i="3"/>
  <c r="H49" i="3" s="1"/>
  <c r="D49" i="3"/>
  <c r="C49" i="3"/>
  <c r="J48" i="3"/>
  <c r="F48" i="3"/>
  <c r="E48" i="3"/>
  <c r="H48" i="3" s="1"/>
  <c r="D48" i="3"/>
  <c r="C48" i="3"/>
  <c r="F47" i="3"/>
  <c r="J47" i="3" s="1"/>
  <c r="E47" i="3"/>
  <c r="H47" i="3" s="1"/>
  <c r="D47" i="3"/>
  <c r="C47" i="3"/>
  <c r="J46" i="3"/>
  <c r="F46" i="3"/>
  <c r="E46" i="3"/>
  <c r="H46" i="3" s="1"/>
  <c r="D46" i="3"/>
  <c r="C46" i="3"/>
  <c r="F45" i="3"/>
  <c r="J45" i="3" s="1"/>
  <c r="E45" i="3"/>
  <c r="H45" i="3" s="1"/>
  <c r="D45" i="3"/>
  <c r="C45" i="3"/>
  <c r="J44" i="3"/>
  <c r="H44" i="3"/>
  <c r="I44" i="3" s="1"/>
  <c r="F44" i="3"/>
  <c r="E44" i="3"/>
  <c r="D44" i="3"/>
  <c r="C44" i="3"/>
  <c r="H43" i="3"/>
  <c r="F43" i="3"/>
  <c r="E43" i="3"/>
  <c r="D43" i="3"/>
  <c r="C43" i="3"/>
  <c r="J43" i="3" s="1"/>
  <c r="H42" i="3"/>
  <c r="F42" i="3"/>
  <c r="E42" i="3"/>
  <c r="D42" i="3"/>
  <c r="C42" i="3"/>
  <c r="J42" i="3" s="1"/>
  <c r="H41" i="3"/>
  <c r="F41" i="3"/>
  <c r="E41" i="3"/>
  <c r="D41" i="3"/>
  <c r="C41" i="3"/>
  <c r="J41" i="3" s="1"/>
  <c r="H40" i="3"/>
  <c r="F40" i="3"/>
  <c r="E40" i="3"/>
  <c r="D40" i="3"/>
  <c r="C40" i="3"/>
  <c r="J40" i="3" s="1"/>
  <c r="H39" i="3"/>
  <c r="F39" i="3"/>
  <c r="E39" i="3"/>
  <c r="D39" i="3"/>
  <c r="C39" i="3"/>
  <c r="J39" i="3" s="1"/>
  <c r="H38" i="3"/>
  <c r="F38" i="3"/>
  <c r="E38" i="3"/>
  <c r="D38" i="3"/>
  <c r="C38" i="3"/>
  <c r="J38" i="3" s="1"/>
  <c r="H37" i="3"/>
  <c r="F37" i="3"/>
  <c r="E37" i="3"/>
  <c r="D37" i="3"/>
  <c r="C37" i="3"/>
  <c r="J37" i="3" s="1"/>
  <c r="H36" i="3"/>
  <c r="F36" i="3"/>
  <c r="E36" i="3"/>
  <c r="D36" i="3"/>
  <c r="C36" i="3"/>
  <c r="J36" i="3" s="1"/>
  <c r="H35" i="3"/>
  <c r="F35" i="3"/>
  <c r="E35" i="3"/>
  <c r="D35" i="3"/>
  <c r="C35" i="3"/>
  <c r="J35" i="3" s="1"/>
  <c r="H34" i="3"/>
  <c r="F34" i="3"/>
  <c r="E34" i="3"/>
  <c r="D34" i="3"/>
  <c r="C34" i="3"/>
  <c r="J34" i="3" s="1"/>
  <c r="H33" i="3"/>
  <c r="F33" i="3"/>
  <c r="E33" i="3"/>
  <c r="D33" i="3"/>
  <c r="C33" i="3"/>
  <c r="J33" i="3" s="1"/>
  <c r="F32" i="3"/>
  <c r="E32" i="3"/>
  <c r="H32" i="3" s="1"/>
  <c r="D32" i="3"/>
  <c r="C32" i="3"/>
  <c r="J32" i="3" s="1"/>
  <c r="H31" i="3"/>
  <c r="F31" i="3"/>
  <c r="E31" i="3"/>
  <c r="D31" i="3"/>
  <c r="C31" i="3"/>
  <c r="J31" i="3" s="1"/>
  <c r="F30" i="3"/>
  <c r="E30" i="3"/>
  <c r="H30" i="3" s="1"/>
  <c r="D30" i="3"/>
  <c r="C30" i="3"/>
  <c r="J30" i="3" s="1"/>
  <c r="H29" i="3"/>
  <c r="F29" i="3"/>
  <c r="E29" i="3"/>
  <c r="D29" i="3"/>
  <c r="C29" i="3"/>
  <c r="J29" i="3" s="1"/>
  <c r="F28" i="3"/>
  <c r="E28" i="3"/>
  <c r="H28" i="3" s="1"/>
  <c r="D28" i="3"/>
  <c r="C28" i="3"/>
  <c r="J28" i="3" s="1"/>
  <c r="H27" i="3"/>
  <c r="F27" i="3"/>
  <c r="E27" i="3"/>
  <c r="D27" i="3"/>
  <c r="C27" i="3"/>
  <c r="J27" i="3" s="1"/>
  <c r="F26" i="3"/>
  <c r="E26" i="3"/>
  <c r="H26" i="3" s="1"/>
  <c r="D26" i="3"/>
  <c r="C26" i="3"/>
  <c r="J26" i="3" s="1"/>
  <c r="H25" i="3"/>
  <c r="F25" i="3"/>
  <c r="E25" i="3"/>
  <c r="D25" i="3"/>
  <c r="C25" i="3"/>
  <c r="J25" i="3" s="1"/>
  <c r="F24" i="3"/>
  <c r="E24" i="3"/>
  <c r="H24" i="3" s="1"/>
  <c r="D24" i="3"/>
  <c r="C24" i="3"/>
  <c r="J24" i="3" s="1"/>
  <c r="H23" i="3"/>
  <c r="F23" i="3"/>
  <c r="E23" i="3"/>
  <c r="D23" i="3"/>
  <c r="C23" i="3"/>
  <c r="J23" i="3" s="1"/>
  <c r="F22" i="3"/>
  <c r="E22" i="3"/>
  <c r="H22" i="3" s="1"/>
  <c r="D22" i="3"/>
  <c r="C22" i="3"/>
  <c r="J22" i="3" s="1"/>
  <c r="H21" i="3"/>
  <c r="F21" i="3"/>
  <c r="E21" i="3"/>
  <c r="D21" i="3"/>
  <c r="C21" i="3"/>
  <c r="J21" i="3" s="1"/>
  <c r="F20" i="3"/>
  <c r="E20" i="3"/>
  <c r="H20" i="3" s="1"/>
  <c r="D20" i="3"/>
  <c r="C20" i="3"/>
  <c r="J20" i="3" s="1"/>
  <c r="F19" i="3"/>
  <c r="E19" i="3"/>
  <c r="H19" i="3" s="1"/>
  <c r="D19" i="3"/>
  <c r="C19" i="3"/>
  <c r="J19" i="3" s="1"/>
  <c r="H18" i="3"/>
  <c r="I18" i="3" s="1"/>
  <c r="F18" i="3"/>
  <c r="J18" i="3" s="1"/>
  <c r="E18" i="3"/>
  <c r="D18" i="3"/>
  <c r="C18" i="3"/>
  <c r="H17" i="3"/>
  <c r="F17" i="3"/>
  <c r="J17" i="3" s="1"/>
  <c r="E17" i="3"/>
  <c r="D17" i="3"/>
  <c r="C17" i="3"/>
  <c r="H16" i="3"/>
  <c r="F16" i="3"/>
  <c r="J16" i="3" s="1"/>
  <c r="E16" i="3"/>
  <c r="D16" i="3"/>
  <c r="C16" i="3"/>
  <c r="H15" i="3"/>
  <c r="F15" i="3"/>
  <c r="J15" i="3" s="1"/>
  <c r="E15" i="3"/>
  <c r="D15" i="3"/>
  <c r="C15" i="3"/>
  <c r="H14" i="3"/>
  <c r="F14" i="3"/>
  <c r="J14" i="3" s="1"/>
  <c r="E14" i="3"/>
  <c r="D14" i="3"/>
  <c r="C14" i="3"/>
  <c r="H13" i="3"/>
  <c r="F13" i="3"/>
  <c r="J13" i="3" s="1"/>
  <c r="E13" i="3"/>
  <c r="D13" i="3"/>
  <c r="C13" i="3"/>
  <c r="H12" i="3"/>
  <c r="F12" i="3"/>
  <c r="J12" i="3" s="1"/>
  <c r="E12" i="3"/>
  <c r="D12" i="3"/>
  <c r="C12" i="3"/>
  <c r="H11" i="3"/>
  <c r="F11" i="3"/>
  <c r="J11" i="3" s="1"/>
  <c r="E11" i="3"/>
  <c r="D11" i="3"/>
  <c r="C11" i="3"/>
  <c r="H10" i="3"/>
  <c r="F10" i="3"/>
  <c r="J10" i="3" s="1"/>
  <c r="E10" i="3"/>
  <c r="D10" i="3"/>
  <c r="C10" i="3"/>
  <c r="H9" i="3"/>
  <c r="F9" i="3"/>
  <c r="J9" i="3" s="1"/>
  <c r="E9" i="3"/>
  <c r="D9" i="3"/>
  <c r="C9" i="3"/>
  <c r="H8" i="3"/>
  <c r="F8" i="3"/>
  <c r="J8" i="3" s="1"/>
  <c r="E8" i="3"/>
  <c r="D8" i="3"/>
  <c r="C8" i="3"/>
  <c r="H7" i="3"/>
  <c r="F7" i="3"/>
  <c r="J7" i="3" s="1"/>
  <c r="E7" i="3"/>
  <c r="D7" i="3"/>
  <c r="C7" i="3"/>
  <c r="H6" i="3"/>
  <c r="F6" i="3"/>
  <c r="J6" i="3" s="1"/>
  <c r="E6" i="3"/>
  <c r="D6" i="3"/>
  <c r="C6" i="3"/>
  <c r="H5" i="3"/>
  <c r="F5" i="3"/>
  <c r="J5" i="3" s="1"/>
  <c r="E5" i="3"/>
  <c r="D5" i="3"/>
  <c r="C5" i="3"/>
  <c r="H4" i="3"/>
  <c r="F4" i="3"/>
  <c r="J4" i="3" s="1"/>
  <c r="E4" i="3"/>
  <c r="D4" i="3"/>
  <c r="C4" i="3"/>
  <c r="H3" i="3"/>
  <c r="F3" i="3"/>
  <c r="J3" i="3" s="1"/>
  <c r="E3" i="3"/>
  <c r="D3" i="3"/>
  <c r="C3" i="3"/>
  <c r="AG1591" i="2"/>
  <c r="J1591" i="2"/>
  <c r="H1591" i="2"/>
  <c r="F1591" i="2"/>
  <c r="E1591" i="2"/>
  <c r="AJ1589" i="2"/>
  <c r="L1589" i="2"/>
  <c r="K1589" i="2"/>
  <c r="AJ1588" i="2"/>
  <c r="L1588" i="2"/>
  <c r="K1588" i="2"/>
  <c r="AJ1587" i="2"/>
  <c r="L1587" i="2"/>
  <c r="K1587" i="2"/>
  <c r="AJ1586" i="2"/>
  <c r="L1586" i="2"/>
  <c r="K1586" i="2"/>
  <c r="AJ1585" i="2"/>
  <c r="L1585" i="2"/>
  <c r="K1585" i="2"/>
  <c r="AJ1584" i="2"/>
  <c r="L1584" i="2"/>
  <c r="K1584" i="2"/>
  <c r="AJ1583" i="2"/>
  <c r="L1583" i="2"/>
  <c r="K1583" i="2"/>
  <c r="AJ1582" i="2"/>
  <c r="L1582" i="2"/>
  <c r="K1582" i="2"/>
  <c r="AJ1581" i="2"/>
  <c r="L1581" i="2"/>
  <c r="K1581" i="2"/>
  <c r="AJ1580" i="2"/>
  <c r="L1580" i="2"/>
  <c r="K1580" i="2"/>
  <c r="AJ1579" i="2"/>
  <c r="L1579" i="2"/>
  <c r="K1579" i="2"/>
  <c r="AJ1578" i="2"/>
  <c r="L1578" i="2"/>
  <c r="K1578" i="2"/>
  <c r="AJ1577" i="2"/>
  <c r="L1577" i="2"/>
  <c r="K1577" i="2"/>
  <c r="AJ1576" i="2"/>
  <c r="L1576" i="2"/>
  <c r="K1576" i="2"/>
  <c r="AJ1575" i="2"/>
  <c r="L1575" i="2"/>
  <c r="K1575" i="2"/>
  <c r="AJ1574" i="2"/>
  <c r="L1574" i="2"/>
  <c r="K1574" i="2"/>
  <c r="AJ1573" i="2"/>
  <c r="L1573" i="2"/>
  <c r="K1573" i="2"/>
  <c r="AJ1572" i="2"/>
  <c r="L1572" i="2"/>
  <c r="K1572" i="2"/>
  <c r="AJ1571" i="2"/>
  <c r="L1571" i="2"/>
  <c r="K1571" i="2"/>
  <c r="AJ1570" i="2"/>
  <c r="L1570" i="2"/>
  <c r="K1570" i="2"/>
  <c r="AJ1569" i="2"/>
  <c r="L1569" i="2"/>
  <c r="K1569" i="2"/>
  <c r="AJ1568" i="2"/>
  <c r="L1568" i="2"/>
  <c r="K1568" i="2"/>
  <c r="AJ1567" i="2"/>
  <c r="L1567" i="2"/>
  <c r="K1567" i="2"/>
  <c r="AJ1566" i="2"/>
  <c r="L1566" i="2"/>
  <c r="K1566" i="2"/>
  <c r="AJ1565" i="2"/>
  <c r="L1565" i="2"/>
  <c r="K1565" i="2"/>
  <c r="AJ1564" i="2"/>
  <c r="L1564" i="2"/>
  <c r="K1564" i="2"/>
  <c r="AJ1563" i="2"/>
  <c r="L1563" i="2"/>
  <c r="K1563" i="2"/>
  <c r="AJ1562" i="2"/>
  <c r="L1562" i="2"/>
  <c r="K1562" i="2"/>
  <c r="AJ1561" i="2"/>
  <c r="L1561" i="2"/>
  <c r="K1561" i="2"/>
  <c r="AJ1560" i="2"/>
  <c r="L1560" i="2"/>
  <c r="K1560" i="2"/>
  <c r="AJ1559" i="2"/>
  <c r="L1559" i="2"/>
  <c r="K1559" i="2"/>
  <c r="AJ1558" i="2"/>
  <c r="L1558" i="2"/>
  <c r="K1558" i="2"/>
  <c r="AJ1557" i="2"/>
  <c r="L1557" i="2"/>
  <c r="K1557" i="2"/>
  <c r="AJ1556" i="2"/>
  <c r="L1556" i="2"/>
  <c r="K1556" i="2"/>
  <c r="AJ1555" i="2"/>
  <c r="L1555" i="2"/>
  <c r="K1555" i="2"/>
  <c r="AJ1554" i="2"/>
  <c r="L1554" i="2"/>
  <c r="K1554" i="2"/>
  <c r="AJ1553" i="2"/>
  <c r="L1553" i="2"/>
  <c r="K1553" i="2"/>
  <c r="AJ1552" i="2"/>
  <c r="L1552" i="2"/>
  <c r="K1552" i="2"/>
  <c r="AJ1551" i="2"/>
  <c r="L1551" i="2"/>
  <c r="K1551" i="2"/>
  <c r="AJ1550" i="2"/>
  <c r="L1550" i="2"/>
  <c r="K1550" i="2"/>
  <c r="AJ1549" i="2"/>
  <c r="L1549" i="2"/>
  <c r="K1549" i="2"/>
  <c r="AJ1548" i="2"/>
  <c r="L1548" i="2"/>
  <c r="K1548" i="2"/>
  <c r="AJ1547" i="2"/>
  <c r="L1547" i="2"/>
  <c r="K1547" i="2"/>
  <c r="AJ1546" i="2"/>
  <c r="L1546" i="2"/>
  <c r="K1546" i="2"/>
  <c r="AJ1545" i="2"/>
  <c r="L1545" i="2"/>
  <c r="K1545" i="2"/>
  <c r="AJ1544" i="2"/>
  <c r="L1544" i="2"/>
  <c r="K1544" i="2"/>
  <c r="AJ1543" i="2"/>
  <c r="L1543" i="2"/>
  <c r="K1543" i="2"/>
  <c r="AJ1542" i="2"/>
  <c r="L1542" i="2"/>
  <c r="K1542" i="2"/>
  <c r="AJ1541" i="2"/>
  <c r="L1541" i="2"/>
  <c r="K1541" i="2"/>
  <c r="AJ1540" i="2"/>
  <c r="L1540" i="2"/>
  <c r="K1540" i="2"/>
  <c r="AJ1539" i="2"/>
  <c r="L1539" i="2"/>
  <c r="K1539" i="2"/>
  <c r="AJ1538" i="2"/>
  <c r="L1538" i="2"/>
  <c r="K1538" i="2"/>
  <c r="AJ1537" i="2"/>
  <c r="L1537" i="2"/>
  <c r="K1537" i="2"/>
  <c r="AJ1536" i="2"/>
  <c r="L1536" i="2"/>
  <c r="K1536" i="2"/>
  <c r="AJ1535" i="2"/>
  <c r="L1535" i="2"/>
  <c r="K1535" i="2"/>
  <c r="AJ1534" i="2"/>
  <c r="L1534" i="2"/>
  <c r="K1534" i="2"/>
  <c r="AJ1533" i="2"/>
  <c r="L1533" i="2"/>
  <c r="K1533" i="2"/>
  <c r="AJ1532" i="2"/>
  <c r="L1532" i="2"/>
  <c r="K1532" i="2"/>
  <c r="AJ1531" i="2"/>
  <c r="L1531" i="2"/>
  <c r="K1531" i="2"/>
  <c r="AJ1530" i="2"/>
  <c r="L1530" i="2"/>
  <c r="K1530" i="2"/>
  <c r="AJ1529" i="2"/>
  <c r="L1529" i="2"/>
  <c r="K1529" i="2"/>
  <c r="AJ1528" i="2"/>
  <c r="L1528" i="2"/>
  <c r="K1528" i="2"/>
  <c r="AJ1527" i="2"/>
  <c r="L1527" i="2"/>
  <c r="K1527" i="2"/>
  <c r="AJ1526" i="2"/>
  <c r="L1526" i="2"/>
  <c r="K1526" i="2"/>
  <c r="AJ1525" i="2"/>
  <c r="L1525" i="2"/>
  <c r="K1525" i="2"/>
  <c r="AJ1524" i="2"/>
  <c r="L1524" i="2"/>
  <c r="K1524" i="2"/>
  <c r="AJ1523" i="2"/>
  <c r="L1523" i="2"/>
  <c r="K1523" i="2"/>
  <c r="AJ1522" i="2"/>
  <c r="L1522" i="2"/>
  <c r="K1522" i="2"/>
  <c r="AJ1521" i="2"/>
  <c r="L1521" i="2"/>
  <c r="K1521" i="2"/>
  <c r="AJ1520" i="2"/>
  <c r="L1520" i="2"/>
  <c r="K1520" i="2"/>
  <c r="AJ1519" i="2"/>
  <c r="L1519" i="2"/>
  <c r="K1519" i="2"/>
  <c r="AJ1518" i="2"/>
  <c r="L1518" i="2"/>
  <c r="K1518" i="2"/>
  <c r="AJ1517" i="2"/>
  <c r="L1517" i="2"/>
  <c r="K1517" i="2"/>
  <c r="AJ1516" i="2"/>
  <c r="L1516" i="2"/>
  <c r="K1516" i="2"/>
  <c r="AJ1515" i="2"/>
  <c r="L1515" i="2"/>
  <c r="K1515" i="2"/>
  <c r="AJ1514" i="2"/>
  <c r="L1514" i="2"/>
  <c r="K1514" i="2"/>
  <c r="AJ1513" i="2"/>
  <c r="L1513" i="2"/>
  <c r="K1513" i="2"/>
  <c r="AJ1512" i="2"/>
  <c r="L1512" i="2"/>
  <c r="K1512" i="2"/>
  <c r="AJ1511" i="2"/>
  <c r="L1511" i="2"/>
  <c r="K1511" i="2"/>
  <c r="AJ1510" i="2"/>
  <c r="L1510" i="2"/>
  <c r="K1510" i="2"/>
  <c r="AJ1509" i="2"/>
  <c r="L1509" i="2"/>
  <c r="K1509" i="2"/>
  <c r="AJ1508" i="2"/>
  <c r="L1508" i="2"/>
  <c r="K1508" i="2"/>
  <c r="AJ1507" i="2"/>
  <c r="L1507" i="2"/>
  <c r="K1507" i="2"/>
  <c r="AJ1506" i="2"/>
  <c r="L1506" i="2"/>
  <c r="K1506" i="2"/>
  <c r="AJ1505" i="2"/>
  <c r="L1505" i="2"/>
  <c r="K1505" i="2"/>
  <c r="AJ1504" i="2"/>
  <c r="L1504" i="2"/>
  <c r="K1504" i="2"/>
  <c r="AJ1503" i="2"/>
  <c r="L1503" i="2"/>
  <c r="K1503" i="2"/>
  <c r="AJ1502" i="2"/>
  <c r="L1502" i="2"/>
  <c r="K1502" i="2"/>
  <c r="AJ1501" i="2"/>
  <c r="L1501" i="2"/>
  <c r="K1501" i="2"/>
  <c r="AJ1500" i="2"/>
  <c r="L1500" i="2"/>
  <c r="K1500" i="2"/>
  <c r="AJ1499" i="2"/>
  <c r="L1499" i="2"/>
  <c r="K1499" i="2"/>
  <c r="AJ1498" i="2"/>
  <c r="L1498" i="2"/>
  <c r="K1498" i="2"/>
  <c r="AJ1497" i="2"/>
  <c r="L1497" i="2"/>
  <c r="K1497" i="2"/>
  <c r="AJ1496" i="2"/>
  <c r="L1496" i="2"/>
  <c r="K1496" i="2"/>
  <c r="AJ1495" i="2"/>
  <c r="L1495" i="2"/>
  <c r="K1495" i="2"/>
  <c r="AJ1494" i="2"/>
  <c r="L1494" i="2"/>
  <c r="K1494" i="2"/>
  <c r="AJ1493" i="2"/>
  <c r="L1493" i="2"/>
  <c r="K1493" i="2"/>
  <c r="AJ1492" i="2"/>
  <c r="L1492" i="2"/>
  <c r="K1492" i="2"/>
  <c r="AJ1491" i="2"/>
  <c r="L1491" i="2"/>
  <c r="K1491" i="2"/>
  <c r="AJ1490" i="2"/>
  <c r="L1490" i="2"/>
  <c r="K1490" i="2"/>
  <c r="AJ1489" i="2"/>
  <c r="L1489" i="2"/>
  <c r="K1489" i="2"/>
  <c r="AJ1488" i="2"/>
  <c r="L1488" i="2"/>
  <c r="K1488" i="2"/>
  <c r="AJ1487" i="2"/>
  <c r="L1487" i="2"/>
  <c r="K1487" i="2"/>
  <c r="AJ1486" i="2"/>
  <c r="L1486" i="2"/>
  <c r="K1486" i="2"/>
  <c r="AJ1485" i="2"/>
  <c r="L1485" i="2"/>
  <c r="K1485" i="2"/>
  <c r="AJ1484" i="2"/>
  <c r="L1484" i="2"/>
  <c r="K1484" i="2"/>
  <c r="AJ1483" i="2"/>
  <c r="L1483" i="2"/>
  <c r="K1483" i="2"/>
  <c r="AJ1482" i="2"/>
  <c r="L1482" i="2"/>
  <c r="K1482" i="2"/>
  <c r="AJ1481" i="2"/>
  <c r="L1481" i="2"/>
  <c r="K1481" i="2"/>
  <c r="AJ1480" i="2"/>
  <c r="L1480" i="2"/>
  <c r="K1480" i="2"/>
  <c r="AJ1479" i="2"/>
  <c r="L1479" i="2"/>
  <c r="K1479" i="2"/>
  <c r="AJ1478" i="2"/>
  <c r="L1478" i="2"/>
  <c r="K1478" i="2"/>
  <c r="AJ1477" i="2"/>
  <c r="L1477" i="2"/>
  <c r="K1477" i="2"/>
  <c r="AJ1476" i="2"/>
  <c r="L1476" i="2"/>
  <c r="K1476" i="2"/>
  <c r="AJ1475" i="2"/>
  <c r="L1475" i="2"/>
  <c r="K1475" i="2"/>
  <c r="AJ1474" i="2"/>
  <c r="L1474" i="2"/>
  <c r="K1474" i="2"/>
  <c r="AJ1473" i="2"/>
  <c r="L1473" i="2"/>
  <c r="K1473" i="2"/>
  <c r="AJ1472" i="2"/>
  <c r="L1472" i="2"/>
  <c r="K1472" i="2"/>
  <c r="AJ1471" i="2"/>
  <c r="L1471" i="2"/>
  <c r="K1471" i="2"/>
  <c r="AJ1470" i="2"/>
  <c r="L1470" i="2"/>
  <c r="K1470" i="2"/>
  <c r="AJ1469" i="2"/>
  <c r="L1469" i="2"/>
  <c r="K1469" i="2"/>
  <c r="AJ1468" i="2"/>
  <c r="L1468" i="2"/>
  <c r="K1468" i="2"/>
  <c r="AJ1467" i="2"/>
  <c r="L1467" i="2"/>
  <c r="K1467" i="2"/>
  <c r="AJ1466" i="2"/>
  <c r="L1466" i="2"/>
  <c r="K1466" i="2"/>
  <c r="AJ1465" i="2"/>
  <c r="L1465" i="2"/>
  <c r="K1465" i="2"/>
  <c r="AJ1464" i="2"/>
  <c r="L1464" i="2"/>
  <c r="K1464" i="2"/>
  <c r="AJ1463" i="2"/>
  <c r="L1463" i="2"/>
  <c r="K1463" i="2"/>
  <c r="AJ1462" i="2"/>
  <c r="L1462" i="2"/>
  <c r="K1462" i="2"/>
  <c r="AJ1461" i="2"/>
  <c r="L1461" i="2"/>
  <c r="K1461" i="2"/>
  <c r="AJ1460" i="2"/>
  <c r="L1460" i="2"/>
  <c r="K1460" i="2"/>
  <c r="AJ1459" i="2"/>
  <c r="L1459" i="2"/>
  <c r="K1459" i="2"/>
  <c r="AJ1458" i="2"/>
  <c r="L1458" i="2"/>
  <c r="K1458" i="2"/>
  <c r="AJ1457" i="2"/>
  <c r="L1457" i="2"/>
  <c r="K1457" i="2"/>
  <c r="AJ1456" i="2"/>
  <c r="L1456" i="2"/>
  <c r="K1456" i="2"/>
  <c r="AJ1455" i="2"/>
  <c r="L1455" i="2"/>
  <c r="K1455" i="2"/>
  <c r="AJ1454" i="2"/>
  <c r="L1454" i="2"/>
  <c r="K1454" i="2"/>
  <c r="AJ1453" i="2"/>
  <c r="L1453" i="2"/>
  <c r="K1453" i="2"/>
  <c r="AJ1452" i="2"/>
  <c r="L1452" i="2"/>
  <c r="K1452" i="2"/>
  <c r="AJ1451" i="2"/>
  <c r="L1451" i="2"/>
  <c r="K1451" i="2"/>
  <c r="AJ1450" i="2"/>
  <c r="L1450" i="2"/>
  <c r="K1450" i="2"/>
  <c r="AJ1449" i="2"/>
  <c r="L1449" i="2"/>
  <c r="K1449" i="2"/>
  <c r="AJ1448" i="2"/>
  <c r="L1448" i="2"/>
  <c r="K1448" i="2"/>
  <c r="AJ1447" i="2"/>
  <c r="L1447" i="2"/>
  <c r="K1447" i="2"/>
  <c r="AJ1446" i="2"/>
  <c r="L1446" i="2"/>
  <c r="K1446" i="2"/>
  <c r="AJ1445" i="2"/>
  <c r="L1445" i="2"/>
  <c r="K1445" i="2"/>
  <c r="AJ1444" i="2"/>
  <c r="L1444" i="2"/>
  <c r="K1444" i="2"/>
  <c r="AJ1443" i="2"/>
  <c r="L1443" i="2"/>
  <c r="K1443" i="2"/>
  <c r="AJ1442" i="2"/>
  <c r="L1442" i="2"/>
  <c r="K1442" i="2"/>
  <c r="AJ1441" i="2"/>
  <c r="L1441" i="2"/>
  <c r="K1441" i="2"/>
  <c r="AJ1440" i="2"/>
  <c r="L1440" i="2"/>
  <c r="K1440" i="2"/>
  <c r="AJ1439" i="2"/>
  <c r="L1439" i="2"/>
  <c r="K1439" i="2"/>
  <c r="AJ1438" i="2"/>
  <c r="L1438" i="2"/>
  <c r="K1438" i="2"/>
  <c r="AJ1437" i="2"/>
  <c r="L1437" i="2"/>
  <c r="K1437" i="2"/>
  <c r="AJ1436" i="2"/>
  <c r="L1436" i="2"/>
  <c r="K1436" i="2"/>
  <c r="AJ1435" i="2"/>
  <c r="L1435" i="2"/>
  <c r="K1435" i="2"/>
  <c r="AJ1434" i="2"/>
  <c r="L1434" i="2"/>
  <c r="K1434" i="2"/>
  <c r="AJ1433" i="2"/>
  <c r="L1433" i="2"/>
  <c r="K1433" i="2"/>
  <c r="AJ1432" i="2"/>
  <c r="L1432" i="2"/>
  <c r="K1432" i="2"/>
  <c r="AJ1431" i="2"/>
  <c r="L1431" i="2"/>
  <c r="K1431" i="2"/>
  <c r="AJ1430" i="2"/>
  <c r="L1430" i="2"/>
  <c r="K1430" i="2"/>
  <c r="AJ1429" i="2"/>
  <c r="L1429" i="2"/>
  <c r="K1429" i="2"/>
  <c r="AJ1428" i="2"/>
  <c r="L1428" i="2"/>
  <c r="K1428" i="2"/>
  <c r="AJ1427" i="2"/>
  <c r="L1427" i="2"/>
  <c r="K1427" i="2"/>
  <c r="AJ1426" i="2"/>
  <c r="L1426" i="2"/>
  <c r="K1426" i="2"/>
  <c r="AJ1425" i="2"/>
  <c r="L1425" i="2"/>
  <c r="K1425" i="2"/>
  <c r="AJ1424" i="2"/>
  <c r="L1424" i="2"/>
  <c r="K1424" i="2"/>
  <c r="AJ1423" i="2"/>
  <c r="L1423" i="2"/>
  <c r="K1423" i="2"/>
  <c r="AJ1422" i="2"/>
  <c r="L1422" i="2"/>
  <c r="K1422" i="2"/>
  <c r="AJ1421" i="2"/>
  <c r="L1421" i="2"/>
  <c r="K1421" i="2"/>
  <c r="AJ1420" i="2"/>
  <c r="L1420" i="2"/>
  <c r="K1420" i="2"/>
  <c r="AJ1419" i="2"/>
  <c r="L1419" i="2"/>
  <c r="K1419" i="2"/>
  <c r="AJ1418" i="2"/>
  <c r="L1418" i="2"/>
  <c r="K1418" i="2"/>
  <c r="AJ1417" i="2"/>
  <c r="L1417" i="2"/>
  <c r="K1417" i="2"/>
  <c r="AJ1416" i="2"/>
  <c r="L1416" i="2"/>
  <c r="K1416" i="2"/>
  <c r="AJ1415" i="2"/>
  <c r="L1415" i="2"/>
  <c r="K1415" i="2"/>
  <c r="AJ1414" i="2"/>
  <c r="L1414" i="2"/>
  <c r="K1414" i="2"/>
  <c r="AJ1413" i="2"/>
  <c r="L1413" i="2"/>
  <c r="K1413" i="2"/>
  <c r="AJ1412" i="2"/>
  <c r="L1412" i="2"/>
  <c r="K1412" i="2"/>
  <c r="AJ1411" i="2"/>
  <c r="L1411" i="2"/>
  <c r="K1411" i="2"/>
  <c r="AJ1410" i="2"/>
  <c r="L1410" i="2"/>
  <c r="K1410" i="2"/>
  <c r="AJ1409" i="2"/>
  <c r="L1409" i="2"/>
  <c r="K1409" i="2"/>
  <c r="AJ1408" i="2"/>
  <c r="L1408" i="2"/>
  <c r="K1408" i="2"/>
  <c r="AJ1407" i="2"/>
  <c r="L1407" i="2"/>
  <c r="K1407" i="2"/>
  <c r="AJ1406" i="2"/>
  <c r="L1406" i="2"/>
  <c r="K1406" i="2"/>
  <c r="AJ1405" i="2"/>
  <c r="L1405" i="2"/>
  <c r="K1405" i="2"/>
  <c r="AJ1404" i="2"/>
  <c r="L1404" i="2"/>
  <c r="K1404" i="2"/>
  <c r="AJ1403" i="2"/>
  <c r="L1403" i="2"/>
  <c r="K1403" i="2"/>
  <c r="AJ1402" i="2"/>
  <c r="L1402" i="2"/>
  <c r="K1402" i="2"/>
  <c r="AJ1401" i="2"/>
  <c r="L1401" i="2"/>
  <c r="K1401" i="2"/>
  <c r="AJ1400" i="2"/>
  <c r="L1400" i="2"/>
  <c r="K1400" i="2"/>
  <c r="AJ1399" i="2"/>
  <c r="L1399" i="2"/>
  <c r="K1399" i="2"/>
  <c r="AJ1398" i="2"/>
  <c r="L1398" i="2"/>
  <c r="K1398" i="2"/>
  <c r="AJ1397" i="2"/>
  <c r="L1397" i="2"/>
  <c r="K1397" i="2"/>
  <c r="AJ1396" i="2"/>
  <c r="L1396" i="2"/>
  <c r="K1396" i="2"/>
  <c r="AJ1395" i="2"/>
  <c r="L1395" i="2"/>
  <c r="K1395" i="2"/>
  <c r="AJ1394" i="2"/>
  <c r="L1394" i="2"/>
  <c r="K1394" i="2"/>
  <c r="AJ1393" i="2"/>
  <c r="L1393" i="2"/>
  <c r="K1393" i="2"/>
  <c r="AJ1392" i="2"/>
  <c r="L1392" i="2"/>
  <c r="K1392" i="2"/>
  <c r="AJ1391" i="2"/>
  <c r="L1391" i="2"/>
  <c r="K1391" i="2"/>
  <c r="AJ1390" i="2"/>
  <c r="L1390" i="2"/>
  <c r="K1390" i="2"/>
  <c r="AJ1389" i="2"/>
  <c r="L1389" i="2"/>
  <c r="K1389" i="2"/>
  <c r="AJ1388" i="2"/>
  <c r="L1388" i="2"/>
  <c r="K1388" i="2"/>
  <c r="AJ1387" i="2"/>
  <c r="L1387" i="2"/>
  <c r="K1387" i="2"/>
  <c r="AJ1386" i="2"/>
  <c r="L1386" i="2"/>
  <c r="K1386" i="2"/>
  <c r="AJ1385" i="2"/>
  <c r="L1385" i="2"/>
  <c r="K1385" i="2"/>
  <c r="AJ1384" i="2"/>
  <c r="L1384" i="2"/>
  <c r="K1384" i="2"/>
  <c r="AJ1383" i="2"/>
  <c r="L1383" i="2"/>
  <c r="K1383" i="2"/>
  <c r="AJ1382" i="2"/>
  <c r="L1382" i="2"/>
  <c r="K1382" i="2"/>
  <c r="AJ1381" i="2"/>
  <c r="L1381" i="2"/>
  <c r="K1381" i="2"/>
  <c r="AJ1380" i="2"/>
  <c r="L1380" i="2"/>
  <c r="K1380" i="2"/>
  <c r="AJ1379" i="2"/>
  <c r="L1379" i="2"/>
  <c r="K1379" i="2"/>
  <c r="AJ1378" i="2"/>
  <c r="L1378" i="2"/>
  <c r="K1378" i="2"/>
  <c r="AJ1377" i="2"/>
  <c r="L1377" i="2"/>
  <c r="K1377" i="2"/>
  <c r="AJ1376" i="2"/>
  <c r="L1376" i="2"/>
  <c r="K1376" i="2"/>
  <c r="AJ1375" i="2"/>
  <c r="L1375" i="2"/>
  <c r="K1375" i="2"/>
  <c r="AJ1374" i="2"/>
  <c r="L1374" i="2"/>
  <c r="K1374" i="2"/>
  <c r="AJ1373" i="2"/>
  <c r="L1373" i="2"/>
  <c r="K1373" i="2"/>
  <c r="AJ1372" i="2"/>
  <c r="L1372" i="2"/>
  <c r="K1372" i="2"/>
  <c r="AJ1371" i="2"/>
  <c r="L1371" i="2"/>
  <c r="K1371" i="2"/>
  <c r="AJ1370" i="2"/>
  <c r="L1370" i="2"/>
  <c r="K1370" i="2"/>
  <c r="AJ1369" i="2"/>
  <c r="L1369" i="2"/>
  <c r="K1369" i="2"/>
  <c r="AJ1368" i="2"/>
  <c r="L1368" i="2"/>
  <c r="K1368" i="2"/>
  <c r="AJ1367" i="2"/>
  <c r="L1367" i="2"/>
  <c r="K1367" i="2"/>
  <c r="AJ1366" i="2"/>
  <c r="L1366" i="2"/>
  <c r="K1366" i="2"/>
  <c r="AJ1365" i="2"/>
  <c r="L1365" i="2"/>
  <c r="K1365" i="2"/>
  <c r="AJ1364" i="2"/>
  <c r="L1364" i="2"/>
  <c r="K1364" i="2"/>
  <c r="AJ1363" i="2"/>
  <c r="L1363" i="2"/>
  <c r="K1363" i="2"/>
  <c r="AJ1362" i="2"/>
  <c r="L1362" i="2"/>
  <c r="K1362" i="2"/>
  <c r="AJ1361" i="2"/>
  <c r="L1361" i="2"/>
  <c r="K1361" i="2"/>
  <c r="AJ1360" i="2"/>
  <c r="L1360" i="2"/>
  <c r="K1360" i="2"/>
  <c r="AJ1359" i="2"/>
  <c r="L1359" i="2"/>
  <c r="K1359" i="2"/>
  <c r="AJ1358" i="2"/>
  <c r="L1358" i="2"/>
  <c r="K1358" i="2"/>
  <c r="AJ1357" i="2"/>
  <c r="L1357" i="2"/>
  <c r="K1357" i="2"/>
  <c r="AJ1356" i="2"/>
  <c r="L1356" i="2"/>
  <c r="K1356" i="2"/>
  <c r="AJ1355" i="2"/>
  <c r="L1355" i="2"/>
  <c r="K1355" i="2"/>
  <c r="AJ1354" i="2"/>
  <c r="L1354" i="2"/>
  <c r="K1354" i="2"/>
  <c r="AJ1353" i="2"/>
  <c r="L1353" i="2"/>
  <c r="K1353" i="2"/>
  <c r="AJ1352" i="2"/>
  <c r="L1352" i="2"/>
  <c r="K1352" i="2"/>
  <c r="AJ1351" i="2"/>
  <c r="L1351" i="2"/>
  <c r="K1351" i="2"/>
  <c r="AJ1350" i="2"/>
  <c r="L1350" i="2"/>
  <c r="K1350" i="2"/>
  <c r="AJ1349" i="2"/>
  <c r="L1349" i="2"/>
  <c r="K1349" i="2"/>
  <c r="AJ1348" i="2"/>
  <c r="L1348" i="2"/>
  <c r="K1348" i="2"/>
  <c r="AJ1347" i="2"/>
  <c r="L1347" i="2"/>
  <c r="K1347" i="2"/>
  <c r="AJ1346" i="2"/>
  <c r="L1346" i="2"/>
  <c r="K1346" i="2"/>
  <c r="AJ1345" i="2"/>
  <c r="L1345" i="2"/>
  <c r="K1345" i="2"/>
  <c r="AJ1344" i="2"/>
  <c r="L1344" i="2"/>
  <c r="K1344" i="2"/>
  <c r="AJ1343" i="2"/>
  <c r="L1343" i="2"/>
  <c r="K1343" i="2"/>
  <c r="AJ1342" i="2"/>
  <c r="L1342" i="2"/>
  <c r="K1342" i="2"/>
  <c r="AJ1341" i="2"/>
  <c r="L1341" i="2"/>
  <c r="K1341" i="2"/>
  <c r="AJ1340" i="2"/>
  <c r="L1340" i="2"/>
  <c r="K1340" i="2"/>
  <c r="AJ1339" i="2"/>
  <c r="L1339" i="2"/>
  <c r="K1339" i="2"/>
  <c r="AJ1338" i="2"/>
  <c r="L1338" i="2"/>
  <c r="K1338" i="2"/>
  <c r="AJ1337" i="2"/>
  <c r="L1337" i="2"/>
  <c r="K1337" i="2"/>
  <c r="AJ1336" i="2"/>
  <c r="L1336" i="2"/>
  <c r="K1336" i="2"/>
  <c r="AJ1335" i="2"/>
  <c r="L1335" i="2"/>
  <c r="K1335" i="2"/>
  <c r="AJ1334" i="2"/>
  <c r="L1334" i="2"/>
  <c r="K1334" i="2"/>
  <c r="AJ1333" i="2"/>
  <c r="L1333" i="2"/>
  <c r="K1333" i="2"/>
  <c r="AJ1332" i="2"/>
  <c r="L1332" i="2"/>
  <c r="K1332" i="2"/>
  <c r="AJ1331" i="2"/>
  <c r="L1331" i="2"/>
  <c r="K1331" i="2"/>
  <c r="AJ1330" i="2"/>
  <c r="L1330" i="2"/>
  <c r="K1330" i="2"/>
  <c r="AJ1329" i="2"/>
  <c r="L1329" i="2"/>
  <c r="K1329" i="2"/>
  <c r="AJ1328" i="2"/>
  <c r="L1328" i="2"/>
  <c r="K1328" i="2"/>
  <c r="AJ1327" i="2"/>
  <c r="L1327" i="2"/>
  <c r="K1327" i="2"/>
  <c r="AJ1326" i="2"/>
  <c r="L1326" i="2"/>
  <c r="K1326" i="2"/>
  <c r="AJ1325" i="2"/>
  <c r="L1325" i="2"/>
  <c r="K1325" i="2"/>
  <c r="AJ1324" i="2"/>
  <c r="L1324" i="2"/>
  <c r="K1324" i="2"/>
  <c r="AJ1323" i="2"/>
  <c r="L1323" i="2"/>
  <c r="K1323" i="2"/>
  <c r="AJ1322" i="2"/>
  <c r="L1322" i="2"/>
  <c r="K1322" i="2"/>
  <c r="AJ1321" i="2"/>
  <c r="L1321" i="2"/>
  <c r="K1321" i="2"/>
  <c r="AJ1320" i="2"/>
  <c r="L1320" i="2"/>
  <c r="K1320" i="2"/>
  <c r="AJ1319" i="2"/>
  <c r="L1319" i="2"/>
  <c r="K1319" i="2"/>
  <c r="AJ1318" i="2"/>
  <c r="L1318" i="2"/>
  <c r="K1318" i="2"/>
  <c r="AJ1317" i="2"/>
  <c r="L1317" i="2"/>
  <c r="K1317" i="2"/>
  <c r="AJ1316" i="2"/>
  <c r="L1316" i="2"/>
  <c r="K1316" i="2"/>
  <c r="AJ1315" i="2"/>
  <c r="L1315" i="2"/>
  <c r="K1315" i="2"/>
  <c r="AJ1314" i="2"/>
  <c r="L1314" i="2"/>
  <c r="K1314" i="2"/>
  <c r="AJ1313" i="2"/>
  <c r="L1313" i="2"/>
  <c r="K1313" i="2"/>
  <c r="AJ1312" i="2"/>
  <c r="L1312" i="2"/>
  <c r="K1312" i="2"/>
  <c r="AJ1311" i="2"/>
  <c r="L1311" i="2"/>
  <c r="K1311" i="2"/>
  <c r="AJ1310" i="2"/>
  <c r="L1310" i="2"/>
  <c r="K1310" i="2"/>
  <c r="AJ1309" i="2"/>
  <c r="L1309" i="2"/>
  <c r="K1309" i="2"/>
  <c r="AJ1308" i="2"/>
  <c r="L1308" i="2"/>
  <c r="K1308" i="2"/>
  <c r="AJ1307" i="2"/>
  <c r="L1307" i="2"/>
  <c r="K1307" i="2"/>
  <c r="AJ1306" i="2"/>
  <c r="L1306" i="2"/>
  <c r="K1306" i="2"/>
  <c r="AJ1305" i="2"/>
  <c r="L1305" i="2"/>
  <c r="K1305" i="2"/>
  <c r="AJ1304" i="2"/>
  <c r="L1304" i="2"/>
  <c r="K1304" i="2"/>
  <c r="AJ1303" i="2"/>
  <c r="L1303" i="2"/>
  <c r="K1303" i="2"/>
  <c r="AJ1302" i="2"/>
  <c r="L1302" i="2"/>
  <c r="K1302" i="2"/>
  <c r="AJ1301" i="2"/>
  <c r="L1301" i="2"/>
  <c r="K1301" i="2"/>
  <c r="AJ1300" i="2"/>
  <c r="L1300" i="2"/>
  <c r="K1300" i="2"/>
  <c r="AJ1299" i="2"/>
  <c r="L1299" i="2"/>
  <c r="K1299" i="2"/>
  <c r="AJ1298" i="2"/>
  <c r="L1298" i="2"/>
  <c r="K1298" i="2"/>
  <c r="AJ1297" i="2"/>
  <c r="L1297" i="2"/>
  <c r="K1297" i="2"/>
  <c r="AJ1296" i="2"/>
  <c r="L1296" i="2"/>
  <c r="K1296" i="2"/>
  <c r="AJ1295" i="2"/>
  <c r="L1295" i="2"/>
  <c r="K1295" i="2"/>
  <c r="AJ1294" i="2"/>
  <c r="L1294" i="2"/>
  <c r="K1294" i="2"/>
  <c r="AJ1293" i="2"/>
  <c r="L1293" i="2"/>
  <c r="K1293" i="2"/>
  <c r="AJ1292" i="2"/>
  <c r="L1292" i="2"/>
  <c r="K1292" i="2"/>
  <c r="AJ1291" i="2"/>
  <c r="L1291" i="2"/>
  <c r="K1291" i="2"/>
  <c r="AJ1290" i="2"/>
  <c r="L1290" i="2"/>
  <c r="K1290" i="2"/>
  <c r="AJ1289" i="2"/>
  <c r="L1289" i="2"/>
  <c r="K1289" i="2"/>
  <c r="AJ1288" i="2"/>
  <c r="L1288" i="2"/>
  <c r="K1288" i="2"/>
  <c r="AJ1287" i="2"/>
  <c r="L1287" i="2"/>
  <c r="K1287" i="2"/>
  <c r="AJ1286" i="2"/>
  <c r="L1286" i="2"/>
  <c r="K1286" i="2"/>
  <c r="AJ1285" i="2"/>
  <c r="L1285" i="2"/>
  <c r="K1285" i="2"/>
  <c r="AJ1284" i="2"/>
  <c r="L1284" i="2"/>
  <c r="K1284" i="2"/>
  <c r="AJ1283" i="2"/>
  <c r="L1283" i="2"/>
  <c r="K1283" i="2"/>
  <c r="AJ1282" i="2"/>
  <c r="L1282" i="2"/>
  <c r="K1282" i="2"/>
  <c r="AJ1281" i="2"/>
  <c r="L1281" i="2"/>
  <c r="K1281" i="2"/>
  <c r="AJ1280" i="2"/>
  <c r="L1280" i="2"/>
  <c r="K1280" i="2"/>
  <c r="AJ1279" i="2"/>
  <c r="L1279" i="2"/>
  <c r="K1279" i="2"/>
  <c r="AJ1278" i="2"/>
  <c r="L1278" i="2"/>
  <c r="K1278" i="2"/>
  <c r="AJ1277" i="2"/>
  <c r="L1277" i="2"/>
  <c r="K1277" i="2"/>
  <c r="AJ1276" i="2"/>
  <c r="L1276" i="2"/>
  <c r="K1276" i="2"/>
  <c r="AJ1275" i="2"/>
  <c r="L1275" i="2"/>
  <c r="K1275" i="2"/>
  <c r="AJ1274" i="2"/>
  <c r="L1274" i="2"/>
  <c r="K1274" i="2"/>
  <c r="AJ1273" i="2"/>
  <c r="L1273" i="2"/>
  <c r="K1273" i="2"/>
  <c r="AJ1272" i="2"/>
  <c r="L1272" i="2"/>
  <c r="K1272" i="2"/>
  <c r="AJ1271" i="2"/>
  <c r="L1271" i="2"/>
  <c r="K1271" i="2"/>
  <c r="AJ1270" i="2"/>
  <c r="L1270" i="2"/>
  <c r="K1270" i="2"/>
  <c r="AJ1269" i="2"/>
  <c r="L1269" i="2"/>
  <c r="K1269" i="2"/>
  <c r="AJ1268" i="2"/>
  <c r="L1268" i="2"/>
  <c r="K1268" i="2"/>
  <c r="AJ1267" i="2"/>
  <c r="L1267" i="2"/>
  <c r="K1267" i="2"/>
  <c r="AJ1266" i="2"/>
  <c r="L1266" i="2"/>
  <c r="K1266" i="2"/>
  <c r="AJ1265" i="2"/>
  <c r="L1265" i="2"/>
  <c r="K1265" i="2"/>
  <c r="AJ1264" i="2"/>
  <c r="L1264" i="2"/>
  <c r="K1264" i="2"/>
  <c r="AJ1263" i="2"/>
  <c r="L1263" i="2"/>
  <c r="K1263" i="2"/>
  <c r="AJ1262" i="2"/>
  <c r="L1262" i="2"/>
  <c r="K1262" i="2"/>
  <c r="AJ1261" i="2"/>
  <c r="L1261" i="2"/>
  <c r="K1261" i="2"/>
  <c r="AJ1260" i="2"/>
  <c r="L1260" i="2"/>
  <c r="K1260" i="2"/>
  <c r="AJ1259" i="2"/>
  <c r="L1259" i="2"/>
  <c r="K1259" i="2"/>
  <c r="AJ1258" i="2"/>
  <c r="L1258" i="2"/>
  <c r="K1258" i="2"/>
  <c r="AJ1257" i="2"/>
  <c r="L1257" i="2"/>
  <c r="K1257" i="2"/>
  <c r="AJ1256" i="2"/>
  <c r="L1256" i="2"/>
  <c r="K1256" i="2"/>
  <c r="AJ1255" i="2"/>
  <c r="L1255" i="2"/>
  <c r="K1255" i="2"/>
  <c r="AJ1254" i="2"/>
  <c r="L1254" i="2"/>
  <c r="K1254" i="2"/>
  <c r="AJ1253" i="2"/>
  <c r="L1253" i="2"/>
  <c r="K1253" i="2"/>
  <c r="AJ1252" i="2"/>
  <c r="L1252" i="2"/>
  <c r="K1252" i="2"/>
  <c r="AJ1251" i="2"/>
  <c r="L1251" i="2"/>
  <c r="K1251" i="2"/>
  <c r="AJ1250" i="2"/>
  <c r="L1250" i="2"/>
  <c r="K1250" i="2"/>
  <c r="AJ1249" i="2"/>
  <c r="L1249" i="2"/>
  <c r="K1249" i="2"/>
  <c r="AJ1248" i="2"/>
  <c r="L1248" i="2"/>
  <c r="K1248" i="2"/>
  <c r="AJ1247" i="2"/>
  <c r="L1247" i="2"/>
  <c r="K1247" i="2"/>
  <c r="AJ1246" i="2"/>
  <c r="L1246" i="2"/>
  <c r="K1246" i="2"/>
  <c r="AJ1245" i="2"/>
  <c r="L1245" i="2"/>
  <c r="K1245" i="2"/>
  <c r="AJ1244" i="2"/>
  <c r="L1244" i="2"/>
  <c r="K1244" i="2"/>
  <c r="AJ1243" i="2"/>
  <c r="L1243" i="2"/>
  <c r="K1243" i="2"/>
  <c r="AJ1242" i="2"/>
  <c r="L1242" i="2"/>
  <c r="K1242" i="2"/>
  <c r="AJ1241" i="2"/>
  <c r="L1241" i="2"/>
  <c r="K1241" i="2"/>
  <c r="AJ1240" i="2"/>
  <c r="L1240" i="2"/>
  <c r="K1240" i="2"/>
  <c r="AJ1239" i="2"/>
  <c r="L1239" i="2"/>
  <c r="K1239" i="2"/>
  <c r="AJ1238" i="2"/>
  <c r="L1238" i="2"/>
  <c r="K1238" i="2"/>
  <c r="AJ1237" i="2"/>
  <c r="L1237" i="2"/>
  <c r="K1237" i="2"/>
  <c r="AJ1236" i="2"/>
  <c r="L1236" i="2"/>
  <c r="K1236" i="2"/>
  <c r="AJ1235" i="2"/>
  <c r="L1235" i="2"/>
  <c r="K1235" i="2"/>
  <c r="AJ1234" i="2"/>
  <c r="L1234" i="2"/>
  <c r="K1234" i="2"/>
  <c r="AJ1233" i="2"/>
  <c r="L1233" i="2"/>
  <c r="K1233" i="2"/>
  <c r="AJ1232" i="2"/>
  <c r="L1232" i="2"/>
  <c r="K1232" i="2"/>
  <c r="AJ1231" i="2"/>
  <c r="L1231" i="2"/>
  <c r="K1231" i="2"/>
  <c r="AJ1230" i="2"/>
  <c r="L1230" i="2"/>
  <c r="K1230" i="2"/>
  <c r="AJ1229" i="2"/>
  <c r="L1229" i="2"/>
  <c r="K1229" i="2"/>
  <c r="AJ1228" i="2"/>
  <c r="L1228" i="2"/>
  <c r="K1228" i="2"/>
  <c r="AJ1227" i="2"/>
  <c r="L1227" i="2"/>
  <c r="K1227" i="2"/>
  <c r="AJ1226" i="2"/>
  <c r="L1226" i="2"/>
  <c r="K1226" i="2"/>
  <c r="AJ1225" i="2"/>
  <c r="L1225" i="2"/>
  <c r="K1225" i="2"/>
  <c r="AJ1224" i="2"/>
  <c r="L1224" i="2"/>
  <c r="K1224" i="2"/>
  <c r="AJ1223" i="2"/>
  <c r="L1223" i="2"/>
  <c r="K1223" i="2"/>
  <c r="AJ1222" i="2"/>
  <c r="L1222" i="2"/>
  <c r="K1222" i="2"/>
  <c r="AJ1221" i="2"/>
  <c r="L1221" i="2"/>
  <c r="K1221" i="2"/>
  <c r="AJ1220" i="2"/>
  <c r="L1220" i="2"/>
  <c r="K1220" i="2"/>
  <c r="AJ1219" i="2"/>
  <c r="L1219" i="2"/>
  <c r="K1219" i="2"/>
  <c r="AJ1218" i="2"/>
  <c r="L1218" i="2"/>
  <c r="K1218" i="2"/>
  <c r="AJ1217" i="2"/>
  <c r="L1217" i="2"/>
  <c r="K1217" i="2"/>
  <c r="AJ1216" i="2"/>
  <c r="L1216" i="2"/>
  <c r="K1216" i="2"/>
  <c r="AJ1215" i="2"/>
  <c r="L1215" i="2"/>
  <c r="K1215" i="2"/>
  <c r="AJ1214" i="2"/>
  <c r="L1214" i="2"/>
  <c r="K1214" i="2"/>
  <c r="AJ1213" i="2"/>
  <c r="L1213" i="2"/>
  <c r="K1213" i="2"/>
  <c r="AJ1212" i="2"/>
  <c r="L1212" i="2"/>
  <c r="K1212" i="2"/>
  <c r="AJ1211" i="2"/>
  <c r="L1211" i="2"/>
  <c r="K1211" i="2"/>
  <c r="AJ1210" i="2"/>
  <c r="L1210" i="2"/>
  <c r="K1210" i="2"/>
  <c r="AJ1209" i="2"/>
  <c r="L1209" i="2"/>
  <c r="K1209" i="2"/>
  <c r="AJ1208" i="2"/>
  <c r="L1208" i="2"/>
  <c r="K1208" i="2"/>
  <c r="AJ1207" i="2"/>
  <c r="L1207" i="2"/>
  <c r="K1207" i="2"/>
  <c r="AJ1206" i="2"/>
  <c r="L1206" i="2"/>
  <c r="K1206" i="2"/>
  <c r="AJ1205" i="2"/>
  <c r="L1205" i="2"/>
  <c r="K1205" i="2"/>
  <c r="AJ1204" i="2"/>
  <c r="L1204" i="2"/>
  <c r="K1204" i="2"/>
  <c r="AJ1203" i="2"/>
  <c r="L1203" i="2"/>
  <c r="K1203" i="2"/>
  <c r="AJ1202" i="2"/>
  <c r="L1202" i="2"/>
  <c r="K1202" i="2"/>
  <c r="AJ1201" i="2"/>
  <c r="L1201" i="2"/>
  <c r="K1201" i="2"/>
  <c r="AJ1200" i="2"/>
  <c r="L1200" i="2"/>
  <c r="K1200" i="2"/>
  <c r="AJ1199" i="2"/>
  <c r="L1199" i="2"/>
  <c r="K1199" i="2"/>
  <c r="AJ1198" i="2"/>
  <c r="L1198" i="2"/>
  <c r="K1198" i="2"/>
  <c r="AJ1197" i="2"/>
  <c r="L1197" i="2"/>
  <c r="K1197" i="2"/>
  <c r="AJ1196" i="2"/>
  <c r="L1196" i="2"/>
  <c r="K1196" i="2"/>
  <c r="AJ1195" i="2"/>
  <c r="L1195" i="2"/>
  <c r="K1195" i="2"/>
  <c r="AJ1194" i="2"/>
  <c r="L1194" i="2"/>
  <c r="K1194" i="2"/>
  <c r="AJ1193" i="2"/>
  <c r="L1193" i="2"/>
  <c r="K1193" i="2"/>
  <c r="AJ1192" i="2"/>
  <c r="L1192" i="2"/>
  <c r="K1192" i="2"/>
  <c r="AJ1191" i="2"/>
  <c r="L1191" i="2"/>
  <c r="K1191" i="2"/>
  <c r="AJ1190" i="2"/>
  <c r="L1190" i="2"/>
  <c r="K1190" i="2"/>
  <c r="AJ1189" i="2"/>
  <c r="L1189" i="2"/>
  <c r="K1189" i="2"/>
  <c r="AJ1188" i="2"/>
  <c r="L1188" i="2"/>
  <c r="K1188" i="2"/>
  <c r="AJ1187" i="2"/>
  <c r="L1187" i="2"/>
  <c r="K1187" i="2"/>
  <c r="AJ1186" i="2"/>
  <c r="L1186" i="2"/>
  <c r="K1186" i="2"/>
  <c r="AJ1185" i="2"/>
  <c r="L1185" i="2"/>
  <c r="K1185" i="2"/>
  <c r="AJ1184" i="2"/>
  <c r="L1184" i="2"/>
  <c r="K1184" i="2"/>
  <c r="AJ1183" i="2"/>
  <c r="L1183" i="2"/>
  <c r="K1183" i="2"/>
  <c r="AJ1182" i="2"/>
  <c r="L1182" i="2"/>
  <c r="K1182" i="2"/>
  <c r="AJ1181" i="2"/>
  <c r="L1181" i="2"/>
  <c r="K1181" i="2"/>
  <c r="AJ1180" i="2"/>
  <c r="L1180" i="2"/>
  <c r="K1180" i="2"/>
  <c r="AJ1179" i="2"/>
  <c r="L1179" i="2"/>
  <c r="K1179" i="2"/>
  <c r="AJ1178" i="2"/>
  <c r="L1178" i="2"/>
  <c r="K1178" i="2"/>
  <c r="AJ1177" i="2"/>
  <c r="L1177" i="2"/>
  <c r="K1177" i="2"/>
  <c r="AJ1176" i="2"/>
  <c r="L1176" i="2"/>
  <c r="K1176" i="2"/>
  <c r="AJ1175" i="2"/>
  <c r="L1175" i="2"/>
  <c r="K1175" i="2"/>
  <c r="AJ1174" i="2"/>
  <c r="L1174" i="2"/>
  <c r="K1174" i="2"/>
  <c r="AJ1173" i="2"/>
  <c r="L1173" i="2"/>
  <c r="K1173" i="2"/>
  <c r="AJ1172" i="2"/>
  <c r="L1172" i="2"/>
  <c r="K1172" i="2"/>
  <c r="AJ1171" i="2"/>
  <c r="L1171" i="2"/>
  <c r="K1171" i="2"/>
  <c r="AJ1170" i="2"/>
  <c r="L1170" i="2"/>
  <c r="K1170" i="2"/>
  <c r="AJ1169" i="2"/>
  <c r="L1169" i="2"/>
  <c r="K1169" i="2"/>
  <c r="AJ1168" i="2"/>
  <c r="L1168" i="2"/>
  <c r="K1168" i="2"/>
  <c r="AJ1167" i="2"/>
  <c r="L1167" i="2"/>
  <c r="K1167" i="2"/>
  <c r="AJ1166" i="2"/>
  <c r="L1166" i="2"/>
  <c r="K1166" i="2"/>
  <c r="AJ1165" i="2"/>
  <c r="L1165" i="2"/>
  <c r="K1165" i="2"/>
  <c r="AJ1164" i="2"/>
  <c r="L1164" i="2"/>
  <c r="K1164" i="2"/>
  <c r="AJ1163" i="2"/>
  <c r="L1163" i="2"/>
  <c r="K1163" i="2"/>
  <c r="AJ1162" i="2"/>
  <c r="L1162" i="2"/>
  <c r="K1162" i="2"/>
  <c r="AJ1161" i="2"/>
  <c r="L1161" i="2"/>
  <c r="K1161" i="2"/>
  <c r="AJ1160" i="2"/>
  <c r="L1160" i="2"/>
  <c r="K1160" i="2"/>
  <c r="AJ1159" i="2"/>
  <c r="L1159" i="2"/>
  <c r="K1159" i="2"/>
  <c r="AJ1158" i="2"/>
  <c r="L1158" i="2"/>
  <c r="K1158" i="2"/>
  <c r="AJ1157" i="2"/>
  <c r="L1157" i="2"/>
  <c r="K1157" i="2"/>
  <c r="AJ1156" i="2"/>
  <c r="L1156" i="2"/>
  <c r="K1156" i="2"/>
  <c r="AJ1155" i="2"/>
  <c r="L1155" i="2"/>
  <c r="K1155" i="2"/>
  <c r="AJ1154" i="2"/>
  <c r="L1154" i="2"/>
  <c r="K1154" i="2"/>
  <c r="AJ1153" i="2"/>
  <c r="L1153" i="2"/>
  <c r="K1153" i="2"/>
  <c r="AJ1152" i="2"/>
  <c r="L1152" i="2"/>
  <c r="K1152" i="2"/>
  <c r="AJ1151" i="2"/>
  <c r="L1151" i="2"/>
  <c r="K1151" i="2"/>
  <c r="AJ1150" i="2"/>
  <c r="L1150" i="2"/>
  <c r="K1150" i="2"/>
  <c r="AJ1149" i="2"/>
  <c r="L1149" i="2"/>
  <c r="K1149" i="2"/>
  <c r="AJ1148" i="2"/>
  <c r="L1148" i="2"/>
  <c r="K1148" i="2"/>
  <c r="AJ1147" i="2"/>
  <c r="L1147" i="2"/>
  <c r="K1147" i="2"/>
  <c r="AJ1146" i="2"/>
  <c r="L1146" i="2"/>
  <c r="K1146" i="2"/>
  <c r="AJ1145" i="2"/>
  <c r="L1145" i="2"/>
  <c r="K1145" i="2"/>
  <c r="AJ1144" i="2"/>
  <c r="L1144" i="2"/>
  <c r="K1144" i="2"/>
  <c r="AJ1143" i="2"/>
  <c r="L1143" i="2"/>
  <c r="K1143" i="2"/>
  <c r="AJ1142" i="2"/>
  <c r="L1142" i="2"/>
  <c r="K1142" i="2"/>
  <c r="AJ1141" i="2"/>
  <c r="L1141" i="2"/>
  <c r="K1141" i="2"/>
  <c r="AJ1140" i="2"/>
  <c r="L1140" i="2"/>
  <c r="K1140" i="2"/>
  <c r="AJ1139" i="2"/>
  <c r="L1139" i="2"/>
  <c r="K1139" i="2"/>
  <c r="AJ1138" i="2"/>
  <c r="L1138" i="2"/>
  <c r="K1138" i="2"/>
  <c r="AJ1137" i="2"/>
  <c r="L1137" i="2"/>
  <c r="K1137" i="2"/>
  <c r="AJ1136" i="2"/>
  <c r="L1136" i="2"/>
  <c r="K1136" i="2"/>
  <c r="AJ1135" i="2"/>
  <c r="L1135" i="2"/>
  <c r="K1135" i="2"/>
  <c r="AJ1134" i="2"/>
  <c r="L1134" i="2"/>
  <c r="K1134" i="2"/>
  <c r="AJ1133" i="2"/>
  <c r="L1133" i="2"/>
  <c r="K1133" i="2"/>
  <c r="AJ1132" i="2"/>
  <c r="L1132" i="2"/>
  <c r="K1132" i="2"/>
  <c r="AJ1131" i="2"/>
  <c r="L1131" i="2"/>
  <c r="K1131" i="2"/>
  <c r="AJ1130" i="2"/>
  <c r="L1130" i="2"/>
  <c r="K1130" i="2"/>
  <c r="AJ1129" i="2"/>
  <c r="L1129" i="2"/>
  <c r="K1129" i="2"/>
  <c r="AJ1128" i="2"/>
  <c r="L1128" i="2"/>
  <c r="K1128" i="2"/>
  <c r="AJ1127" i="2"/>
  <c r="L1127" i="2"/>
  <c r="K1127" i="2"/>
  <c r="AJ1126" i="2"/>
  <c r="L1126" i="2"/>
  <c r="K1126" i="2"/>
  <c r="AJ1125" i="2"/>
  <c r="L1125" i="2"/>
  <c r="K1125" i="2"/>
  <c r="AJ1124" i="2"/>
  <c r="L1124" i="2"/>
  <c r="K1124" i="2"/>
  <c r="AJ1123" i="2"/>
  <c r="L1123" i="2"/>
  <c r="K1123" i="2"/>
  <c r="AJ1122" i="2"/>
  <c r="L1122" i="2"/>
  <c r="K1122" i="2"/>
  <c r="AJ1121" i="2"/>
  <c r="L1121" i="2"/>
  <c r="K1121" i="2"/>
  <c r="AJ1120" i="2"/>
  <c r="L1120" i="2"/>
  <c r="K1120" i="2"/>
  <c r="AJ1119" i="2"/>
  <c r="L1119" i="2"/>
  <c r="K1119" i="2"/>
  <c r="AJ1118" i="2"/>
  <c r="L1118" i="2"/>
  <c r="K1118" i="2"/>
  <c r="AJ1117" i="2"/>
  <c r="L1117" i="2"/>
  <c r="K1117" i="2"/>
  <c r="AJ1116" i="2"/>
  <c r="L1116" i="2"/>
  <c r="K1116" i="2"/>
  <c r="AJ1115" i="2"/>
  <c r="L1115" i="2"/>
  <c r="K1115" i="2"/>
  <c r="AJ1114" i="2"/>
  <c r="L1114" i="2"/>
  <c r="K1114" i="2"/>
  <c r="AJ1113" i="2"/>
  <c r="L1113" i="2"/>
  <c r="K1113" i="2"/>
  <c r="AJ1112" i="2"/>
  <c r="L1112" i="2"/>
  <c r="K1112" i="2"/>
  <c r="AJ1111" i="2"/>
  <c r="L1111" i="2"/>
  <c r="K1111" i="2"/>
  <c r="AJ1110" i="2"/>
  <c r="L1110" i="2"/>
  <c r="K1110" i="2"/>
  <c r="AJ1109" i="2"/>
  <c r="L1109" i="2"/>
  <c r="K1109" i="2"/>
  <c r="AJ1108" i="2"/>
  <c r="L1108" i="2"/>
  <c r="K1108" i="2"/>
  <c r="AJ1107" i="2"/>
  <c r="L1107" i="2"/>
  <c r="K1107" i="2"/>
  <c r="AJ1106" i="2"/>
  <c r="L1106" i="2"/>
  <c r="K1106" i="2"/>
  <c r="AJ1105" i="2"/>
  <c r="L1105" i="2"/>
  <c r="K1105" i="2"/>
  <c r="AJ1104" i="2"/>
  <c r="L1104" i="2"/>
  <c r="K1104" i="2"/>
  <c r="AJ1103" i="2"/>
  <c r="L1103" i="2"/>
  <c r="K1103" i="2"/>
  <c r="AJ1102" i="2"/>
  <c r="L1102" i="2"/>
  <c r="K1102" i="2"/>
  <c r="AJ1101" i="2"/>
  <c r="L1101" i="2"/>
  <c r="K1101" i="2"/>
  <c r="AJ1100" i="2"/>
  <c r="L1100" i="2"/>
  <c r="K1100" i="2"/>
  <c r="AJ1099" i="2"/>
  <c r="L1099" i="2"/>
  <c r="K1099" i="2"/>
  <c r="AJ1098" i="2"/>
  <c r="L1098" i="2"/>
  <c r="K1098" i="2"/>
  <c r="AJ1097" i="2"/>
  <c r="L1097" i="2"/>
  <c r="K1097" i="2"/>
  <c r="AJ1096" i="2"/>
  <c r="L1096" i="2"/>
  <c r="K1096" i="2"/>
  <c r="AJ1095" i="2"/>
  <c r="L1095" i="2"/>
  <c r="K1095" i="2"/>
  <c r="AJ1094" i="2"/>
  <c r="L1094" i="2"/>
  <c r="K1094" i="2"/>
  <c r="AJ1093" i="2"/>
  <c r="L1093" i="2"/>
  <c r="K1093" i="2"/>
  <c r="AJ1092" i="2"/>
  <c r="L1092" i="2"/>
  <c r="K1092" i="2"/>
  <c r="AJ1091" i="2"/>
  <c r="L1091" i="2"/>
  <c r="K1091" i="2"/>
  <c r="AJ1090" i="2"/>
  <c r="L1090" i="2"/>
  <c r="K1090" i="2"/>
  <c r="AJ1089" i="2"/>
  <c r="L1089" i="2"/>
  <c r="K1089" i="2"/>
  <c r="AJ1088" i="2"/>
  <c r="L1088" i="2"/>
  <c r="K1088" i="2"/>
  <c r="AJ1087" i="2"/>
  <c r="L1087" i="2"/>
  <c r="K1087" i="2"/>
  <c r="AJ1086" i="2"/>
  <c r="L1086" i="2"/>
  <c r="K1086" i="2"/>
  <c r="AJ1085" i="2"/>
  <c r="L1085" i="2"/>
  <c r="K1085" i="2"/>
  <c r="AJ1084" i="2"/>
  <c r="L1084" i="2"/>
  <c r="K1084" i="2"/>
  <c r="AJ1083" i="2"/>
  <c r="L1083" i="2"/>
  <c r="K1083" i="2"/>
  <c r="AJ1082" i="2"/>
  <c r="L1082" i="2"/>
  <c r="K1082" i="2"/>
  <c r="AJ1081" i="2"/>
  <c r="L1081" i="2"/>
  <c r="K1081" i="2"/>
  <c r="AJ1080" i="2"/>
  <c r="L1080" i="2"/>
  <c r="K1080" i="2"/>
  <c r="AJ1079" i="2"/>
  <c r="L1079" i="2"/>
  <c r="K1079" i="2"/>
  <c r="AJ1078" i="2"/>
  <c r="L1078" i="2"/>
  <c r="K1078" i="2"/>
  <c r="AJ1077" i="2"/>
  <c r="L1077" i="2"/>
  <c r="K1077" i="2"/>
  <c r="AJ1076" i="2"/>
  <c r="L1076" i="2"/>
  <c r="K1076" i="2"/>
  <c r="AJ1075" i="2"/>
  <c r="L1075" i="2"/>
  <c r="K1075" i="2"/>
  <c r="AJ1074" i="2"/>
  <c r="L1074" i="2"/>
  <c r="K1074" i="2"/>
  <c r="AJ1073" i="2"/>
  <c r="L1073" i="2"/>
  <c r="K1073" i="2"/>
  <c r="AJ1072" i="2"/>
  <c r="L1072" i="2"/>
  <c r="K1072" i="2"/>
  <c r="AJ1071" i="2"/>
  <c r="L1071" i="2"/>
  <c r="K1071" i="2"/>
  <c r="AJ1070" i="2"/>
  <c r="L1070" i="2"/>
  <c r="K1070" i="2"/>
  <c r="AJ1069" i="2"/>
  <c r="L1069" i="2"/>
  <c r="K1069" i="2"/>
  <c r="AJ1068" i="2"/>
  <c r="L1068" i="2"/>
  <c r="K1068" i="2"/>
  <c r="AJ1067" i="2"/>
  <c r="L1067" i="2"/>
  <c r="K1067" i="2"/>
  <c r="AJ1066" i="2"/>
  <c r="L1066" i="2"/>
  <c r="K1066" i="2"/>
  <c r="AJ1065" i="2"/>
  <c r="L1065" i="2"/>
  <c r="K1065" i="2"/>
  <c r="AJ1064" i="2"/>
  <c r="L1064" i="2"/>
  <c r="K1064" i="2"/>
  <c r="AJ1063" i="2"/>
  <c r="L1063" i="2"/>
  <c r="K1063" i="2"/>
  <c r="AJ1062" i="2"/>
  <c r="L1062" i="2"/>
  <c r="K1062" i="2"/>
  <c r="AJ1061" i="2"/>
  <c r="L1061" i="2"/>
  <c r="K1061" i="2"/>
  <c r="AJ1060" i="2"/>
  <c r="L1060" i="2"/>
  <c r="K1060" i="2"/>
  <c r="AJ1059" i="2"/>
  <c r="L1059" i="2"/>
  <c r="K1059" i="2"/>
  <c r="AJ1058" i="2"/>
  <c r="L1058" i="2"/>
  <c r="K1058" i="2"/>
  <c r="AJ1057" i="2"/>
  <c r="L1057" i="2"/>
  <c r="K1057" i="2"/>
  <c r="AJ1056" i="2"/>
  <c r="L1056" i="2"/>
  <c r="K1056" i="2"/>
  <c r="AJ1055" i="2"/>
  <c r="L1055" i="2"/>
  <c r="K1055" i="2"/>
  <c r="AJ1054" i="2"/>
  <c r="L1054" i="2"/>
  <c r="K1054" i="2"/>
  <c r="AJ1053" i="2"/>
  <c r="L1053" i="2"/>
  <c r="K1053" i="2"/>
  <c r="AJ1052" i="2"/>
  <c r="L1052" i="2"/>
  <c r="K1052" i="2"/>
  <c r="AJ1051" i="2"/>
  <c r="L1051" i="2"/>
  <c r="K1051" i="2"/>
  <c r="AJ1050" i="2"/>
  <c r="L1050" i="2"/>
  <c r="K1050" i="2"/>
  <c r="AJ1049" i="2"/>
  <c r="L1049" i="2"/>
  <c r="K1049" i="2"/>
  <c r="AJ1048" i="2"/>
  <c r="L1048" i="2"/>
  <c r="K1048" i="2"/>
  <c r="AJ1047" i="2"/>
  <c r="L1047" i="2"/>
  <c r="K1047" i="2"/>
  <c r="AJ1046" i="2"/>
  <c r="L1046" i="2"/>
  <c r="K1046" i="2"/>
  <c r="AJ1045" i="2"/>
  <c r="L1045" i="2"/>
  <c r="K1045" i="2"/>
  <c r="AJ1044" i="2"/>
  <c r="L1044" i="2"/>
  <c r="K1044" i="2"/>
  <c r="AJ1043" i="2"/>
  <c r="L1043" i="2"/>
  <c r="K1043" i="2"/>
  <c r="AJ1042" i="2"/>
  <c r="L1042" i="2"/>
  <c r="K1042" i="2"/>
  <c r="AJ1041" i="2"/>
  <c r="L1041" i="2"/>
  <c r="K1041" i="2"/>
  <c r="AJ1040" i="2"/>
  <c r="L1040" i="2"/>
  <c r="K1040" i="2"/>
  <c r="AJ1039" i="2"/>
  <c r="L1039" i="2"/>
  <c r="K1039" i="2"/>
  <c r="AJ1038" i="2"/>
  <c r="L1038" i="2"/>
  <c r="K1038" i="2"/>
  <c r="AJ1037" i="2"/>
  <c r="L1037" i="2"/>
  <c r="K1037" i="2"/>
  <c r="AJ1036" i="2"/>
  <c r="L1036" i="2"/>
  <c r="K1036" i="2"/>
  <c r="AJ1035" i="2"/>
  <c r="L1035" i="2"/>
  <c r="K1035" i="2"/>
  <c r="AJ1034" i="2"/>
  <c r="L1034" i="2"/>
  <c r="K1034" i="2"/>
  <c r="AJ1033" i="2"/>
  <c r="L1033" i="2"/>
  <c r="K1033" i="2"/>
  <c r="AJ1032" i="2"/>
  <c r="L1032" i="2"/>
  <c r="K1032" i="2"/>
  <c r="AJ1031" i="2"/>
  <c r="L1031" i="2"/>
  <c r="K1031" i="2"/>
  <c r="AJ1030" i="2"/>
  <c r="L1030" i="2"/>
  <c r="K1030" i="2"/>
  <c r="AJ1029" i="2"/>
  <c r="L1029" i="2"/>
  <c r="K1029" i="2"/>
  <c r="AJ1028" i="2"/>
  <c r="L1028" i="2"/>
  <c r="K1028" i="2"/>
  <c r="AJ1027" i="2"/>
  <c r="L1027" i="2"/>
  <c r="K1027" i="2"/>
  <c r="AJ1026" i="2"/>
  <c r="L1026" i="2"/>
  <c r="K1026" i="2"/>
  <c r="AJ1025" i="2"/>
  <c r="L1025" i="2"/>
  <c r="K1025" i="2"/>
  <c r="AJ1024" i="2"/>
  <c r="L1024" i="2"/>
  <c r="K1024" i="2"/>
  <c r="AJ1023" i="2"/>
  <c r="L1023" i="2"/>
  <c r="K1023" i="2"/>
  <c r="AJ1022" i="2"/>
  <c r="L1022" i="2"/>
  <c r="K1022" i="2"/>
  <c r="AJ1021" i="2"/>
  <c r="L1021" i="2"/>
  <c r="K1021" i="2"/>
  <c r="AJ1020" i="2"/>
  <c r="L1020" i="2"/>
  <c r="K1020" i="2"/>
  <c r="AJ1019" i="2"/>
  <c r="L1019" i="2"/>
  <c r="K1019" i="2"/>
  <c r="AJ1018" i="2"/>
  <c r="L1018" i="2"/>
  <c r="K1018" i="2"/>
  <c r="AJ1017" i="2"/>
  <c r="L1017" i="2"/>
  <c r="K1017" i="2"/>
  <c r="AJ1016" i="2"/>
  <c r="L1016" i="2"/>
  <c r="K1016" i="2"/>
  <c r="AJ1015" i="2"/>
  <c r="L1015" i="2"/>
  <c r="K1015" i="2"/>
  <c r="AJ1014" i="2"/>
  <c r="L1014" i="2"/>
  <c r="K1014" i="2"/>
  <c r="AJ1013" i="2"/>
  <c r="L1013" i="2"/>
  <c r="K1013" i="2"/>
  <c r="AJ1012" i="2"/>
  <c r="L1012" i="2"/>
  <c r="K1012" i="2"/>
  <c r="AJ1011" i="2"/>
  <c r="L1011" i="2"/>
  <c r="K1011" i="2"/>
  <c r="AJ1010" i="2"/>
  <c r="L1010" i="2"/>
  <c r="K1010" i="2"/>
  <c r="AJ1009" i="2"/>
  <c r="L1009" i="2"/>
  <c r="K1009" i="2"/>
  <c r="AJ1008" i="2"/>
  <c r="L1008" i="2"/>
  <c r="K1008" i="2"/>
  <c r="AJ1007" i="2"/>
  <c r="L1007" i="2"/>
  <c r="K1007" i="2"/>
  <c r="AJ1006" i="2"/>
  <c r="L1006" i="2"/>
  <c r="K1006" i="2"/>
  <c r="AJ1005" i="2"/>
  <c r="L1005" i="2"/>
  <c r="K1005" i="2"/>
  <c r="AJ1004" i="2"/>
  <c r="L1004" i="2"/>
  <c r="K1004" i="2"/>
  <c r="AJ1003" i="2"/>
  <c r="L1003" i="2"/>
  <c r="K1003" i="2"/>
  <c r="AJ1002" i="2"/>
  <c r="L1002" i="2"/>
  <c r="K1002" i="2"/>
  <c r="AJ1001" i="2"/>
  <c r="L1001" i="2"/>
  <c r="K1001" i="2"/>
  <c r="AJ1000" i="2"/>
  <c r="L1000" i="2"/>
  <c r="K1000" i="2"/>
  <c r="AJ999" i="2"/>
  <c r="L999" i="2"/>
  <c r="K999" i="2"/>
  <c r="AJ998" i="2"/>
  <c r="L998" i="2"/>
  <c r="K998" i="2"/>
  <c r="AJ997" i="2"/>
  <c r="L997" i="2"/>
  <c r="K997" i="2"/>
  <c r="AJ996" i="2"/>
  <c r="L996" i="2"/>
  <c r="K996" i="2"/>
  <c r="AJ995" i="2"/>
  <c r="L995" i="2"/>
  <c r="K995" i="2"/>
  <c r="AJ994" i="2"/>
  <c r="L994" i="2"/>
  <c r="K994" i="2"/>
  <c r="AJ993" i="2"/>
  <c r="L993" i="2"/>
  <c r="K993" i="2"/>
  <c r="AJ992" i="2"/>
  <c r="L992" i="2"/>
  <c r="K992" i="2"/>
  <c r="AJ991" i="2"/>
  <c r="L991" i="2"/>
  <c r="K991" i="2"/>
  <c r="AJ990" i="2"/>
  <c r="L990" i="2"/>
  <c r="K990" i="2"/>
  <c r="AJ989" i="2"/>
  <c r="L989" i="2"/>
  <c r="K989" i="2"/>
  <c r="AJ988" i="2"/>
  <c r="L988" i="2"/>
  <c r="K988" i="2"/>
  <c r="AJ987" i="2"/>
  <c r="L987" i="2"/>
  <c r="K987" i="2"/>
  <c r="AJ986" i="2"/>
  <c r="L986" i="2"/>
  <c r="K986" i="2"/>
  <c r="AJ985" i="2"/>
  <c r="L985" i="2"/>
  <c r="K985" i="2"/>
  <c r="AJ984" i="2"/>
  <c r="L984" i="2"/>
  <c r="K984" i="2"/>
  <c r="AJ983" i="2"/>
  <c r="L983" i="2"/>
  <c r="K983" i="2"/>
  <c r="AJ982" i="2"/>
  <c r="L982" i="2"/>
  <c r="K982" i="2"/>
  <c r="AJ981" i="2"/>
  <c r="L981" i="2"/>
  <c r="K981" i="2"/>
  <c r="AJ980" i="2"/>
  <c r="L980" i="2"/>
  <c r="K980" i="2"/>
  <c r="AJ979" i="2"/>
  <c r="L979" i="2"/>
  <c r="K979" i="2"/>
  <c r="AJ978" i="2"/>
  <c r="L978" i="2"/>
  <c r="K978" i="2"/>
  <c r="AJ977" i="2"/>
  <c r="L977" i="2"/>
  <c r="K977" i="2"/>
  <c r="AJ976" i="2"/>
  <c r="L976" i="2"/>
  <c r="K976" i="2"/>
  <c r="AJ975" i="2"/>
  <c r="L975" i="2"/>
  <c r="K975" i="2"/>
  <c r="AJ974" i="2"/>
  <c r="L974" i="2"/>
  <c r="K974" i="2"/>
  <c r="AJ973" i="2"/>
  <c r="L973" i="2"/>
  <c r="K973" i="2"/>
  <c r="AJ972" i="2"/>
  <c r="L972" i="2"/>
  <c r="K972" i="2"/>
  <c r="AJ971" i="2"/>
  <c r="L971" i="2"/>
  <c r="K971" i="2"/>
  <c r="AJ970" i="2"/>
  <c r="L970" i="2"/>
  <c r="K970" i="2"/>
  <c r="AJ969" i="2"/>
  <c r="L969" i="2"/>
  <c r="K969" i="2"/>
  <c r="AJ968" i="2"/>
  <c r="L968" i="2"/>
  <c r="K968" i="2"/>
  <c r="AJ967" i="2"/>
  <c r="L967" i="2"/>
  <c r="K967" i="2"/>
  <c r="AJ966" i="2"/>
  <c r="L966" i="2"/>
  <c r="K966" i="2"/>
  <c r="AJ965" i="2"/>
  <c r="L965" i="2"/>
  <c r="K965" i="2"/>
  <c r="AJ964" i="2"/>
  <c r="L964" i="2"/>
  <c r="K964" i="2"/>
  <c r="AJ963" i="2"/>
  <c r="L963" i="2"/>
  <c r="K963" i="2"/>
  <c r="AJ962" i="2"/>
  <c r="L962" i="2"/>
  <c r="K962" i="2"/>
  <c r="AJ961" i="2"/>
  <c r="L961" i="2"/>
  <c r="K961" i="2"/>
  <c r="AJ960" i="2"/>
  <c r="L960" i="2"/>
  <c r="K960" i="2"/>
  <c r="AJ959" i="2"/>
  <c r="L959" i="2"/>
  <c r="K959" i="2"/>
  <c r="AJ958" i="2"/>
  <c r="L958" i="2"/>
  <c r="K958" i="2"/>
  <c r="AJ957" i="2"/>
  <c r="L957" i="2"/>
  <c r="K957" i="2"/>
  <c r="AJ956" i="2"/>
  <c r="L956" i="2"/>
  <c r="K956" i="2"/>
  <c r="AJ955" i="2"/>
  <c r="L955" i="2"/>
  <c r="K955" i="2"/>
  <c r="AJ954" i="2"/>
  <c r="L954" i="2"/>
  <c r="K954" i="2"/>
  <c r="AJ953" i="2"/>
  <c r="L953" i="2"/>
  <c r="K953" i="2"/>
  <c r="AJ952" i="2"/>
  <c r="L952" i="2"/>
  <c r="K952" i="2"/>
  <c r="AJ951" i="2"/>
  <c r="L951" i="2"/>
  <c r="K951" i="2"/>
  <c r="AJ950" i="2"/>
  <c r="L950" i="2"/>
  <c r="K950" i="2"/>
  <c r="AJ949" i="2"/>
  <c r="L949" i="2"/>
  <c r="K949" i="2"/>
  <c r="AJ948" i="2"/>
  <c r="L948" i="2"/>
  <c r="K948" i="2"/>
  <c r="AJ947" i="2"/>
  <c r="L947" i="2"/>
  <c r="K947" i="2"/>
  <c r="AJ946" i="2"/>
  <c r="L946" i="2"/>
  <c r="K946" i="2"/>
  <c r="AJ945" i="2"/>
  <c r="L945" i="2"/>
  <c r="K945" i="2"/>
  <c r="AJ944" i="2"/>
  <c r="L944" i="2"/>
  <c r="K944" i="2"/>
  <c r="AJ943" i="2"/>
  <c r="L943" i="2"/>
  <c r="K943" i="2"/>
  <c r="AJ942" i="2"/>
  <c r="L942" i="2"/>
  <c r="K942" i="2"/>
  <c r="AJ941" i="2"/>
  <c r="L941" i="2"/>
  <c r="K941" i="2"/>
  <c r="AJ940" i="2"/>
  <c r="L940" i="2"/>
  <c r="K940" i="2"/>
  <c r="AJ939" i="2"/>
  <c r="L939" i="2"/>
  <c r="K939" i="2"/>
  <c r="AJ938" i="2"/>
  <c r="L938" i="2"/>
  <c r="K938" i="2"/>
  <c r="AJ937" i="2"/>
  <c r="L937" i="2"/>
  <c r="K937" i="2"/>
  <c r="AJ936" i="2"/>
  <c r="L936" i="2"/>
  <c r="K936" i="2"/>
  <c r="AJ935" i="2"/>
  <c r="L935" i="2"/>
  <c r="K935" i="2"/>
  <c r="AJ934" i="2"/>
  <c r="L934" i="2"/>
  <c r="K934" i="2"/>
  <c r="AJ933" i="2"/>
  <c r="L933" i="2"/>
  <c r="K933" i="2"/>
  <c r="AJ932" i="2"/>
  <c r="L932" i="2"/>
  <c r="K932" i="2"/>
  <c r="AJ931" i="2"/>
  <c r="L931" i="2"/>
  <c r="K931" i="2"/>
  <c r="AJ930" i="2"/>
  <c r="L930" i="2"/>
  <c r="K930" i="2"/>
  <c r="AJ929" i="2"/>
  <c r="L929" i="2"/>
  <c r="K929" i="2"/>
  <c r="AJ928" i="2"/>
  <c r="L928" i="2"/>
  <c r="K928" i="2"/>
  <c r="AJ927" i="2"/>
  <c r="L927" i="2"/>
  <c r="K927" i="2"/>
  <c r="AJ926" i="2"/>
  <c r="L926" i="2"/>
  <c r="K926" i="2"/>
  <c r="AJ925" i="2"/>
  <c r="L925" i="2"/>
  <c r="K925" i="2"/>
  <c r="AJ924" i="2"/>
  <c r="L924" i="2"/>
  <c r="K924" i="2"/>
  <c r="AJ923" i="2"/>
  <c r="L923" i="2"/>
  <c r="K923" i="2"/>
  <c r="AJ922" i="2"/>
  <c r="L922" i="2"/>
  <c r="K922" i="2"/>
  <c r="AJ921" i="2"/>
  <c r="L921" i="2"/>
  <c r="K921" i="2"/>
  <c r="AJ920" i="2"/>
  <c r="L920" i="2"/>
  <c r="K920" i="2"/>
  <c r="AJ919" i="2"/>
  <c r="L919" i="2"/>
  <c r="K919" i="2"/>
  <c r="AJ918" i="2"/>
  <c r="L918" i="2"/>
  <c r="K918" i="2"/>
  <c r="AJ917" i="2"/>
  <c r="L917" i="2"/>
  <c r="K917" i="2"/>
  <c r="AJ916" i="2"/>
  <c r="L916" i="2"/>
  <c r="K916" i="2"/>
  <c r="AJ915" i="2"/>
  <c r="L915" i="2"/>
  <c r="K915" i="2"/>
  <c r="AJ914" i="2"/>
  <c r="L914" i="2"/>
  <c r="K914" i="2"/>
  <c r="AJ913" i="2"/>
  <c r="L913" i="2"/>
  <c r="K913" i="2"/>
  <c r="AJ912" i="2"/>
  <c r="L912" i="2"/>
  <c r="K912" i="2"/>
  <c r="AJ911" i="2"/>
  <c r="L911" i="2"/>
  <c r="K911" i="2"/>
  <c r="AJ910" i="2"/>
  <c r="L910" i="2"/>
  <c r="K910" i="2"/>
  <c r="AJ909" i="2"/>
  <c r="L909" i="2"/>
  <c r="K909" i="2"/>
  <c r="AJ908" i="2"/>
  <c r="L908" i="2"/>
  <c r="K908" i="2"/>
  <c r="AJ907" i="2"/>
  <c r="L907" i="2"/>
  <c r="K907" i="2"/>
  <c r="AJ906" i="2"/>
  <c r="L906" i="2"/>
  <c r="K906" i="2"/>
  <c r="AJ905" i="2"/>
  <c r="L905" i="2"/>
  <c r="K905" i="2"/>
  <c r="AJ904" i="2"/>
  <c r="L904" i="2"/>
  <c r="K904" i="2"/>
  <c r="AJ903" i="2"/>
  <c r="L903" i="2"/>
  <c r="K903" i="2"/>
  <c r="AJ902" i="2"/>
  <c r="L902" i="2"/>
  <c r="K902" i="2"/>
  <c r="AJ901" i="2"/>
  <c r="L901" i="2"/>
  <c r="K901" i="2"/>
  <c r="AJ900" i="2"/>
  <c r="L900" i="2"/>
  <c r="K900" i="2"/>
  <c r="AJ899" i="2"/>
  <c r="L899" i="2"/>
  <c r="K899" i="2"/>
  <c r="AJ898" i="2"/>
  <c r="L898" i="2"/>
  <c r="K898" i="2"/>
  <c r="AJ897" i="2"/>
  <c r="L897" i="2"/>
  <c r="K897" i="2"/>
  <c r="AJ896" i="2"/>
  <c r="L896" i="2"/>
  <c r="K896" i="2"/>
  <c r="AJ895" i="2"/>
  <c r="L895" i="2"/>
  <c r="K895" i="2"/>
  <c r="AJ894" i="2"/>
  <c r="L894" i="2"/>
  <c r="K894" i="2"/>
  <c r="AJ893" i="2"/>
  <c r="L893" i="2"/>
  <c r="K893" i="2"/>
  <c r="AJ892" i="2"/>
  <c r="L892" i="2"/>
  <c r="K892" i="2"/>
  <c r="AJ891" i="2"/>
  <c r="L891" i="2"/>
  <c r="K891" i="2"/>
  <c r="AJ890" i="2"/>
  <c r="L890" i="2"/>
  <c r="K890" i="2"/>
  <c r="AJ889" i="2"/>
  <c r="L889" i="2"/>
  <c r="K889" i="2"/>
  <c r="AJ888" i="2"/>
  <c r="L888" i="2"/>
  <c r="K888" i="2"/>
  <c r="AJ887" i="2"/>
  <c r="L887" i="2"/>
  <c r="K887" i="2"/>
  <c r="AJ886" i="2"/>
  <c r="L886" i="2"/>
  <c r="K886" i="2"/>
  <c r="AJ885" i="2"/>
  <c r="L885" i="2"/>
  <c r="K885" i="2"/>
  <c r="AJ884" i="2"/>
  <c r="L884" i="2"/>
  <c r="K884" i="2"/>
  <c r="AJ883" i="2"/>
  <c r="L883" i="2"/>
  <c r="K883" i="2"/>
  <c r="AJ882" i="2"/>
  <c r="L882" i="2"/>
  <c r="K882" i="2"/>
  <c r="AJ881" i="2"/>
  <c r="L881" i="2"/>
  <c r="K881" i="2"/>
  <c r="AJ880" i="2"/>
  <c r="L880" i="2"/>
  <c r="K880" i="2"/>
  <c r="AJ879" i="2"/>
  <c r="L879" i="2"/>
  <c r="K879" i="2"/>
  <c r="AJ878" i="2"/>
  <c r="L878" i="2"/>
  <c r="K878" i="2"/>
  <c r="AJ877" i="2"/>
  <c r="L877" i="2"/>
  <c r="K877" i="2"/>
  <c r="AJ876" i="2"/>
  <c r="L876" i="2"/>
  <c r="K876" i="2"/>
  <c r="AJ875" i="2"/>
  <c r="L875" i="2"/>
  <c r="K875" i="2"/>
  <c r="AJ874" i="2"/>
  <c r="L874" i="2"/>
  <c r="K874" i="2"/>
  <c r="AJ873" i="2"/>
  <c r="L873" i="2"/>
  <c r="K873" i="2"/>
  <c r="AJ872" i="2"/>
  <c r="L872" i="2"/>
  <c r="K872" i="2"/>
  <c r="AJ871" i="2"/>
  <c r="L871" i="2"/>
  <c r="K871" i="2"/>
  <c r="AJ870" i="2"/>
  <c r="L870" i="2"/>
  <c r="K870" i="2"/>
  <c r="AJ869" i="2"/>
  <c r="L869" i="2"/>
  <c r="K869" i="2"/>
  <c r="AJ868" i="2"/>
  <c r="L868" i="2"/>
  <c r="K868" i="2"/>
  <c r="AJ867" i="2"/>
  <c r="L867" i="2"/>
  <c r="K867" i="2"/>
  <c r="AJ866" i="2"/>
  <c r="L866" i="2"/>
  <c r="K866" i="2"/>
  <c r="AJ865" i="2"/>
  <c r="L865" i="2"/>
  <c r="K865" i="2"/>
  <c r="AJ864" i="2"/>
  <c r="L864" i="2"/>
  <c r="K864" i="2"/>
  <c r="AJ863" i="2"/>
  <c r="L863" i="2"/>
  <c r="K863" i="2"/>
  <c r="AJ862" i="2"/>
  <c r="L862" i="2"/>
  <c r="K862" i="2"/>
  <c r="AJ861" i="2"/>
  <c r="L861" i="2"/>
  <c r="K861" i="2"/>
  <c r="AJ860" i="2"/>
  <c r="L860" i="2"/>
  <c r="K860" i="2"/>
  <c r="AJ859" i="2"/>
  <c r="L859" i="2"/>
  <c r="K859" i="2"/>
  <c r="AJ858" i="2"/>
  <c r="L858" i="2"/>
  <c r="K858" i="2"/>
  <c r="AJ857" i="2"/>
  <c r="L857" i="2"/>
  <c r="K857" i="2"/>
  <c r="AJ856" i="2"/>
  <c r="L856" i="2"/>
  <c r="K856" i="2"/>
  <c r="AJ855" i="2"/>
  <c r="L855" i="2"/>
  <c r="K855" i="2"/>
  <c r="AJ854" i="2"/>
  <c r="L854" i="2"/>
  <c r="K854" i="2"/>
  <c r="AJ853" i="2"/>
  <c r="L853" i="2"/>
  <c r="K853" i="2"/>
  <c r="AJ852" i="2"/>
  <c r="L852" i="2"/>
  <c r="K852" i="2"/>
  <c r="AJ851" i="2"/>
  <c r="L851" i="2"/>
  <c r="K851" i="2"/>
  <c r="AJ850" i="2"/>
  <c r="L850" i="2"/>
  <c r="K850" i="2"/>
  <c r="AJ849" i="2"/>
  <c r="L849" i="2"/>
  <c r="K849" i="2"/>
  <c r="AJ848" i="2"/>
  <c r="L848" i="2"/>
  <c r="K848" i="2"/>
  <c r="AJ847" i="2"/>
  <c r="L847" i="2"/>
  <c r="K847" i="2"/>
  <c r="AJ846" i="2"/>
  <c r="L846" i="2"/>
  <c r="K846" i="2"/>
  <c r="AJ845" i="2"/>
  <c r="L845" i="2"/>
  <c r="K845" i="2"/>
  <c r="AJ844" i="2"/>
  <c r="L844" i="2"/>
  <c r="K844" i="2"/>
  <c r="AJ843" i="2"/>
  <c r="L843" i="2"/>
  <c r="K843" i="2"/>
  <c r="AJ842" i="2"/>
  <c r="L842" i="2"/>
  <c r="K842" i="2"/>
  <c r="AJ841" i="2"/>
  <c r="L841" i="2"/>
  <c r="K841" i="2"/>
  <c r="AJ840" i="2"/>
  <c r="L840" i="2"/>
  <c r="K840" i="2"/>
  <c r="AJ839" i="2"/>
  <c r="L839" i="2"/>
  <c r="K839" i="2"/>
  <c r="AJ838" i="2"/>
  <c r="L838" i="2"/>
  <c r="K838" i="2"/>
  <c r="AJ837" i="2"/>
  <c r="L837" i="2"/>
  <c r="K837" i="2"/>
  <c r="AJ836" i="2"/>
  <c r="L836" i="2"/>
  <c r="K836" i="2"/>
  <c r="AJ835" i="2"/>
  <c r="L835" i="2"/>
  <c r="K835" i="2"/>
  <c r="AJ834" i="2"/>
  <c r="L834" i="2"/>
  <c r="K834" i="2"/>
  <c r="AJ833" i="2"/>
  <c r="L833" i="2"/>
  <c r="K833" i="2"/>
  <c r="AJ832" i="2"/>
  <c r="L832" i="2"/>
  <c r="K832" i="2"/>
  <c r="AJ831" i="2"/>
  <c r="L831" i="2"/>
  <c r="K831" i="2"/>
  <c r="AJ830" i="2"/>
  <c r="L830" i="2"/>
  <c r="K830" i="2"/>
  <c r="AJ829" i="2"/>
  <c r="L829" i="2"/>
  <c r="K829" i="2"/>
  <c r="AJ828" i="2"/>
  <c r="L828" i="2"/>
  <c r="K828" i="2"/>
  <c r="AJ827" i="2"/>
  <c r="L827" i="2"/>
  <c r="K827" i="2"/>
  <c r="AJ826" i="2"/>
  <c r="L826" i="2"/>
  <c r="K826" i="2"/>
  <c r="AJ825" i="2"/>
  <c r="L825" i="2"/>
  <c r="K825" i="2"/>
  <c r="AJ824" i="2"/>
  <c r="L824" i="2"/>
  <c r="K824" i="2"/>
  <c r="AJ823" i="2"/>
  <c r="L823" i="2"/>
  <c r="K823" i="2"/>
  <c r="AJ822" i="2"/>
  <c r="L822" i="2"/>
  <c r="K822" i="2"/>
  <c r="AJ821" i="2"/>
  <c r="L821" i="2"/>
  <c r="K821" i="2"/>
  <c r="AJ820" i="2"/>
  <c r="L820" i="2"/>
  <c r="K820" i="2"/>
  <c r="AJ819" i="2"/>
  <c r="L819" i="2"/>
  <c r="K819" i="2"/>
  <c r="AJ818" i="2"/>
  <c r="L818" i="2"/>
  <c r="K818" i="2"/>
  <c r="AJ817" i="2"/>
  <c r="L817" i="2"/>
  <c r="K817" i="2"/>
  <c r="AJ816" i="2"/>
  <c r="L816" i="2"/>
  <c r="K816" i="2"/>
  <c r="AJ815" i="2"/>
  <c r="L815" i="2"/>
  <c r="K815" i="2"/>
  <c r="AJ814" i="2"/>
  <c r="L814" i="2"/>
  <c r="K814" i="2"/>
  <c r="AJ813" i="2"/>
  <c r="L813" i="2"/>
  <c r="K813" i="2"/>
  <c r="AJ812" i="2"/>
  <c r="L812" i="2"/>
  <c r="K812" i="2"/>
  <c r="AJ811" i="2"/>
  <c r="L811" i="2"/>
  <c r="K811" i="2"/>
  <c r="AJ810" i="2"/>
  <c r="L810" i="2"/>
  <c r="K810" i="2"/>
  <c r="AJ809" i="2"/>
  <c r="L809" i="2"/>
  <c r="K809" i="2"/>
  <c r="AJ808" i="2"/>
  <c r="L808" i="2"/>
  <c r="K808" i="2"/>
  <c r="AJ807" i="2"/>
  <c r="L807" i="2"/>
  <c r="K807" i="2"/>
  <c r="AJ806" i="2"/>
  <c r="L806" i="2"/>
  <c r="K806" i="2"/>
  <c r="AJ805" i="2"/>
  <c r="L805" i="2"/>
  <c r="K805" i="2"/>
  <c r="AJ804" i="2"/>
  <c r="L804" i="2"/>
  <c r="K804" i="2"/>
  <c r="AJ803" i="2"/>
  <c r="L803" i="2"/>
  <c r="K803" i="2"/>
  <c r="AJ802" i="2"/>
  <c r="L802" i="2"/>
  <c r="K802" i="2"/>
  <c r="AJ801" i="2"/>
  <c r="L801" i="2"/>
  <c r="K801" i="2"/>
  <c r="AJ800" i="2"/>
  <c r="L800" i="2"/>
  <c r="K800" i="2"/>
  <c r="AJ799" i="2"/>
  <c r="L799" i="2"/>
  <c r="K799" i="2"/>
  <c r="AJ798" i="2"/>
  <c r="L798" i="2"/>
  <c r="K798" i="2"/>
  <c r="AJ797" i="2"/>
  <c r="L797" i="2"/>
  <c r="K797" i="2"/>
  <c r="AJ796" i="2"/>
  <c r="L796" i="2"/>
  <c r="K796" i="2"/>
  <c r="AJ795" i="2"/>
  <c r="L795" i="2"/>
  <c r="K795" i="2"/>
  <c r="AJ794" i="2"/>
  <c r="L794" i="2"/>
  <c r="K794" i="2"/>
  <c r="AJ793" i="2"/>
  <c r="L793" i="2"/>
  <c r="K793" i="2"/>
  <c r="AJ792" i="2"/>
  <c r="L792" i="2"/>
  <c r="K792" i="2"/>
  <c r="AJ791" i="2"/>
  <c r="L791" i="2"/>
  <c r="K791" i="2"/>
  <c r="AJ790" i="2"/>
  <c r="L790" i="2"/>
  <c r="K790" i="2"/>
  <c r="AJ789" i="2"/>
  <c r="L789" i="2"/>
  <c r="K789" i="2"/>
  <c r="AJ788" i="2"/>
  <c r="L788" i="2"/>
  <c r="K788" i="2"/>
  <c r="AJ787" i="2"/>
  <c r="L787" i="2"/>
  <c r="K787" i="2"/>
  <c r="AJ786" i="2"/>
  <c r="L786" i="2"/>
  <c r="K786" i="2"/>
  <c r="AJ785" i="2"/>
  <c r="L785" i="2"/>
  <c r="K785" i="2"/>
  <c r="AJ784" i="2"/>
  <c r="L784" i="2"/>
  <c r="K784" i="2"/>
  <c r="AJ783" i="2"/>
  <c r="L783" i="2"/>
  <c r="K783" i="2"/>
  <c r="AJ782" i="2"/>
  <c r="L782" i="2"/>
  <c r="K782" i="2"/>
  <c r="AJ781" i="2"/>
  <c r="L781" i="2"/>
  <c r="K781" i="2"/>
  <c r="AJ780" i="2"/>
  <c r="L780" i="2"/>
  <c r="K780" i="2"/>
  <c r="AJ779" i="2"/>
  <c r="L779" i="2"/>
  <c r="K779" i="2"/>
  <c r="AJ778" i="2"/>
  <c r="L778" i="2"/>
  <c r="K778" i="2"/>
  <c r="AJ777" i="2"/>
  <c r="L777" i="2"/>
  <c r="K777" i="2"/>
  <c r="AJ776" i="2"/>
  <c r="L776" i="2"/>
  <c r="K776" i="2"/>
  <c r="AJ775" i="2"/>
  <c r="L775" i="2"/>
  <c r="K775" i="2"/>
  <c r="AJ774" i="2"/>
  <c r="L774" i="2"/>
  <c r="K774" i="2"/>
  <c r="AJ773" i="2"/>
  <c r="L773" i="2"/>
  <c r="K773" i="2"/>
  <c r="AJ772" i="2"/>
  <c r="L772" i="2"/>
  <c r="K772" i="2"/>
  <c r="AJ771" i="2"/>
  <c r="L771" i="2"/>
  <c r="K771" i="2"/>
  <c r="AJ770" i="2"/>
  <c r="L770" i="2"/>
  <c r="K770" i="2"/>
  <c r="AJ769" i="2"/>
  <c r="L769" i="2"/>
  <c r="K769" i="2"/>
  <c r="AJ768" i="2"/>
  <c r="L768" i="2"/>
  <c r="K768" i="2"/>
  <c r="AJ767" i="2"/>
  <c r="L767" i="2"/>
  <c r="K767" i="2"/>
  <c r="AJ766" i="2"/>
  <c r="L766" i="2"/>
  <c r="K766" i="2"/>
  <c r="AJ765" i="2"/>
  <c r="L765" i="2"/>
  <c r="K765" i="2"/>
  <c r="AJ764" i="2"/>
  <c r="L764" i="2"/>
  <c r="K764" i="2"/>
  <c r="AJ763" i="2"/>
  <c r="L763" i="2"/>
  <c r="K763" i="2"/>
  <c r="AJ762" i="2"/>
  <c r="L762" i="2"/>
  <c r="K762" i="2"/>
  <c r="AJ761" i="2"/>
  <c r="L761" i="2"/>
  <c r="K761" i="2"/>
  <c r="AJ760" i="2"/>
  <c r="L760" i="2"/>
  <c r="K760" i="2"/>
  <c r="AJ759" i="2"/>
  <c r="L759" i="2"/>
  <c r="K759" i="2"/>
  <c r="AJ758" i="2"/>
  <c r="L758" i="2"/>
  <c r="K758" i="2"/>
  <c r="AJ757" i="2"/>
  <c r="L757" i="2"/>
  <c r="K757" i="2"/>
  <c r="AJ756" i="2"/>
  <c r="L756" i="2"/>
  <c r="K756" i="2"/>
  <c r="AJ755" i="2"/>
  <c r="L755" i="2"/>
  <c r="K755" i="2"/>
  <c r="AJ754" i="2"/>
  <c r="L754" i="2"/>
  <c r="K754" i="2"/>
  <c r="AJ753" i="2"/>
  <c r="L753" i="2"/>
  <c r="K753" i="2"/>
  <c r="AJ752" i="2"/>
  <c r="L752" i="2"/>
  <c r="K752" i="2"/>
  <c r="AJ751" i="2"/>
  <c r="L751" i="2"/>
  <c r="K751" i="2"/>
  <c r="AJ750" i="2"/>
  <c r="L750" i="2"/>
  <c r="K750" i="2"/>
  <c r="AJ749" i="2"/>
  <c r="L749" i="2"/>
  <c r="K749" i="2"/>
  <c r="AJ748" i="2"/>
  <c r="L748" i="2"/>
  <c r="K748" i="2"/>
  <c r="AJ747" i="2"/>
  <c r="L747" i="2"/>
  <c r="K747" i="2"/>
  <c r="AJ746" i="2"/>
  <c r="L746" i="2"/>
  <c r="K746" i="2"/>
  <c r="AJ745" i="2"/>
  <c r="L745" i="2"/>
  <c r="K745" i="2"/>
  <c r="AJ744" i="2"/>
  <c r="L744" i="2"/>
  <c r="K744" i="2"/>
  <c r="AJ743" i="2"/>
  <c r="L743" i="2"/>
  <c r="K743" i="2"/>
  <c r="AJ742" i="2"/>
  <c r="L742" i="2"/>
  <c r="K742" i="2"/>
  <c r="AJ741" i="2"/>
  <c r="L741" i="2"/>
  <c r="K741" i="2"/>
  <c r="AJ740" i="2"/>
  <c r="L740" i="2"/>
  <c r="K740" i="2"/>
  <c r="AJ739" i="2"/>
  <c r="L739" i="2"/>
  <c r="K739" i="2"/>
  <c r="AJ738" i="2"/>
  <c r="L738" i="2"/>
  <c r="K738" i="2"/>
  <c r="AJ737" i="2"/>
  <c r="L737" i="2"/>
  <c r="K737" i="2"/>
  <c r="AJ736" i="2"/>
  <c r="L736" i="2"/>
  <c r="K736" i="2"/>
  <c r="AJ735" i="2"/>
  <c r="L735" i="2"/>
  <c r="K735" i="2"/>
  <c r="AJ734" i="2"/>
  <c r="L734" i="2"/>
  <c r="K734" i="2"/>
  <c r="AJ733" i="2"/>
  <c r="L733" i="2"/>
  <c r="K733" i="2"/>
  <c r="AJ732" i="2"/>
  <c r="L732" i="2"/>
  <c r="K732" i="2"/>
  <c r="AJ731" i="2"/>
  <c r="L731" i="2"/>
  <c r="K731" i="2"/>
  <c r="AJ730" i="2"/>
  <c r="L730" i="2"/>
  <c r="K730" i="2"/>
  <c r="AJ729" i="2"/>
  <c r="L729" i="2"/>
  <c r="K729" i="2"/>
  <c r="AJ728" i="2"/>
  <c r="L728" i="2"/>
  <c r="K728" i="2"/>
  <c r="AJ727" i="2"/>
  <c r="L727" i="2"/>
  <c r="K727" i="2"/>
  <c r="AJ726" i="2"/>
  <c r="L726" i="2"/>
  <c r="K726" i="2"/>
  <c r="AJ725" i="2"/>
  <c r="L725" i="2"/>
  <c r="K725" i="2"/>
  <c r="AJ724" i="2"/>
  <c r="L724" i="2"/>
  <c r="K724" i="2"/>
  <c r="AJ723" i="2"/>
  <c r="L723" i="2"/>
  <c r="K723" i="2"/>
  <c r="AJ722" i="2"/>
  <c r="L722" i="2"/>
  <c r="K722" i="2"/>
  <c r="AJ721" i="2"/>
  <c r="L721" i="2"/>
  <c r="K721" i="2"/>
  <c r="AJ720" i="2"/>
  <c r="L720" i="2"/>
  <c r="K720" i="2"/>
  <c r="AJ719" i="2"/>
  <c r="L719" i="2"/>
  <c r="K719" i="2"/>
  <c r="AJ718" i="2"/>
  <c r="L718" i="2"/>
  <c r="K718" i="2"/>
  <c r="AJ717" i="2"/>
  <c r="L717" i="2"/>
  <c r="K717" i="2"/>
  <c r="AJ716" i="2"/>
  <c r="L716" i="2"/>
  <c r="K716" i="2"/>
  <c r="AJ715" i="2"/>
  <c r="L715" i="2"/>
  <c r="K715" i="2"/>
  <c r="AJ714" i="2"/>
  <c r="L714" i="2"/>
  <c r="K714" i="2"/>
  <c r="AJ713" i="2"/>
  <c r="L713" i="2"/>
  <c r="K713" i="2"/>
  <c r="AJ712" i="2"/>
  <c r="L712" i="2"/>
  <c r="K712" i="2"/>
  <c r="AJ711" i="2"/>
  <c r="L711" i="2"/>
  <c r="K711" i="2"/>
  <c r="AJ710" i="2"/>
  <c r="L710" i="2"/>
  <c r="K710" i="2"/>
  <c r="AJ709" i="2"/>
  <c r="L709" i="2"/>
  <c r="K709" i="2"/>
  <c r="AJ708" i="2"/>
  <c r="L708" i="2"/>
  <c r="K708" i="2"/>
  <c r="AJ707" i="2"/>
  <c r="L707" i="2"/>
  <c r="K707" i="2"/>
  <c r="AJ706" i="2"/>
  <c r="L706" i="2"/>
  <c r="K706" i="2"/>
  <c r="AJ705" i="2"/>
  <c r="L705" i="2"/>
  <c r="K705" i="2"/>
  <c r="AJ704" i="2"/>
  <c r="L704" i="2"/>
  <c r="K704" i="2"/>
  <c r="AJ703" i="2"/>
  <c r="L703" i="2"/>
  <c r="K703" i="2"/>
  <c r="AJ702" i="2"/>
  <c r="L702" i="2"/>
  <c r="K702" i="2"/>
  <c r="AJ701" i="2"/>
  <c r="L701" i="2"/>
  <c r="K701" i="2"/>
  <c r="AJ700" i="2"/>
  <c r="L700" i="2"/>
  <c r="K700" i="2"/>
  <c r="AJ699" i="2"/>
  <c r="L699" i="2"/>
  <c r="K699" i="2"/>
  <c r="AJ698" i="2"/>
  <c r="L698" i="2"/>
  <c r="K698" i="2"/>
  <c r="AJ697" i="2"/>
  <c r="L697" i="2"/>
  <c r="K697" i="2"/>
  <c r="AJ696" i="2"/>
  <c r="L696" i="2"/>
  <c r="K696" i="2"/>
  <c r="AJ695" i="2"/>
  <c r="L695" i="2"/>
  <c r="K695" i="2"/>
  <c r="AJ694" i="2"/>
  <c r="L694" i="2"/>
  <c r="K694" i="2"/>
  <c r="AJ693" i="2"/>
  <c r="L693" i="2"/>
  <c r="K693" i="2"/>
  <c r="AJ692" i="2"/>
  <c r="L692" i="2"/>
  <c r="K692" i="2"/>
  <c r="AJ691" i="2"/>
  <c r="L691" i="2"/>
  <c r="K691" i="2"/>
  <c r="AJ690" i="2"/>
  <c r="L690" i="2"/>
  <c r="K690" i="2"/>
  <c r="AJ689" i="2"/>
  <c r="L689" i="2"/>
  <c r="K689" i="2"/>
  <c r="AJ688" i="2"/>
  <c r="L688" i="2"/>
  <c r="K688" i="2"/>
  <c r="AJ687" i="2"/>
  <c r="L687" i="2"/>
  <c r="K687" i="2"/>
  <c r="AJ686" i="2"/>
  <c r="L686" i="2"/>
  <c r="K686" i="2"/>
  <c r="AJ685" i="2"/>
  <c r="L685" i="2"/>
  <c r="K685" i="2"/>
  <c r="AJ684" i="2"/>
  <c r="L684" i="2"/>
  <c r="K684" i="2"/>
  <c r="AJ683" i="2"/>
  <c r="L683" i="2"/>
  <c r="K683" i="2"/>
  <c r="AJ682" i="2"/>
  <c r="L682" i="2"/>
  <c r="K682" i="2"/>
  <c r="AJ681" i="2"/>
  <c r="L681" i="2"/>
  <c r="K681" i="2"/>
  <c r="AJ680" i="2"/>
  <c r="L680" i="2"/>
  <c r="K680" i="2"/>
  <c r="AJ679" i="2"/>
  <c r="L679" i="2"/>
  <c r="K679" i="2"/>
  <c r="AJ678" i="2"/>
  <c r="L678" i="2"/>
  <c r="K678" i="2"/>
  <c r="AJ677" i="2"/>
  <c r="L677" i="2"/>
  <c r="K677" i="2"/>
  <c r="AJ676" i="2"/>
  <c r="L676" i="2"/>
  <c r="K676" i="2"/>
  <c r="AJ675" i="2"/>
  <c r="L675" i="2"/>
  <c r="K675" i="2"/>
  <c r="AJ674" i="2"/>
  <c r="L674" i="2"/>
  <c r="K674" i="2"/>
  <c r="AJ673" i="2"/>
  <c r="L673" i="2"/>
  <c r="K673" i="2"/>
  <c r="AJ672" i="2"/>
  <c r="L672" i="2"/>
  <c r="K672" i="2"/>
  <c r="AJ671" i="2"/>
  <c r="L671" i="2"/>
  <c r="K671" i="2"/>
  <c r="AJ670" i="2"/>
  <c r="L670" i="2"/>
  <c r="K670" i="2"/>
  <c r="AJ669" i="2"/>
  <c r="L669" i="2"/>
  <c r="K669" i="2"/>
  <c r="AJ668" i="2"/>
  <c r="L668" i="2"/>
  <c r="K668" i="2"/>
  <c r="AJ667" i="2"/>
  <c r="L667" i="2"/>
  <c r="K667" i="2"/>
  <c r="AJ666" i="2"/>
  <c r="L666" i="2"/>
  <c r="K666" i="2"/>
  <c r="AJ665" i="2"/>
  <c r="L665" i="2"/>
  <c r="K665" i="2"/>
  <c r="AJ664" i="2"/>
  <c r="L664" i="2"/>
  <c r="K664" i="2"/>
  <c r="AJ663" i="2"/>
  <c r="L663" i="2"/>
  <c r="K663" i="2"/>
  <c r="AJ662" i="2"/>
  <c r="L662" i="2"/>
  <c r="K662" i="2"/>
  <c r="AJ661" i="2"/>
  <c r="L661" i="2"/>
  <c r="K661" i="2"/>
  <c r="AJ660" i="2"/>
  <c r="L660" i="2"/>
  <c r="K660" i="2"/>
  <c r="AJ659" i="2"/>
  <c r="L659" i="2"/>
  <c r="K659" i="2"/>
  <c r="AJ658" i="2"/>
  <c r="L658" i="2"/>
  <c r="K658" i="2"/>
  <c r="AJ657" i="2"/>
  <c r="L657" i="2"/>
  <c r="K657" i="2"/>
  <c r="AJ656" i="2"/>
  <c r="L656" i="2"/>
  <c r="K656" i="2"/>
  <c r="AJ655" i="2"/>
  <c r="L655" i="2"/>
  <c r="K655" i="2"/>
  <c r="AJ654" i="2"/>
  <c r="L654" i="2"/>
  <c r="K654" i="2"/>
  <c r="AJ653" i="2"/>
  <c r="L653" i="2"/>
  <c r="K653" i="2"/>
  <c r="AJ652" i="2"/>
  <c r="L652" i="2"/>
  <c r="K652" i="2"/>
  <c r="AJ651" i="2"/>
  <c r="L651" i="2"/>
  <c r="K651" i="2"/>
  <c r="AJ650" i="2"/>
  <c r="L650" i="2"/>
  <c r="K650" i="2"/>
  <c r="AJ649" i="2"/>
  <c r="L649" i="2"/>
  <c r="K649" i="2"/>
  <c r="AJ648" i="2"/>
  <c r="L648" i="2"/>
  <c r="K648" i="2"/>
  <c r="AJ647" i="2"/>
  <c r="L647" i="2"/>
  <c r="K647" i="2"/>
  <c r="AJ646" i="2"/>
  <c r="L646" i="2"/>
  <c r="K646" i="2"/>
  <c r="AJ645" i="2"/>
  <c r="L645" i="2"/>
  <c r="K645" i="2"/>
  <c r="AJ644" i="2"/>
  <c r="L644" i="2"/>
  <c r="K644" i="2"/>
  <c r="AJ643" i="2"/>
  <c r="L643" i="2"/>
  <c r="K643" i="2"/>
  <c r="AJ642" i="2"/>
  <c r="L642" i="2"/>
  <c r="K642" i="2"/>
  <c r="AJ641" i="2"/>
  <c r="L641" i="2"/>
  <c r="K641" i="2"/>
  <c r="AJ640" i="2"/>
  <c r="L640" i="2"/>
  <c r="K640" i="2"/>
  <c r="AJ639" i="2"/>
  <c r="L639" i="2"/>
  <c r="K639" i="2"/>
  <c r="AJ638" i="2"/>
  <c r="L638" i="2"/>
  <c r="K638" i="2"/>
  <c r="AJ637" i="2"/>
  <c r="L637" i="2"/>
  <c r="K637" i="2"/>
  <c r="AJ636" i="2"/>
  <c r="L636" i="2"/>
  <c r="K636" i="2"/>
  <c r="AJ635" i="2"/>
  <c r="L635" i="2"/>
  <c r="K635" i="2"/>
  <c r="AJ634" i="2"/>
  <c r="L634" i="2"/>
  <c r="K634" i="2"/>
  <c r="AJ633" i="2"/>
  <c r="L633" i="2"/>
  <c r="K633" i="2"/>
  <c r="AJ632" i="2"/>
  <c r="L632" i="2"/>
  <c r="K632" i="2"/>
  <c r="AJ631" i="2"/>
  <c r="L631" i="2"/>
  <c r="K631" i="2"/>
  <c r="AJ630" i="2"/>
  <c r="L630" i="2"/>
  <c r="K630" i="2"/>
  <c r="AJ629" i="2"/>
  <c r="L629" i="2"/>
  <c r="K629" i="2"/>
  <c r="AJ628" i="2"/>
  <c r="L628" i="2"/>
  <c r="K628" i="2"/>
  <c r="AJ627" i="2"/>
  <c r="L627" i="2"/>
  <c r="K627" i="2"/>
  <c r="AJ626" i="2"/>
  <c r="L626" i="2"/>
  <c r="K626" i="2"/>
  <c r="AJ625" i="2"/>
  <c r="L625" i="2"/>
  <c r="K625" i="2"/>
  <c r="AJ624" i="2"/>
  <c r="L624" i="2"/>
  <c r="K624" i="2"/>
  <c r="AJ623" i="2"/>
  <c r="L623" i="2"/>
  <c r="K623" i="2"/>
  <c r="AJ622" i="2"/>
  <c r="L622" i="2"/>
  <c r="K622" i="2"/>
  <c r="AJ621" i="2"/>
  <c r="L621" i="2"/>
  <c r="K621" i="2"/>
  <c r="AJ620" i="2"/>
  <c r="L620" i="2"/>
  <c r="K620" i="2"/>
  <c r="AJ619" i="2"/>
  <c r="L619" i="2"/>
  <c r="K619" i="2"/>
  <c r="AJ618" i="2"/>
  <c r="L618" i="2"/>
  <c r="K618" i="2"/>
  <c r="AJ617" i="2"/>
  <c r="L617" i="2"/>
  <c r="K617" i="2"/>
  <c r="AJ616" i="2"/>
  <c r="L616" i="2"/>
  <c r="K616" i="2"/>
  <c r="AJ615" i="2"/>
  <c r="L615" i="2"/>
  <c r="K615" i="2"/>
  <c r="AJ614" i="2"/>
  <c r="L614" i="2"/>
  <c r="K614" i="2"/>
  <c r="AJ613" i="2"/>
  <c r="L613" i="2"/>
  <c r="K613" i="2"/>
  <c r="AJ612" i="2"/>
  <c r="L612" i="2"/>
  <c r="K612" i="2"/>
  <c r="AJ611" i="2"/>
  <c r="L611" i="2"/>
  <c r="K611" i="2"/>
  <c r="AJ610" i="2"/>
  <c r="L610" i="2"/>
  <c r="K610" i="2"/>
  <c r="AJ609" i="2"/>
  <c r="L609" i="2"/>
  <c r="K609" i="2"/>
  <c r="AJ608" i="2"/>
  <c r="L608" i="2"/>
  <c r="K608" i="2"/>
  <c r="AJ607" i="2"/>
  <c r="L607" i="2"/>
  <c r="K607" i="2"/>
  <c r="AJ606" i="2"/>
  <c r="L606" i="2"/>
  <c r="K606" i="2"/>
  <c r="AJ605" i="2"/>
  <c r="L605" i="2"/>
  <c r="K605" i="2"/>
  <c r="AJ604" i="2"/>
  <c r="L604" i="2"/>
  <c r="K604" i="2"/>
  <c r="AJ603" i="2"/>
  <c r="L603" i="2"/>
  <c r="K603" i="2"/>
  <c r="AJ602" i="2"/>
  <c r="L602" i="2"/>
  <c r="K602" i="2"/>
  <c r="AJ601" i="2"/>
  <c r="L601" i="2"/>
  <c r="K601" i="2"/>
  <c r="AJ600" i="2"/>
  <c r="L600" i="2"/>
  <c r="K600" i="2"/>
  <c r="AJ599" i="2"/>
  <c r="L599" i="2"/>
  <c r="K599" i="2"/>
  <c r="AJ598" i="2"/>
  <c r="L598" i="2"/>
  <c r="K598" i="2"/>
  <c r="AJ597" i="2"/>
  <c r="L597" i="2"/>
  <c r="K597" i="2"/>
  <c r="AJ596" i="2"/>
  <c r="L596" i="2"/>
  <c r="K596" i="2"/>
  <c r="AJ595" i="2"/>
  <c r="L595" i="2"/>
  <c r="K595" i="2"/>
  <c r="AJ594" i="2"/>
  <c r="L594" i="2"/>
  <c r="K594" i="2"/>
  <c r="AJ593" i="2"/>
  <c r="L593" i="2"/>
  <c r="K593" i="2"/>
  <c r="AJ592" i="2"/>
  <c r="L592" i="2"/>
  <c r="K592" i="2"/>
  <c r="AJ591" i="2"/>
  <c r="L591" i="2"/>
  <c r="K591" i="2"/>
  <c r="AJ590" i="2"/>
  <c r="L590" i="2"/>
  <c r="K590" i="2"/>
  <c r="AJ589" i="2"/>
  <c r="L589" i="2"/>
  <c r="K589" i="2"/>
  <c r="AJ588" i="2"/>
  <c r="L588" i="2"/>
  <c r="K588" i="2"/>
  <c r="AJ587" i="2"/>
  <c r="L587" i="2"/>
  <c r="K587" i="2"/>
  <c r="AJ586" i="2"/>
  <c r="L586" i="2"/>
  <c r="K586" i="2"/>
  <c r="AJ585" i="2"/>
  <c r="L585" i="2"/>
  <c r="K585" i="2"/>
  <c r="AJ584" i="2"/>
  <c r="L584" i="2"/>
  <c r="K584" i="2"/>
  <c r="AJ583" i="2"/>
  <c r="L583" i="2"/>
  <c r="K583" i="2"/>
  <c r="AJ582" i="2"/>
  <c r="L582" i="2"/>
  <c r="K582" i="2"/>
  <c r="AJ581" i="2"/>
  <c r="L581" i="2"/>
  <c r="K581" i="2"/>
  <c r="AJ580" i="2"/>
  <c r="L580" i="2"/>
  <c r="K580" i="2"/>
  <c r="AJ579" i="2"/>
  <c r="L579" i="2"/>
  <c r="K579" i="2"/>
  <c r="AJ578" i="2"/>
  <c r="L578" i="2"/>
  <c r="K578" i="2"/>
  <c r="AJ577" i="2"/>
  <c r="L577" i="2"/>
  <c r="K577" i="2"/>
  <c r="AJ576" i="2"/>
  <c r="L576" i="2"/>
  <c r="K576" i="2"/>
  <c r="AJ575" i="2"/>
  <c r="L575" i="2"/>
  <c r="K575" i="2"/>
  <c r="AJ574" i="2"/>
  <c r="L574" i="2"/>
  <c r="K574" i="2"/>
  <c r="AJ573" i="2"/>
  <c r="L573" i="2"/>
  <c r="K573" i="2"/>
  <c r="AJ572" i="2"/>
  <c r="L572" i="2"/>
  <c r="K572" i="2"/>
  <c r="AJ571" i="2"/>
  <c r="L571" i="2"/>
  <c r="K571" i="2"/>
  <c r="AJ570" i="2"/>
  <c r="L570" i="2"/>
  <c r="K570" i="2"/>
  <c r="AJ569" i="2"/>
  <c r="L569" i="2"/>
  <c r="K569" i="2"/>
  <c r="AJ568" i="2"/>
  <c r="L568" i="2"/>
  <c r="K568" i="2"/>
  <c r="AJ567" i="2"/>
  <c r="L567" i="2"/>
  <c r="K567" i="2"/>
  <c r="AJ566" i="2"/>
  <c r="L566" i="2"/>
  <c r="K566" i="2"/>
  <c r="AJ565" i="2"/>
  <c r="L565" i="2"/>
  <c r="K565" i="2"/>
  <c r="AJ564" i="2"/>
  <c r="L564" i="2"/>
  <c r="K564" i="2"/>
  <c r="AJ563" i="2"/>
  <c r="L563" i="2"/>
  <c r="K563" i="2"/>
  <c r="AJ562" i="2"/>
  <c r="L562" i="2"/>
  <c r="K562" i="2"/>
  <c r="AJ561" i="2"/>
  <c r="L561" i="2"/>
  <c r="K561" i="2"/>
  <c r="AJ560" i="2"/>
  <c r="L560" i="2"/>
  <c r="K560" i="2"/>
  <c r="AJ559" i="2"/>
  <c r="L559" i="2"/>
  <c r="K559" i="2"/>
  <c r="AJ558" i="2"/>
  <c r="L558" i="2"/>
  <c r="K558" i="2"/>
  <c r="AJ557" i="2"/>
  <c r="L557" i="2"/>
  <c r="K557" i="2"/>
  <c r="AJ556" i="2"/>
  <c r="L556" i="2"/>
  <c r="K556" i="2"/>
  <c r="AJ555" i="2"/>
  <c r="L555" i="2"/>
  <c r="K555" i="2"/>
  <c r="AJ554" i="2"/>
  <c r="L554" i="2"/>
  <c r="K554" i="2"/>
  <c r="AJ553" i="2"/>
  <c r="L553" i="2"/>
  <c r="K553" i="2"/>
  <c r="AJ552" i="2"/>
  <c r="L552" i="2"/>
  <c r="K552" i="2"/>
  <c r="AJ551" i="2"/>
  <c r="L551" i="2"/>
  <c r="K551" i="2"/>
  <c r="AJ550" i="2"/>
  <c r="L550" i="2"/>
  <c r="K550" i="2"/>
  <c r="AJ549" i="2"/>
  <c r="L549" i="2"/>
  <c r="K549" i="2"/>
  <c r="AJ548" i="2"/>
  <c r="L548" i="2"/>
  <c r="K548" i="2"/>
  <c r="AJ547" i="2"/>
  <c r="L547" i="2"/>
  <c r="K547" i="2"/>
  <c r="AJ546" i="2"/>
  <c r="L546" i="2"/>
  <c r="K546" i="2"/>
  <c r="AJ545" i="2"/>
  <c r="L545" i="2"/>
  <c r="K545" i="2"/>
  <c r="AJ544" i="2"/>
  <c r="L544" i="2"/>
  <c r="K544" i="2"/>
  <c r="AJ543" i="2"/>
  <c r="L543" i="2"/>
  <c r="K543" i="2"/>
  <c r="AJ542" i="2"/>
  <c r="L542" i="2"/>
  <c r="K542" i="2"/>
  <c r="AJ541" i="2"/>
  <c r="L541" i="2"/>
  <c r="K541" i="2"/>
  <c r="AJ540" i="2"/>
  <c r="L540" i="2"/>
  <c r="K540" i="2"/>
  <c r="AJ539" i="2"/>
  <c r="L539" i="2"/>
  <c r="K539" i="2"/>
  <c r="AJ538" i="2"/>
  <c r="L538" i="2"/>
  <c r="K538" i="2"/>
  <c r="AJ537" i="2"/>
  <c r="L537" i="2"/>
  <c r="K537" i="2"/>
  <c r="AJ536" i="2"/>
  <c r="L536" i="2"/>
  <c r="K536" i="2"/>
  <c r="AJ535" i="2"/>
  <c r="L535" i="2"/>
  <c r="K535" i="2"/>
  <c r="AJ534" i="2"/>
  <c r="L534" i="2"/>
  <c r="K534" i="2"/>
  <c r="AJ533" i="2"/>
  <c r="L533" i="2"/>
  <c r="K533" i="2"/>
  <c r="AJ532" i="2"/>
  <c r="L532" i="2"/>
  <c r="K532" i="2"/>
  <c r="AJ531" i="2"/>
  <c r="L531" i="2"/>
  <c r="K531" i="2"/>
  <c r="AJ530" i="2"/>
  <c r="L530" i="2"/>
  <c r="K530" i="2"/>
  <c r="AJ529" i="2"/>
  <c r="L529" i="2"/>
  <c r="K529" i="2"/>
  <c r="AJ528" i="2"/>
  <c r="L528" i="2"/>
  <c r="K528" i="2"/>
  <c r="AJ527" i="2"/>
  <c r="L527" i="2"/>
  <c r="K527" i="2"/>
  <c r="AJ526" i="2"/>
  <c r="L526" i="2"/>
  <c r="K526" i="2"/>
  <c r="AJ525" i="2"/>
  <c r="L525" i="2"/>
  <c r="K525" i="2"/>
  <c r="AJ524" i="2"/>
  <c r="L524" i="2"/>
  <c r="K524" i="2"/>
  <c r="AJ523" i="2"/>
  <c r="L523" i="2"/>
  <c r="K523" i="2"/>
  <c r="AJ522" i="2"/>
  <c r="L522" i="2"/>
  <c r="K522" i="2"/>
  <c r="AJ521" i="2"/>
  <c r="L521" i="2"/>
  <c r="K521" i="2"/>
  <c r="AJ520" i="2"/>
  <c r="L520" i="2"/>
  <c r="K520" i="2"/>
  <c r="AJ519" i="2"/>
  <c r="L519" i="2"/>
  <c r="K519" i="2"/>
  <c r="AJ518" i="2"/>
  <c r="L518" i="2"/>
  <c r="K518" i="2"/>
  <c r="AJ517" i="2"/>
  <c r="L517" i="2"/>
  <c r="K517" i="2"/>
  <c r="AJ516" i="2"/>
  <c r="L516" i="2"/>
  <c r="K516" i="2"/>
  <c r="AJ515" i="2"/>
  <c r="L515" i="2"/>
  <c r="K515" i="2"/>
  <c r="AJ514" i="2"/>
  <c r="L514" i="2"/>
  <c r="K514" i="2"/>
  <c r="AJ513" i="2"/>
  <c r="L513" i="2"/>
  <c r="K513" i="2"/>
  <c r="AJ512" i="2"/>
  <c r="L512" i="2"/>
  <c r="K512" i="2"/>
  <c r="AJ511" i="2"/>
  <c r="L511" i="2"/>
  <c r="K511" i="2"/>
  <c r="AJ510" i="2"/>
  <c r="L510" i="2"/>
  <c r="K510" i="2"/>
  <c r="AJ509" i="2"/>
  <c r="L509" i="2"/>
  <c r="K509" i="2"/>
  <c r="AJ508" i="2"/>
  <c r="L508" i="2"/>
  <c r="K508" i="2"/>
  <c r="AJ507" i="2"/>
  <c r="L507" i="2"/>
  <c r="K507" i="2"/>
  <c r="AJ506" i="2"/>
  <c r="L506" i="2"/>
  <c r="K506" i="2"/>
  <c r="AJ505" i="2"/>
  <c r="L505" i="2"/>
  <c r="K505" i="2"/>
  <c r="AJ504" i="2"/>
  <c r="L504" i="2"/>
  <c r="K504" i="2"/>
  <c r="AJ503" i="2"/>
  <c r="L503" i="2"/>
  <c r="K503" i="2"/>
  <c r="AJ502" i="2"/>
  <c r="L502" i="2"/>
  <c r="K502" i="2"/>
  <c r="AJ501" i="2"/>
  <c r="L501" i="2"/>
  <c r="K501" i="2"/>
  <c r="AJ500" i="2"/>
  <c r="L500" i="2"/>
  <c r="K500" i="2"/>
  <c r="AJ499" i="2"/>
  <c r="L499" i="2"/>
  <c r="K499" i="2"/>
  <c r="AJ498" i="2"/>
  <c r="L498" i="2"/>
  <c r="K498" i="2"/>
  <c r="AJ497" i="2"/>
  <c r="L497" i="2"/>
  <c r="K497" i="2"/>
  <c r="AJ496" i="2"/>
  <c r="L496" i="2"/>
  <c r="K496" i="2"/>
  <c r="AJ495" i="2"/>
  <c r="L495" i="2"/>
  <c r="K495" i="2"/>
  <c r="AJ494" i="2"/>
  <c r="L494" i="2"/>
  <c r="K494" i="2"/>
  <c r="AJ493" i="2"/>
  <c r="L493" i="2"/>
  <c r="K493" i="2"/>
  <c r="AJ492" i="2"/>
  <c r="L492" i="2"/>
  <c r="K492" i="2"/>
  <c r="AJ491" i="2"/>
  <c r="L491" i="2"/>
  <c r="K491" i="2"/>
  <c r="AJ490" i="2"/>
  <c r="L490" i="2"/>
  <c r="K490" i="2"/>
  <c r="AJ489" i="2"/>
  <c r="L489" i="2"/>
  <c r="K489" i="2"/>
  <c r="AJ488" i="2"/>
  <c r="L488" i="2"/>
  <c r="K488" i="2"/>
  <c r="AJ487" i="2"/>
  <c r="L487" i="2"/>
  <c r="K487" i="2"/>
  <c r="AJ486" i="2"/>
  <c r="L486" i="2"/>
  <c r="K486" i="2"/>
  <c r="AJ485" i="2"/>
  <c r="L485" i="2"/>
  <c r="K485" i="2"/>
  <c r="AJ484" i="2"/>
  <c r="L484" i="2"/>
  <c r="K484" i="2"/>
  <c r="AJ483" i="2"/>
  <c r="L483" i="2"/>
  <c r="K483" i="2"/>
  <c r="AJ482" i="2"/>
  <c r="L482" i="2"/>
  <c r="K482" i="2"/>
  <c r="AJ481" i="2"/>
  <c r="L481" i="2"/>
  <c r="K481" i="2"/>
  <c r="AJ480" i="2"/>
  <c r="L480" i="2"/>
  <c r="K480" i="2"/>
  <c r="AJ479" i="2"/>
  <c r="L479" i="2"/>
  <c r="K479" i="2"/>
  <c r="AJ478" i="2"/>
  <c r="L478" i="2"/>
  <c r="K478" i="2"/>
  <c r="AJ477" i="2"/>
  <c r="L477" i="2"/>
  <c r="K477" i="2"/>
  <c r="AJ476" i="2"/>
  <c r="L476" i="2"/>
  <c r="K476" i="2"/>
  <c r="AJ475" i="2"/>
  <c r="L475" i="2"/>
  <c r="K475" i="2"/>
  <c r="AJ474" i="2"/>
  <c r="L474" i="2"/>
  <c r="K474" i="2"/>
  <c r="AJ473" i="2"/>
  <c r="L473" i="2"/>
  <c r="K473" i="2"/>
  <c r="AJ472" i="2"/>
  <c r="L472" i="2"/>
  <c r="K472" i="2"/>
  <c r="AJ471" i="2"/>
  <c r="L471" i="2"/>
  <c r="K471" i="2"/>
  <c r="AJ470" i="2"/>
  <c r="L470" i="2"/>
  <c r="K470" i="2"/>
  <c r="AJ469" i="2"/>
  <c r="L469" i="2"/>
  <c r="K469" i="2"/>
  <c r="AJ468" i="2"/>
  <c r="L468" i="2"/>
  <c r="K468" i="2"/>
  <c r="AJ467" i="2"/>
  <c r="L467" i="2"/>
  <c r="K467" i="2"/>
  <c r="AJ466" i="2"/>
  <c r="L466" i="2"/>
  <c r="K466" i="2"/>
  <c r="AJ465" i="2"/>
  <c r="L465" i="2"/>
  <c r="K465" i="2"/>
  <c r="AJ464" i="2"/>
  <c r="L464" i="2"/>
  <c r="K464" i="2"/>
  <c r="AJ463" i="2"/>
  <c r="L463" i="2"/>
  <c r="K463" i="2"/>
  <c r="AJ462" i="2"/>
  <c r="L462" i="2"/>
  <c r="K462" i="2"/>
  <c r="AJ461" i="2"/>
  <c r="L461" i="2"/>
  <c r="K461" i="2"/>
  <c r="AJ460" i="2"/>
  <c r="L460" i="2"/>
  <c r="K460" i="2"/>
  <c r="AJ459" i="2"/>
  <c r="L459" i="2"/>
  <c r="K459" i="2"/>
  <c r="AJ458" i="2"/>
  <c r="L458" i="2"/>
  <c r="K458" i="2"/>
  <c r="AJ457" i="2"/>
  <c r="L457" i="2"/>
  <c r="K457" i="2"/>
  <c r="AJ456" i="2"/>
  <c r="L456" i="2"/>
  <c r="K456" i="2"/>
  <c r="AJ455" i="2"/>
  <c r="L455" i="2"/>
  <c r="K455" i="2"/>
  <c r="AJ454" i="2"/>
  <c r="L454" i="2"/>
  <c r="K454" i="2"/>
  <c r="AJ453" i="2"/>
  <c r="L453" i="2"/>
  <c r="K453" i="2"/>
  <c r="AJ452" i="2"/>
  <c r="L452" i="2"/>
  <c r="K452" i="2"/>
  <c r="AJ451" i="2"/>
  <c r="L451" i="2"/>
  <c r="K451" i="2"/>
  <c r="AJ450" i="2"/>
  <c r="L450" i="2"/>
  <c r="K450" i="2"/>
  <c r="AJ449" i="2"/>
  <c r="L449" i="2"/>
  <c r="K449" i="2"/>
  <c r="AJ448" i="2"/>
  <c r="L448" i="2"/>
  <c r="K448" i="2"/>
  <c r="AJ447" i="2"/>
  <c r="L447" i="2"/>
  <c r="K447" i="2"/>
  <c r="AJ446" i="2"/>
  <c r="L446" i="2"/>
  <c r="K446" i="2"/>
  <c r="AJ445" i="2"/>
  <c r="L445" i="2"/>
  <c r="K445" i="2"/>
  <c r="AJ444" i="2"/>
  <c r="L444" i="2"/>
  <c r="K444" i="2"/>
  <c r="AJ443" i="2"/>
  <c r="L443" i="2"/>
  <c r="K443" i="2"/>
  <c r="AJ442" i="2"/>
  <c r="L442" i="2"/>
  <c r="K442" i="2"/>
  <c r="AJ441" i="2"/>
  <c r="L441" i="2"/>
  <c r="K441" i="2"/>
  <c r="AJ440" i="2"/>
  <c r="L440" i="2"/>
  <c r="K440" i="2"/>
  <c r="AJ439" i="2"/>
  <c r="L439" i="2"/>
  <c r="K439" i="2"/>
  <c r="AJ438" i="2"/>
  <c r="L438" i="2"/>
  <c r="K438" i="2"/>
  <c r="AJ437" i="2"/>
  <c r="L437" i="2"/>
  <c r="K437" i="2"/>
  <c r="AJ436" i="2"/>
  <c r="L436" i="2"/>
  <c r="K436" i="2"/>
  <c r="AJ435" i="2"/>
  <c r="L435" i="2"/>
  <c r="K435" i="2"/>
  <c r="AJ434" i="2"/>
  <c r="L434" i="2"/>
  <c r="K434" i="2"/>
  <c r="AJ433" i="2"/>
  <c r="L433" i="2"/>
  <c r="K433" i="2"/>
  <c r="AJ432" i="2"/>
  <c r="L432" i="2"/>
  <c r="K432" i="2"/>
  <c r="AJ431" i="2"/>
  <c r="L431" i="2"/>
  <c r="K431" i="2"/>
  <c r="AJ430" i="2"/>
  <c r="L430" i="2"/>
  <c r="K430" i="2"/>
  <c r="AJ429" i="2"/>
  <c r="L429" i="2"/>
  <c r="K429" i="2"/>
  <c r="AJ428" i="2"/>
  <c r="L428" i="2"/>
  <c r="K428" i="2"/>
  <c r="AJ427" i="2"/>
  <c r="L427" i="2"/>
  <c r="K427" i="2"/>
  <c r="AJ426" i="2"/>
  <c r="L426" i="2"/>
  <c r="K426" i="2"/>
  <c r="AJ425" i="2"/>
  <c r="L425" i="2"/>
  <c r="K425" i="2"/>
  <c r="AJ424" i="2"/>
  <c r="L424" i="2"/>
  <c r="K424" i="2"/>
  <c r="AJ423" i="2"/>
  <c r="L423" i="2"/>
  <c r="K423" i="2"/>
  <c r="AJ422" i="2"/>
  <c r="L422" i="2"/>
  <c r="K422" i="2"/>
  <c r="AJ421" i="2"/>
  <c r="L421" i="2"/>
  <c r="K421" i="2"/>
  <c r="AJ420" i="2"/>
  <c r="L420" i="2"/>
  <c r="K420" i="2"/>
  <c r="AJ419" i="2"/>
  <c r="L419" i="2"/>
  <c r="K419" i="2"/>
  <c r="AJ418" i="2"/>
  <c r="L418" i="2"/>
  <c r="K418" i="2"/>
  <c r="AJ417" i="2"/>
  <c r="L417" i="2"/>
  <c r="K417" i="2"/>
  <c r="AJ416" i="2"/>
  <c r="L416" i="2"/>
  <c r="K416" i="2"/>
  <c r="AJ415" i="2"/>
  <c r="L415" i="2"/>
  <c r="K415" i="2"/>
  <c r="AJ414" i="2"/>
  <c r="L414" i="2"/>
  <c r="K414" i="2"/>
  <c r="AJ413" i="2"/>
  <c r="L413" i="2"/>
  <c r="K413" i="2"/>
  <c r="AJ412" i="2"/>
  <c r="L412" i="2"/>
  <c r="K412" i="2"/>
  <c r="AJ411" i="2"/>
  <c r="L411" i="2"/>
  <c r="K411" i="2"/>
  <c r="AJ410" i="2"/>
  <c r="L410" i="2"/>
  <c r="K410" i="2"/>
  <c r="AJ409" i="2"/>
  <c r="L409" i="2"/>
  <c r="K409" i="2"/>
  <c r="AJ408" i="2"/>
  <c r="L408" i="2"/>
  <c r="K408" i="2"/>
  <c r="AJ407" i="2"/>
  <c r="L407" i="2"/>
  <c r="K407" i="2"/>
  <c r="AJ406" i="2"/>
  <c r="L406" i="2"/>
  <c r="K406" i="2"/>
  <c r="AJ405" i="2"/>
  <c r="L405" i="2"/>
  <c r="K405" i="2"/>
  <c r="AJ404" i="2"/>
  <c r="L404" i="2"/>
  <c r="K404" i="2"/>
  <c r="AJ403" i="2"/>
  <c r="L403" i="2"/>
  <c r="K403" i="2"/>
  <c r="AJ402" i="2"/>
  <c r="L402" i="2"/>
  <c r="K402" i="2"/>
  <c r="AJ401" i="2"/>
  <c r="L401" i="2"/>
  <c r="K401" i="2"/>
  <c r="AJ400" i="2"/>
  <c r="L400" i="2"/>
  <c r="K400" i="2"/>
  <c r="AJ399" i="2"/>
  <c r="L399" i="2"/>
  <c r="K399" i="2"/>
  <c r="AJ398" i="2"/>
  <c r="L398" i="2"/>
  <c r="K398" i="2"/>
  <c r="AJ397" i="2"/>
  <c r="L397" i="2"/>
  <c r="K397" i="2"/>
  <c r="AJ396" i="2"/>
  <c r="L396" i="2"/>
  <c r="K396" i="2"/>
  <c r="AJ395" i="2"/>
  <c r="L395" i="2"/>
  <c r="K395" i="2"/>
  <c r="AJ394" i="2"/>
  <c r="L394" i="2"/>
  <c r="K394" i="2"/>
  <c r="AJ393" i="2"/>
  <c r="L393" i="2"/>
  <c r="K393" i="2"/>
  <c r="AJ392" i="2"/>
  <c r="L392" i="2"/>
  <c r="K392" i="2"/>
  <c r="AJ391" i="2"/>
  <c r="L391" i="2"/>
  <c r="K391" i="2"/>
  <c r="AJ390" i="2"/>
  <c r="L390" i="2"/>
  <c r="K390" i="2"/>
  <c r="AJ389" i="2"/>
  <c r="L389" i="2"/>
  <c r="K389" i="2"/>
  <c r="AJ388" i="2"/>
  <c r="L388" i="2"/>
  <c r="K388" i="2"/>
  <c r="AJ387" i="2"/>
  <c r="L387" i="2"/>
  <c r="K387" i="2"/>
  <c r="AJ386" i="2"/>
  <c r="L386" i="2"/>
  <c r="K386" i="2"/>
  <c r="AJ385" i="2"/>
  <c r="L385" i="2"/>
  <c r="K385" i="2"/>
  <c r="AJ384" i="2"/>
  <c r="L384" i="2"/>
  <c r="K384" i="2"/>
  <c r="AJ383" i="2"/>
  <c r="L383" i="2"/>
  <c r="K383" i="2"/>
  <c r="AJ382" i="2"/>
  <c r="L382" i="2"/>
  <c r="K382" i="2"/>
  <c r="AJ381" i="2"/>
  <c r="L381" i="2"/>
  <c r="K381" i="2"/>
  <c r="AJ380" i="2"/>
  <c r="L380" i="2"/>
  <c r="K380" i="2"/>
  <c r="AJ379" i="2"/>
  <c r="L379" i="2"/>
  <c r="K379" i="2"/>
  <c r="AJ378" i="2"/>
  <c r="L378" i="2"/>
  <c r="K378" i="2"/>
  <c r="AJ377" i="2"/>
  <c r="L377" i="2"/>
  <c r="K377" i="2"/>
  <c r="AJ376" i="2"/>
  <c r="L376" i="2"/>
  <c r="K376" i="2"/>
  <c r="AJ375" i="2"/>
  <c r="L375" i="2"/>
  <c r="K375" i="2"/>
  <c r="AJ374" i="2"/>
  <c r="L374" i="2"/>
  <c r="K374" i="2"/>
  <c r="AJ373" i="2"/>
  <c r="L373" i="2"/>
  <c r="K373" i="2"/>
  <c r="AJ372" i="2"/>
  <c r="L372" i="2"/>
  <c r="K372" i="2"/>
  <c r="AJ371" i="2"/>
  <c r="L371" i="2"/>
  <c r="K371" i="2"/>
  <c r="AJ370" i="2"/>
  <c r="L370" i="2"/>
  <c r="K370" i="2"/>
  <c r="AJ369" i="2"/>
  <c r="L369" i="2"/>
  <c r="K369" i="2"/>
  <c r="AJ368" i="2"/>
  <c r="L368" i="2"/>
  <c r="K368" i="2"/>
  <c r="AJ367" i="2"/>
  <c r="L367" i="2"/>
  <c r="K367" i="2"/>
  <c r="AJ366" i="2"/>
  <c r="L366" i="2"/>
  <c r="K366" i="2"/>
  <c r="AJ365" i="2"/>
  <c r="L365" i="2"/>
  <c r="K365" i="2"/>
  <c r="AJ364" i="2"/>
  <c r="L364" i="2"/>
  <c r="K364" i="2"/>
  <c r="AJ363" i="2"/>
  <c r="L363" i="2"/>
  <c r="K363" i="2"/>
  <c r="AJ362" i="2"/>
  <c r="L362" i="2"/>
  <c r="K362" i="2"/>
  <c r="AJ361" i="2"/>
  <c r="L361" i="2"/>
  <c r="K361" i="2"/>
  <c r="AJ360" i="2"/>
  <c r="L360" i="2"/>
  <c r="K360" i="2"/>
  <c r="AJ359" i="2"/>
  <c r="L359" i="2"/>
  <c r="K359" i="2"/>
  <c r="AJ358" i="2"/>
  <c r="L358" i="2"/>
  <c r="K358" i="2"/>
  <c r="AJ357" i="2"/>
  <c r="L357" i="2"/>
  <c r="K357" i="2"/>
  <c r="AJ356" i="2"/>
  <c r="L356" i="2"/>
  <c r="K356" i="2"/>
  <c r="AJ355" i="2"/>
  <c r="L355" i="2"/>
  <c r="K355" i="2"/>
  <c r="AJ354" i="2"/>
  <c r="L354" i="2"/>
  <c r="K354" i="2"/>
  <c r="AJ353" i="2"/>
  <c r="L353" i="2"/>
  <c r="K353" i="2"/>
  <c r="AJ352" i="2"/>
  <c r="L352" i="2"/>
  <c r="K352" i="2"/>
  <c r="AJ351" i="2"/>
  <c r="L351" i="2"/>
  <c r="K351" i="2"/>
  <c r="AJ350" i="2"/>
  <c r="L350" i="2"/>
  <c r="K350" i="2"/>
  <c r="AJ349" i="2"/>
  <c r="L349" i="2"/>
  <c r="K349" i="2"/>
  <c r="AJ348" i="2"/>
  <c r="L348" i="2"/>
  <c r="K348" i="2"/>
  <c r="AJ347" i="2"/>
  <c r="L347" i="2"/>
  <c r="K347" i="2"/>
  <c r="AJ346" i="2"/>
  <c r="L346" i="2"/>
  <c r="K346" i="2"/>
  <c r="AJ345" i="2"/>
  <c r="L345" i="2"/>
  <c r="K345" i="2"/>
  <c r="AJ344" i="2"/>
  <c r="L344" i="2"/>
  <c r="K344" i="2"/>
  <c r="AJ343" i="2"/>
  <c r="L343" i="2"/>
  <c r="K343" i="2"/>
  <c r="AJ342" i="2"/>
  <c r="L342" i="2"/>
  <c r="K342" i="2"/>
  <c r="AJ341" i="2"/>
  <c r="L341" i="2"/>
  <c r="K341" i="2"/>
  <c r="AJ340" i="2"/>
  <c r="L340" i="2"/>
  <c r="K340" i="2"/>
  <c r="AJ339" i="2"/>
  <c r="L339" i="2"/>
  <c r="K339" i="2"/>
  <c r="AJ338" i="2"/>
  <c r="L338" i="2"/>
  <c r="K338" i="2"/>
  <c r="AJ337" i="2"/>
  <c r="L337" i="2"/>
  <c r="K337" i="2"/>
  <c r="AJ336" i="2"/>
  <c r="L336" i="2"/>
  <c r="K336" i="2"/>
  <c r="AJ335" i="2"/>
  <c r="L335" i="2"/>
  <c r="K335" i="2"/>
  <c r="AJ334" i="2"/>
  <c r="L334" i="2"/>
  <c r="K334" i="2"/>
  <c r="AJ333" i="2"/>
  <c r="L333" i="2"/>
  <c r="K333" i="2"/>
  <c r="AJ332" i="2"/>
  <c r="L332" i="2"/>
  <c r="K332" i="2"/>
  <c r="AJ331" i="2"/>
  <c r="L331" i="2"/>
  <c r="K331" i="2"/>
  <c r="AJ330" i="2"/>
  <c r="L330" i="2"/>
  <c r="K330" i="2"/>
  <c r="AJ329" i="2"/>
  <c r="L329" i="2"/>
  <c r="K329" i="2"/>
  <c r="AJ328" i="2"/>
  <c r="L328" i="2"/>
  <c r="K328" i="2"/>
  <c r="AJ327" i="2"/>
  <c r="L327" i="2"/>
  <c r="K327" i="2"/>
  <c r="AJ326" i="2"/>
  <c r="L326" i="2"/>
  <c r="K326" i="2"/>
  <c r="AJ325" i="2"/>
  <c r="L325" i="2"/>
  <c r="K325" i="2"/>
  <c r="AJ324" i="2"/>
  <c r="L324" i="2"/>
  <c r="K324" i="2"/>
  <c r="AJ323" i="2"/>
  <c r="L323" i="2"/>
  <c r="K323" i="2"/>
  <c r="AJ322" i="2"/>
  <c r="L322" i="2"/>
  <c r="K322" i="2"/>
  <c r="AJ321" i="2"/>
  <c r="L321" i="2"/>
  <c r="K321" i="2"/>
  <c r="AJ320" i="2"/>
  <c r="L320" i="2"/>
  <c r="K320" i="2"/>
  <c r="AJ319" i="2"/>
  <c r="L319" i="2"/>
  <c r="K319" i="2"/>
  <c r="AJ318" i="2"/>
  <c r="L318" i="2"/>
  <c r="K318" i="2"/>
  <c r="AJ317" i="2"/>
  <c r="L317" i="2"/>
  <c r="K317" i="2"/>
  <c r="AJ316" i="2"/>
  <c r="L316" i="2"/>
  <c r="K316" i="2"/>
  <c r="AJ315" i="2"/>
  <c r="L315" i="2"/>
  <c r="K315" i="2"/>
  <c r="AJ314" i="2"/>
  <c r="L314" i="2"/>
  <c r="K314" i="2"/>
  <c r="AJ313" i="2"/>
  <c r="L313" i="2"/>
  <c r="K313" i="2"/>
  <c r="AJ312" i="2"/>
  <c r="L312" i="2"/>
  <c r="K312" i="2"/>
  <c r="AJ311" i="2"/>
  <c r="L311" i="2"/>
  <c r="K311" i="2"/>
  <c r="AJ310" i="2"/>
  <c r="L310" i="2"/>
  <c r="K310" i="2"/>
  <c r="AJ309" i="2"/>
  <c r="L309" i="2"/>
  <c r="K309" i="2"/>
  <c r="AJ308" i="2"/>
  <c r="L308" i="2"/>
  <c r="K308" i="2"/>
  <c r="AJ307" i="2"/>
  <c r="L307" i="2"/>
  <c r="K307" i="2"/>
  <c r="AJ306" i="2"/>
  <c r="L306" i="2"/>
  <c r="K306" i="2"/>
  <c r="AJ305" i="2"/>
  <c r="L305" i="2"/>
  <c r="K305" i="2"/>
  <c r="AJ304" i="2"/>
  <c r="L304" i="2"/>
  <c r="K304" i="2"/>
  <c r="AJ303" i="2"/>
  <c r="L303" i="2"/>
  <c r="K303" i="2"/>
  <c r="AJ302" i="2"/>
  <c r="L302" i="2"/>
  <c r="K302" i="2"/>
  <c r="AJ301" i="2"/>
  <c r="L301" i="2"/>
  <c r="K301" i="2"/>
  <c r="AJ300" i="2"/>
  <c r="L300" i="2"/>
  <c r="K300" i="2"/>
  <c r="AJ299" i="2"/>
  <c r="L299" i="2"/>
  <c r="K299" i="2"/>
  <c r="AJ298" i="2"/>
  <c r="L298" i="2"/>
  <c r="K298" i="2"/>
  <c r="AJ297" i="2"/>
  <c r="L297" i="2"/>
  <c r="K297" i="2"/>
  <c r="AJ296" i="2"/>
  <c r="L296" i="2"/>
  <c r="K296" i="2"/>
  <c r="AJ295" i="2"/>
  <c r="L295" i="2"/>
  <c r="K295" i="2"/>
  <c r="AJ294" i="2"/>
  <c r="L294" i="2"/>
  <c r="K294" i="2"/>
  <c r="AJ293" i="2"/>
  <c r="L293" i="2"/>
  <c r="K293" i="2"/>
  <c r="AJ292" i="2"/>
  <c r="L292" i="2"/>
  <c r="K292" i="2"/>
  <c r="AJ291" i="2"/>
  <c r="L291" i="2"/>
  <c r="K291" i="2"/>
  <c r="AJ290" i="2"/>
  <c r="L290" i="2"/>
  <c r="K290" i="2"/>
  <c r="AJ289" i="2"/>
  <c r="L289" i="2"/>
  <c r="K289" i="2"/>
  <c r="AJ288" i="2"/>
  <c r="L288" i="2"/>
  <c r="K288" i="2"/>
  <c r="AJ287" i="2"/>
  <c r="L287" i="2"/>
  <c r="K287" i="2"/>
  <c r="AJ286" i="2"/>
  <c r="L286" i="2"/>
  <c r="K286" i="2"/>
  <c r="AJ285" i="2"/>
  <c r="L285" i="2"/>
  <c r="K285" i="2"/>
  <c r="AJ284" i="2"/>
  <c r="L284" i="2"/>
  <c r="K284" i="2"/>
  <c r="AJ283" i="2"/>
  <c r="L283" i="2"/>
  <c r="K283" i="2"/>
  <c r="AJ282" i="2"/>
  <c r="L282" i="2"/>
  <c r="K282" i="2"/>
  <c r="AJ281" i="2"/>
  <c r="L281" i="2"/>
  <c r="K281" i="2"/>
  <c r="AJ280" i="2"/>
  <c r="L280" i="2"/>
  <c r="K280" i="2"/>
  <c r="AJ279" i="2"/>
  <c r="L279" i="2"/>
  <c r="K279" i="2"/>
  <c r="AJ278" i="2"/>
  <c r="L278" i="2"/>
  <c r="K278" i="2"/>
  <c r="AJ277" i="2"/>
  <c r="L277" i="2"/>
  <c r="K277" i="2"/>
  <c r="AJ276" i="2"/>
  <c r="L276" i="2"/>
  <c r="K276" i="2"/>
  <c r="AJ275" i="2"/>
  <c r="L275" i="2"/>
  <c r="K275" i="2"/>
  <c r="AJ274" i="2"/>
  <c r="L274" i="2"/>
  <c r="K274" i="2"/>
  <c r="AJ273" i="2"/>
  <c r="L273" i="2"/>
  <c r="K273" i="2"/>
  <c r="AJ272" i="2"/>
  <c r="L272" i="2"/>
  <c r="K272" i="2"/>
  <c r="AJ271" i="2"/>
  <c r="L271" i="2"/>
  <c r="K271" i="2"/>
  <c r="AJ270" i="2"/>
  <c r="L270" i="2"/>
  <c r="K270" i="2"/>
  <c r="AJ269" i="2"/>
  <c r="L269" i="2"/>
  <c r="K269" i="2"/>
  <c r="AJ268" i="2"/>
  <c r="L268" i="2"/>
  <c r="K268" i="2"/>
  <c r="AJ267" i="2"/>
  <c r="L267" i="2"/>
  <c r="K267" i="2"/>
  <c r="AJ266" i="2"/>
  <c r="L266" i="2"/>
  <c r="K266" i="2"/>
  <c r="AJ265" i="2"/>
  <c r="L265" i="2"/>
  <c r="K265" i="2"/>
  <c r="AJ264" i="2"/>
  <c r="L264" i="2"/>
  <c r="K264" i="2"/>
  <c r="AJ263" i="2"/>
  <c r="L263" i="2"/>
  <c r="K263" i="2"/>
  <c r="AJ262" i="2"/>
  <c r="L262" i="2"/>
  <c r="K262" i="2"/>
  <c r="AJ261" i="2"/>
  <c r="L261" i="2"/>
  <c r="K261" i="2"/>
  <c r="AJ260" i="2"/>
  <c r="L260" i="2"/>
  <c r="K260" i="2"/>
  <c r="AJ259" i="2"/>
  <c r="L259" i="2"/>
  <c r="K259" i="2"/>
  <c r="AJ258" i="2"/>
  <c r="L258" i="2"/>
  <c r="K258" i="2"/>
  <c r="AJ257" i="2"/>
  <c r="L257" i="2"/>
  <c r="K257" i="2"/>
  <c r="AJ256" i="2"/>
  <c r="L256" i="2"/>
  <c r="K256" i="2"/>
  <c r="AJ255" i="2"/>
  <c r="L255" i="2"/>
  <c r="K255" i="2"/>
  <c r="AJ254" i="2"/>
  <c r="L254" i="2"/>
  <c r="K254" i="2"/>
  <c r="AJ253" i="2"/>
  <c r="L253" i="2"/>
  <c r="K253" i="2"/>
  <c r="AJ252" i="2"/>
  <c r="L252" i="2"/>
  <c r="K252" i="2"/>
  <c r="AJ251" i="2"/>
  <c r="L251" i="2"/>
  <c r="K251" i="2"/>
  <c r="AJ250" i="2"/>
  <c r="L250" i="2"/>
  <c r="K250" i="2"/>
  <c r="AJ249" i="2"/>
  <c r="L249" i="2"/>
  <c r="K249" i="2"/>
  <c r="AJ248" i="2"/>
  <c r="L248" i="2"/>
  <c r="K248" i="2"/>
  <c r="AJ247" i="2"/>
  <c r="L247" i="2"/>
  <c r="K247" i="2"/>
  <c r="AJ246" i="2"/>
  <c r="L246" i="2"/>
  <c r="K246" i="2"/>
  <c r="AJ245" i="2"/>
  <c r="L245" i="2"/>
  <c r="K245" i="2"/>
  <c r="AJ244" i="2"/>
  <c r="L244" i="2"/>
  <c r="K244" i="2"/>
  <c r="AJ243" i="2"/>
  <c r="L243" i="2"/>
  <c r="K243" i="2"/>
  <c r="AJ242" i="2"/>
  <c r="L242" i="2"/>
  <c r="K242" i="2"/>
  <c r="AJ241" i="2"/>
  <c r="L241" i="2"/>
  <c r="K241" i="2"/>
  <c r="AJ240" i="2"/>
  <c r="L240" i="2"/>
  <c r="K240" i="2"/>
  <c r="AJ239" i="2"/>
  <c r="L239" i="2"/>
  <c r="K239" i="2"/>
  <c r="AJ238" i="2"/>
  <c r="L238" i="2"/>
  <c r="K238" i="2"/>
  <c r="AJ237" i="2"/>
  <c r="L237" i="2"/>
  <c r="K237" i="2"/>
  <c r="AJ236" i="2"/>
  <c r="L236" i="2"/>
  <c r="K236" i="2"/>
  <c r="AJ235" i="2"/>
  <c r="L235" i="2"/>
  <c r="K235" i="2"/>
  <c r="AJ234" i="2"/>
  <c r="L234" i="2"/>
  <c r="K234" i="2"/>
  <c r="AJ233" i="2"/>
  <c r="L233" i="2"/>
  <c r="K233" i="2"/>
  <c r="AJ232" i="2"/>
  <c r="L232" i="2"/>
  <c r="K232" i="2"/>
  <c r="AJ231" i="2"/>
  <c r="L231" i="2"/>
  <c r="K231" i="2"/>
  <c r="AJ230" i="2"/>
  <c r="L230" i="2"/>
  <c r="K230" i="2"/>
  <c r="AJ229" i="2"/>
  <c r="L229" i="2"/>
  <c r="K229" i="2"/>
  <c r="AJ228" i="2"/>
  <c r="L228" i="2"/>
  <c r="K228" i="2"/>
  <c r="AJ227" i="2"/>
  <c r="L227" i="2"/>
  <c r="K227" i="2"/>
  <c r="AJ226" i="2"/>
  <c r="L226" i="2"/>
  <c r="K226" i="2"/>
  <c r="AJ225" i="2"/>
  <c r="L225" i="2"/>
  <c r="K225" i="2"/>
  <c r="AJ224" i="2"/>
  <c r="L224" i="2"/>
  <c r="K224" i="2"/>
  <c r="AJ223" i="2"/>
  <c r="L223" i="2"/>
  <c r="K223" i="2"/>
  <c r="AJ222" i="2"/>
  <c r="L222" i="2"/>
  <c r="K222" i="2"/>
  <c r="AJ221" i="2"/>
  <c r="L221" i="2"/>
  <c r="K221" i="2"/>
  <c r="AJ220" i="2"/>
  <c r="L220" i="2"/>
  <c r="K220" i="2"/>
  <c r="AJ219" i="2"/>
  <c r="L219" i="2"/>
  <c r="K219" i="2"/>
  <c r="AJ218" i="2"/>
  <c r="L218" i="2"/>
  <c r="K218" i="2"/>
  <c r="AJ217" i="2"/>
  <c r="L217" i="2"/>
  <c r="K217" i="2"/>
  <c r="AJ216" i="2"/>
  <c r="L216" i="2"/>
  <c r="K216" i="2"/>
  <c r="AJ215" i="2"/>
  <c r="L215" i="2"/>
  <c r="K215" i="2"/>
  <c r="AJ214" i="2"/>
  <c r="L214" i="2"/>
  <c r="K214" i="2"/>
  <c r="AJ213" i="2"/>
  <c r="L213" i="2"/>
  <c r="K213" i="2"/>
  <c r="AJ212" i="2"/>
  <c r="L212" i="2"/>
  <c r="K212" i="2"/>
  <c r="AJ211" i="2"/>
  <c r="L211" i="2"/>
  <c r="K211" i="2"/>
  <c r="AJ210" i="2"/>
  <c r="L210" i="2"/>
  <c r="K210" i="2"/>
  <c r="AJ209" i="2"/>
  <c r="L209" i="2"/>
  <c r="K209" i="2"/>
  <c r="AJ208" i="2"/>
  <c r="L208" i="2"/>
  <c r="K208" i="2"/>
  <c r="AJ207" i="2"/>
  <c r="L207" i="2"/>
  <c r="K207" i="2"/>
  <c r="AJ206" i="2"/>
  <c r="L206" i="2"/>
  <c r="K206" i="2"/>
  <c r="AJ205" i="2"/>
  <c r="L205" i="2"/>
  <c r="K205" i="2"/>
  <c r="AJ204" i="2"/>
  <c r="L204" i="2"/>
  <c r="K204" i="2"/>
  <c r="AJ203" i="2"/>
  <c r="L203" i="2"/>
  <c r="K203" i="2"/>
  <c r="AJ202" i="2"/>
  <c r="L202" i="2"/>
  <c r="K202" i="2"/>
  <c r="AJ201" i="2"/>
  <c r="L201" i="2"/>
  <c r="K201" i="2"/>
  <c r="AJ200" i="2"/>
  <c r="L200" i="2"/>
  <c r="K200" i="2"/>
  <c r="AJ199" i="2"/>
  <c r="L199" i="2"/>
  <c r="K199" i="2"/>
  <c r="AJ198" i="2"/>
  <c r="L198" i="2"/>
  <c r="K198" i="2"/>
  <c r="AJ197" i="2"/>
  <c r="L197" i="2"/>
  <c r="K197" i="2"/>
  <c r="AJ196" i="2"/>
  <c r="L196" i="2"/>
  <c r="K196" i="2"/>
  <c r="AJ195" i="2"/>
  <c r="L195" i="2"/>
  <c r="K195" i="2"/>
  <c r="AJ194" i="2"/>
  <c r="L194" i="2"/>
  <c r="K194" i="2"/>
  <c r="AJ193" i="2"/>
  <c r="L193" i="2"/>
  <c r="K193" i="2"/>
  <c r="AJ192" i="2"/>
  <c r="L192" i="2"/>
  <c r="K192" i="2"/>
  <c r="AJ191" i="2"/>
  <c r="L191" i="2"/>
  <c r="K191" i="2"/>
  <c r="AJ190" i="2"/>
  <c r="L190" i="2"/>
  <c r="K190" i="2"/>
  <c r="AJ189" i="2"/>
  <c r="L189" i="2"/>
  <c r="K189" i="2"/>
  <c r="AJ188" i="2"/>
  <c r="L188" i="2"/>
  <c r="K188" i="2"/>
  <c r="AJ187" i="2"/>
  <c r="L187" i="2"/>
  <c r="K187" i="2"/>
  <c r="AJ186" i="2"/>
  <c r="L186" i="2"/>
  <c r="K186" i="2"/>
  <c r="AJ185" i="2"/>
  <c r="L185" i="2"/>
  <c r="K185" i="2"/>
  <c r="AJ184" i="2"/>
  <c r="L184" i="2"/>
  <c r="K184" i="2"/>
  <c r="AJ183" i="2"/>
  <c r="L183" i="2"/>
  <c r="K183" i="2"/>
  <c r="AJ182" i="2"/>
  <c r="L182" i="2"/>
  <c r="K182" i="2"/>
  <c r="AJ181" i="2"/>
  <c r="L181" i="2"/>
  <c r="K181" i="2"/>
  <c r="AJ180" i="2"/>
  <c r="L180" i="2"/>
  <c r="K180" i="2"/>
  <c r="AJ179" i="2"/>
  <c r="L179" i="2"/>
  <c r="K179" i="2"/>
  <c r="AJ178" i="2"/>
  <c r="L178" i="2"/>
  <c r="K178" i="2"/>
  <c r="AJ177" i="2"/>
  <c r="L177" i="2"/>
  <c r="K177" i="2"/>
  <c r="AJ176" i="2"/>
  <c r="L176" i="2"/>
  <c r="K176" i="2"/>
  <c r="AJ175" i="2"/>
  <c r="L175" i="2"/>
  <c r="K175" i="2"/>
  <c r="AJ174" i="2"/>
  <c r="L174" i="2"/>
  <c r="K174" i="2"/>
  <c r="AJ173" i="2"/>
  <c r="L173" i="2"/>
  <c r="K173" i="2"/>
  <c r="AJ172" i="2"/>
  <c r="L172" i="2"/>
  <c r="K172" i="2"/>
  <c r="AJ171" i="2"/>
  <c r="L171" i="2"/>
  <c r="K171" i="2"/>
  <c r="AJ170" i="2"/>
  <c r="L170" i="2"/>
  <c r="K170" i="2"/>
  <c r="AJ169" i="2"/>
  <c r="L169" i="2"/>
  <c r="K169" i="2"/>
  <c r="AJ168" i="2"/>
  <c r="L168" i="2"/>
  <c r="K168" i="2"/>
  <c r="AJ167" i="2"/>
  <c r="L167" i="2"/>
  <c r="K167" i="2"/>
  <c r="AJ166" i="2"/>
  <c r="L166" i="2"/>
  <c r="K166" i="2"/>
  <c r="AJ165" i="2"/>
  <c r="L165" i="2"/>
  <c r="K165" i="2"/>
  <c r="AJ164" i="2"/>
  <c r="L164" i="2"/>
  <c r="K164" i="2"/>
  <c r="AJ163" i="2"/>
  <c r="L163" i="2"/>
  <c r="K163" i="2"/>
  <c r="AJ162" i="2"/>
  <c r="L162" i="2"/>
  <c r="K162" i="2"/>
  <c r="AJ161" i="2"/>
  <c r="L161" i="2"/>
  <c r="K161" i="2"/>
  <c r="AJ160" i="2"/>
  <c r="L160" i="2"/>
  <c r="K160" i="2"/>
  <c r="AJ159" i="2"/>
  <c r="L159" i="2"/>
  <c r="K159" i="2"/>
  <c r="AJ158" i="2"/>
  <c r="L158" i="2"/>
  <c r="K158" i="2"/>
  <c r="AJ157" i="2"/>
  <c r="L157" i="2"/>
  <c r="K157" i="2"/>
  <c r="AJ156" i="2"/>
  <c r="L156" i="2"/>
  <c r="K156" i="2"/>
  <c r="AJ155" i="2"/>
  <c r="L155" i="2"/>
  <c r="K155" i="2"/>
  <c r="AJ154" i="2"/>
  <c r="L154" i="2"/>
  <c r="K154" i="2"/>
  <c r="AJ153" i="2"/>
  <c r="L153" i="2"/>
  <c r="K153" i="2"/>
  <c r="AJ152" i="2"/>
  <c r="L152" i="2"/>
  <c r="K152" i="2"/>
  <c r="AJ151" i="2"/>
  <c r="L151" i="2"/>
  <c r="K151" i="2"/>
  <c r="AJ150" i="2"/>
  <c r="L150" i="2"/>
  <c r="K150" i="2"/>
  <c r="AJ149" i="2"/>
  <c r="L149" i="2"/>
  <c r="K149" i="2"/>
  <c r="AJ148" i="2"/>
  <c r="L148" i="2"/>
  <c r="K148" i="2"/>
  <c r="AJ147" i="2"/>
  <c r="L147" i="2"/>
  <c r="K147" i="2"/>
  <c r="AJ146" i="2"/>
  <c r="L146" i="2"/>
  <c r="K146" i="2"/>
  <c r="AJ145" i="2"/>
  <c r="L145" i="2"/>
  <c r="K145" i="2"/>
  <c r="AJ144" i="2"/>
  <c r="L144" i="2"/>
  <c r="K144" i="2"/>
  <c r="AJ143" i="2"/>
  <c r="L143" i="2"/>
  <c r="K143" i="2"/>
  <c r="AJ142" i="2"/>
  <c r="L142" i="2"/>
  <c r="K142" i="2"/>
  <c r="AJ141" i="2"/>
  <c r="L141" i="2"/>
  <c r="K141" i="2"/>
  <c r="AJ140" i="2"/>
  <c r="L140" i="2"/>
  <c r="K140" i="2"/>
  <c r="AJ139" i="2"/>
  <c r="L139" i="2"/>
  <c r="K139" i="2"/>
  <c r="AJ138" i="2"/>
  <c r="L138" i="2"/>
  <c r="K138" i="2"/>
  <c r="AJ137" i="2"/>
  <c r="L137" i="2"/>
  <c r="K137" i="2"/>
  <c r="AJ136" i="2"/>
  <c r="L136" i="2"/>
  <c r="K136" i="2"/>
  <c r="AJ135" i="2"/>
  <c r="L135" i="2"/>
  <c r="K135" i="2"/>
  <c r="AJ134" i="2"/>
  <c r="L134" i="2"/>
  <c r="K134" i="2"/>
  <c r="AJ133" i="2"/>
  <c r="L133" i="2"/>
  <c r="K133" i="2"/>
  <c r="AJ132" i="2"/>
  <c r="L132" i="2"/>
  <c r="K132" i="2"/>
  <c r="AJ131" i="2"/>
  <c r="L131" i="2"/>
  <c r="K131" i="2"/>
  <c r="AJ130" i="2"/>
  <c r="L130" i="2"/>
  <c r="K130" i="2"/>
  <c r="AJ129" i="2"/>
  <c r="L129" i="2"/>
  <c r="K129" i="2"/>
  <c r="AJ128" i="2"/>
  <c r="L128" i="2"/>
  <c r="K128" i="2"/>
  <c r="AJ127" i="2"/>
  <c r="L127" i="2"/>
  <c r="K127" i="2"/>
  <c r="AJ126" i="2"/>
  <c r="L126" i="2"/>
  <c r="K126" i="2"/>
  <c r="AJ125" i="2"/>
  <c r="L125" i="2"/>
  <c r="K125" i="2"/>
  <c r="AJ124" i="2"/>
  <c r="L124" i="2"/>
  <c r="K124" i="2"/>
  <c r="AJ123" i="2"/>
  <c r="L123" i="2"/>
  <c r="K123" i="2"/>
  <c r="AJ122" i="2"/>
  <c r="L122" i="2"/>
  <c r="K122" i="2"/>
  <c r="AJ121" i="2"/>
  <c r="L121" i="2"/>
  <c r="K121" i="2"/>
  <c r="AJ120" i="2"/>
  <c r="L120" i="2"/>
  <c r="K120" i="2"/>
  <c r="AJ119" i="2"/>
  <c r="L119" i="2"/>
  <c r="K119" i="2"/>
  <c r="AJ118" i="2"/>
  <c r="L118" i="2"/>
  <c r="K118" i="2"/>
  <c r="AJ117" i="2"/>
  <c r="L117" i="2"/>
  <c r="K117" i="2"/>
  <c r="AJ116" i="2"/>
  <c r="L116" i="2"/>
  <c r="K116" i="2"/>
  <c r="AJ115" i="2"/>
  <c r="L115" i="2"/>
  <c r="K115" i="2"/>
  <c r="AJ114" i="2"/>
  <c r="L114" i="2"/>
  <c r="K114" i="2"/>
  <c r="AJ113" i="2"/>
  <c r="L113" i="2"/>
  <c r="K113" i="2"/>
  <c r="AJ112" i="2"/>
  <c r="L112" i="2"/>
  <c r="K112" i="2"/>
  <c r="AJ111" i="2"/>
  <c r="L111" i="2"/>
  <c r="K111" i="2"/>
  <c r="AJ110" i="2"/>
  <c r="L110" i="2"/>
  <c r="K110" i="2"/>
  <c r="AJ109" i="2"/>
  <c r="L109" i="2"/>
  <c r="K109" i="2"/>
  <c r="AJ108" i="2"/>
  <c r="L108" i="2"/>
  <c r="K108" i="2"/>
  <c r="AJ107" i="2"/>
  <c r="L107" i="2"/>
  <c r="K107" i="2"/>
  <c r="AJ106" i="2"/>
  <c r="L106" i="2"/>
  <c r="K106" i="2"/>
  <c r="AJ105" i="2"/>
  <c r="L105" i="2"/>
  <c r="K105" i="2"/>
  <c r="AJ104" i="2"/>
  <c r="L104" i="2"/>
  <c r="K104" i="2"/>
  <c r="AJ103" i="2"/>
  <c r="L103" i="2"/>
  <c r="K103" i="2"/>
  <c r="AJ102" i="2"/>
  <c r="L102" i="2"/>
  <c r="K102" i="2"/>
  <c r="AJ101" i="2"/>
  <c r="L101" i="2"/>
  <c r="K101" i="2"/>
  <c r="AJ100" i="2"/>
  <c r="L100" i="2"/>
  <c r="K100" i="2"/>
  <c r="AJ99" i="2"/>
  <c r="L99" i="2"/>
  <c r="K99" i="2"/>
  <c r="AJ98" i="2"/>
  <c r="L98" i="2"/>
  <c r="K98" i="2"/>
  <c r="AJ97" i="2"/>
  <c r="L97" i="2"/>
  <c r="K97" i="2"/>
  <c r="AJ96" i="2"/>
  <c r="L96" i="2"/>
  <c r="K96" i="2"/>
  <c r="AJ95" i="2"/>
  <c r="L95" i="2"/>
  <c r="K95" i="2"/>
  <c r="AJ94" i="2"/>
  <c r="L94" i="2"/>
  <c r="K94" i="2"/>
  <c r="AJ93" i="2"/>
  <c r="L93" i="2"/>
  <c r="K93" i="2"/>
  <c r="AJ92" i="2"/>
  <c r="L92" i="2"/>
  <c r="K92" i="2"/>
  <c r="AJ91" i="2"/>
  <c r="L91" i="2"/>
  <c r="K91" i="2"/>
  <c r="AJ90" i="2"/>
  <c r="L90" i="2"/>
  <c r="K90" i="2"/>
  <c r="AJ89" i="2"/>
  <c r="L89" i="2"/>
  <c r="K89" i="2"/>
  <c r="AJ88" i="2"/>
  <c r="L88" i="2"/>
  <c r="K88" i="2"/>
  <c r="AJ87" i="2"/>
  <c r="L87" i="2"/>
  <c r="K87" i="2"/>
  <c r="AJ86" i="2"/>
  <c r="L86" i="2"/>
  <c r="K86" i="2"/>
  <c r="AJ85" i="2"/>
  <c r="L85" i="2"/>
  <c r="K85" i="2"/>
  <c r="AJ84" i="2"/>
  <c r="L84" i="2"/>
  <c r="K84" i="2"/>
  <c r="AJ83" i="2"/>
  <c r="L83" i="2"/>
  <c r="K83" i="2"/>
  <c r="AJ82" i="2"/>
  <c r="L82" i="2"/>
  <c r="K82" i="2"/>
  <c r="AJ81" i="2"/>
  <c r="L81" i="2"/>
  <c r="K81" i="2"/>
  <c r="AJ80" i="2"/>
  <c r="L80" i="2"/>
  <c r="K80" i="2"/>
  <c r="AJ79" i="2"/>
  <c r="L79" i="2"/>
  <c r="K79" i="2"/>
  <c r="AJ78" i="2"/>
  <c r="L78" i="2"/>
  <c r="K78" i="2"/>
  <c r="AJ77" i="2"/>
  <c r="L77" i="2"/>
  <c r="K77" i="2"/>
  <c r="AJ76" i="2"/>
  <c r="L76" i="2"/>
  <c r="K76" i="2"/>
  <c r="AJ75" i="2"/>
  <c r="L75" i="2"/>
  <c r="K75" i="2"/>
  <c r="AJ74" i="2"/>
  <c r="L74" i="2"/>
  <c r="K74" i="2"/>
  <c r="AJ73" i="2"/>
  <c r="L73" i="2"/>
  <c r="K73" i="2"/>
  <c r="AJ72" i="2"/>
  <c r="L72" i="2"/>
  <c r="K72" i="2"/>
  <c r="AJ71" i="2"/>
  <c r="L71" i="2"/>
  <c r="K71" i="2"/>
  <c r="AJ70" i="2"/>
  <c r="L70" i="2"/>
  <c r="K70" i="2"/>
  <c r="AJ69" i="2"/>
  <c r="L69" i="2"/>
  <c r="K69" i="2"/>
  <c r="AJ68" i="2"/>
  <c r="L68" i="2"/>
  <c r="K68" i="2"/>
  <c r="AJ67" i="2"/>
  <c r="L67" i="2"/>
  <c r="K67" i="2"/>
  <c r="AJ66" i="2"/>
  <c r="L66" i="2"/>
  <c r="K66" i="2"/>
  <c r="AJ65" i="2"/>
  <c r="L65" i="2"/>
  <c r="K65" i="2"/>
  <c r="AJ64" i="2"/>
  <c r="L64" i="2"/>
  <c r="K64" i="2"/>
  <c r="AJ63" i="2"/>
  <c r="L63" i="2"/>
  <c r="K63" i="2"/>
  <c r="AJ62" i="2"/>
  <c r="L62" i="2"/>
  <c r="K62" i="2"/>
  <c r="AJ61" i="2"/>
  <c r="L61" i="2"/>
  <c r="K61" i="2"/>
  <c r="AJ60" i="2"/>
  <c r="L60" i="2"/>
  <c r="K60" i="2"/>
  <c r="AJ59" i="2"/>
  <c r="L59" i="2"/>
  <c r="K59" i="2"/>
  <c r="AJ58" i="2"/>
  <c r="L58" i="2"/>
  <c r="K58" i="2"/>
  <c r="AJ57" i="2"/>
  <c r="L57" i="2"/>
  <c r="K57" i="2"/>
  <c r="AJ56" i="2"/>
  <c r="L56" i="2"/>
  <c r="K56" i="2"/>
  <c r="AJ55" i="2"/>
  <c r="L55" i="2"/>
  <c r="K55" i="2"/>
  <c r="AJ54" i="2"/>
  <c r="L54" i="2"/>
  <c r="K54" i="2"/>
  <c r="AJ53" i="2"/>
  <c r="L53" i="2"/>
  <c r="K53" i="2"/>
  <c r="AJ52" i="2"/>
  <c r="L52" i="2"/>
  <c r="K52" i="2"/>
  <c r="AJ51" i="2"/>
  <c r="L51" i="2"/>
  <c r="K51" i="2"/>
  <c r="AJ50" i="2"/>
  <c r="L50" i="2"/>
  <c r="K50" i="2"/>
  <c r="AJ49" i="2"/>
  <c r="L49" i="2"/>
  <c r="K49" i="2"/>
  <c r="AJ48" i="2"/>
  <c r="L48" i="2"/>
  <c r="K48" i="2"/>
  <c r="AJ47" i="2"/>
  <c r="L47" i="2"/>
  <c r="K47" i="2"/>
  <c r="AJ46" i="2"/>
  <c r="L46" i="2"/>
  <c r="K46" i="2"/>
  <c r="AJ45" i="2"/>
  <c r="L45" i="2"/>
  <c r="K45" i="2"/>
  <c r="AJ44" i="2"/>
  <c r="L44" i="2"/>
  <c r="K44" i="2"/>
  <c r="AJ43" i="2"/>
  <c r="L43" i="2"/>
  <c r="K43" i="2"/>
  <c r="AJ42" i="2"/>
  <c r="L42" i="2"/>
  <c r="K42" i="2"/>
  <c r="AJ41" i="2"/>
  <c r="L41" i="2"/>
  <c r="K41" i="2"/>
  <c r="AJ40" i="2"/>
  <c r="L40" i="2"/>
  <c r="K40" i="2"/>
  <c r="AJ39" i="2"/>
  <c r="L39" i="2"/>
  <c r="K39" i="2"/>
  <c r="AJ38" i="2"/>
  <c r="L38" i="2"/>
  <c r="K38" i="2"/>
  <c r="AJ37" i="2"/>
  <c r="L37" i="2"/>
  <c r="K37" i="2"/>
  <c r="AJ36" i="2"/>
  <c r="L36" i="2"/>
  <c r="K36" i="2"/>
  <c r="AJ35" i="2"/>
  <c r="L35" i="2"/>
  <c r="K35" i="2"/>
  <c r="AJ34" i="2"/>
  <c r="L34" i="2"/>
  <c r="K34" i="2"/>
  <c r="AJ33" i="2"/>
  <c r="L33" i="2"/>
  <c r="K33" i="2"/>
  <c r="AJ32" i="2"/>
  <c r="L32" i="2"/>
  <c r="K32" i="2"/>
  <c r="AJ31" i="2"/>
  <c r="L31" i="2"/>
  <c r="K31" i="2"/>
  <c r="AJ30" i="2"/>
  <c r="L30" i="2"/>
  <c r="K30" i="2"/>
  <c r="AJ29" i="2"/>
  <c r="L29" i="2"/>
  <c r="K29" i="2"/>
  <c r="AJ28" i="2"/>
  <c r="L28" i="2"/>
  <c r="K28" i="2"/>
  <c r="AJ27" i="2"/>
  <c r="L27" i="2"/>
  <c r="K27" i="2"/>
  <c r="AJ26" i="2"/>
  <c r="L26" i="2"/>
  <c r="K26" i="2"/>
  <c r="AJ25" i="2"/>
  <c r="L25" i="2"/>
  <c r="K25" i="2"/>
  <c r="AJ24" i="2"/>
  <c r="L24" i="2"/>
  <c r="K24" i="2"/>
  <c r="AJ23" i="2"/>
  <c r="L23" i="2"/>
  <c r="K23" i="2"/>
  <c r="AJ22" i="2"/>
  <c r="L22" i="2"/>
  <c r="K22" i="2"/>
  <c r="AJ21" i="2"/>
  <c r="L21" i="2"/>
  <c r="K21" i="2"/>
  <c r="AJ20" i="2"/>
  <c r="L20" i="2"/>
  <c r="K20" i="2"/>
  <c r="AJ19" i="2"/>
  <c r="L19" i="2"/>
  <c r="K19" i="2"/>
  <c r="AJ18" i="2"/>
  <c r="L18" i="2"/>
  <c r="K18" i="2"/>
  <c r="AJ17" i="2"/>
  <c r="L17" i="2"/>
  <c r="K17" i="2"/>
  <c r="AJ16" i="2"/>
  <c r="L16" i="2"/>
  <c r="K16" i="2"/>
  <c r="AJ15" i="2"/>
  <c r="L15" i="2"/>
  <c r="K15" i="2"/>
  <c r="AJ14" i="2"/>
  <c r="L14" i="2"/>
  <c r="K14" i="2"/>
  <c r="AJ13" i="2"/>
  <c r="L13" i="2"/>
  <c r="K13" i="2"/>
  <c r="AJ12" i="2"/>
  <c r="L12" i="2"/>
  <c r="K12" i="2"/>
  <c r="AJ11" i="2"/>
  <c r="L11" i="2"/>
  <c r="K11" i="2"/>
  <c r="AJ10" i="2"/>
  <c r="L10" i="2"/>
  <c r="K10" i="2"/>
  <c r="AJ9" i="2"/>
  <c r="L9" i="2"/>
  <c r="K9" i="2"/>
  <c r="AJ8" i="2"/>
  <c r="L8" i="2"/>
  <c r="K8" i="2"/>
  <c r="AJ7" i="2"/>
  <c r="L7" i="2"/>
  <c r="K7" i="2"/>
  <c r="AJ6" i="2"/>
  <c r="L6" i="2"/>
  <c r="K6" i="2"/>
  <c r="AJ5" i="2"/>
  <c r="L5" i="2"/>
  <c r="K5" i="2"/>
  <c r="AJ4" i="2"/>
  <c r="L4" i="2"/>
  <c r="K4" i="2"/>
  <c r="AJ3" i="2"/>
  <c r="L3" i="2"/>
  <c r="K3" i="2"/>
  <c r="AJ2" i="2"/>
  <c r="L2" i="2"/>
  <c r="K2" i="2"/>
  <c r="J413" i="3" l="1"/>
  <c r="J670" i="3"/>
  <c r="J363" i="3"/>
  <c r="J528" i="3"/>
  <c r="J622" i="3"/>
  <c r="I701" i="3"/>
  <c r="J375" i="3"/>
  <c r="J409" i="3"/>
  <c r="J599" i="3"/>
  <c r="J623" i="3"/>
  <c r="J647" i="3"/>
  <c r="J678" i="3"/>
  <c r="J818" i="3"/>
  <c r="J597" i="3"/>
  <c r="J621" i="3"/>
  <c r="J645" i="3"/>
  <c r="J685" i="3"/>
  <c r="J753" i="3"/>
  <c r="J765" i="3"/>
  <c r="J777" i="3"/>
  <c r="J593" i="3"/>
  <c r="J617" i="3"/>
  <c r="J641" i="3"/>
  <c r="J751" i="3"/>
  <c r="J763" i="3"/>
  <c r="J775" i="3"/>
  <c r="I809" i="3"/>
  <c r="J589" i="3"/>
  <c r="J613" i="3"/>
  <c r="J637" i="3"/>
  <c r="J686" i="3"/>
  <c r="J761" i="3"/>
  <c r="J773" i="3"/>
  <c r="J635" i="3"/>
  <c r="J659" i="3"/>
  <c r="J609" i="3"/>
  <c r="J633" i="3"/>
  <c r="J657" i="3"/>
  <c r="J689" i="3"/>
  <c r="J759" i="3"/>
  <c r="J771" i="3"/>
  <c r="I821" i="3"/>
  <c r="J899" i="3"/>
  <c r="I1023" i="3"/>
  <c r="J891" i="3"/>
  <c r="J915" i="3"/>
  <c r="J811" i="3"/>
  <c r="J814" i="3"/>
  <c r="J817" i="3"/>
  <c r="J820" i="3"/>
  <c r="J911" i="3"/>
  <c r="I948" i="3"/>
  <c r="I1058" i="3"/>
  <c r="J901" i="3"/>
  <c r="I1116" i="3"/>
  <c r="J1060" i="3"/>
  <c r="J1063" i="3"/>
  <c r="J1066" i="3"/>
  <c r="J1069" i="3"/>
  <c r="J1072" i="3"/>
  <c r="J1075" i="3"/>
  <c r="J1078" i="3"/>
  <c r="J1081" i="3"/>
  <c r="J1084" i="3"/>
  <c r="J1087" i="3"/>
  <c r="J1090" i="3"/>
  <c r="J1093" i="3"/>
  <c r="J1096" i="3"/>
  <c r="J1099" i="3"/>
  <c r="J1105" i="3"/>
  <c r="J1111" i="3"/>
  <c r="J941" i="3"/>
</calcChain>
</file>

<file path=xl/sharedStrings.xml><?xml version="1.0" encoding="utf-8"?>
<sst xmlns="http://schemas.openxmlformats.org/spreadsheetml/2006/main" count="44240" uniqueCount="3209">
  <si>
    <t>Receive Date</t>
  </si>
  <si>
    <t>Return Date</t>
  </si>
  <si>
    <t>Invoice Day</t>
  </si>
  <si>
    <t>Transaction Type</t>
  </si>
  <si>
    <t>Quantity</t>
  </si>
  <si>
    <t>Net Receipts</t>
  </si>
  <si>
    <t>Net Receipts Currency</t>
  </si>
  <si>
    <t>List Price</t>
  </si>
  <si>
    <t>List Price Currency</t>
  </si>
  <si>
    <t>Rebate In Agreement Currency</t>
  </si>
  <si>
    <t>Rebate per Units</t>
  </si>
  <si>
    <t>Price per unit</t>
  </si>
  <si>
    <t>Agreement Currency</t>
  </si>
  <si>
    <t>Rebate In Purchase Order Currency</t>
  </si>
  <si>
    <t>Purchase Order Currency</t>
  </si>
  <si>
    <t>Purchase Order</t>
  </si>
  <si>
    <t>Asin</t>
  </si>
  <si>
    <t>UPC</t>
  </si>
  <si>
    <t>EAN</t>
  </si>
  <si>
    <t>Manufacturer</t>
  </si>
  <si>
    <t>Distributor</t>
  </si>
  <si>
    <t>Product Group</t>
  </si>
  <si>
    <t>Category</t>
  </si>
  <si>
    <t>Subcategory</t>
  </si>
  <si>
    <t>Title</t>
  </si>
  <si>
    <t>Product Description</t>
  </si>
  <si>
    <t>Binding</t>
  </si>
  <si>
    <t>Cost Currency</t>
  </si>
  <si>
    <t>Old Cost</t>
  </si>
  <si>
    <t>New Cost</t>
  </si>
  <si>
    <t>Price Protection Agreement</t>
  </si>
  <si>
    <t>Price Protection Day</t>
  </si>
  <si>
    <t>Cost Variance</t>
  </si>
  <si>
    <t>Invoice</t>
  </si>
  <si>
    <t>Multi-Country Parent Agreement ID</t>
  </si>
  <si>
    <t>Invoice Concate</t>
  </si>
  <si>
    <t>2022-12-16</t>
  </si>
  <si>
    <t/>
  </si>
  <si>
    <t>Distributor Shipment</t>
  </si>
  <si>
    <t>EUR</t>
  </si>
  <si>
    <t>4A3KDTEZ</t>
  </si>
  <si>
    <t>B079Z3DSBK</t>
  </si>
  <si>
    <t>5099206076778</t>
  </si>
  <si>
    <t>LOGC8</t>
  </si>
  <si>
    <t>L***8</t>
  </si>
  <si>
    <t>14700900</t>
  </si>
  <si>
    <t>14700939</t>
  </si>
  <si>
    <t>Logitech G X56 H.O.T.A.S Controller Acceleratore e Joystick RGB X56 HOTAS, 6 DoF Gradi di ‎Libertà, 4 Opzioni Tensionamento, +189 Controlli Programmabili, illuminazione RGB, 2x USB, PC ‎‎- Nero</t>
  </si>
  <si>
    <t>accessory</t>
  </si>
  <si>
    <t>2022-12-07</t>
  </si>
  <si>
    <t>3A946EXY</t>
  </si>
  <si>
    <t>B07W6G3KBL</t>
  </si>
  <si>
    <t>5099206107090</t>
  </si>
  <si>
    <t>14700933</t>
  </si>
  <si>
    <t>Logitech G PRO X SUPERLIGHT Mouse Gaming Wireless, Leggero 63 g, Sensore HERO 25K, 25.600 DPI, 5 Tasti Programmabili, Lunga Autonomia, Memoria Integrata, per eSport, PC / Mac - Rosso</t>
  </si>
  <si>
    <t>pc</t>
  </si>
  <si>
    <t>2022-12-21</t>
  </si>
  <si>
    <t>3GBCH66M</t>
  </si>
  <si>
    <t>B0055ZWOZ4</t>
  </si>
  <si>
    <t>5099206027183</t>
  </si>
  <si>
    <t>14700930</t>
  </si>
  <si>
    <t>Logitech K750 Tastiera Solare Wireless per Windows, Layout Spagnolo QWERTY - Nero</t>
  </si>
  <si>
    <t>2022-12-30</t>
  </si>
  <si>
    <t>7H9X1Z6S</t>
  </si>
  <si>
    <t>B00Q6MR0UO</t>
  </si>
  <si>
    <t>5099206053830</t>
  </si>
  <si>
    <t>Logitech G300s Mouse Gaming Ottico, 2.500 DPI, RGB, Design Leggero, 9 Pulsanti ‎ Programmabili, Memoria Integrata, Per Entrambe le Mani, Compatibile con PC/Mac/Laptop, Nero</t>
  </si>
  <si>
    <t>2TMBDXBK</t>
  </si>
  <si>
    <t>B07W4DHZLS</t>
  </si>
  <si>
    <t>5099206094123</t>
  </si>
  <si>
    <t>Logitech Keys-To-Go Tastiera Bluetooth, Sottile e Leggera, per iPhone, iPad, Apple TV e tutti i dispositivi iOS, Layout Italiano QWERTY - Rosa</t>
  </si>
  <si>
    <t>2022-12-27</t>
  </si>
  <si>
    <t>4GF112AE</t>
  </si>
  <si>
    <t>B07W4DGFSM</t>
  </si>
  <si>
    <t>5099206103733</t>
  </si>
  <si>
    <t>Logitech MX Master 3S - Mouse Wireless ad Alte Prestazioni, Scorrimento Ultraveloce, Ergo, 8K DPI, Tracciamento su Vetro, Clic Silenziosi, USB C, Bluetooth, Windows, Linux, Chrome - Grigio chiaro</t>
  </si>
  <si>
    <t>2022-12-29</t>
  </si>
  <si>
    <t>4E16R26M</t>
  </si>
  <si>
    <t>B003V0QEV0</t>
  </si>
  <si>
    <t>5099206021341</t>
  </si>
  <si>
    <t>Logitech K120 Tastiera Cablata, Layout ‎Francese Azerty</t>
  </si>
  <si>
    <t>B07W6JB7N7</t>
  </si>
  <si>
    <t>5099206082809</t>
  </si>
  <si>
    <t>Logitech G923 Volante da Corsa e Pedali per PS5, PS4 e PC, UK Inglese Spina di Alimentazione Tipo G, Nero</t>
  </si>
  <si>
    <t>B01A9GXEOI</t>
  </si>
  <si>
    <t>777060019746</t>
  </si>
  <si>
    <t>5099206062856</t>
  </si>
  <si>
    <t>Logitech M171 Mouse Wireless, 2.4 GHz con Mini Ricevitore USB, Rilevamento Ottico, Durata ‎Batteria Fino a 12 Mesi, Mouse Ambidestro per PC/Mac/Laptop, Nero</t>
  </si>
  <si>
    <t>2022-12-17</t>
  </si>
  <si>
    <t>2W68T8TO</t>
  </si>
  <si>
    <t>B07W5JKBMG</t>
  </si>
  <si>
    <t>5099206093867</t>
  </si>
  <si>
    <t>14701000</t>
  </si>
  <si>
    <t>14701080</t>
  </si>
  <si>
    <t>ASTRO Gaming Adattatore HDMI per PS5, Estrattore Audio HDMI 4K a Ottico TOSLINK SPDIF, Compatibile con Stazione Base A50, Auricolare con Microfono A20 per Giochi PlayStation 5</t>
  </si>
  <si>
    <t>consumer_electronics</t>
  </si>
  <si>
    <t>2022-12-06</t>
  </si>
  <si>
    <t>7EMS2FPG</t>
  </si>
  <si>
    <t>B074KGS5C3</t>
  </si>
  <si>
    <t>5099206072800</t>
  </si>
  <si>
    <t>Logitech Craft Tastiera, Layout Tedesco ‎Qwertz</t>
  </si>
  <si>
    <t>2022-12-22</t>
  </si>
  <si>
    <t>2M7QFTCO</t>
  </si>
  <si>
    <t>B07W7JYP91</t>
  </si>
  <si>
    <t>5099206085695</t>
  </si>
  <si>
    <t>Logitech Pebble Mouse Wireless, Bluetooth o 2,4 GHz con Mini Ricevitore USB, Silenzioso, Mouse per ‎Computer Sottile, Clic silenziosi, per PC/Mac/Laptop/iPadOS/Chromebook - Verde</t>
  </si>
  <si>
    <t>2CLMXQWQ</t>
  </si>
  <si>
    <t>B07W7K29YK</t>
  </si>
  <si>
    <t>5099206104389</t>
  </si>
  <si>
    <t>Logitech G G440 Gaming Mouse Pad Rigido, Ottimizzato per i Sensori da Gioco, Attrito Moderato, Antiscivolo, Accessori da Gioco per Mac e PC, 340 x 280 x 5 mm</t>
  </si>
  <si>
    <t>2022-12-23</t>
  </si>
  <si>
    <t>B015BCWNNS</t>
  </si>
  <si>
    <t>5099206059481</t>
  </si>
  <si>
    <t>Logitech K400 PLUS Tastiera Wireless, Layout Ceco-Slovacco Qwerty, Nero</t>
  </si>
  <si>
    <t>243WWSUA</t>
  </si>
  <si>
    <t>B00DN1D1MW</t>
  </si>
  <si>
    <t>5099206039148</t>
  </si>
  <si>
    <t>Logitech MK270 Combo Tastiera e Mouse Wireless per Windows, Layout Internazionale QWERTY - Nero</t>
  </si>
  <si>
    <t>2022-12-13</t>
  </si>
  <si>
    <t>31DJDC7Q</t>
  </si>
  <si>
    <t>5MWU8WTD</t>
  </si>
  <si>
    <t>B07W6HBBMH</t>
  </si>
  <si>
    <t>5099206104303</t>
  </si>
  <si>
    <t>Logitech G G840 Gaming Mouse Pad XL, Ottimizzato per i Sensori da Gioco, Attrito Moderato, Antiscivolo, Accessori da Gioco per Mac e PC, 900 x 400 x 3 mm</t>
  </si>
  <si>
    <t>B07W6HPP3R</t>
  </si>
  <si>
    <t>5099206096134</t>
  </si>
  <si>
    <t>Logitech Combo Touch Custodia con Tastiera per iPad Air (4 e 5 gen - 2020, 2022), Layout UK/US QWERTY - Grigio</t>
  </si>
  <si>
    <t>2022-12-19</t>
  </si>
  <si>
    <t>7RAC5F9E</t>
  </si>
  <si>
    <t>B002L3TSLQ</t>
  </si>
  <si>
    <t>758399157934</t>
  </si>
  <si>
    <t>3610480106092</t>
  </si>
  <si>
    <t>Logitech R400 Puntatore Laser per Presentazioni Wireless, 2.4 GHz e Bluetooth, Ricevitore USB, ‎Puntatore Laser Rosso, Portata 15 m, 6 Pulsanti, Controllo Intuitivo, Indicatore ‎Batteria, PC, Nero</t>
  </si>
  <si>
    <t>36BT7GGL</t>
  </si>
  <si>
    <t>B00O8K42PM</t>
  </si>
  <si>
    <t>5099206055490</t>
  </si>
  <si>
    <t>Logitech Keys-To-Go Tastiera Bluetooth, Layout Spagnolo QWERTY - Nero</t>
  </si>
  <si>
    <t>3UDP1VLY</t>
  </si>
  <si>
    <t>B07W6JKH17</t>
  </si>
  <si>
    <t>5099206091627</t>
  </si>
  <si>
    <t>Logitech USB Unifying Receiver - Nero</t>
  </si>
  <si>
    <t>56UO2L2I</t>
  </si>
  <si>
    <t>B07PPNT9B2</t>
  </si>
  <si>
    <t>5099206082977</t>
  </si>
  <si>
    <t>ASTRO Gaming MixAmp Pro TR Amplificatore per Headset da Gaming, 4° Generazione, Dolby Audio, Funzionalità Scheda Audio USB, Digital Daisy-Chain, per PS5, PS4, PC, Mac, Nintendo Switch, Nero / Blu</t>
  </si>
  <si>
    <t>B07W6JNQ82</t>
  </si>
  <si>
    <t>5099206086425</t>
  </si>
  <si>
    <t>Logitech G PRO TKL Tastiera Gaming Meccanica, GX Blue Clicky Switch, LIGHTSYNC RGB, Design Portatile Tenkeyless, Pensato per Esport Gaming, Micro Cavo USB Rimovibile, QWERTY US Layout, Nero</t>
  </si>
  <si>
    <t>5FPQ9KSZ</t>
  </si>
  <si>
    <t>B07W4DHL8V</t>
  </si>
  <si>
    <t>5099206106222</t>
  </si>
  <si>
    <t>26704000</t>
  </si>
  <si>
    <t>26704200</t>
  </si>
  <si>
    <t>Logitech G Blue Yeti Kit Game Streaming con Microfono Gaming USB Yeti, Software Blue VO!CE, Temi Esclusivi Streamlabs, Filtro Pop Blu Personalizzato, PC/Mac/PS4/PS5 - Nero</t>
  </si>
  <si>
    <t>1KW92RHQ</t>
  </si>
  <si>
    <t>B0042BVWZ0</t>
  </si>
  <si>
    <t>5099206020634</t>
  </si>
  <si>
    <t>Logitech MK120 Kit Tastiera e Mouse Cablati, Layout Svizzero ‎Qwertz, Nero</t>
  </si>
  <si>
    <t>8FQ2THMT</t>
  </si>
  <si>
    <t>B07W7MQMDH</t>
  </si>
  <si>
    <t>5099206101821</t>
  </si>
  <si>
    <t>Logitech G413 SE Tastiera Meccanica Gaming Full Size - Tastiera Retroilluminata con Switch Meccanici Tattili, Anti-Ghosting, Compatibile con Windows, macOS, Layout Italiano QWERTY - Alluminio Nero</t>
  </si>
  <si>
    <t>2022-12-20</t>
  </si>
  <si>
    <t>B01K7GEG9W</t>
  </si>
  <si>
    <t>097855123381</t>
  </si>
  <si>
    <t>5099206066199</t>
  </si>
  <si>
    <t>Logitech M220 SILENT Mouse Wireless, 2,4 GHz con Ricevitore USB, Tracciamento Ottico 1000 DPI, Durata Batteria di 18 Mesi, Ambidestro, Compatibile con PC, Mac, Laptop - Grigio</t>
  </si>
  <si>
    <t>31QWZ6KB</t>
  </si>
  <si>
    <t>2R6FMUZD</t>
  </si>
  <si>
    <t>B07W4DH65R</t>
  </si>
  <si>
    <t>5099206107489</t>
  </si>
  <si>
    <t>Logitech per iPad (10ª generazione) Custodia con tastiera | Slim Folio con tastiera wireless integrata (grafite) - English Layout</t>
  </si>
  <si>
    <t>2LZI7R4T</t>
  </si>
  <si>
    <t>B077BT728N</t>
  </si>
  <si>
    <t>5099206076679</t>
  </si>
  <si>
    <t>Logitech K280e Pro Tastiera, Layout Tedesco ‎QWERTZ, Nero</t>
  </si>
  <si>
    <t>2022-12-24</t>
  </si>
  <si>
    <t>4F3XMHTV</t>
  </si>
  <si>
    <t>B0766JZ8Q3</t>
  </si>
  <si>
    <t>5099206074552</t>
  </si>
  <si>
    <t>22903000</t>
  </si>
  <si>
    <t>Logitech G840 XL Tappetino Mouse Gaming in Tessuto, Mouse Pad 400x900 mm, Spessore 3 mm, Superficie Orientata alle Prestazioni, Basso Attrito, Solida Base in Gomma, Portatile, Nero</t>
  </si>
  <si>
    <t>B01A9HC69G</t>
  </si>
  <si>
    <t>097855119230</t>
  </si>
  <si>
    <t>0097855119230</t>
  </si>
  <si>
    <t>Logitech M171 Mouse Wireless, 2.4 GHz con Mini Ricevitore USB, Rilevamento Ottico, Durata ‎Batteria 12 Mesi, Mouse Ambidestro per PC/Mac/Laptop, Blu</t>
  </si>
  <si>
    <t>1M3XYEGX</t>
  </si>
  <si>
    <t>B07W7MSGPL</t>
  </si>
  <si>
    <t>5099206082618</t>
  </si>
  <si>
    <t>2305600</t>
  </si>
  <si>
    <t>2305630</t>
  </si>
  <si>
    <t>Logitech G Tastiera meccanica da gioco 815, Clicky GL con profilo piatto, LIGHTSYNC RGB, design sottile, 5 tasti G programmabili, comandi multimediali, layout tedesco QWERTZ</t>
  </si>
  <si>
    <t>B07W5JKPFG</t>
  </si>
  <si>
    <t>5099206104808</t>
  </si>
  <si>
    <t>Logitech K380 Tastiera Wireless Bluetooth Multidispositivo, Fino 3 Dispositivi, Compatta,Batteria di 2 Anni - PC, Laptop, Windows, Mac, Chrome OS, Android, iPadOS, Apple TV - Viola</t>
  </si>
  <si>
    <t>5X1OU9ZG</t>
  </si>
  <si>
    <t>B07MTY7N22</t>
  </si>
  <si>
    <t>5099206081918</t>
  </si>
  <si>
    <t>Logitech G935 Cuffie Gaming Wireless RGB, Audio Surround 7.1, Cuffie DTS X 2.0, Driver Pro-G da 50 mm, Wireless 2,4 GHz, Microfono Rocker, PC/Mac/PS4/Nintendo Switch, Nero</t>
  </si>
  <si>
    <t>B06XPHQW6G</t>
  </si>
  <si>
    <t>5099206071711</t>
  </si>
  <si>
    <t>Logitech G413 Tastiera per Giochi Meccanica, Layout Tedesco, Argento (Silver)</t>
  </si>
  <si>
    <t>39TAD6PC</t>
  </si>
  <si>
    <t>B07PMKHMFS</t>
  </si>
  <si>
    <t>5099206084261</t>
  </si>
  <si>
    <t>ASTRO Gaming A40 TR Cuffie Gaming Cablate, ASTRO Audio V2, Dolby ATMOS, Jack Audio 3,5 mm, Microfono Intercambiabile, per Xbox Series X|S/Xbox One/PC/Mac/Mobile/Plasystation, Nero/Rosso</t>
  </si>
  <si>
    <t>1MDL1DPE</t>
  </si>
  <si>
    <t>B073399S1L</t>
  </si>
  <si>
    <t>5099206074576</t>
  </si>
  <si>
    <t>Logitech G POWERPLAY Ricarica Wireless Tappetino Mouse, Tappetino per Mouse Gaming in Tessuto o Rigido, Mouse Pad Compatibile con G502 LIGHTSPEED, G PRO Wireless &amp; SUPERLIGHT, G903, G703</t>
  </si>
  <si>
    <t>2022-12-09</t>
  </si>
  <si>
    <t>7ILTX3HJ</t>
  </si>
  <si>
    <t>B07W7K1LSC</t>
  </si>
  <si>
    <t>5099206105706</t>
  </si>
  <si>
    <t>Logitech Signature K650, Tastiera Poggiapolsi Wireless Full-size con Bluetooth BLE o Ricevitore USB Logi Bolt, Tasti Smorzati e Tastierino, Compatibile con PC/Windows/Mac, Italiano QWERTY - Bianco</t>
  </si>
  <si>
    <t>2022-12-18</t>
  </si>
  <si>
    <t>B07W7MKLNS</t>
  </si>
  <si>
    <t>5099206089860</t>
  </si>
  <si>
    <t>2305300</t>
  </si>
  <si>
    <t>2305310</t>
  </si>
  <si>
    <t>Jaybird Vista 2 True Wireless Auricolari per lo sport Bluetooth con custodia di ricarica: ANC, Sport Fit, 24h di batteria, auricola riresistenti a tenuta stagna, chiamate di alta qualità - Grigio</t>
  </si>
  <si>
    <t>2022-12-28</t>
  </si>
  <si>
    <t>2F7Y5WIX</t>
  </si>
  <si>
    <t>B07W4DHKTD</t>
  </si>
  <si>
    <t>5099206090453</t>
  </si>
  <si>
    <t>Logitech G PRO X SUPERLIGHT Mouse Gaming Wireless, Sensore HERO 25K, 25.600 DPI, Leggero con 63g, Progettato ‎per eSport, 5 Pulsanti Programmabili, PC/Mac/Laptop, Nero</t>
  </si>
  <si>
    <t>11Y5DH1J</t>
  </si>
  <si>
    <t>B078MHS3SC</t>
  </si>
  <si>
    <t>836213000274</t>
  </si>
  <si>
    <t>5099206084124</t>
  </si>
  <si>
    <t>Blue Yeticaster Professional Broadcast Bundle con Microfono Yeti USB, Radius III Shockmount, Braccio Compass, Effetti Blue VO!CE per Registrazione, Streaming, Gaming, Podcasting - Nero</t>
  </si>
  <si>
    <t>2022-12-03</t>
  </si>
  <si>
    <t>23IZV8AJ</t>
  </si>
  <si>
    <t>B013Y78YY4</t>
  </si>
  <si>
    <t>034722743600</t>
  </si>
  <si>
    <t>5099206059009</t>
  </si>
  <si>
    <t>Volante da Corsa e Pedali Logitech G920 Driving Force, per Xbox One, Amp e PC, Spina UK</t>
  </si>
  <si>
    <t>B07W6HDNPG</t>
  </si>
  <si>
    <t>5099206101548</t>
  </si>
  <si>
    <t>14700942</t>
  </si>
  <si>
    <t>ASTRO A10 Cuffie Gaming Cablate Gen 2, Cuffie da Gioco Over-Ear con Microfono Flip-to-Mute, Leggere e Resistenti, Driver 32 mm, Compatibile con PC/Mac, PS5, Xbox serie XIS, Switch,Mobile, Nero</t>
  </si>
  <si>
    <t>6451M4NB</t>
  </si>
  <si>
    <t>B00745IE2K</t>
  </si>
  <si>
    <t>097855083166</t>
  </si>
  <si>
    <t>0097855083166</t>
  </si>
  <si>
    <t>Logitech M187 Mouse Wireless Tascabile Compatto, 2.4 GHz con Ricevitore USB, Rilevamento ‎Ottico 1000 DPI, 3 Pulsanti, PC/Mac/Laptop, Bianco</t>
  </si>
  <si>
    <t>1PSIXGLT</t>
  </si>
  <si>
    <t>B004APAH40</t>
  </si>
  <si>
    <t>5099206020764</t>
  </si>
  <si>
    <t>Logitech K120 Tastiera con Cavo per Windows, USB Plug-and-Play, Dimensioni Standard, Resistente agli Schizzi, Barra Spaziatrice Curva, Compatibile con PC, Laptop, Layout Italiano QWERTY - Nero</t>
  </si>
  <si>
    <t>B07W4DJF29</t>
  </si>
  <si>
    <t>5099206097520</t>
  </si>
  <si>
    <t>Logitech G G735 Cuffie Gaming Wireless, Illuminazione RGB LIGHTSYNC Personalizzabile, LIGHTSPEED, Bluetooth, Aux 3,5 MM Compatibile con PC e Dispositivi Mobili, Microfono Staccabile - Bianco</t>
  </si>
  <si>
    <t>7BEDNOMI</t>
  </si>
  <si>
    <t>B07VTSZ63W</t>
  </si>
  <si>
    <t>5099206080744</t>
  </si>
  <si>
    <t>LOGITECH (ALEMÁN) G G815 TECLADO USB QWERTZ Negro</t>
  </si>
  <si>
    <t>B07W6JNF81</t>
  </si>
  <si>
    <t>5099206095731</t>
  </si>
  <si>
    <t>Logitech Combo Touch per iPad Pro da 12,9 pollici (5a, 6a gen - 2021, 2022) Custodia con tastiera, Supporto pieghevole, trackpad con tracciamento superficie, Smart Connector, Italiano QWERTY - Grigio</t>
  </si>
  <si>
    <t>B07TLX61W7</t>
  </si>
  <si>
    <t>5099206085718</t>
  </si>
  <si>
    <t>Logitech G PRO X Cuffia Gaming Cablata con Microfono Blue VO!CE, DTS Headphone:X 7.1 e Driver PRO-G da 50 mm, 7.1 Surround Pensato per Esport Gaming, per PC/PS/Xbox/Nintendo Switch, Nero</t>
  </si>
  <si>
    <t>B07W8LZB2L</t>
  </si>
  <si>
    <t>5099206104242</t>
  </si>
  <si>
    <t>Logitech M100 Mouse USB con Cavo, 3 Pulsanti, Tracciamento Ottico 1000 DPI, Ambidestro, Compatibile con PC, Mac, Laptop - Grigio</t>
  </si>
  <si>
    <t>B07CGNDZR3</t>
  </si>
  <si>
    <t>5099206077829</t>
  </si>
  <si>
    <t>Logitech G305 LIGHTSPEED Mouse Gaming Wireless, Sensore 12K HERO, 12.000 DPI, Design Leggero, 6 Pulsanti Programmabili, Batteria 250 Ore, Memoria Integrata, PC/Laptop - Nero</t>
  </si>
  <si>
    <t>2022-12-25</t>
  </si>
  <si>
    <t>1X4DXX4T</t>
  </si>
  <si>
    <t>B07SF1RCYF</t>
  </si>
  <si>
    <t>5099206083943</t>
  </si>
  <si>
    <t>Logitech G903 LIGHTSPEED Mouse Gaming Wireless, Sensore HERO 25K, Oltre 140 Ore con Batteria Ricaricabile e LIGHTSYNC RGB, POWERPLAY-compatibile, PC/Mac, Nero</t>
  </si>
  <si>
    <t>4LYATDUX</t>
  </si>
  <si>
    <t>B002VA464S</t>
  </si>
  <si>
    <t>733723132528</t>
  </si>
  <si>
    <t>0836213001950</t>
  </si>
  <si>
    <t>Blue Yeti Microfono USB per Registrazione, Streaming, Gaming, Podcasting su PC e Mac, Mic a Condensatore per Laptop o Computer, Effetti Blue VO!CE, Stand Regolabile, Plug and Play - Argento</t>
  </si>
  <si>
    <t>B07W6HLQ35</t>
  </si>
  <si>
    <t>5099206103771</t>
  </si>
  <si>
    <t>2304100</t>
  </si>
  <si>
    <t>2304110</t>
  </si>
  <si>
    <t>Ultimate Ears WONDERBOOM 3, Altoparlante Portatile Wireless Bluetooth, Suono a 360 Gradi con Bassi Profondi, Impermeabile, Antipolvere IP67, Galleggiante, Portata 40 m - Blu</t>
  </si>
  <si>
    <t>2022-12-14</t>
  </si>
  <si>
    <t>2022-12-04</t>
  </si>
  <si>
    <t>4AP423UW</t>
  </si>
  <si>
    <t>B00ZOZZM4U</t>
  </si>
  <si>
    <t>5099206057340</t>
  </si>
  <si>
    <t>Logitech H111 Cuffie Cablate per Computer, Stereo con Microfono, Cancellazione Rumore, ‎Jack Audio da 3.5 mm, PC/Mac/Laptop/Smartphone/Tablet, Nero</t>
  </si>
  <si>
    <t>8DUEXZHE</t>
  </si>
  <si>
    <t>B07W6HMCF8</t>
  </si>
  <si>
    <t>5099206082700</t>
  </si>
  <si>
    <t>2303100</t>
  </si>
  <si>
    <t>2303108</t>
  </si>
  <si>
    <t>Logitech G G915 Tastiera RF Wireless + Bluetooth QWERTZ Tedesco Nero</t>
  </si>
  <si>
    <t>&lt;p&gt;Logitech G915. Fattore di forma tastiera: Standard. Stile tastiera: Dritto. Interfaccia dispositivo: RF Wireless + Bluetooth, Interruttore a chiave per tastiera: Interruttore a chiave meccanica, Struttura tastiera: QWERTZ, Utilizzo raccomandato: Giocare. Colore del prodotto: Nero&lt;/p&gt; Requisiti di sistema&lt;p&gt; &lt;br&gt;-Sistema operativo Windows supportato: Windows 10,Windows 7,Windows 8&lt;br&gt; -Compatibilità sistema operativo Mac: Mac OS X 10.11 El Capitan,Mac OS X 10.12 Sierra,Mac OS X 10.13 High Sierra,Mac OS X 10.14 Mojave,Mac OS X 10.15 Catalina&lt;br&gt; -Sistema operativo mobile supportato: Android 10,Android 4.3,Android 4.4,Android 5.0,Android 5.1,Android 6.0,Android 7.0,Android 7.1,Android 8.0,Android 9.0,iOS 10.0,iOS 11.0,iOS 12&lt;br&gt; -Altri sistemi operativi supportati: Cromo&lt;br&gt; &lt;br&gt; Dimensioni e peso&lt;p&gt; &lt;br&gt;-Dimensioni tastiera (WxDxH): 475 x 150 x 22 mm&lt;br&gt; -Peso della tastiera: 1,02 kg&lt;br&gt; &lt;br&gt; Gestione energetica&lt;p&gt; &lt;br&gt;-Tipologia alimentazione: Batteria&lt;br&gt; &lt;br&gt; Tastiera&lt;p&gt; &lt;br&gt;-Utilizzo raccomandato: Giocare&lt;br&gt; -Interfaccia dispositivo: RF Wireless + Bluetooth&lt;br&gt; -Interruttore a chiave per tastiera: Interruttore a chiave meccanica&lt;br&gt; -Struttura tastiera: QWERTZ&lt;br&gt; -Linguaggio tastiera: Tedesco&lt;br&gt; -Dispositivo di puntatura: No&lt;br&gt; -Fattore di forma tastiera: Standard&lt;br&gt; -Tastiera numerica: Sì&lt;br&gt; -Tasti multimediali: Sì&lt;br&gt; -Distanza di pressione del tasto: 2,7 mm&lt;br&gt; -Forza di attuazione: 50 g&lt;br&gt; &lt;br&gt; Dati su imballaggio&lt;p&gt; &lt;br&gt;-Numero di prodotti inclusi: 1 pezzo(i)&lt;br&gt; -Ricevitore incluso: Sì&lt;br&gt; -interfaccia ricevitore senza fili: USB&lt;br&gt; &lt;br&gt; Design&lt;p&gt; &lt;br&gt;-Retroilluminazione: Sì&lt;br&gt; -Stile tastiera: Dritto&lt;br&gt; -Riposo del polso: No&lt;br&gt; -Colore del prodotto: Nero&lt;br&gt; &lt;br&gt; Mouse&lt;p&gt; &lt;br&gt;-Mouse incluso: No&lt;br&gt; &lt;br&gt;</t>
  </si>
  <si>
    <t>5KUAVFPZ</t>
  </si>
  <si>
    <t>B00YUIM2J0</t>
  </si>
  <si>
    <t>5099206057302</t>
  </si>
  <si>
    <t>Logitech G29 Driving Force Volante da Corsa con Pedali Regolabili, Ritorno di Forza Reale, Comandi Cambio in Acciaio Inossidabile, Volante in Pelle, Spina EU, PS5, PS4, PC, Mac - Nero</t>
  </si>
  <si>
    <t>B07W5JKPJY</t>
  </si>
  <si>
    <t>5099206097278</t>
  </si>
  <si>
    <t>Logitech Signature M650 L for Business, Mouse wireless per mani grandi, Logi Bolt, Bluetooth, SmartWheel - Grigio</t>
  </si>
  <si>
    <t>B07W6JGH8Z</t>
  </si>
  <si>
    <t>5099206094628</t>
  </si>
  <si>
    <t>Logitech G Pro Vr Cuffia Wireless Gaming Per Oculus Quest 2, Per Oculus, Cavo Regolabile, Driver Audio Di Precisione Pro-G, Struttura Acciaio E Alluminio, Connessione Aux 3.5mm A Bassa Latenza Nero</t>
  </si>
  <si>
    <t>game_video</t>
  </si>
  <si>
    <t>B00IRCDT7Y</t>
  </si>
  <si>
    <t>5099206051805</t>
  </si>
  <si>
    <t>2305800</t>
  </si>
  <si>
    <t>2305830</t>
  </si>
  <si>
    <t>Logitech Ricevitore Audio Bluetooth Wireless, ‎Pc/Mac/Smartphone/Tablet/Ricevitore Av, Uscite Audio 3.5 Mm E Rca Alle Casse Altoparlanti, ‎Nero, ‎5.71 x 5.08 x 2.23 cm; 175 grammi</t>
  </si>
  <si>
    <t>B07W7LNRN6</t>
  </si>
  <si>
    <t>5099206094130</t>
  </si>
  <si>
    <t>Logitech Keys-To-Go Tastiera Bluetooth, Sottile e Leggera, per iPhone, iPad, Apple TV e tutti i dispositivi iOS, Layout Italiano QWERTY - Azul</t>
  </si>
  <si>
    <t>B07W7LQDX7</t>
  </si>
  <si>
    <t>5099206088917</t>
  </si>
  <si>
    <t>LOGII</t>
  </si>
  <si>
    <t>Logitech G915 TKL LIGHTSPEED Tastiera gaming meccanica wireless RGB senza tastierino numerico, opzioni di switch a profilo ribassato, LIGHTSYNC RGB, tecnologia wireless avanzata, Bluetooth - Nero</t>
  </si>
  <si>
    <t>8BG295LI</t>
  </si>
  <si>
    <t>B01DIJIDKI</t>
  </si>
  <si>
    <t>5099206064171</t>
  </si>
  <si>
    <t>Logitech G240 Tappetino Mouse Gaming in Tessuto, Mouse Pad 340 x 280 mm, Spessore 1 mm, Attrito Moderato, Superficie Uniforme, Base in Gomma Stabile e Confortevole, Arrotolabile - Nero</t>
  </si>
  <si>
    <t>B00544XFHC</t>
  </si>
  <si>
    <t>097855075772</t>
  </si>
  <si>
    <t>0097855075772</t>
  </si>
  <si>
    <t>Logitech M185 Mouse Wireless, 2,4 GHz con Mini Ricevitore USB, Durata Batteria di 12 Mesi, Tracciamento Ottico 1000 DPI, Ambidestro, Compatibile con PC, Mac, Laptop - Rosso</t>
  </si>
  <si>
    <t>B07MM4V7NR</t>
  </si>
  <si>
    <t>5099206082199</t>
  </si>
  <si>
    <t>Logitech C920S HD Pro Webcam, Videochiamata Full HD 1080p/30fps, Audio Stereo ‎Chiaro, ‎Correzione Luce HD, Privacy Shutter, Per Skype, Zoom, FaceTime, Hangouts, ‎‎PC/Mac/Laptop/Tablet/XBox‎, Nero</t>
  </si>
  <si>
    <t>B01LQTFOYK</t>
  </si>
  <si>
    <t>5099206065970</t>
  </si>
  <si>
    <t>14700700</t>
  </si>
  <si>
    <t>14700740</t>
  </si>
  <si>
    <t>Logitech G213 Prodigy Gaming Keyboard, RGB Lightsync Backlit Keys, Spill-Resistant, Customizable Keys, Dedicated Multi-Media Keys, QWERTY US International Layout, Nero</t>
  </si>
  <si>
    <t>3OB2IUIK</t>
  </si>
  <si>
    <t>B00L8VNQ88</t>
  </si>
  <si>
    <t>6298202673427</t>
  </si>
  <si>
    <t>Logitech G402 Mouse Gaming Hyperion Fury, 4.000 DPI, Design Leggero, 8 Pulsanti Programmabili, Compatibile con PC/Mac/Laptop, PC/Mac, Nero</t>
  </si>
  <si>
    <t>2022-12-10</t>
  </si>
  <si>
    <t>B007Z0YCEI</t>
  </si>
  <si>
    <t>065030847599</t>
  </si>
  <si>
    <t>0065030847599</t>
  </si>
  <si>
    <t>Logitech MK220 Combo Tastiera e Mouse Wireless Compatti per Windows, Layout ‎Portoghese QWERTY - Nero</t>
  </si>
  <si>
    <t>2XSDZ5YG</t>
  </si>
  <si>
    <t>B07W4DGCMW</t>
  </si>
  <si>
    <t>5099206098589</t>
  </si>
  <si>
    <t>PUU4N</t>
  </si>
  <si>
    <t>14700954</t>
  </si>
  <si>
    <t>LOGITECH - GAMING DEVICES Tastiera da Gioco G713 - Bianco off - DEU - Centrale</t>
  </si>
  <si>
    <t>B07W6JKKBV</t>
  </si>
  <si>
    <t>5099206095267</t>
  </si>
  <si>
    <t>Logitech Combo Touch iPad Pro da 11 pollici (1a, 2a, 3a, 4a generazione - 2018, 2020, 2021, 2022) Custodia con tastiera - Tastiera retroilluminata staccabile - Italiano QWERTY - Grigio</t>
  </si>
  <si>
    <t>B07W6JM289</t>
  </si>
  <si>
    <t>5099206089037</t>
  </si>
  <si>
    <t>14700924</t>
  </si>
  <si>
    <t>Logitech K380 Tastiera, Layout Tedesco Qwertz, Bianco</t>
  </si>
  <si>
    <t>B00745IE1Q</t>
  </si>
  <si>
    <t>777304567385</t>
  </si>
  <si>
    <t>0182682407275</t>
  </si>
  <si>
    <t>Logitech M187 Mouse Wireless Tascabile Compatto, 2.4 GHz con Ricevitore USB, Rilevamento ‎Ottico 1000 DPI, 3 Pulsanti, PC/Mac/Laptop, Nero</t>
  </si>
  <si>
    <t>B01DKGAQNG</t>
  </si>
  <si>
    <t>5099206064485</t>
  </si>
  <si>
    <t>Logitech MK235 Kit Mouse e tastiera, Layout QWERTZ, Nero</t>
  </si>
  <si>
    <t>3KYCEHVH</t>
  </si>
  <si>
    <t>B07H3HGVDW</t>
  </si>
  <si>
    <t>5099206082076</t>
  </si>
  <si>
    <t>14700927</t>
  </si>
  <si>
    <t>Logitech Crayon Matita Digitale, Bluetooth, Compatibile con Apple iPad di 6a Gen, iPad Air di 3a Gen, iPad Mini di 5a Gen, Utilizza la Tecnologia Apple Pencil e la Tecnologia Palm Rejection</t>
  </si>
  <si>
    <t>B07W4DGC27</t>
  </si>
  <si>
    <t>5099206099784</t>
  </si>
  <si>
    <t>Logitech Lift Mouse Ergonomico Verticale, Senza Fili, Ricevitore Bluetooth o Logi Bolt USB, Clic Silenziosi, 4 Tasti, Compatibile con Windows / macOS / iPadOS, Laptop, PC - Grafite</t>
  </si>
  <si>
    <t>B07W7L3DSX</t>
  </si>
  <si>
    <t>5099206097773</t>
  </si>
  <si>
    <t>Logitech K380 Tastiera Bluetooth Multidispositivo per Mac, Sottile e Compatta, Easy-Switch fino a 3 Dispositivi, macOS / iOS / iPadOS, Layout Italiano QWERTY, Bianco</t>
  </si>
  <si>
    <t>B07W6HVXXN</t>
  </si>
  <si>
    <t>5099206086814</t>
  </si>
  <si>
    <t>Logitech MX Keys Tastiera, Layout Tedesco Qwertz, Grigio</t>
  </si>
  <si>
    <t>6S7HWGDF</t>
  </si>
  <si>
    <t>B07W7LW3VS</t>
  </si>
  <si>
    <t>5099206090767</t>
  </si>
  <si>
    <t>Logitech SLIM FOLIO PRO Custodia Bluetooth con Tastiera Retroilluminata per iPad Pro da 12,9 pollici (3a e 4a gen. Modelli: A1876/A2014/A1895/A1983/A229/A2233), Layout Italiano ‎QWERTY</t>
  </si>
  <si>
    <t>2022-12-08</t>
  </si>
  <si>
    <t>B07W6J5VYB</t>
  </si>
  <si>
    <t>5099206084131</t>
  </si>
  <si>
    <t>Blue Ember Microfono a Condensatore XLR per la Registrazione e lo Streaming, Capsula Cardioide Personalizzata e Supporto per Microfono - Grigio</t>
  </si>
  <si>
    <t>B00FSF2OSS</t>
  </si>
  <si>
    <t>5099206048768</t>
  </si>
  <si>
    <t>14700918</t>
  </si>
  <si>
    <t>Logitech Z200 Altoparlanti per PC, Audio Stereo Completo, 10 Watt, 2 Ingressi Audio 3.5 mm, Jack ‎per Cuffie, Bassi Regolabili, Presa UK, Computer/TV/Smartphone/Tablet, Nero (Midnight)</t>
  </si>
  <si>
    <t>8KIX7NYM</t>
  </si>
  <si>
    <t>B07W5JJP7R</t>
  </si>
  <si>
    <t>5099206090163</t>
  </si>
  <si>
    <t>Logitech Combo Touch per iPad (7a, 8a e 9a generazione) Custodia con trackpad di precisione, tastiera retroilluminata simile a quella di un laptop, Smart Connector, Layout Italiano QWERTY - Grigio</t>
  </si>
  <si>
    <t>B07W6JP976</t>
  </si>
  <si>
    <t>5099206089105</t>
  </si>
  <si>
    <t>Logitech K380 Tastiera, Layout Inglese QWERTY, Bianco</t>
  </si>
  <si>
    <t>B074N3HL5Q</t>
  </si>
  <si>
    <t>5099206075009</t>
  </si>
  <si>
    <t>Logitech Z207 Altoparlanti per PC Wireless Bluetooth, Audio Stereo, 10 Watt, Ingresso Audio 3.5 mm, Jack per Cuffie, Multidispositivo, Easy Switch, Presa EU/IT, ‎PC/TV/Smartphone/Tablet, Bianco</t>
  </si>
  <si>
    <t>B07G5XJLWK</t>
  </si>
  <si>
    <t>5099206077362</t>
  </si>
  <si>
    <t>Logitech G PRO Mouse Gaming Wireless, Sensore HERO 25K, 25.600 DPI, RGB, leggero, Progettato ‎per eSport, 4-8 Pulsanti Programmabili, POWERPLAY-compatibile, PC/Laptop, Nero</t>
  </si>
  <si>
    <t>54JZ1ZVP</t>
  </si>
  <si>
    <t>B07W6J829F</t>
  </si>
  <si>
    <t>5099206088702</t>
  </si>
  <si>
    <t>Logitech M500s Mouse con cavo con scorrimento iperveloce avanzato e inclinazione, pulsanti personalizzabili, tracciamento di precisione, regolazione DPI e funzionalità USB plug-and-play - Grigio</t>
  </si>
  <si>
    <t>B07W6GVHD8</t>
  </si>
  <si>
    <t>5099206091160</t>
  </si>
  <si>
    <t>Logitech Folio Touch iPad Pro da 11 pollici (1a, 2a, 3a, 4a gen - 2018, 2020, 2021, 2022) Custodia con tastiera - Tastiera retroilluminata, trackpad, Smart Connector, ITA QWERTY - Grafite</t>
  </si>
  <si>
    <t>2022-12-02</t>
  </si>
  <si>
    <t>6JWFV3WK</t>
  </si>
  <si>
    <t>B07QWTR62R</t>
  </si>
  <si>
    <t>5099206080249</t>
  </si>
  <si>
    <t>Logitech G512 Tastiera Gaming Meccanica, RGB LIGHTSYNC, Tasti Retroilluminati, GX Blue Clicky Switch, Telaio in Alluminio Spazzolato, Tasti Personalizzabili, USB, QWERTY US Layout, Carbon/Nero</t>
  </si>
  <si>
    <t>69351YNL</t>
  </si>
  <si>
    <t>B01N6NGNQ8</t>
  </si>
  <si>
    <t>6920377906702</t>
  </si>
  <si>
    <t>Logitech MK850 Kit Tastiera e Mouse Wireless Multidispositivo, Wireless e Bluetooth 2.4 GHz, 12 ‎Tasti Programmabili, Durata Batteria di 3 Anni, PC/Mac, Layout Italiano QWERTY, Nero</t>
  </si>
  <si>
    <t>B07QKC4WWD</t>
  </si>
  <si>
    <t>6920377909079</t>
  </si>
  <si>
    <t>Logitech G502 Mouse Gaming Wireless LIGHTSPEED, Sensore HERO 16K, 16000 DPI, RGB, Design Leggero, 11 Pulsanti Programmabili, Batteria Lunga Durata, Memoria Integrata, Compatibile PC/Mac/Laptop, Nero</t>
  </si>
  <si>
    <t>B07VL9YHC9</t>
  </si>
  <si>
    <t>5099206086456</t>
  </si>
  <si>
    <t>Logitech MK470 Kit Mouse e Tastiera, Layout Tedesco Qwertz, ‎Bianco</t>
  </si>
  <si>
    <t>3IQS66UG</t>
  </si>
  <si>
    <t>B07MTXLFXV</t>
  </si>
  <si>
    <t>5099206082410</t>
  </si>
  <si>
    <t>Logitech G432 Cuffie Gaming Cablate, Audio Surround 7.1, Cuffie DTS: x 2.0, Driver Audio 50 mm, ‎Jack Audio USB 3.5 mm, Microfono Flip-to-Mute, Leggere, PC/Mac/Xbox One/PS4/Nintendo ‎Switch, Nero/Blu</t>
  </si>
  <si>
    <t>B07W4DH6FY</t>
  </si>
  <si>
    <t>5099206105553</t>
  </si>
  <si>
    <t>Y36KD</t>
  </si>
  <si>
    <t>14701075</t>
  </si>
  <si>
    <t>Logitech Signature K650 Tastiera Poggiapolsi Wireless Full-size, Inglese QWERTY - Grigio</t>
  </si>
  <si>
    <t>29YOVOGF</t>
  </si>
  <si>
    <t>B07W4DHMVC</t>
  </si>
  <si>
    <t>5099206089075</t>
  </si>
  <si>
    <t>7930400</t>
  </si>
  <si>
    <t>7930409</t>
  </si>
  <si>
    <t>Logitech K380 Tastiera, Layout Spagnolo QWERTY, Bianco</t>
  </si>
  <si>
    <t>B07W5JHLCB</t>
  </si>
  <si>
    <t>5099206092938</t>
  </si>
  <si>
    <t>Logitech MX Anywhere 3 Mouse Compatto, Wireless, Scroller Elettromagnetico, Ergonomico, Sensore 4000 DPI, Pulsanti Custom, USB-C, Bluetooth, Mac, iPad, Windows, Linux, Chrome, Nero</t>
  </si>
  <si>
    <t>B01G3WBH9G</t>
  </si>
  <si>
    <t>097855135872</t>
  </si>
  <si>
    <t>0097855135872</t>
  </si>
  <si>
    <t>ASTRO Gaming A40 TR Cuffie Mod Kit, Microfono con Isolamento Vocale, ‎Cuscinetti Auricolari con Isolamento Acustico, Mascherine per Cuffie Close-Back, Personalizza il Tuo Look, Rosso</t>
  </si>
  <si>
    <t>B06VTVGSDW</t>
  </si>
  <si>
    <t>5099206070028</t>
  </si>
  <si>
    <t>Logitech Spotlight Presenter, Puntatore Laser per ‎Presentazioni Wireless, 2,4 GHz e Bluetooth, ‎Ricevitore USB, Puntatore Laser Digitale, Portata 30 Metri, Timer, PC/Mac/Android/iOS - ‎Oro/Bianco</t>
  </si>
  <si>
    <t>B07W6JMQW4</t>
  </si>
  <si>
    <t>5099206085961</t>
  </si>
  <si>
    <t>Logitech G513 Tastiera Gaming Cablata Meccanica con Poggiapolsi, RGB LIGHTSYNC, GX Brown Tactile Switch, Telaio in alluminio spazzolato, Tasti personalizzabili, USB, QWERTY US Layout, Carbon, Nero</t>
  </si>
  <si>
    <t>home_improvement</t>
  </si>
  <si>
    <t>B00G2Y44ZK</t>
  </si>
  <si>
    <t>053786296792</t>
  </si>
  <si>
    <t>5099206048836</t>
  </si>
  <si>
    <t>Logitech P710e Mobile Speakerphone Altoparlante Vivavoce Bluetooth Wireless, Chiamate Hands-‎Free, Videoconferenze, Audio Chiaro, Cancellazione Rumore, Multidispositivo, PC/Mac/Smartphone/Tablet</t>
  </si>
  <si>
    <t>B07W5JKLRF</t>
  </si>
  <si>
    <t>5099206101555</t>
  </si>
  <si>
    <t>ASTRO A10 Cuffie Gaming Cablate Gen 2, Cuffie da Gioco Over-Ear con Microfono Flip-to-Mute, Leggere e Resistenti, Driver 32 mm, Compatibile con PS5, PS4, Nintendo Switch, PC - Bianco</t>
  </si>
  <si>
    <t>17D6YHER</t>
  </si>
  <si>
    <t>B07W4DHXFT</t>
  </si>
  <si>
    <t>5099206105508</t>
  </si>
  <si>
    <t>Logitech Signature K650 Tastiera Poggiapolsi Wireless Full-size, Tedesco QWERTZ - Grigio</t>
  </si>
  <si>
    <t>B07W5JJTG3</t>
  </si>
  <si>
    <t>5099206097735</t>
  </si>
  <si>
    <t>LOGITECH - DISPOSITIVI DI INGRESSO K380 F. MAC MULTI-DISPOSITIVO BTKEYB - OFFWHITE - FRA - CENTRALE</t>
  </si>
  <si>
    <t>B00EUUXBDE</t>
  </si>
  <si>
    <t>5054991003576</t>
  </si>
  <si>
    <t>Logitech Z200 Altoparlanti per PC, Audio Stereo Completo, 10 Watt, 2 Ingressi Audio 3.5 mm, Jack ‎per Cuffie, Bassi Regolabili, Controllo Volume, Presa EU/IT, Computer/TV/Smartphone/Tablet, Nero</t>
  </si>
  <si>
    <t>B07W6JLQCY</t>
  </si>
  <si>
    <t>5099206094963</t>
  </si>
  <si>
    <t>ERGO K860 - GRAPHITE - UK WRLS 2.4GHZ/BT - N/A - INTNL</t>
  </si>
  <si>
    <t>B06XZZJ65H</t>
  </si>
  <si>
    <t>5099206069688</t>
  </si>
  <si>
    <t>14700936</t>
  </si>
  <si>
    <t>Logitech Universal Folio cover iPad o Tablet Con Tastiera Bluetooth Wireless, Apple, ‎Android, Windows da 9-10 pollici, Facile Configurazione, Durata Batteria 2 anni,Layout ‎Italiano QWERTY - Nero</t>
  </si>
  <si>
    <t>7SCVG2OT</t>
  </si>
  <si>
    <t>B003UPJXIC</t>
  </si>
  <si>
    <t>758710775410</t>
  </si>
  <si>
    <t>5053973591773</t>
  </si>
  <si>
    <t>Logitech Z623 THX Sistema di Altoparlanti 2.1 con Subwoofer, Certificazione THX, 400 Watt, Bassi ‎Profondi, Multi-Dispositivo, Porta 3.5 mm e RCA, Presa EU/IT, PC/PS4/Xbox/DVD/TV/Smartphone/Tablet</t>
  </si>
  <si>
    <t>B07W6GW9BJ</t>
  </si>
  <si>
    <t>5099206092853</t>
  </si>
  <si>
    <t>Logitech G305 LIGHTSPEED Mouse Gaming Wireless, Sensore 12K HERO, 12.000 DPI, Design Leggero, 6 Pulsanti Programmabili, Batteria 250 Ore, Memoria Integrata, PC/Laptop - Lilla</t>
  </si>
  <si>
    <t>B07W6JNG11</t>
  </si>
  <si>
    <t>5099206090408</t>
  </si>
  <si>
    <t>Logitech MX Keys for Mac - Tastiera wireless avanzata illuminata, Layout ‎Francese AZERTY - Grigio</t>
  </si>
  <si>
    <t>Exigez plus de votre Mac. Agrémenté d'une finition Gris Sidéral, le clavier MX Keys pour Mac fonctionne de maniere fluide sur la plateforme macOS avec une disposition des touches Mac.</t>
  </si>
  <si>
    <t>38RKRRMY</t>
  </si>
  <si>
    <t>B07W7LMCF9</t>
  </si>
  <si>
    <t>5099206090385</t>
  </si>
  <si>
    <t>Logitech MX Keys for Mac - Tastiera wireless avanzata illuminata, Layout Tedesco QWERTZ - Grigio</t>
  </si>
  <si>
    <t>B00BCE30RS</t>
  </si>
  <si>
    <t>5099206039179</t>
  </si>
  <si>
    <t>Logitech MK270 Combo Tastiera e Mouse Wireless per Windows, Layout Tedesco QWERTZ - Nero</t>
  </si>
  <si>
    <t>B07W6HLSFF</t>
  </si>
  <si>
    <t>5099206094802</t>
  </si>
  <si>
    <t>Logitech G335 Cuffie Gaming Cablate, Microfono Flip to Mute, Jack Audio da 3.5 mm, Padiglioni in Memory Foam, Leggera, Compatibile con PC, PlayStation, Xbox, Nintendo Switch - Menta</t>
  </si>
  <si>
    <t>B07W6J51XR</t>
  </si>
  <si>
    <t>5099206091726</t>
  </si>
  <si>
    <t>Logitech G PRO X SUPERLIGHT Mouse Gaming Wireless, Sensore HERO 25K, 25.600 DPI, Ultraleggero con 63g, Progettato ‎per eSport, 5 Pulsanti Programmabili, PC/Mac/Laptop - Bianco</t>
  </si>
  <si>
    <t>2022-12-05</t>
  </si>
  <si>
    <t>6UZZHR2W</t>
  </si>
  <si>
    <t>B01MQ0GFUH</t>
  </si>
  <si>
    <t>5099206069855</t>
  </si>
  <si>
    <t>Logitech G Saitek Flight Switch Panel, Controller Interruttori di Simulazione Pofessionale ‎Pannello di Volo, Indicatori LED, Selettore Magnetico 5 Posizioni, Controllo ‎Realistico Carrello, PC - Nero</t>
  </si>
  <si>
    <t>1VRJRIPA</t>
  </si>
  <si>
    <t>B07W7M4MZP</t>
  </si>
  <si>
    <t>5099206096110</t>
  </si>
  <si>
    <t>Logitech Combo Touch Custodia con Tastiera per iPad Air (4 e 5 gen - 2020, 2022) - Tastiera Retroilluminata Rimovibile, Trackpad Click-Anywhere, Smart Connector, Layout Italiano QWERTY - Grigio</t>
  </si>
  <si>
    <t>B074W227RK</t>
  </si>
  <si>
    <t>5099206073081</t>
  </si>
  <si>
    <t>Logitech MX Ergo Mouse Trackball Wireless Ergonomico, Bluetooth o 2,4 GHz con Ricevitore USB Unifying, ‎Angolo Trackball Regolabile, Scorrimento Preciso, PC/Mac/iPadOS - Nero</t>
  </si>
  <si>
    <t>B07CGNP3RH</t>
  </si>
  <si>
    <t>5099206077850</t>
  </si>
  <si>
    <t>Logitech G305 LIGHTSPEED Mouse Gaming Wireless, Sensore 12K HERO, 12.000 DPI, Design Leggero, 6 Pulsanti Programmabili, Batteria 250 Ore, Memoria Integrata, PC/Laptop, Bianco</t>
  </si>
  <si>
    <t>B013SL1ZU6</t>
  </si>
  <si>
    <t>5099206061347</t>
  </si>
  <si>
    <t>Logitech Tastiera Bluetooth wireless K380, funzione multi-dispositivo e facile interruttore, scorciatoie Windows e Apple, PC/MAC/tablet/telefono cellulare/Apple IOS+TV, layout QWERTZ tedesco - nero</t>
  </si>
  <si>
    <t>24EUBTHX</t>
  </si>
  <si>
    <t>B00CJ5FPTA</t>
  </si>
  <si>
    <t>9154400221198</t>
  </si>
  <si>
    <t>Logitech G Extreme 3D Pro Joystick, Controllo Timone a Rotazione, 12 Pulsanti ‎Programmabili, Comando Hat Switch a 8 Direzioni, Base Stabile Robusta, Tiro Rapido, ‎Connessione USB, PC - Nero/Argento</t>
  </si>
  <si>
    <t>2022-12-01</t>
  </si>
  <si>
    <t>3G77YEPL</t>
  </si>
  <si>
    <t>B01MYW8COY</t>
  </si>
  <si>
    <t>5099206069800</t>
  </si>
  <si>
    <t>Logitech G533 Cuffie Gaming Wireless con Microfono, Audio Surround 7.1, Cuffie DTS: X, Driver Pro-G 40 mm, Cancellazione Rumore, 2.4 GHz Wireless, USB, ‎Leggere, Batteria 15h, PC/Mac - Nero</t>
  </si>
  <si>
    <t>B07W4DHNBF</t>
  </si>
  <si>
    <t>5099206087187</t>
  </si>
  <si>
    <t>Logitech StreamCam – Webcam per Live Streaming su Youtube e Twitch, Full HD 1080p a 60 fps, Connessione USB-C, Facial Tracking, Autofocus, Video Verticali, Grigio Scuro</t>
  </si>
  <si>
    <t>B07W7LHVBL</t>
  </si>
  <si>
    <t>5099206097575</t>
  </si>
  <si>
    <t>Logitech M220 SILENT Mouse Wireless, 2,4 GHz con Ricevitore USB, Tracciamento Ottico 1000 DPI, Durata Batteria di 18 Mesi, Ambidestro, Compatibile con PC, Mac, Laptop - Rosa</t>
  </si>
  <si>
    <t>1LQM129Z</t>
  </si>
  <si>
    <t>B07W6HQCNX</t>
  </si>
  <si>
    <t>5099206107465</t>
  </si>
  <si>
    <t>Logitech Slim Folio Custodia con Tastiera per iPad (10a Generazione) con Tastiera Wireless Integrata - Layout Italiano QWERTY-Layout - Grigio</t>
  </si>
  <si>
    <t>B07W7LF6F1</t>
  </si>
  <si>
    <t>5099206092389</t>
  </si>
  <si>
    <t>14701090</t>
  </si>
  <si>
    <t>Logitech MK295 Kit Mouse e Tastiera Wireless, Layout ‎Francese Azerty, Grigio</t>
  </si>
  <si>
    <t>B07W5JJP7D</t>
  </si>
  <si>
    <t>5099206086074</t>
  </si>
  <si>
    <t>Logitech G512 Tastiera Gaming Meccanica, RGB LIGHTSYNC, Tasti Retroilluminati, GX Brown Tactile Switch, Telaio in alluminio spazzolato, Tasti Personalizzabili, USB, QWERTY Layout Italiano, Nero</t>
  </si>
  <si>
    <t>B07QNYCLBJ</t>
  </si>
  <si>
    <t>5099206082090</t>
  </si>
  <si>
    <t>Logitech G502 LIGHTSPEED Mouse Gaming Wireless, Sensore HERO 25K, 25.600 DPI, RGB, Design Leggero, 11 Pulsanti Programmabili, Batteria Lunga Durata, POWERPLAY-compatibile - Nero</t>
  </si>
  <si>
    <t>B003L92O5Q</t>
  </si>
  <si>
    <t>5052217270887</t>
  </si>
  <si>
    <t>Logitech Z313 2.1 Sistema di Altoparlanti Multimediali con Subwoofer, Audio Full Range, 50 Watt, Bassi Potenti, Ingressi Audio 3.5 mm, ‎Presa UK, PC/PS4/Xbox/TV/Smartphone/Tablet</t>
  </si>
  <si>
    <t>2467WIRP</t>
  </si>
  <si>
    <t>B003FRXFW0</t>
  </si>
  <si>
    <t>723856359862</t>
  </si>
  <si>
    <t>0758399152557</t>
  </si>
  <si>
    <t>Logitech H110 Cuffie Cablate, Stereo con Microfono per Computer, Cancellazione Rumore, ‎Doppio Jack Audio da 3.5 mm, PC/Mac/Laptop, nero</t>
  </si>
  <si>
    <t>3BEWVQCY</t>
  </si>
  <si>
    <t>B0797G6W5K</t>
  </si>
  <si>
    <t>5099206077386</t>
  </si>
  <si>
    <t>Logitech MK540 Advanced Combo Tastiera e Mouse Wireless per Windows, Layout ‎Francese AZERTY - Nero</t>
  </si>
  <si>
    <t>B07VWZHCNX</t>
  </si>
  <si>
    <t>5099206087255</t>
  </si>
  <si>
    <t>Logitech MX Palmrest per MX Keys Tastiera, Grigio</t>
  </si>
  <si>
    <t>44DTI43X</t>
  </si>
  <si>
    <t>B006ZLK9SQ</t>
  </si>
  <si>
    <t>5099206032712</t>
  </si>
  <si>
    <t>Logitech MK220 Combo Tastiera e Mouse Wireless Compatti per Windows, 2,4 GHz Wireless con Ricevitore USB Unifying, Durata Batteria di 24 Mesi, Compatibile con PC, Laptop, Layout Italiano QWERTY - Nero</t>
  </si>
  <si>
    <t>B0866PZN76</t>
  </si>
  <si>
    <t>097855169815</t>
  </si>
  <si>
    <t>0097855169815</t>
  </si>
  <si>
    <t>Mevo Start Videocamera Wireless per Live Streaming - 1080p Full HD, Microfono Integrato, Controllo Smart con App, Streaming su YouTube, Facebook, Twitch, Zoom via LTE o Wi-Fi, Nero</t>
  </si>
  <si>
    <t>5P193OUG</t>
  </si>
  <si>
    <t>B07W7KCF3W</t>
  </si>
  <si>
    <t>5099206092945</t>
  </si>
  <si>
    <t>Logitech MX Anywhere 3 Mouse Compatto, Wireless, Scroller Elettromagnetico, Ergonomico, Sensore 4000 DPI, Pulsanti Custom, USB-C, Bluetooth, Mac, iPad, Windows, Linux, Chrome, Grigio</t>
  </si>
  <si>
    <t>B07W5JHV5C</t>
  </si>
  <si>
    <t>5099206104747</t>
  </si>
  <si>
    <t>LOFR5</t>
  </si>
  <si>
    <t>Logitech K380 - Tastiera wireless Bluetooth multi-dispositivo, facile da commutare per 3 dispositivi, batteria sottile di 2 anni, PC, laptop, Windows, Mac, Chrome OS, Android, iPadOS, Apple TV, viola</t>
  </si>
  <si>
    <t>B00VHHWNMI</t>
  </si>
  <si>
    <t>5099206059252</t>
  </si>
  <si>
    <t>Logitech K400 Plus Tastiera Wireless Touch TV, Facili Controlli Multimediali e Touchpad Integrato, Layout Tedesco QWERTZ - Nero</t>
  </si>
  <si>
    <t>B07W4DHJ91</t>
  </si>
  <si>
    <t>5099206092952</t>
  </si>
  <si>
    <t>Logitech MX Anywhere 3 Mouse Compatto Performante, Wireless, Scroller Elettromagnetico, Ergonomico, Sensore 4000 DPI, Pulsanti Custom, USB-C, Bluetooth, Mac, iPad, Windows, Linux, Chrome, Rosa</t>
  </si>
  <si>
    <t>B07W6HFDR8</t>
  </si>
  <si>
    <t>5099206094109</t>
  </si>
  <si>
    <t>14700948</t>
  </si>
  <si>
    <t>Logitech G840 K/DA Tappetino Mouse Gaming XL in Tessuto, 3 mm di Spessore, Base in Gomma Stabile, Attrezzatura da Gaming Ufficiale di League of Legends - Multicolore</t>
  </si>
  <si>
    <t>B000EOPQ7E</t>
  </si>
  <si>
    <t>999900370347</t>
  </si>
  <si>
    <t>5053959240886</t>
  </si>
  <si>
    <t>Blue Snowball Microfono USB per Registrazione, Streaming, Podcast, Gaming su PC e Mac, Mic a Condensatore con Modelli Polari Cardioide e Omnidirezionale e Design Retrò Elegante - Bianco</t>
  </si>
  <si>
    <t>B07W4DHMVB</t>
  </si>
  <si>
    <t>5099206097490</t>
  </si>
  <si>
    <t>Logitech G435 LIGHTSPEED Cuffie Gaming Wireless Bluetooth - Cuffie Over Ear Leggere, Microfoni Integrati, Batteria da 18 Ore, Compatibile con Dolby Atmos, PC, PS4, PS5, Smartphone - Bianco</t>
  </si>
  <si>
    <t>B07W7KMK4Y</t>
  </si>
  <si>
    <t>5099206098923</t>
  </si>
  <si>
    <t>Logitech MX Keys Mini Tastiera Illuminata Wireless, Minimal, Compatta, Bluetooth, Retroilluminata, USB-C,  Compatibile con Apple macOS, iOS, Windows, Linux, Android, in Metallo - Grigio scuro</t>
  </si>
  <si>
    <t>B07W7LM8SS</t>
  </si>
  <si>
    <t>5099206097551</t>
  </si>
  <si>
    <t>Logitech G305 LIGHTSPEED Mouse Gaming Wireless, Sensore HERO, 12.000 DPI, Design Leggero, 6 Tasti Programmabili, Batteria 250 Ore, Memoria Integrata, Compatibile con PC e Mac, Verde</t>
  </si>
  <si>
    <t>5AWKJCHN</t>
  </si>
  <si>
    <t>B07W7KRXDW</t>
  </si>
  <si>
    <t>5099206086807</t>
  </si>
  <si>
    <t>Logitech MX Keys Tastiera, Layout Tedesco ‎Qwertz, Nero (Grafite)</t>
  </si>
  <si>
    <t>B07W7KHQLR</t>
  </si>
  <si>
    <t>788115142067</t>
  </si>
  <si>
    <t>0788115142067</t>
  </si>
  <si>
    <t>Blue Yeti X Microfono Professionale USB a Condensatore per Registrazione, Streaming, Gaming, Podcasting su PC e Mac, Mic ad Alta risoluzione, Illuminazione LED, Effetti Blue VO!CE - Nero</t>
  </si>
  <si>
    <t>2022-12-11</t>
  </si>
  <si>
    <t>5ACDL3WJ</t>
  </si>
  <si>
    <t>3HKQYMTX</t>
  </si>
  <si>
    <t>B00XJ3LVPI</t>
  </si>
  <si>
    <t>5054629822500</t>
  </si>
  <si>
    <t>Logitech K400 Plus Tastiera Wireless Touch TV, Facili Controlli Multimediali e Touchpad Integrato, Layout Inglese QWERTY - Nero</t>
  </si>
  <si>
    <t>4DNB5NLZ</t>
  </si>
  <si>
    <t>B079YHHPF2</t>
  </si>
  <si>
    <t>5099206077461</t>
  </si>
  <si>
    <t>Logitech MK540 Advanced Combo Tastiera e Mouse Wireless per Windows, Layout Internazionale QWERTY - Nero</t>
  </si>
  <si>
    <t>B0797JRLQC</t>
  </si>
  <si>
    <t>641275667132</t>
  </si>
  <si>
    <t>0641275667132</t>
  </si>
  <si>
    <t>Logitech MK540 Advanced Combo Tastiera e Mouse Wireless per Windows, Layout Inglese QWERTY - Nero</t>
  </si>
  <si>
    <t>B00C7INSWU</t>
  </si>
  <si>
    <t>5054484247241</t>
  </si>
  <si>
    <t>Logitech H650e Cuffie Cablate, Mono Con Microfono a Cancellazione di Rumore, USB, ‎Controlli in Linea, Indicatore LED, Compatibili con PC/Mac/Laptop, Nero</t>
  </si>
  <si>
    <t>B071W18JHM</t>
  </si>
  <si>
    <t>097855131942</t>
  </si>
  <si>
    <t>0097855131942</t>
  </si>
  <si>
    <t>Logitech 939 -001490 15 m 6-P Mini-Din 6-P Mini-Din Nero Cavo PS/2</t>
  </si>
  <si>
    <t>unknown_binding</t>
  </si>
  <si>
    <t>B07CGVGMLD</t>
  </si>
  <si>
    <t>5099206077843</t>
  </si>
  <si>
    <t>Logitech G305 LIGHTSPEED Mouse Gaming Wireless, Sensore 12K HERO, 12.000 DPI, Design Leggero, 6 Pulsanti Programmabili, Batteria 250 Ore, Memoria Integrata, PC/Laptop - Bianco</t>
  </si>
  <si>
    <t>7CQW3EPP</t>
  </si>
  <si>
    <t>B07FNHV4MW</t>
  </si>
  <si>
    <t>5099206081901</t>
  </si>
  <si>
    <t>Logitech Mx Mouse Verticale Wireless Ergonomico, Multi-Dispositivo, Bluetooth O 2.4 Ghz, ‎Grigio</t>
  </si>
  <si>
    <t>7OQHRVQM</t>
  </si>
  <si>
    <t>B014PYGYRE</t>
  </si>
  <si>
    <t>836213002049</t>
  </si>
  <si>
    <t>5099206084100</t>
  </si>
  <si>
    <t>Blue Yeti Microfono USB per Registrazione, Streaming, Gaming, Podcasting su PC e Mac, Mic a Condensatore per Laptop o Computer, Effetti Blue VO!CE, Stand Regolabile, Plug and Play - Bianco</t>
  </si>
  <si>
    <t>2022-12-26</t>
  </si>
  <si>
    <t>B07W6GY66B</t>
  </si>
  <si>
    <t>5099206101661</t>
  </si>
  <si>
    <t>Logitech POP Mouse Wireless con Emoji personalizzabili, Tecnologia SilentTouch, Precisione e Velocità, Design Compatto, Bluetooth, USB, Multidispositivo, Compatibile OS - Daydream</t>
  </si>
  <si>
    <t>B07W5JHX84</t>
  </si>
  <si>
    <t>5099206092860</t>
  </si>
  <si>
    <t>1JF8DBHD</t>
  </si>
  <si>
    <t>B010X0ZQ7S</t>
  </si>
  <si>
    <t>5099206059313</t>
  </si>
  <si>
    <t>Logitech K400 PLUS Tastiera Wireless, Layout Svizzero Qwertz, Nero</t>
  </si>
  <si>
    <t>B07W5JKFQC</t>
  </si>
  <si>
    <t>5099206089167</t>
  </si>
  <si>
    <t>Logitech G203 LIGHTSYNC Mouse Gaming con Illuminazione RGB, Personalizzabile, 6 Pulsanti Programmabili, Sensore per Gaming, Tracciamento a 8.000 DPI, Peso Ridotto - Nero</t>
  </si>
  <si>
    <t>B01M3TTXMY</t>
  </si>
  <si>
    <t>5099206069824</t>
  </si>
  <si>
    <t>Logitech G Saitek Pro Flight Pannello di Controllo Per Simulazioni di Volo Professionale ‎Gaming, Display a Colori LCD da 3,5\", 15 Tipi di Indicatori, Connessione USB, Espandibile, PC ‎‎- Nero</t>
  </si>
  <si>
    <t>B01M9EWQ2W</t>
  </si>
  <si>
    <t>5099206069923</t>
  </si>
  <si>
    <t>Logitech G Saitek X52 Controller di Simulazione con Acceleratore, Joystick X52 HOTAS, Display ‎LCD, Pulsanti Illuminati, Acceleratore Progressivo, Centraggio ‎Molla, 2USB, PC ‎‎- Nero/Argento</t>
  </si>
  <si>
    <t>4KGCSU5V</t>
  </si>
  <si>
    <t>B074KMD92K</t>
  </si>
  <si>
    <t>8806543006422</t>
  </si>
  <si>
    <t>Logitech Craft Tastiera, Layout Francese ‎Azerty</t>
  </si>
  <si>
    <t>7TFUVBKW</t>
  </si>
  <si>
    <t>B011N78DMA</t>
  </si>
  <si>
    <t>034722701877</t>
  </si>
  <si>
    <t>5099206058996</t>
  </si>
  <si>
    <t>Logitech G920 Driving Force Racing Wheel Volante da Corsa, Pedali Regolabili, Ritorno di Forza Reale, ‎Comandi Cambio in Acciaio Inossidabile, Volante in Pelle, Spina EU, Xbox Series X/S PC, Nero</t>
  </si>
  <si>
    <t>B07W7KFFFF</t>
  </si>
  <si>
    <t>5099206082793</t>
  </si>
  <si>
    <t>Logitech G923 Volante da Corsa e Pedali TRUEFORCE 1000 Hz di Ritorno di Forza, Design di Guida Reattivo, Launch Control, Doppia Frizione, Coprivolante in Vera Pelle, per PS5, PS4 e PC, Nero</t>
  </si>
  <si>
    <t>B07W5JKT4S</t>
  </si>
  <si>
    <t>5099206094116</t>
  </si>
  <si>
    <t>B01C47ZFLK</t>
  </si>
  <si>
    <t>5099206063884</t>
  </si>
  <si>
    <t>Logitech MK235 Combo Tastiera e Mouse Wireless per Windows, Ricevitore Unifying USB 2,4 GHz Wireless, 15 Tasti FN, Lunga Durata della Batteria, PC, Laptop, Layout Italiano QWERTY - Grigio</t>
  </si>
  <si>
    <t>B014PYGTUQ</t>
  </si>
  <si>
    <t>097855160584</t>
  </si>
  <si>
    <t>5099206083981</t>
  </si>
  <si>
    <t>Blue Snowball iCE Microfono USB Plug 'n Play per Registrazione, Streaming, Podcast, Gaming su PC e Mac, Capsula a Condensatore Cardioide, Supporto da Tavolo Regolabile e Cavo USB - Nero</t>
  </si>
  <si>
    <t>B01K7GEAEI</t>
  </si>
  <si>
    <t>5099206066687</t>
  </si>
  <si>
    <t>Logitech M330 SILENT PLUS Mouse Wireless, 2,4 GHz con Ricevitore USB Nano, Tracciamento Ottico 1000 DPI, Durata Batteria di 2 Anni, Compatibile con PC, Mac, Laptop, Chromebook - Blu</t>
  </si>
  <si>
    <t>B07W5JJVFM</t>
  </si>
  <si>
    <t>5099206099517</t>
  </si>
  <si>
    <t>Logitech Desk Mat - Studio Series, Multifunzione, Tappetino per Mouse Esteso, Protezione Scrivania da Ufficio con Base in Gomma, Resistente ai Versamenti - Rosa</t>
  </si>
  <si>
    <t>B00MWNDUDM</t>
  </si>
  <si>
    <t>4053162458789</t>
  </si>
  <si>
    <t>Logitech K480 Tastiera Wireless Multidispositivo per Windows, Layout Tedesco QWERTZ - Nero</t>
  </si>
  <si>
    <t>B005IDE064</t>
  </si>
  <si>
    <t>5099206021143</t>
  </si>
  <si>
    <t>Logitech MK710 Kit Mouse e Tastiera Wireless, Layout US Internazionale Qwerty, Nero</t>
  </si>
  <si>
    <t>B01MT5WL4M</t>
  </si>
  <si>
    <t>5099206066830</t>
  </si>
  <si>
    <t>2305840</t>
  </si>
  <si>
    <t>Logitech MK850 Kit Tastiera e Mouse, Layout Francese Azerty, Nero</t>
  </si>
  <si>
    <t>B01MT5WMMG</t>
  </si>
  <si>
    <t>718037854564</t>
  </si>
  <si>
    <t>5099206066823</t>
  </si>
  <si>
    <t>Logitech MK850 Kit Tastiera e Mouse, Layout Tedesco Qwertz, Nero</t>
  </si>
  <si>
    <t>6AA7OKBN</t>
  </si>
  <si>
    <t>B07W5JKKX9</t>
  </si>
  <si>
    <t>5099206086104</t>
  </si>
  <si>
    <t>LOGI G512 Carbon Lightsync RGB</t>
  </si>
  <si>
    <t>3T2OW47P</t>
  </si>
  <si>
    <t>B07W6J3W3B</t>
  </si>
  <si>
    <t>5099206107663</t>
  </si>
  <si>
    <t>Logitech Combo Touch Detachable Keyboard Case for iPad (10th gen) with Large Precision Trackpad, Full-Size Backlit Keyboard, and Smart Connector Technology - Grey - UK Layout</t>
  </si>
  <si>
    <t>3GW1K2ZR</t>
  </si>
  <si>
    <t>B07W6JKH1B</t>
  </si>
  <si>
    <t>5099206104990</t>
  </si>
  <si>
    <t>Logitech K380 per Mac Tastiera Bluetooth multidispositivo con profilo sottile compatto, Easy-Switch, durata batteria di 2 anni, compatibile con MacBook Pro, Macbook Air, iMac e iPad - Mirtillo</t>
  </si>
  <si>
    <t>B07W4DHNBL</t>
  </si>
  <si>
    <t>5099206089068</t>
  </si>
  <si>
    <t>Logitech K380 Tastiera, Layout Spagnolo QWERTY, Rosa</t>
  </si>
  <si>
    <t>B07W6FNF6N</t>
  </si>
  <si>
    <t>5099206092136</t>
  </si>
  <si>
    <t>Logitech MX Keys for Mac - Tastiera wireless avanzata illuminata, tasti retroilluminati LED, Bluetooth, USB-C, compatibile con MacBook Pro, MacBook Air, iMac, iPad, Italiano QWERTY - Grigio</t>
  </si>
  <si>
    <t>4O4TKA6P</t>
  </si>
  <si>
    <t>B07W6HKMCN</t>
  </si>
  <si>
    <t>5099206092280</t>
  </si>
  <si>
    <t>Logitech ERGO M575 Mouse Trackball Wireless - Facile controllo con il pollice, Tracciamento fluido, Design ergonomico e confortevole, per Windows, PC e Mac, con Bluetooth e USB - Bianco</t>
  </si>
  <si>
    <t>B07W6HBPSX</t>
  </si>
  <si>
    <t>5099206098534</t>
  </si>
  <si>
    <t>Logitech Zone 900 Cuffie Over Ear Wireless Bluetooth, Microfono Avanzato con Cancellazione del Rumore, fino a 6 Dispositivi Wireless Collegabili, Accesso Rapido ad ANC e Bluetooth - Grigio</t>
  </si>
  <si>
    <t>B00552K0GM</t>
  </si>
  <si>
    <t>5099206027275</t>
  </si>
  <si>
    <t>Logitech M185 Mouse Wireless, 2,4 GHz con Mini Ricevitore USB, Durata Batteria di 12 Mesi, Tracciamento Ottico 1000 DPI, Ambidestro, Compatibile con PC, Mac, Laptop - Grigio</t>
  </si>
  <si>
    <t>B07W4DGGBH</t>
  </si>
  <si>
    <t>5099206107458</t>
  </si>
  <si>
    <t>Logitech per iPad (10ª generazione) Custodia con tastiera | Slim Folio con tastiera wireless integrata (grafite) - Spanish Layout</t>
  </si>
  <si>
    <t>B07W7MZ93L</t>
  </si>
  <si>
    <t>5099206103306</t>
  </si>
  <si>
    <t>Logitech MX Mechanical Mini Tastiera Retroilluminata Wireless per Mac, Switch a Basso Profilo, Tasti Tattili Silenziosi, Retroilluminati, Bluetooth, USB-C, Apple, iPad, QWERTY US Intl - Pale Grey</t>
  </si>
  <si>
    <t>B00CJ5FP04</t>
  </si>
  <si>
    <t>072090783699</t>
  </si>
  <si>
    <t>7102266307527</t>
  </si>
  <si>
    <t>Logitech F310 Gamepad, Controller Cablato con Layout Stile Console, Tastierino Direzionale ‎‎4 Switch, XInput/DirectInput, Impugnatura Comoda, Cavo da 1.8 m, PC - ‎Blu/Nero</t>
  </si>
  <si>
    <t>B01MFBNN9J</t>
  </si>
  <si>
    <t>5099206069831</t>
  </si>
  <si>
    <t>Logitech G Saitek Pro Flight Controller Pilota Automatico per Simulatore di Volo Professionale, ‎Pannello Multiplo di Volo, Indicatori LED in Tempo Reale, Controlli Dedicati, ‎USB, PC - Nero</t>
  </si>
  <si>
    <t>74WI6EYD</t>
  </si>
  <si>
    <t>B07W5JHXF8</t>
  </si>
  <si>
    <t>5099206097766</t>
  </si>
  <si>
    <t>Logitech K380 Tastiera Bluetooth Multidispositivo per Mac, Sottile e Compatta, Easy-Switch fino a 3 Dispositivi, macOS / iOS / iPadOS, Layout Italiano QWERTY, Rosa</t>
  </si>
  <si>
    <t>4TBDRH5T</t>
  </si>
  <si>
    <t>B00ITLJB84</t>
  </si>
  <si>
    <t>5099206046849</t>
  </si>
  <si>
    <t>Logitech K280E Pro Tastiera Business Cablata, Layout Scandinavo, Nero</t>
  </si>
  <si>
    <t>B07W7MKLNT</t>
  </si>
  <si>
    <t>5099206091733</t>
  </si>
  <si>
    <t>B00M6S9O9C</t>
  </si>
  <si>
    <t>5054565525022</t>
  </si>
  <si>
    <t>Logitech H570e Cuffie Cablate, Mono con Microfono Cancellazione di Rumore, USB, Controlli ‎in Linea con Pulsante Disattiva Audio, Indicatore LED, Compatibili con PC/Mac/Laptop, Nero</t>
  </si>
  <si>
    <t>B0074486GA</t>
  </si>
  <si>
    <t>097855073358</t>
  </si>
  <si>
    <t>0638458744827</t>
  </si>
  <si>
    <t>Logitech K270 Tastiera Wireless per Windows, Layout Inglese QWERTY - Nero</t>
  </si>
  <si>
    <t>B07W6JJSV7</t>
  </si>
  <si>
    <t>5099206094956</t>
  </si>
  <si>
    <t>Logitech ERGO K860 Wireless Split Keyboard - Tastiera Ergonomica Wireless, Poggiapolsi, Connettività Bluetooth e USB, Compatibile con Windows e Mac, Layout Italiano ‎QWERTY - Grigio</t>
  </si>
  <si>
    <t>B0105Y2T5Y</t>
  </si>
  <si>
    <t>5099206058682</t>
  </si>
  <si>
    <t>Logitech Z533 Sistema di Altoparlanti Multimediali 2.1 con Subwoofer, Suono e Bassi Potenti, ‎120 Watt, Ingressi Audio 3.5 mm e RCA, Presa UK, PC/PS4/Xbox/TV/Smartphone/Tablet/Lettore Musicale</t>
  </si>
  <si>
    <t>B07W5JJP7W</t>
  </si>
  <si>
    <t>5099206104778</t>
  </si>
  <si>
    <t>7D6QJ</t>
  </si>
  <si>
    <t>K380 MULTI-DEVICE BT KEYBOARD SAND - ESP - MEDITER</t>
  </si>
  <si>
    <t>5UZID3SV</t>
  </si>
  <si>
    <t>B00A389JEW</t>
  </si>
  <si>
    <t>4054317896319</t>
  </si>
  <si>
    <t>Logitech K350 Tastiera Wireless, Layout Inglese Qwerty, Nero</t>
  </si>
  <si>
    <t>La soluzione Axis Video Server Rack offre una migliore manutenzione e sostituzione delle unità problemi o di espansione; è sufficiente aggiungere più pale. Il rack fornisce una comunicazione seriale e connettori I / O sul lato posteriore di ciascuno slot e un'unica connessione di rete oltre a un alimentatore integrato per semplice installazione. Non v'è alcuna necessità di spegnere durante l'installazione o sostituire le schede. AXIS 291 1U combina elevata affidabilità e funzionalità con l'installazione rapida, flessibile e professionale. AXIS 291 1U è progettato per le applicazioni che devono essere in grado di espandersi, non solo in termini di canali, ma anche utilizzando diversi tipi di telecamere. E 'ideale per aeroporti, hotel e stazioni ferroviarie o altri locali in cui le telecamere analogiche già installed.Main FeaturesQuick e l'installazione professionale di vari video server nello stesso sistema rackExpandable, semplicemente con l'aggiunta di lame e di cablaggio upIntegrated alimentazione elettrica, per una facile installazione / expansionConnectors : Ethernet 10BaseT / 100BaseTX / 1000BaseT (Gigabit Ethernet), blocco RJ-45Terminal (x 3): 4 ingressi allarme, 4 uscite, RS-485/422 half-duplex portPower: 100 - 240 V AC, 1,9 A max 80 W ( con 3x243Q)</t>
  </si>
  <si>
    <t>B005DVR56I</t>
  </si>
  <si>
    <t>5054484368243</t>
  </si>
  <si>
    <t>Logitech H150 Cuffie Cablate per Computer, Stereo con Microfono Girevole e Cancellazione ‎Rumore, Doppio Jack Audio da 3.5 mm, Controlli sul Cavo, PC/Mac/Laptop, Bianco</t>
  </si>
  <si>
    <t>B016QPMN84</t>
  </si>
  <si>
    <t>5099206053151</t>
  </si>
  <si>
    <t>Logitech Wireless Combo MK345 RF Wireless Francese Nero</t>
  </si>
  <si>
    <t>B0044AFFMK</t>
  </si>
  <si>
    <t>790069338915</t>
  </si>
  <si>
    <t>0790069338915</t>
  </si>
  <si>
    <t>Logitech MK710 Kit Mouse e Tastiera Wireless per Windows, Wireless 2.4 GHz, Tasti ‎Multimediali, Durata Batteria di 3 Anni, PC/Mac, Layout Italiano QWERTY, Nero</t>
  </si>
  <si>
    <t>1OMKO21C</t>
  </si>
  <si>
    <t>B00CHHDY66</t>
  </si>
  <si>
    <t>5099206039193</t>
  </si>
  <si>
    <t>Logitech MK270 Combo Tastiera e Mouse Wireless per Windows, Layout Spagnolo QWERTY - Nero</t>
  </si>
  <si>
    <t>B07W7JR6BZ</t>
  </si>
  <si>
    <t>5099206097247</t>
  </si>
  <si>
    <t>Logitech Signature M650 Mouse Wireless, Per Mani di Piccole Dimensioni, Durata Batteria fino a 2 anni, Clic Silenziosi, Tasti Personalizzabili, Bluetooth, Compatibilità Multidispositivo, Bianco</t>
  </si>
  <si>
    <t>B01LCQTF4M</t>
  </si>
  <si>
    <t>5099206066717</t>
  </si>
  <si>
    <t>Logitech B330 SILENT PLUS Mouse Wireless, 2,4 GHz con Ricevitore USB Nano, Tracciamento Ottico 1000 DPI, Durata Batteria di 2 Anni, Compatibile con PC, Mac, Laptop, Chromebook - Nero</t>
  </si>
  <si>
    <t>B07W5JKFQF</t>
  </si>
  <si>
    <t>5099206091214</t>
  </si>
  <si>
    <t>ASTRO Gaming A20 Cuffia Gaming Wireless, Gen 2, Leggere e Resistenti, Microfono flip-to-mute, Batteria +15h, Portata wireless di 15m, per PlayStation 5, PS4, PC e Mac - Bianco/Blu</t>
  </si>
  <si>
    <t>B07W5JJ85Z</t>
  </si>
  <si>
    <t>5099206097193</t>
  </si>
  <si>
    <t>Logitech Signature M650 L Mouse Wireless Full Size, Per Mani Grandi, Clic Silenziosi, Tasti Laterali Personalizzabili, Bluetooth, Compatibilità Multidispositivo, Bianco</t>
  </si>
  <si>
    <t>B0797LMGXH</t>
  </si>
  <si>
    <t>5099206077423</t>
  </si>
  <si>
    <t>Logitech MK540 Advanced Combo Tastiera e Mouse Wireless per Windows, Layout Spagnolo QWERTY - Nero</t>
  </si>
  <si>
    <t>B013SL1YXO</t>
  </si>
  <si>
    <t>5099206061484</t>
  </si>
  <si>
    <t>Logitech K380 Tastiera, Layout Inglese UK ‎Qwerty, Nero</t>
  </si>
  <si>
    <t>B07W7KFLBN</t>
  </si>
  <si>
    <t>5099206092426</t>
  </si>
  <si>
    <t>Logitech MK295 Kit Mouse e Tastiera Wireless, Layout Inglese QWERTY, Grigio</t>
  </si>
  <si>
    <t>3KXAV5DW</t>
  </si>
  <si>
    <t>6SVXGVNM</t>
  </si>
  <si>
    <t>B07W6HXZ5J</t>
  </si>
  <si>
    <t>5099206086906</t>
  </si>
  <si>
    <t>Logitech MX Keys Tastiera, Layout Inglese ‎Qwerty, Nero (Grafite)</t>
  </si>
  <si>
    <t>1KYIVKWC</t>
  </si>
  <si>
    <t>B07W4DHCVJ</t>
  </si>
  <si>
    <t>5099206105515</t>
  </si>
  <si>
    <t>QN5GD</t>
  </si>
  <si>
    <t>Logitech Signature K650 Tastiera Poggiapolsi Wireless Full-size, Internazionale QWERTY - Grigio</t>
  </si>
  <si>
    <t>B07W6JPVPF</t>
  </si>
  <si>
    <t>5099206104310</t>
  </si>
  <si>
    <t>B004CM47VU</t>
  </si>
  <si>
    <t>5099206020511</t>
  </si>
  <si>
    <t>Logitech MK120 Combo Tastiera e Mouse con Filo per Windows, Mouse Ottico Cablato, Tastiera di Dimensioni Standard, USB Plug-and-Play, Compatibile con PC, Laptop, Layout Italiano QWERTY - Nero</t>
  </si>
  <si>
    <t>7OHBRCNP</t>
  </si>
  <si>
    <t>B07W6FW84S</t>
  </si>
  <si>
    <t>5099206097452</t>
  </si>
  <si>
    <t>Logitech G Astro A30 LIGHTSPEED Cuffie Gaming Wireless, Bluetooth, Dolby Atmos, Braccio Rimovibile, Batteria da 27 ore, USBC, per Xbox, PS5, PS4, Nintendo Switch, PC, Android - Blu</t>
  </si>
  <si>
    <t>B07W7KHGMB</t>
  </si>
  <si>
    <t>5099206099883</t>
  </si>
  <si>
    <t>Logitech G PRO Tastiera Gaming Meccanica - Design Ultraportatile Tenkeyless, Cavo USB Rimovibile, Tasti Retroilluminati LIGHTSYNC RGB, Edizione Ufficiale League of Legends, Blu/Oro, Layout US</t>
  </si>
  <si>
    <t>B07VK1S68S</t>
  </si>
  <si>
    <t>5099206086524</t>
  </si>
  <si>
    <t>Logitech MK470 Kit Mouse e Tastiera Wireless per Windows, Ricevitore USB 2.4 GHz, ‎Sottile, Compatto, Silenzioso, Batteria Lunga Durata, PC/Laptop, Layout Italiano QWERTY, ‎Grigio</t>
  </si>
  <si>
    <t>B07W5JKB91</t>
  </si>
  <si>
    <t>5099206088474</t>
  </si>
  <si>
    <t>Ultimate Ears HYPERBOOM Speaker Bluetooth Portatile - Altoparlante Wireless con Bassi Profondi, Resistente all'Acqua IPX4, Raggio d'Azione di 45 m, Durata Batteria di 24h - Nero</t>
  </si>
  <si>
    <t>B01LY6Z2M6</t>
  </si>
  <si>
    <t>097855160553</t>
  </si>
  <si>
    <t>0836213002117</t>
  </si>
  <si>
    <t>Blue Yeti Microfono USB per Registrazione, Streaming, Gaming, Podcasting su PC e Mac, Mic a Condensatore per Laptop o Computer, Effetti Blue VO!CE, Stand Regolabile, Plug and Play - Blu</t>
  </si>
  <si>
    <t>72DIHLCI</t>
  </si>
  <si>
    <t>B07W6JPTXG</t>
  </si>
  <si>
    <t>5099206088580</t>
  </si>
  <si>
    <t>Logitech Zone Wireless Teams Bluetooth Headset - Grafite</t>
  </si>
  <si>
    <t>B07W4DHXC8</t>
  </si>
  <si>
    <t>5099206101326</t>
  </si>
  <si>
    <t>Logitech Litra Glow Luce LED Streaming Premium, Illuminazione per Computer per Videoconferenze, Riunioni Zoom, con Supporto Regolabile e Controllo da App per PC / Mac, Grafite</t>
  </si>
  <si>
    <t>B00ZOOKDU4</t>
  </si>
  <si>
    <t>5099206057333</t>
  </si>
  <si>
    <t>Logitech H151 Cuffie Cablate, Cuffie Stereo con Microfono Girevole con Cancellazione Rumore e ‎Multidispotivo, Jack audio da 3.5 mm, Controlli in Linea, PC/Mac/Laptop/Tablet/Smartphone, Nero</t>
  </si>
  <si>
    <t>B00D2PX8C2</t>
  </si>
  <si>
    <t>5052916748274</t>
  </si>
  <si>
    <t>Logitech MK270 Combo Tastiera e Mouse Wireless per Windows, 2,4 GHz Wireless, Mouse Compatto, 8 Tasti Multimediali e di Scelta Rapida, Durata della Batteria 2 anni, PC, Laptop, Italiano QWERTY - Nero</t>
  </si>
  <si>
    <t>B07W6J24VW</t>
  </si>
  <si>
    <t>5099206098596</t>
  </si>
  <si>
    <t>Logitech G713 Aurora - Gaming Toetsenbord met Kabel - AZERTY - FR - Wit (920-010416)</t>
  </si>
  <si>
    <t>B01C4HCSOC</t>
  </si>
  <si>
    <t>5099206063853</t>
  </si>
  <si>
    <t>Logitech MK235 Combo Tastiera e Mouse Wireless per Windows, Layout ‎Francese AZERTY - Grigio</t>
  </si>
  <si>
    <t>B00EUUXBEI</t>
  </si>
  <si>
    <t>5054230441534</t>
  </si>
  <si>
    <t>Logitech Z150 Altoparlanti Stereo Multimediali Compatti, Ingresso Audio da 3.5 mm, Controlli ‎Integrati, Jack Per Cuffie, Presa EU/IT, Computer/Smartphone/Tablet/Lettore Musicale, Bianco (Neve)</t>
  </si>
  <si>
    <t>B07W5JKWTH</t>
  </si>
  <si>
    <t>5099206090606</t>
  </si>
  <si>
    <t>Logitech Slim Folio Pro Custodia Bluetooth con tastiera retroilluminata per iPad Pro da 11 pollici (1a, 2a, 3a e 4a generazione - 2018, 2020, 2021, 2022), Italiano ‎Qwerty - Grafite</t>
  </si>
  <si>
    <t>6V4P22HV</t>
  </si>
  <si>
    <t>B0728J7D3B</t>
  </si>
  <si>
    <t>5099206070509</t>
  </si>
  <si>
    <t>Logitech G433 Cuffie Gaming Cablate, Audio Surround 7.1, Cuffie DTS: X, Driver Audio ‎Pro-G da 40 mm, Leggere, Jack audio USB 3.5 mm, PC/Mac/Nintendo Switch/PS4/Xbox ‎One, Nero</t>
  </si>
  <si>
    <t>17UTD61Z</t>
  </si>
  <si>
    <t>4YV2PIQL</t>
  </si>
  <si>
    <t>B01L6L46LK</t>
  </si>
  <si>
    <t>5099206065918</t>
  </si>
  <si>
    <t>Logitech G213 Prodigy Gaming Keyboard, RGB Lightsync Backlit Keys, Spill-Resistant, Customizable Keys, Dedicated Multi-Media Keys, QWERTZ German Layout, Nero</t>
  </si>
  <si>
    <t>B013SL2712</t>
  </si>
  <si>
    <t>5099206061491</t>
  </si>
  <si>
    <t>Logitech K380 Tastiera Bluetooth, Layout Inglese UK ‎Qwerty, Blu</t>
  </si>
  <si>
    <t>B07W6JHB2P</t>
  </si>
  <si>
    <t>5099206097230</t>
  </si>
  <si>
    <t>Logitech Signature M650 Mouse Wireless, Per Mani di Piccole Dimensioni, Durata Batteria fino a 2 anni, Clic Silenziosi, Tasti Personalizzabili, Bluetooth, Compatibilità Multidispositivo, Rosa</t>
  </si>
  <si>
    <t>B07W7JHZKR</t>
  </si>
  <si>
    <t>5099206098879</t>
  </si>
  <si>
    <t>Logitech MXKEYS MINI WRLS ILLUMINATO KB GRIGIO PALE - FRA - CENTRALE</t>
  </si>
  <si>
    <t>B07PNJ533Y</t>
  </si>
  <si>
    <t>5099206082960</t>
  </si>
  <si>
    <t>ASTRO Gaming MixAmp Pro TR Amplificatore per Headset da Gaming, 4° Gen, Dolby Audio, Funzionalità Scheda Audio USB, Digital Daisy-Chain, per Xbox Series X|S, Xbox One, PC, Nintendo Switch, Nero/Rosso</t>
  </si>
  <si>
    <t>B0797FYB3K</t>
  </si>
  <si>
    <t>5099206077379</t>
  </si>
  <si>
    <t>Logitech MK540 Advanced Combo Tastiera e Mouse Wireless per Windows, Layout Tedesco QWERTZ - Nero</t>
  </si>
  <si>
    <t>17ETH86S</t>
  </si>
  <si>
    <t>B07W4DH5GL</t>
  </si>
  <si>
    <t>5099206101845</t>
  </si>
  <si>
    <t>Logitech G413 TKL SE Tastiera Meccanica Gaming - Tastiera Compatta Retroilluminata con Switch Meccanici Tattili, Anti-Ghosting, Compatibile con Windows, macOS, Layout Italiano QWERTY - Alluminio Nero</t>
  </si>
  <si>
    <t>1TY4KNJI</t>
  </si>
  <si>
    <t>B07W5JJ85P</t>
  </si>
  <si>
    <t>5099206086401</t>
  </si>
  <si>
    <t>14701070</t>
  </si>
  <si>
    <t>Logitech G PRO Mechanical Gaming KEYB Black - fra - Central FR</t>
  </si>
  <si>
    <t>B074KFNJQG</t>
  </si>
  <si>
    <t>5099206072855</t>
  </si>
  <si>
    <t>Logitech Craft Tastiera, Layout Spagnolo ‎Qwerty</t>
  </si>
  <si>
    <t>B07CGPZ3ZQ</t>
  </si>
  <si>
    <t>191632341880</t>
  </si>
  <si>
    <t>0191632341880</t>
  </si>
  <si>
    <t>B07PYL7WZY</t>
  </si>
  <si>
    <t>5099206082939</t>
  </si>
  <si>
    <t>ASTRO Gaming A40 TR Cuffie Gaming Cablate, ASTRO Audio V2, Dolby ATMOS, Jack Audio 3,5 mm, Microfono Intercambiabile, per PS5, PS4, Xbox, PC, Mac, Mobile, Nero/Blu</t>
  </si>
  <si>
    <t>B07W4DHG24</t>
  </si>
  <si>
    <t>5099206099418</t>
  </si>
  <si>
    <t>Logitech 943-000544, G G840 Tappetino Mouse Gaming XL in Tessuto - 3 mm di Spessore, Base Stabile in Gomma, Superficie Orientata alle Prestazioni, Edizione Ufficiale League of Legends, Nero</t>
  </si>
  <si>
    <t>B00EJ3RMDM</t>
  </si>
  <si>
    <t>5099206046788</t>
  </si>
  <si>
    <t>Logitech K280E Pro Tastiera, Layout ‎Francese Azerty, Nero</t>
  </si>
  <si>
    <t>B07W6H4R4D</t>
  </si>
  <si>
    <t>5099206093492</t>
  </si>
  <si>
    <t>Logitech Folio Touch Custodia iPad con Tastiera, Trackpad e Smart Connector ‎per iPad Air 4a Gen, 5a Gen, 2020, 2022 (Modelli: A2316/A2324/A2325/A2072/A2588/A2589/A2591), Italiano QWERTY - Grigio</t>
  </si>
  <si>
    <t>B00745IE0W</t>
  </si>
  <si>
    <t>4058154124451</t>
  </si>
  <si>
    <t>Logitech Wireless Mini Mouse M187, Rosso</t>
  </si>
  <si>
    <t>Logitech mouse wireless m187 red</t>
  </si>
  <si>
    <t>B00969DJO0</t>
  </si>
  <si>
    <t>5099206033498</t>
  </si>
  <si>
    <t>Logitech MK330 Kit Tastiera e Mouse, Layout ‎Francese AZERTY - Nero</t>
  </si>
  <si>
    <t>B01K7GEFWK</t>
  </si>
  <si>
    <t>5099206066212</t>
  </si>
  <si>
    <t>Logitech M220 SILENT Mouse Wireless, 2,4 GHz con Ricevitore USB, Tracciamento Ottico 1000 DPI, Durata Batteria di 18 Mesi, Ambidestro, Compatibile con PC, Mac, Laptop - Rosso</t>
  </si>
  <si>
    <t>B07W6H4R4J</t>
  </si>
  <si>
    <t>5099206098701</t>
  </si>
  <si>
    <t>Logitech - G G715, Tastiera da gaming con wireless, con illuminazione Lightsync RGB, Lightspeed, interruttori lineari (GX Marrone) e poggiapolsi per tastiera, compatibile con PC e Mac, Bianco nebbia</t>
  </si>
  <si>
    <t>6QK5MDWI</t>
  </si>
  <si>
    <t>8949MU8Z</t>
  </si>
  <si>
    <t>B0072AEZJI</t>
  </si>
  <si>
    <t>4053162348943</t>
  </si>
  <si>
    <t>Logitech K120 Tastiera Cablata, Layout ‎Tedesco Qwertz, Bianco</t>
  </si>
  <si>
    <t>B07VFJT9NM</t>
  </si>
  <si>
    <t>6920377909444</t>
  </si>
  <si>
    <t>Logitech Pebble Mouse Wireless, Bluetooth o 2,4 GHz con Mini Ricevitore USB, Silenzioso, Mouse ‎per Computer Sottile, Clic silenziosi, per PC/Mac/Laptop/iPadOS/Chromebook - Bianco</t>
  </si>
  <si>
    <t>B07W7LNC8W</t>
  </si>
  <si>
    <t>5099206082779</t>
  </si>
  <si>
    <t>AMFLB</t>
  </si>
  <si>
    <t>Logitech G915 LIGHTSPEED Tastiera Gaming Meccanica Wireless, Profilo Ribassato, GL-Clicky Switches, LIGHTSYNC RGB, Design Sottile, +30 ore di Durata della Batteria, QWERTY US Layout, Nero</t>
  </si>
  <si>
    <t>B07W5JKNB9</t>
  </si>
  <si>
    <t>5099206099128</t>
  </si>
  <si>
    <t>Logitech MX Keys Mini for Mac - Tastiera wireless minimalista, compatta, Bluetooth, tasti retroilluminati, USB-C, compatibile con MacBook Pro, MacBook Air, iMac, iPad, Italiano QWERTY - Grigio claro</t>
  </si>
  <si>
    <t>B07W5JHF5D</t>
  </si>
  <si>
    <t>5099206092907</t>
  </si>
  <si>
    <t>Logitech K380 Tastiera Bluetooth Multidispositivo per Windows, Apple iOS, ‎Bluetooth Wireless, Design Compatto, PC/Mac/Laptop/Smartphone/Tablet, Layout Italiano ‎QWERTY, Bianco</t>
  </si>
  <si>
    <t>4VH7UODN</t>
  </si>
  <si>
    <t>2022-12-15</t>
  </si>
  <si>
    <t>B0042C1KQ0</t>
  </si>
  <si>
    <t>8100047465441</t>
  </si>
  <si>
    <t>Logitech MK120 Combo Tastiera e Mouse con Filo per Windows, Layout Internazionale QWERTY - Nero</t>
  </si>
  <si>
    <t>B07J9Q68CK</t>
  </si>
  <si>
    <t>5099206075351</t>
  </si>
  <si>
    <t>Supporto per cuffia con microfono pieghevole ASTRO Gaming, Supporto universale antiscivolo pieghevole per cuffia con microfono da gaming - Nero</t>
  </si>
  <si>
    <t>B07W6H83LD</t>
  </si>
  <si>
    <t>5099206104341</t>
  </si>
  <si>
    <t>Logitech G G640 Gaming Mouse Pad in Tessuto, Ottimizzato per i Sensori da Gioco, Attrito Moderato, Antiscivolo, Accessori da Gioco per Mac e PC, 460 x 600 x 3 mm</t>
  </si>
  <si>
    <t>B07W4DGVFS</t>
  </si>
  <si>
    <t>5099206093195</t>
  </si>
  <si>
    <t>Logitech G PRO Mouse Gaming Wireless SHROUD Edition, Sensore HERO 25K, 25600 DPI, RGB, Ultraleggero, Progettato ‎per eSport, 4-8 Pulsanti Programmabili, POWERPLAY-compatibile, PC/Laptop - Nero</t>
  </si>
  <si>
    <t>7LA8DZCZ</t>
  </si>
  <si>
    <t>1VBBCE3C</t>
  </si>
  <si>
    <t>B07W5JK3Z2</t>
  </si>
  <si>
    <t>5099206099500</t>
  </si>
  <si>
    <t>Logitech Desk Mat - Studio Series, Multifunzione, Tappetino per Mouse Esteso, Protezione Scrivania da Ufficio con Base in Gomma, Resistente ai Versamenti - Grigio</t>
  </si>
  <si>
    <t>B07G6B2SGF</t>
  </si>
  <si>
    <t>5099206081833</t>
  </si>
  <si>
    <t>Ultimate Ears Power Up Dock di Ricarica per Altoparlanti Boom 3 Bluetooth Wireless/Wi-Fi, ‎Megaboom 3, Casse Portatili Blast/Megablast, Design Elegante, Riproduzione ‎Musica Durante la Carica, Bianco</t>
  </si>
  <si>
    <t>8JIYRRZW</t>
  </si>
  <si>
    <t>B07JGCM9QM</t>
  </si>
  <si>
    <t>086156283443</t>
  </si>
  <si>
    <t>0086156283443</t>
  </si>
  <si>
    <t>Logitech G Saitek Farm Sim Controller, Kit Simulazione Macchine Pesanti con Volante, ‎Console di Comando, Pedale Acceleratore/Freno, Raggio Sterzata 900°, 38 Pulsanti, ‎USB, PC/Mac - Nero</t>
  </si>
  <si>
    <t>B07W6JPM9P</t>
  </si>
  <si>
    <t>5099206104334</t>
  </si>
  <si>
    <t>Logitech G G240 Gaming Mouse Pad in tessuto, Ottimizzato per i Sensori da Gioco, Attrito Moderato, Antiscivolo, Accessori Gaming per Mac e PC, 340 x 280 x 1 mm</t>
  </si>
  <si>
    <t>B07W6JM35X</t>
  </si>
  <si>
    <t>5099206097483</t>
  </si>
  <si>
    <t>Logitech G435 LIGHTSPEED Cuffie Gaming Wireless Bluetooth, Cuffie Over Ear Leggere, Microfoni Integrati, Batteria da 18 Ore, Compatibile con Dolby Atmos, PC, PS4, PS5, Mobile, Nintendo Switch - Blu</t>
  </si>
  <si>
    <t>B07W7KT2B3</t>
  </si>
  <si>
    <t>5099206088719</t>
  </si>
  <si>
    <t>Logitech G733 LIGHTSPEED Cuffia Wireless con Microfono Gaming con Fascia per la Testa a Sospensione, LIGHTSYNC RGB, Tecnologia Microfono Blue VO!CE, Driver Audio Pro-G, Leggera - Nero</t>
  </si>
  <si>
    <t>B07W6J6W4P</t>
  </si>
  <si>
    <t>5099206091825</t>
  </si>
  <si>
    <t>Logitech M190 Mouse Wireless, Design Ricurvo Ambidestro, Batteria fino a 18 Mesi con Funzione Risparmio Energia, Ricevitore USB, Cursore di Precisione, Rotella di Scorrimento, Nero</t>
  </si>
  <si>
    <t>B00MWR5IVA</t>
  </si>
  <si>
    <t>5099206052543</t>
  </si>
  <si>
    <t>Logitech M280 Mouse Wireless, 2,4 GHz con Ricevitore USB Nano, Tracciamento Ottico 1000 DPI, 3 Tasti, Durata Batteria di 18 Mesi, Compatibile con PC, Mac, Laptop, Chromebook - Nero</t>
  </si>
  <si>
    <t>B07VCS1895</t>
  </si>
  <si>
    <t>5099206086449</t>
  </si>
  <si>
    <t>Logitech MK470 Kit Mouse e Tastiera, Layout Tedesco Qwertz, ‎Nero</t>
  </si>
  <si>
    <t>B07W4DHNG5</t>
  </si>
  <si>
    <t>5099206101593</t>
  </si>
  <si>
    <t>Logitech POP Keys Tastiera Meccanica Wireless con Tasti Emoji Personalizzabili, Layout Internazionale QWERTY - Daydream</t>
  </si>
  <si>
    <t>B01MT5WLHY</t>
  </si>
  <si>
    <t>5099206066854</t>
  </si>
  <si>
    <t>Logitech MK850 Kit Tastiera e Mouse, Layout Inglese UK Qwerty, Nero</t>
  </si>
  <si>
    <t>B07W6HDNPF</t>
  </si>
  <si>
    <t>5099206101531</t>
  </si>
  <si>
    <t>ASTRO A10 Cuffie Gaming Cablate Gen 2, Cuffie da Gioco Over-Ear con Microfono Flip-to-Mute, Leggere e Resistenti, Driver 32 mm, Compatibile con Xbox Series X|S, Xbox One, Nintendo Switch, PC - Nero</t>
  </si>
  <si>
    <t>B07W6JPZBL</t>
  </si>
  <si>
    <t>5099206099456</t>
  </si>
  <si>
    <t>Ultimate Ears HYPERBOOM Speaker Bluetooth Portatile - Altoparlante Wireless con Bassi Profondi, Resistente all'Acqua IPX4, Raggio d'Azione di 45 m, Durata Batteria di 24h - Bianco</t>
  </si>
  <si>
    <t>B07W6HKDNR</t>
  </si>
  <si>
    <t>5099206102316</t>
  </si>
  <si>
    <t>Logitech Pro Streamer Pack con microfono USB Blue Yeti e webcam HD C922 Pro - Nero</t>
  </si>
  <si>
    <t>4QG6L28M</t>
  </si>
  <si>
    <t>B07W7MQTQD</t>
  </si>
  <si>
    <t>5099206096653</t>
  </si>
  <si>
    <t>19800100</t>
  </si>
  <si>
    <t>19800125</t>
  </si>
  <si>
    <t>LOGITECH - INPUT DEVICES MX Keys Combo for Business Graphite - fra - Central</t>
  </si>
  <si>
    <t>luggage</t>
  </si>
  <si>
    <t>B00NP797AE</t>
  </si>
  <si>
    <t>5099206039261</t>
  </si>
  <si>
    <t>Logitech MK270 Combo Tastiera e Mouse Wireless per Windows, Layout Greco QWERTY - Nero</t>
  </si>
  <si>
    <t>B00Y0PP7B8</t>
  </si>
  <si>
    <t>5099206059276</t>
  </si>
  <si>
    <t>Logitech K400 Plus Tastiera Wireless Touch TV, Facili Controlli Multimediali e Touchpad Integrato, Layout ‎Francese AZERTY - Nero</t>
  </si>
  <si>
    <t>B071ZFMC9Q</t>
  </si>
  <si>
    <t>097855133250</t>
  </si>
  <si>
    <t>0097855133250</t>
  </si>
  <si>
    <t>Logitech MeetUp supporto di montaggio su TV</t>
  </si>
  <si>
    <t>B00BT8QIJ4</t>
  </si>
  <si>
    <t>5099206021419</t>
  </si>
  <si>
    <t>Logitech K120 Tastiera Cablata, Layout Russo, Nero</t>
  </si>
  <si>
    <t>B01K7GEA3O</t>
  </si>
  <si>
    <t>5099206066694</t>
  </si>
  <si>
    <t>Logitech M330 SILENT PLUS Mouse Wireless, 2,4 GHz con Ricevitore USB Nano, Tracciamento Ottico 1000 DPI, Durata Batteria di 2 Anni, Compatibile con PC, Mac, Laptop, Chromebook - Rosso</t>
  </si>
  <si>
    <t>B07W4DG827</t>
  </si>
  <si>
    <t>5099206100589</t>
  </si>
  <si>
    <t>14700960</t>
  </si>
  <si>
    <t>Logitech R500s Telecomando per presentazioni laser di classe 1 USB e Bluetooth - Compatibilità universale, raggio d'azione di 20 m, personalizzabile – Grigio chiaro</t>
  </si>
  <si>
    <t>B07W6JLFZ2</t>
  </si>
  <si>
    <t>5099206097629</t>
  </si>
  <si>
    <t>Mouse da gioco wireless Logitech G303 Shroud Edition - Tecnologia wireless LIGHTSPEED - Sensore HERO 25K - 25600 DPI - 75 grammi - 5 pulsanti - PC - Nero</t>
  </si>
  <si>
    <t>B07DTTGZ7M</t>
  </si>
  <si>
    <t>836213000281</t>
  </si>
  <si>
    <t>0836213000281</t>
  </si>
  <si>
    <t>Blue Yeti Nano Microfono USB Premium per Registrazione, Streaming, Gaming, Podcast su PC e Mac, Mic a Condensatore, Effetti Blue VO!CE, Cardioide e Omni, Monitoraggio Senza Latenza - Grigio</t>
  </si>
  <si>
    <t>7YGRCVCK</t>
  </si>
  <si>
    <t>B074C9FYP8</t>
  </si>
  <si>
    <t>5099206074880</t>
  </si>
  <si>
    <t>Logitech G613 Tastiera Gaming Meccanica Wireless, Lightspeed Rapida 1 ms 2.4 GHz e Bluetooth ‎Wireless, Switch Romer-G Tactile, Multidispositivo, 6 Tasti G Programmabili, Layout Tedesco ‎QWERTZ, Nero</t>
  </si>
  <si>
    <t>6MI6OEVJ</t>
  </si>
  <si>
    <t>B07W4DH6G4</t>
  </si>
  <si>
    <t>5099206107298</t>
  </si>
  <si>
    <t>Logitech H390 Cuffia con Cavo per PC/Portatile, Auricolari Stereo con Microfono con Cancellazione del Rumore, USB-A, Comandi Integrati, Compatibile con i Chromebook, Rosa</t>
  </si>
  <si>
    <t>3CWLEPWL</t>
  </si>
  <si>
    <t>B07S7CKTBR</t>
  </si>
  <si>
    <t>5099206083578</t>
  </si>
  <si>
    <t>Logitech G703 LIGHTSPEED Mouse Gaming Wireless, Sensore HERO 25K, LIGHTSYNC RGB, POWERPLAY-Compatibile, Leggero 95 g + 10 g Opzionale, 25.600 DPI, PC/Mac, Nero</t>
  </si>
  <si>
    <t>B07W4DHKTB</t>
  </si>
  <si>
    <t>5099206094659</t>
  </si>
  <si>
    <t>Logitech G333 VR Cuffie Auricolari da Gaming per Oculus Quest 2, Per Oculus, Cavo e Fasce Regolabili, Doppio Driver Audio, Custodia in Alluminio, Connessione Aux da 3,5mm a Bassa Latenza - Bianco/Blu</t>
  </si>
  <si>
    <t>B07TTB3SR2</t>
  </si>
  <si>
    <t>5099206083684</t>
  </si>
  <si>
    <t>Astro Gaming A50 Cuffia Wireless + Stazione Base Di Ricarica, Dolby Audio, 2.4 Ghz Wireless, 15 M Di Portata Per Ps5, Ps4, Pc, Mac, Nero/Grigio(Argento), ‎8.8 x 18.5 x 18.2 cm; 380 grammi</t>
  </si>
  <si>
    <t>B07HZQT8JG</t>
  </si>
  <si>
    <t>5099206080188</t>
  </si>
  <si>
    <t>Logitech 920-008940 - Tastiera meccanica per gaming, colore: carbonio nero carbone, Versione francese</t>
  </si>
  <si>
    <t>2FPVCNJH</t>
  </si>
  <si>
    <t>B07W5JK1JN</t>
  </si>
  <si>
    <t>5099206086920</t>
  </si>
  <si>
    <t>Logitech MX Keys Tastiera, Layout ‎Americano Qwerty, Grigio</t>
  </si>
  <si>
    <t>B007C0YQLA</t>
  </si>
  <si>
    <t>5099206020672</t>
  </si>
  <si>
    <t>B07GS6ZB7T</t>
  </si>
  <si>
    <t>762917516592</t>
  </si>
  <si>
    <t>0762917516592</t>
  </si>
  <si>
    <t>Logitech G502 HERO Mouse Gaming Prestazioni Elevate, Sensore HERO 25K, 25.600 DPI, RGB, Pesi Regolabili, 11 Pulsanti Programmabili, Memoria Integrata, PC/Mac/Laptop, Nero</t>
  </si>
  <si>
    <t>B01K7GEAFC</t>
  </si>
  <si>
    <t>5099206066670</t>
  </si>
  <si>
    <t>Logitech M330 SILENT PLUS Mouse Wireless, 2,4 GHz con Ricevitore USB Nano, Tracciamento Ottico 1000 DPI, Durata Batteria di 2 Anni, Compatibile con PC, Mac, Laptop, Chromebook - Nero</t>
  </si>
  <si>
    <t>B000XUQ2LI</t>
  </si>
  <si>
    <t>5051964149620</t>
  </si>
  <si>
    <t>Logitech Speakers S150 - Black - Usb - W</t>
  </si>
  <si>
    <t>B07W4DHCS5</t>
  </si>
  <si>
    <t>5099206086500</t>
  </si>
  <si>
    <t>Logitech MK470 Kit mouse e tastiera, Layout ‎Olandese-Belga AZERTY, Grigio</t>
  </si>
  <si>
    <t>8ISKBUCS</t>
  </si>
  <si>
    <t>B00AIIIKPQ</t>
  </si>
  <si>
    <t>013088334592</t>
  </si>
  <si>
    <t>0013088334592</t>
  </si>
  <si>
    <t>Logitech R700 Puntatore Laser Per Presentazioni Wireless, 2,4 GHz con Ricevitore USB Nano, ‎Pointer Laser Rosso, Campo Operativo da 30 Metri, Display LCD per Rilevare Tempo, 6 Pulsanti, per ‎PC - Nero</t>
  </si>
  <si>
    <t>B07W6H4R4G</t>
  </si>
  <si>
    <t>5099206103740</t>
  </si>
  <si>
    <t>Logitech MX Master 3S per Mac - Mouse Bluetooth Wireless con Scorrimento Ultraveloce, Ergo, 8K DPI, Click Silenziosi, Tracciamento su Vetro, Personalizzabile, USB-C, Apple, iPad - Space Grey</t>
  </si>
  <si>
    <t>B07W4DG81W</t>
  </si>
  <si>
    <t>Logitech G923 Volante da Corsa e Pedali TRUEFORCE fino a 1000 Hz di Ritorno di Forza, Pedale Reattivo, Launch Control, Doppia Frizione, Vera Pelle, per Xbox Series X|S, Xbox One e PC - Nero</t>
  </si>
  <si>
    <t>6JD3FE7O</t>
  </si>
  <si>
    <t>B00O8K42LQ</t>
  </si>
  <si>
    <t>5099206055483</t>
  </si>
  <si>
    <t>Logitech Keys-To-Go Tastiera Bluetooth, Sottile e Leggera, per iPhone, iPad, Apple TV e tutti i dispositivi iOS, Layout Italiano QWERTY - Nero</t>
  </si>
  <si>
    <t>B07W7KJC28</t>
  </si>
  <si>
    <t>5099206092563</t>
  </si>
  <si>
    <t>Logitech MK295 Kit Mouse e Tastiera Wireless, Tecnologia Silenttouch, Tastierino Numerico, Tasti Scelta Rapida, Tracciamento Ottico, Ricevitore USB Nano, Layout Italiano Qwerty, Bianco</t>
  </si>
  <si>
    <t>B07SCMTKGB</t>
  </si>
  <si>
    <t>5099206083394</t>
  </si>
  <si>
    <t>Logitech G403 Mouse Gaming, Sensore HERO 25K, LIGHTSYNC RGB, Leggero 87 g + 10 g Opzionale, Cavo Intrecciato, 25.600 DPI, Impugnature Laterali in Gomma, PC/Mac - Nero</t>
  </si>
  <si>
    <t>B07W5JKKHL</t>
  </si>
  <si>
    <t>5099206089020</t>
  </si>
  <si>
    <t>Logitech K380 Tastiera, Layout Tedesco Qwertz, Rosa</t>
  </si>
  <si>
    <t>B07W4DH1Y2</t>
  </si>
  <si>
    <t>5099206104785</t>
  </si>
  <si>
    <t>Logitech K380 - Tastiera multi-dispositivo wireless, Bluetooth, facile da usare, leggera, portatile, batteria per 2 anni, PC, laptop, Windows, Mac, Android, iPad OS, Apple TV, QWERTY spagnolo, viola</t>
  </si>
  <si>
    <t>4KLKWTOE</t>
  </si>
  <si>
    <t>B07W4DH8JM</t>
  </si>
  <si>
    <t>5099206104716</t>
  </si>
  <si>
    <t>K380 MULTI-DEVICE BT KEYBOARD SAND - DEU - CENTRAL</t>
  </si>
  <si>
    <t>B014S0DVDK</t>
  </si>
  <si>
    <t>817161015398</t>
  </si>
  <si>
    <t>5099206075252</t>
  </si>
  <si>
    <t>ASTRO Gaming A40 TR Cuffie Mod Kit, Microfono con Isolamento Vocale, ‎Cuscinetti Auricolari con Isolamento Acustico, Mascherine per Cuffie Close-Back, Personalizza il Tuo Look, Verde</t>
  </si>
  <si>
    <t>B07W7J6RBC</t>
  </si>
  <si>
    <t>5099206102972</t>
  </si>
  <si>
    <t>Logitech Zone Vibe 125 Cuffie Wireless con Microfono con Cancellazione del Rumore, Bluetooth, Ricevitore USB-A; Compatibile con Zoom, Google Voice, Google Meet, Mac/PC - Grigio</t>
  </si>
  <si>
    <t>B07W7LXYTR</t>
  </si>
  <si>
    <t>5099206101258</t>
  </si>
  <si>
    <t>Logitech POP Keys Tastiera Meccanica Wireless con Tasti Emoji Personalizzabili, Design Compatto Durevole, Connettività Bluetooth o USB, Compatibilità Multidispositivo e OS, Layout Italiano, Daydream</t>
  </si>
  <si>
    <t>B07W4DJ16Z</t>
  </si>
  <si>
    <t>5099206097568</t>
  </si>
  <si>
    <t>Logitech M220 SILENT Mouse Wireless, 2,4 GHz con Ricevitore USB, Tracciamento Ottico 1000 DPI, Durata Batteria di 18 Mesi, Ambidestro, Compatibile con PC, Mac, Laptop - Bianco</t>
  </si>
  <si>
    <t>B07W7KBRHZ</t>
  </si>
  <si>
    <t>5099206083400</t>
  </si>
  <si>
    <t>ASTRO Gaming A50 Cuffia Gaming Wireless Gen 4 Mod Kit Cuscinetti Auricolari in Pelle Sintetica, per A50 PS5, PS4, PC e A50 Xbox Series X|S, Xbox One, PC - Nero</t>
  </si>
  <si>
    <t>3T7ZSLFG</t>
  </si>
  <si>
    <t>B07W6H91JG</t>
  </si>
  <si>
    <t>5099206088764</t>
  </si>
  <si>
    <t>Logitech G TECLADO Frances G915 TKL TENKEYLESS Lightspeed fra</t>
  </si>
  <si>
    <t>B0711V7BV6</t>
  </si>
  <si>
    <t>097855135735</t>
  </si>
  <si>
    <t>5099206075122</t>
  </si>
  <si>
    <t>ASTRO Gaming A10 Cuffie Gaming Cablate con Microfono, Leggere e Resistenti, ASTRO Audio, Jack 3.5 mm, per Xbox Series X|S, Xbox One, PS5, PS4, Nintendo Switch, PC, Smartphone, Nero/Blu</t>
  </si>
  <si>
    <t>B07W7LFHH9</t>
  </si>
  <si>
    <t>5099206101227</t>
  </si>
  <si>
    <t>Logitech POP Keys Tastiera Meccanica Wireless con Tasti Emoji Personalizzabili, Design Compatto Durevole, Connettività Bluetooth o USB, Compatibilità Multidispositivo e OS, Layout Italiano, Blast</t>
  </si>
  <si>
    <t>B07W6GNXZF</t>
  </si>
  <si>
    <t>5099206092143</t>
  </si>
  <si>
    <t>Logitech MX Keys for Mac - Tastiera wireless avanzata illuminata, Layout Spagnolo QWERTY - Grigio</t>
  </si>
  <si>
    <t>B079VVQS1R</t>
  </si>
  <si>
    <t>5099206076747</t>
  </si>
  <si>
    <t>Logitech G560 PC Sistema di Speakers per Gaming, con DTS: X 7.1 Suono Ultra Surround, LIGHTSYNC RGB, Due Altoparlanti e Subwoofer, Esperienza di Gioco Immersiva, Nero</t>
  </si>
  <si>
    <t>B07G6LWTG6</t>
  </si>
  <si>
    <t>5099206080386</t>
  </si>
  <si>
    <t>Ultimate Ears Megaboom 3 Altoparlante Wireless Bluetooth Portatile, Impermeabile, Controllo Musica One Touch, Multidispositivo, Batteria fino a 20 h, Blu (Lagoon Blue)</t>
  </si>
  <si>
    <t>B07VFVRZ6Y</t>
  </si>
  <si>
    <t>5099206086586</t>
  </si>
  <si>
    <t>Logitech MK470 Kit Mouse e Tastiera, Layout Inglese Qwerty UK, Nero</t>
  </si>
  <si>
    <t>B07W4DH9CW</t>
  </si>
  <si>
    <t>5099206091849</t>
  </si>
  <si>
    <t>Logitech M190 Mouse Wireless, Design Ricurvo Ambidestro, Batteria fino a 18 Mesi con Funzione Risparmio Energia, Ricevitore USB, Cursore di Precisione, Rotella di Scorrimento, Blu</t>
  </si>
  <si>
    <t>6MKSEO6M</t>
  </si>
  <si>
    <t>B07W7M1LNM</t>
  </si>
  <si>
    <t>5099206107632</t>
  </si>
  <si>
    <t>Logitech Combo Touch Custodia con tastiera rimovibileper iPad (10ª generazione) ampio trackpad di precisione, tastiera standard retroilluminata e tecnologia Smart Connector, Italiano QWERTY - Grigio</t>
  </si>
  <si>
    <t>B07W7JYN4P</t>
  </si>
  <si>
    <t>5099206103917</t>
  </si>
  <si>
    <t>Logitech Zone Vibe 100 Cuffie Wireless Over-Ear Leggere con Microfono con Eliminazione del Rumore, Auricolare Bluetooth Multipoint, Compatibile con Teams, Google Meet, Zoom, Mac/PC - Grigio</t>
  </si>
  <si>
    <t>6MN9HM7H</t>
  </si>
  <si>
    <t>B01L6L451Q</t>
  </si>
  <si>
    <t>5099206065956</t>
  </si>
  <si>
    <t>Logitech G213 Prodigy Gaming Keyboard, RGB Lightsync Backlit Keys, Spill-Resistant, Customizable Keys, Dedicated Multi-Media Keys, QWERTY UK Layout, Nero</t>
  </si>
  <si>
    <t>B07TTB3SRB</t>
  </si>
  <si>
    <t>5099206083691</t>
  </si>
  <si>
    <t>ASTRO Gaming A50 Cuffia Wireless + Stazione Base di Ricarica, 4° Gen, Dolby Audio, Controllo Equilibrio Gioco/Voce, 2.4 GHz Wireless, 15 m di portata per Xbox Series X|S, Xbox One, PC, Nero/Oro</t>
  </si>
  <si>
    <t>B07W6HJPSW</t>
  </si>
  <si>
    <t>5099206099395</t>
  </si>
  <si>
    <t>Logitech G PRO X Cuffie Gaming - Microfono Removibile Blue VO!CE, Comodi Cuscinetti in Memory Foam, DTS Headphone 7.1 e Driver PRO G 50 mm, Edizione Ufficiale di League of Legends - Blu/Oro</t>
  </si>
  <si>
    <t>B01LCQTEXE</t>
  </si>
  <si>
    <t>5099206066229</t>
  </si>
  <si>
    <t>Logitech B220 SILENT Mouse Wireless, 2,4 GHz con Ricevitore USB, Tracciamento Ottico 1000 DPI, Durata Batteria di 18 Mesi, Ambidestro, Compatibile con PC, Mac, Laptop - Grigio</t>
  </si>
  <si>
    <t>B07W7KV4GH</t>
  </si>
  <si>
    <t>5099206103368</t>
  </si>
  <si>
    <t>Logitech MX Mechanical Mini Tastiera Retroilluminata Wireless per Mac, Switch a Basso Profilo, Tasti Tattili Silenziosi, Retroilluminati, Bluetooth, USB-C, Apple, iPad, QWERTY US Intl - Space Grey</t>
  </si>
  <si>
    <t>B07W1NZXRB</t>
  </si>
  <si>
    <t>5099206080638</t>
  </si>
  <si>
    <t>Logitech G915 LIGHTSPEED Tastiera Gaming Meccanica Wireless, Profilo Ribassato, GL-Tactile Switches, LIGHTSYNC RGB, Design Sottile, +30 ore di Durata della Batteria, QWERTY US Layout, Nero</t>
  </si>
  <si>
    <t>B00CJ5FP2C</t>
  </si>
  <si>
    <t>5099206041905</t>
  </si>
  <si>
    <t>Logitech F710 Wireless Gamepad, 2,4 GHz Wireless con Nano-ricevitore USB, Controller Dual Vibration Feedback, 4 Switch D-Pad, PC, Grigio/Nero</t>
  </si>
  <si>
    <t>B01BGBJ8Y0</t>
  </si>
  <si>
    <t>190268110068</t>
  </si>
  <si>
    <t>5054533000551</t>
  </si>
  <si>
    <t>Logitech C270 Webcam HD, HD 720p/30fps, Videochiamate HD Widescreen, Correzione Automatica ‎Luminosità, Microfono Riduzione del Rumore, Skype, FaceTime, Hangouts, ‎WebEx,PC/Mac/Tablet/Chromebook</t>
  </si>
  <si>
    <t>B0056466CQ</t>
  </si>
  <si>
    <t>5099206027534</t>
  </si>
  <si>
    <t>Logitech K360 Tastiera Wireless Compatta per Windows, Layout Internazionale QWERTY - Nero</t>
  </si>
  <si>
    <t>B07W5JK2S4</t>
  </si>
  <si>
    <t>5099206101944</t>
  </si>
  <si>
    <t>Logitech MX Keys Mini Tastiera Illuminata Wireless, Minimal, Compatta, Bluetooth, Retroilluminata, USB-C, Compatibile con Apple macOS, iOS, Windows, Linux, Android, in Metallo - Rosa</t>
  </si>
  <si>
    <t>B07W6HT7X6</t>
  </si>
  <si>
    <t>5099206096769</t>
  </si>
  <si>
    <t>Logitech MX Keys for Business - tastiera wireless retroilluminata, Layout ‎Francese AZERTY - Grigio</t>
  </si>
  <si>
    <t>B019RPQML4</t>
  </si>
  <si>
    <t>5099206062870</t>
  </si>
  <si>
    <t>Logitech M171 Mouse Wireless, 2.4 GHz con Mini Ricevitore USB, Rilevamento Ottico, Durata ‎Batteria Fino a 12 Mesi, Mouse Ambidestro per PC/Mac/Laptop, Rosso</t>
  </si>
  <si>
    <t>B08GX3XFYH</t>
  </si>
  <si>
    <t>097855169839</t>
  </si>
  <si>
    <t>0097855169839</t>
  </si>
  <si>
    <t>Logitech Mevo Supporto da tavolo, supporto versatile e stabile per videocamere Mevo su un tavolo o una scrivania - Nero</t>
  </si>
  <si>
    <t>B07W6HSPY6</t>
  </si>
  <si>
    <t>5099206092921</t>
  </si>
  <si>
    <t>LOGC5</t>
  </si>
  <si>
    <t>Logitech K380 Tastiera, Layout ‎Americano Qwerty, Bianco</t>
  </si>
  <si>
    <t>B0038NRMKW</t>
  </si>
  <si>
    <t>5099206020993</t>
  </si>
  <si>
    <t>Logitech MK710 Kit Mouse e Tastiera Wireless, Layout Francese Azerty, Nero</t>
  </si>
  <si>
    <t>B07W5JKHFR</t>
  </si>
  <si>
    <t>5099206099845</t>
  </si>
  <si>
    <t>Logitech Lift Mouse Ergonomico Verticale, Senza Fili, Ricevitore Bluetooth o Logi Bolt USB, Clic Silenziosi, 4 Tasti, Compatibile con Windows / macOS / iPadOS, Laptop, PC - Bianco</t>
  </si>
  <si>
    <t>B07W7MNYX5</t>
  </si>
  <si>
    <t>5099206105102</t>
  </si>
  <si>
    <t>Logitech Pebble Mouse Wireless con Bluetooth o ricevitore 2,4 GHz, Silenzioso, Mouse Sottile con Clic Silenziosi Per Laptop, Notebook, iPad, PC e Mac - Mirtillo</t>
  </si>
  <si>
    <t>B074C9LZVX</t>
  </si>
  <si>
    <t>5099206074897</t>
  </si>
  <si>
    <t>Logitech G613 Tastiera Meccanica per Giochi, Wireless, con Tecnologia Lightspeed, Layout Francese</t>
  </si>
  <si>
    <t>B07W6JNQ1Y</t>
  </si>
  <si>
    <t>5099206098831</t>
  </si>
  <si>
    <t>Logitech MXKEYS MINI WRLS ILLUMINATO KB GRAFITE - DEU - CENTRALE</t>
  </si>
  <si>
    <t>B01GHP1IDY</t>
  </si>
  <si>
    <t>5099206064249</t>
  </si>
  <si>
    <t>Logitech G910 Orion Spectrum Tastiera Gaming Meccanica Illuminata, Tasti Retroilluminati ‎LIGHTSYNC RGB, Switch Romer-G Tactile, 9 tasti G Programmabili, Secondo Schermo Arx, Layout ‎Tedesco QWERTZ</t>
  </si>
  <si>
    <t>B07W6GVZFJ</t>
  </si>
  <si>
    <t>5099206104327</t>
  </si>
  <si>
    <t>B00564NI9U</t>
  </si>
  <si>
    <t>5099206021372</t>
  </si>
  <si>
    <t>Logitech K120 Tastiera Cablata, Layout ‎Spagnolo Qwerty</t>
  </si>
  <si>
    <t>B006YYNGNY</t>
  </si>
  <si>
    <t>5099206029859</t>
  </si>
  <si>
    <t>Logitech MK220 Combo Tastiera e Mouse Wireless Compatti per Windows, Layout Internazionale QWERTY - Nero</t>
  </si>
  <si>
    <t>B07W5JKPK4</t>
  </si>
  <si>
    <t>5099206098398</t>
  </si>
  <si>
    <t>Logitech G413 SE Tastiera Meccanica Gaming Full Size, Layout Spagnolo QWERTY - Nero</t>
  </si>
  <si>
    <t>2022-12-31</t>
  </si>
  <si>
    <t>B00CGX8Q46</t>
  </si>
  <si>
    <t>013895010573</t>
  </si>
  <si>
    <t>4054842255537</t>
  </si>
  <si>
    <t>Logitech H820e Cuffie Wireless, Cuffie Stereo Con Microfono a Cancellazione di Rumore, USB, ‎Controlli Cuffia, Indicatore LED, Compatibili Con PC/Mac/Laptop, Nero</t>
  </si>
  <si>
    <t>86DLD4XX</t>
  </si>
  <si>
    <t>B078MLBGRM</t>
  </si>
  <si>
    <t>836213000236</t>
  </si>
  <si>
    <t>0836213000236</t>
  </si>
  <si>
    <t>Blue Compass Braccio per Microfono Tubolare, per Broadcast con Molle Interne, Supporto da Tavolo e Gestione dei Cavi Interna, per Registrazione, Gaming, Streaming, Podcasting, Nero</t>
  </si>
  <si>
    <t>B07W7K29YM</t>
  </si>
  <si>
    <t>5099206092549</t>
  </si>
  <si>
    <t>Logitech MK295 Kit Mouse e Tastiera Wireless, Layout Tedesco Qwertz, Bianco</t>
  </si>
  <si>
    <t>B07W6G822V</t>
  </si>
  <si>
    <t>5099206105089</t>
  </si>
  <si>
    <t>Logitech Pebble Mouse Wireless con Bluetooth o ricevitore 2,4 GHz, Silenzioso, Mouse Sottile con Clic Silenziosi Per Laptop, Notebook, iPad, PC e Mac - Sabbia</t>
  </si>
  <si>
    <t>7111PLSB</t>
  </si>
  <si>
    <t>2CS3RNQS</t>
  </si>
  <si>
    <t>B07W6JP8N2</t>
  </si>
  <si>
    <t>5099206085879</t>
  </si>
  <si>
    <t>Logitech G502 HERO Special Edition Mouse Gaming Prestazioni Elevate, Sensore HERO 25K, 25.600 DPI, RGB, Pesi Regolabili, 11 Pulsanti Programmabili, PC/Mac/Laptop, Bianco/Nero</t>
  </si>
  <si>
    <t>B07W5JJ1WH</t>
  </si>
  <si>
    <t>5099206086869</t>
  </si>
  <si>
    <t>Logitech MX Keys Tastiera Wireless Illuminata Avanzata, Bluetooth, Digitazione tattile, Tasti ‎Retroilluminati, USB-C, PC/Mac/Laptop Windows/Linux/IOS/Android, Layout Italiano ‎QWERTY - Nero Grafite</t>
  </si>
  <si>
    <t>B07W7L32NJ</t>
  </si>
  <si>
    <t>5099206107427</t>
  </si>
  <si>
    <t>Logitech per iPad (10ª generazione) Custodia con tastiera | Slim Folio con tastiera wireless integrata (grafite) - German Layout</t>
  </si>
  <si>
    <t>B005BFCNYU</t>
  </si>
  <si>
    <t>013686004552</t>
  </si>
  <si>
    <t>5054533366169</t>
  </si>
  <si>
    <t>Logitech H390 Cuffie Cablate, Cuffia Stereo con Microfono Regolabile con Cancellazione del ‎‎Rumore, USB, Controlli sul Cavo, PC/Mac/Laptop/Chromebook - Nero</t>
  </si>
  <si>
    <t>B07DFT9YHV</t>
  </si>
  <si>
    <t>5099206080065</t>
  </si>
  <si>
    <t>Logitech G513 Tastiera Gaming Meccanica Con Poggiapolsi, Tasti Retroilluminati LIGHTSYNC RGB, ‎Switch Meccanici GX Blue, Alluminio Aeronautico, Personalizzabile, USB, Layout ‎Tedesco QWERTZ, Carbone</t>
  </si>
  <si>
    <t>B07W7MY2K8</t>
  </si>
  <si>
    <t>5099206091832</t>
  </si>
  <si>
    <t>Logitech M190 Mouse Wireless, Design Ricurvo Ambidestro, Batteria fino a 18 Mesi con Funzione Risparmio Energia, Ricevitore USB, Cursore di Precisione, Rotella di Scorrimento, Grigio</t>
  </si>
  <si>
    <t>B07W7KNWK5</t>
  </si>
  <si>
    <t>5099206086050</t>
  </si>
  <si>
    <t>Logitech G513 Tastiera Gaming Cablata Meccanica con Poggiapolsi, RGB LIGHTSYNC, GX Red Lienear Switch, Telaio in alluminio spazzolato, Tasti Personalizzabili, USB, QWERTY US Layout, Carbon, Nero</t>
  </si>
  <si>
    <t>B008S1IOCY</t>
  </si>
  <si>
    <t>097855089595</t>
  </si>
  <si>
    <t>0072015025910</t>
  </si>
  <si>
    <t>Logitech H340 Cuffie Cablate per Computer, Cuffie Stereo con Microfono e Audio Digitale, ‎Cancellazione Rumore, USB, PC/Mac/Laptop/Chromebook - Nero</t>
  </si>
  <si>
    <t>B07W6JNK1Z</t>
  </si>
  <si>
    <t>5099206094796</t>
  </si>
  <si>
    <t>Logitech G335 Cuffie Gaming Cablate, Microfono Flip to Mute, Jack Audio da 3.5 mm, Padiglioni in Memory Foam, Leggera, Compatibile con PC, PlayStation, Xbox, Nintendo Switch - Bianco</t>
  </si>
  <si>
    <t>2JG1PBDC</t>
  </si>
  <si>
    <t>6N7I6OMH</t>
  </si>
  <si>
    <t>B00413BI7Q</t>
  </si>
  <si>
    <t>5052916476818</t>
  </si>
  <si>
    <t>Logitech Z623 THX Sistema di Altoparlanti 2.1 con Subwoofer, Certificazione THX, 400 Watt, Bassi ‎Profondi, Multi-Dispositivo, Porta 3.5 mm e RCA, Presa UK, PC/PS4/Xbox/DVD/TV/Smartphone/Tablet</t>
  </si>
  <si>
    <t>B07W7LNTMC</t>
  </si>
  <si>
    <t>5099206104396</t>
  </si>
  <si>
    <t>16QFG5EW</t>
  </si>
  <si>
    <t>B00EUUX59O</t>
  </si>
  <si>
    <t>4056572634248</t>
  </si>
  <si>
    <t>Logitech Z200 Altoparlanti per PC, Audio Stereo Completo, 10 Watt, 2 Ingressi Audio 3.5 mm, Jack ‎per Cuffie, Bassi Regolabili, Controllo Volume, Presa EU/IT, Computer/TV/Smartphone/Tablet, Bianco</t>
  </si>
  <si>
    <t>B07VYGSZLM</t>
  </si>
  <si>
    <t>5099206080652</t>
  </si>
  <si>
    <t>Logitech G915 retroilluminato LIGHTSPEED lineare</t>
  </si>
  <si>
    <t>B00CJAEX5M</t>
  </si>
  <si>
    <t>041114200719</t>
  </si>
  <si>
    <t>0041114200719</t>
  </si>
  <si>
    <t>Logitech F710 Wireless Gamepad, 2.4 GHz Wireless con Nano-ricevitore USB, Controller Dual Vibration Feedback, 4 switch D-Pad, PC, Grigio/Nero</t>
  </si>
  <si>
    <t>B00ZWOUH4S</t>
  </si>
  <si>
    <t>5099206057661</t>
  </si>
  <si>
    <t>Logitech Driving Force Leva di Cambio, 6 Marce di Velocità con manopola ad H, Pomello del Cambio ‎in Vera Pelle, Sistema Montaggio Integrato, Compatibile con Volanti da Corsa G29 e G920, Nero</t>
  </si>
  <si>
    <t>33RKXX6H</t>
  </si>
  <si>
    <t>B003V4A5VG</t>
  </si>
  <si>
    <t>4054554528271</t>
  </si>
  <si>
    <t>Logitech K120 Tastiera con Cavo per Windows, Layout ‎Francese AZERTY - Nero</t>
  </si>
  <si>
    <t>B07W6HS3KX</t>
  </si>
  <si>
    <t>5099206097711</t>
  </si>
  <si>
    <t>Logitech K380 Multi-Device-Tastatur per Mac con Bluetooth, Scheda di Profilo Flessibile, Easy-Switch, Batteria 2 Anni, Compatibile con MacBook PRO, MacBook Air, iMac, iPad - Bianco</t>
  </si>
  <si>
    <t>8ESGGO9X</t>
  </si>
  <si>
    <t>B006A2Q81M</t>
  </si>
  <si>
    <t>063335991160</t>
  </si>
  <si>
    <t>5054230198094</t>
  </si>
  <si>
    <t>Logitech C920 HD Pro Webcam, Videochiamata Full HD 1080p/30fps, Audio Stereo ‎Chiaro, ‎Correzione Luce HD, Funziona con Skype, Zoom, FaceTime, Hangouts, ‎‎PC/Mac/Laptop/Tablet/Chromebook - Nero</t>
  </si>
  <si>
    <t>B0B8W3JR26</t>
  </si>
  <si>
    <t>5099206099906</t>
  </si>
  <si>
    <t>Logitech Lift for Mac, mouse ergonomico wireless, Bluetooth, clic silenzioso, smartwheel silenziosa, 4 pulsanti personalizzabili, per macOS/iPadOS/MacBook Pro/Macbook Air/iMac/iPad - OffWhite</t>
  </si>
  <si>
    <t>B01K7GEAF2</t>
  </si>
  <si>
    <t>5099206066205</t>
  </si>
  <si>
    <t>Logitech M220 SILENT Mouse Wireless, 2,4 GHz con Ricevitore USB, Tracciamento Ottico 1000 DPI, Durata Batteria di 18 Mesi, Ambidestro, Compatibile con PC, Mac, Laptop - Blu</t>
  </si>
  <si>
    <t>B00MWNDVIG</t>
  </si>
  <si>
    <t>5099206052710</t>
  </si>
  <si>
    <t>Logitech K480 Tastiera Wireless Multidispositivo per Windows, Layout Tedesco QWERTZ - Bianco</t>
  </si>
  <si>
    <t>B01KZVQB42</t>
  </si>
  <si>
    <t>5099206065086</t>
  </si>
  <si>
    <t>Logitech M720 Triathlon Mouse Wireless Multidispositivo, Bluetooth, Ricevitore USB Unifying, 1000 DPI, 6 Tasti Programmabili, Compatibile con Laptop, PC, Mac, iPadOS - Grigio</t>
  </si>
  <si>
    <t>5X874Q6M</t>
  </si>
  <si>
    <t>B07W7L19WV</t>
  </si>
  <si>
    <t>5099206088283</t>
  </si>
  <si>
    <t>Logitech Slim Folio per iPad (7ª, 8ª e 9ª generazione) Custodia con tastiera wireless integrata, Layout Italiano QWERTY - Grafite</t>
  </si>
  <si>
    <t>B07W4DGQC1</t>
  </si>
  <si>
    <t>5099206099265</t>
  </si>
  <si>
    <t>Mevo Start 3-Pack, Streaming in diretta con più videocamere wireless e risoluzione HD 1080p, Controllo app intelligente, Streaming tramite Wi-Fi - Nero</t>
  </si>
  <si>
    <t>B07DFWGKZ4</t>
  </si>
  <si>
    <t>5099206080119</t>
  </si>
  <si>
    <t>Logitech G513 Tastiera Gaming Meccanica Con Poggiapolsi, Tasti Retroilluminati LIGHTSYNC RGB, ‎Switch Meccanici GX Blue, Alluminio Aeronautico, Personalizzabile, USB, Layout Inglese ‎QWERTY, Carbone</t>
  </si>
  <si>
    <t>8GSFVICR</t>
  </si>
  <si>
    <t>B006LNTSP8</t>
  </si>
  <si>
    <t>5099206029835</t>
  </si>
  <si>
    <t>Logitech MK220 Combo Tastiera e Mouse Wireless Compatti per Windows, Layout Spagnolo QWERTY - Nero</t>
  </si>
  <si>
    <t>B010EPT2X6</t>
  </si>
  <si>
    <t>5099206059429</t>
  </si>
  <si>
    <t>Logitech K400 Plus Tastiera Wireless Touch TV, Facili Controlli Multimediali e Touchpad Integrato, Layout Internazionale QWERTY - Nero</t>
  </si>
  <si>
    <t>B07W4DGQSX</t>
  </si>
  <si>
    <t>5099206105683</t>
  </si>
  <si>
    <t>Logitech Signature K650 Tastiera Poggiapolsi Wireless Full-size, Tedesco QWERTZ - Bianco</t>
  </si>
  <si>
    <t>B07W6HZ85B</t>
  </si>
  <si>
    <t>5099206103795</t>
  </si>
  <si>
    <t>Ultimate Ears WONDERBOOM 3, Altoparlante Portatile Wireless Bluetooth, Suono a 360 Gradi con Bassi Profondi, Impermeabile, Antipolvere IP67, Galleggiante, Portata 40 m - Grigio</t>
  </si>
  <si>
    <t>B07W6GVS5C</t>
  </si>
  <si>
    <t>5099206087316</t>
  </si>
  <si>
    <t>Logitech G213 Prodigy Tastiera Gaming Cablata, LIGHTSYNC RGB, Tasti Retroilluminati, Resistente Agli Schizzi, Tasti Personalizzabili, Controlli Dedicati Multimediali, QWERTY Layout Italiano, Nero</t>
  </si>
  <si>
    <t>B07W5JK4LF</t>
  </si>
  <si>
    <t>5099206092402</t>
  </si>
  <si>
    <t>Logitech MK295 Kit Mouse e Tastiera Wireless – Tecnologia SilentTouch, Tastierino Numerico, Tasti Scelta Rapida, Tracciamento Ottico Avanzato, Ricevitore USB Nano, Layout Italiano QWERTY - Grigio</t>
  </si>
  <si>
    <t>B07W5JHLZK</t>
  </si>
  <si>
    <t>5099206086203</t>
  </si>
  <si>
    <t>2303200</t>
  </si>
  <si>
    <t>2303204</t>
  </si>
  <si>
    <t>Logitech G G512 Tastiera USB QWERTZ Tedesco Carbonio - Logitech G G512, Standard, USB, Interruttore a Chiave Meccanica, QWERTZ, LED RGB, Carbonio</t>
  </si>
  <si>
    <t>&lt;p&gt;Logitech G G512. Fattore di forma tastiera: Standard. Stile tastiera: Dritto. Interfaccia dispositivo: USB, Interruttore a chiave per tastiera: Interruttore a chiave meccanica, Struttura tastiera: QWERTZ. Tipologia di retroilluminazione: LED RGB. Lunghezza cavo: 0,3 m. Utilizzo raccomandato: Giocare. Colore del prodotto: Carbonio&lt;/p&gt; Requisiti di sistema&lt;p&gt; &lt;br&gt;-Sistema operativo Windows supportato: Windows 10,Windows 7,Windows 8,Windows 8.1&lt;br&gt; &lt;br&gt; Dimensioni e peso&lt;p&gt; &lt;br&gt;-Dimensioni tastiera (WxDxH): 445 x 132 x 35,5 mm&lt;br&gt; -Peso della tastiera: 1,13 kg&lt;br&gt; &lt;br&gt; Gestione energetica&lt;p&gt; &lt;br&gt;-Tipologia alimentazione: USB&lt;br&gt; &lt;br&gt; Tastiera&lt;p&gt; &lt;br&gt;-Utilizzo raccomandato: Giocare&lt;br&gt; -Interfaccia dispositivo: USB&lt;br&gt; -Interruttore a chiave per tastiera: Interruttore a chiave meccanica&lt;br&gt; -Struttura tastiera: QWERTZ&lt;br&gt; -Linguaggio tastiera: Tedesco&lt;br&gt; -Dispositivo di puntatura: No&lt;br&gt; -Fattore di forma tastiera: Standard&lt;br&gt; -Tastiera numerica: Sì&lt;br&gt; -Tasti Windows: Sì&lt;br&gt; -Distanza di pressione del tasto: 4 mm&lt;br&gt; -Forza di attuazione: 50 g&lt;br&gt; &lt;br&gt; Dati su imballaggio&lt;p&gt; &lt;br&gt;-Numero di prodotti inclusi: 1 pezzo(i)&lt;br&gt; -Guida utente: Sì&lt;br&gt; &lt;br&gt; Ergonomia&lt;p&gt; &lt;br&gt;-Lunghezza cavo: 0,3 m&lt;br&gt; -Quantità porte USB 2.0: 1&lt;br&gt; &lt;br&gt; Design&lt;p&gt; &lt;br&gt;-Retroilluminazione: Sì&lt;br&gt; -Stile tastiera: Dritto&lt;br&gt; -Riposo del polso: No&lt;br&gt; -Colore del prodotto: Carbonio&lt;br&gt; -Tipologia di retroilluminazione: LED RGB&lt;br&gt; -Colore retroilluminazione: Multi&lt;br&gt; &lt;br&gt; Mouse&lt;p&gt; &lt;br&gt;-Mouse incluso: No&lt;br&gt; &lt;br&gt;</t>
  </si>
  <si>
    <t>4EYWO72F</t>
  </si>
  <si>
    <t>B0099P55SY</t>
  </si>
  <si>
    <t>095205964028</t>
  </si>
  <si>
    <t>5099206033528</t>
  </si>
  <si>
    <t>Logitech Mk330 Kit Tastiera E Mouse Wireless Per Windows, Wireless 2.4 Ghz Con Ricevitore Usb ‎Unifying, Batteria Durevole, Pc/Laptop, Layout Italiano ‎Qwerty, Nero, ‎44.1 x 14.9 x 1.8 cm; 420 grammi</t>
  </si>
  <si>
    <t>Cost Variance Distributor Shipment</t>
  </si>
  <si>
    <t>B00EUUXFFS</t>
  </si>
  <si>
    <t>5054533486287</t>
  </si>
  <si>
    <t>Logitech Z150 Altoparlanti Stereo Multimediali Compatti, Ingresso Audio da 3.5 mm, Controlli ‎Integrati, Jack Per Cuffie, Presa EU/IT, Computer/Smartphone/Tablet/Lettore Musicale, Nero (Notte)</t>
  </si>
  <si>
    <t>5YWSGF4J</t>
  </si>
  <si>
    <t>B01G7AWZEA</t>
  </si>
  <si>
    <t>5099206064294</t>
  </si>
  <si>
    <t>Logitech G910 Orion Spectrum Tastiera Gaming Meccanica Illuminata, Tasti Retroilluminati Lightsync Rgb, Nero</t>
  </si>
  <si>
    <t>B07JB68RTK</t>
  </si>
  <si>
    <t>5099206080171</t>
  </si>
  <si>
    <t>Logitech G512 tastiera meccanica da gioco, GX-Blue Clicky, illuminazione LIGHTSYNC RGB, passante USB, alloggiamento in alluminio, tasti F programmabili, layout QWERTZ tedesco, nero</t>
  </si>
  <si>
    <t>Gioco a livello di gioco con Logitech G512, einer leistungsstarken meccanismi RGB-Gaming-Tastatur. Passe die das gesamte Farbspektrum abdeckende RGB-Beleuchtung für jede einzelne Taste an: Die LIGHTSYNC-Technologie sorgt mit spielbasierten Beleuchtungsfarben und -effekten für ein Gaming-Lichterlebnis dem nächsten el. L'adattatore USB-Durchschleif-Anschluss è un problema che si adatta perfettamente a Maus, a Flash-Laufwerks oder Smartphones per la gestione dei dati o dei direktes Aufladen. Caso superiore in alluminio sorgt per flaches e flaches Gehäuse con design metallico. Con Logitech G HUB Software können Sie mühelos die gesamte Reihe der Funktionstasten programmieren, um Beleuchtung, Lautstärke, Mediensteuerung und vieles mehr buchstäblich in der Hand zu haben.</t>
  </si>
  <si>
    <t>B003STDR1E</t>
  </si>
  <si>
    <t>743172104656</t>
  </si>
  <si>
    <t>5054230595428</t>
  </si>
  <si>
    <t>Logitech M705 Marathon Mouse Wireless, Ricevitore USB Unifying 2,4 GHz, 1000 DPI, 5 Pulsanti Programmabili, Durata Batteria di 3 Anni, Compatibile con PC, Mac, Laptop, Chromebook - Nero</t>
  </si>
  <si>
    <t>B076K126YZ</t>
  </si>
  <si>
    <t>097855169846</t>
  </si>
  <si>
    <t>0853359004287</t>
  </si>
  <si>
    <t>Logitech Mevo Start Soporte de suelo, soporte de perfil bajo ajustable para personas sentadas y de pie con cámaras Mevo - Negro</t>
  </si>
  <si>
    <t>B07W5JJ1WM</t>
  </si>
  <si>
    <t>5099206091801</t>
  </si>
  <si>
    <t>Logitech G PRO X SUPERLIGHT Mouse Gaming Wireless, Leggero 63 g, Sensore HERO 25K, 25.600 DPI, 5 Tasti Programmabili, Lunga Autonomia, Memoria Integrata, per eSport, Compatibile con PC e Mac</t>
  </si>
  <si>
    <t>7Z4XWHJO</t>
  </si>
  <si>
    <t>B07W5JK3M6</t>
  </si>
  <si>
    <t>5099206087019</t>
  </si>
  <si>
    <t>Blue Yeti Nano Microfono USB Premium per Registrazione, Streaming, Gaming, Podcast su PC e Mac, Mic a Condensatore, Effetti Blue VO!CE, Cardioide e Omni, Monitoraggio Senza Latenza - Nero</t>
  </si>
  <si>
    <t>B013SL26LS</t>
  </si>
  <si>
    <t>5099206061439</t>
  </si>
  <si>
    <t>Logitech K380 Tastiera Bluetooth Multidispositivo per Windows, Apple iOS, ‎Bluetooth Wireless, Design Compatto, PC/Mac/Laptop/Smartphone/Tablet, Layout Italiano ‎QWERTY, Blu</t>
  </si>
  <si>
    <t>B079YGFNC7</t>
  </si>
  <si>
    <t>5099206077393</t>
  </si>
  <si>
    <t>Logitech MK540 Kit Mouse e Tastiera, Layout Svizzero &amp;lrm;Qwertz</t>
  </si>
  <si>
    <t>35T37A7J</t>
  </si>
  <si>
    <t>B07W7L9JXH</t>
  </si>
  <si>
    <t>5099206099135</t>
  </si>
  <si>
    <t>Logitech MXKEYS Mini F. Mac WRLS Illum. Grigio Pale - ESP - MEDITER</t>
  </si>
  <si>
    <t>5YIK1RKM</t>
  </si>
  <si>
    <t>B07W4DHQJ9</t>
  </si>
  <si>
    <t>5099206092273</t>
  </si>
  <si>
    <t>Logitech Ergo M575 Mouse Trackball Wireless - Facile Controllo Con Il Pollice, Tracciamento Fluido, Per Windows, Pc E Mac, Con Bluetooth E Usb, Nero, ‎10 x 4.8 x 13.4 cm; 145 grammi</t>
  </si>
  <si>
    <t>2NHJ23TZ</t>
  </si>
  <si>
    <t>B07W4DHY5F</t>
  </si>
  <si>
    <t>5099206096318</t>
  </si>
  <si>
    <t>Logitech G G502 X Mouse Gaming Cablato - Switch Principali Ottico-Meccanici Ibridi LIGHTFORCE, Sensore per Gaming HERO 25K, Compatibile con PC - macOS/Windows - Bianco</t>
  </si>
  <si>
    <t>B07W4DHP2H</t>
  </si>
  <si>
    <t>5099206097780</t>
  </si>
  <si>
    <t>Logitech K380 F. Mac Multi-Dispositivo BTKEYB - Rosa - ESP - MEDITER</t>
  </si>
  <si>
    <t>B07VWF2HCL</t>
  </si>
  <si>
    <t>5099206080799</t>
  </si>
  <si>
    <t>Logitech Logitech G G815 - GL Tactile tastiera USB QWERTY Inglese UK Nero (G815 Lightspeed RGB Mec ==79note168-76 23/03/20220,89</t>
  </si>
  <si>
    <t>B07W7L6HHN</t>
  </si>
  <si>
    <t>5099206106062</t>
  </si>
  <si>
    <t>Logitech M100 Mouse USB con Cavo, 3 Pulsanti, Tracciamento Ottico 1000 DPI, Ambidestro, Compatibile con PC, Mac, Laptop - Bianco</t>
  </si>
  <si>
    <t>B07G6MBCG3</t>
  </si>
  <si>
    <t>5099206080287</t>
  </si>
  <si>
    <t>Ultimate Ears Boom 3 Altoparlante Wireless Bluetooth Portatile, 90Hz - 20kHz, Bassi Profondi‎, Impermeabile, Multidispositivo, Batteria di 15 h, Raggio 45 m, Nero</t>
  </si>
  <si>
    <t>3OL6Y8AF</t>
  </si>
  <si>
    <t>B00M6MLYZU</t>
  </si>
  <si>
    <t>638084718551</t>
  </si>
  <si>
    <t>5099206053304</t>
  </si>
  <si>
    <t>Logitech H570e Cuffie Cablate, Cuffie Mono con Microfono Cancellazione di Rumore, USB, Controlli ‎in Linea con Pulsante Disattiva Audio, Indicatore LED, Compatibili Con PC/Mac/Laptop - Nero</t>
  </si>
  <si>
    <t>2022-12-12</t>
  </si>
  <si>
    <t>33A3KRGG</t>
  </si>
  <si>
    <t>B07W6JNG13</t>
  </si>
  <si>
    <t>5099206091788</t>
  </si>
  <si>
    <t>Logitech G733 LIGHTSPEED Cuffia Wireless con Microfono Gaming con Fascia per la Testa a Sospensione, LIGHTSYNC RGB, Tecnologia Microfono Blue VO!CE, Driver Audio Pro-G, Leggera - Blu</t>
  </si>
  <si>
    <t>B07W5JK4VQ</t>
  </si>
  <si>
    <t>5099206091856</t>
  </si>
  <si>
    <t>Logitech M190 Mouse Wireless, Design Ricurvo Ambidestro, Batteria fino a 18 Mesi con Funzione Risparmio Energia, Ricevitore USB, Cursore di Precisione, Rotella di Scorrimento, Rosso</t>
  </si>
  <si>
    <t>B07W6HSPY7</t>
  </si>
  <si>
    <t>5099206097186</t>
  </si>
  <si>
    <t>Logitech Signature M650 L Mouse Wireless Full Size, Per Mani Grandi, Clic Silenziosi, Tasti Laterali Personalizzabili, Bluetooth, Compatibilità Multidispositivo, Rosa</t>
  </si>
  <si>
    <t>B07W5JKHFZ</t>
  </si>
  <si>
    <t>5099206103726</t>
  </si>
  <si>
    <t>Logitech MX Master 3S - Mouse Wireless ad Alte Prestazioni, Scorrimento Ultraveloce, Ergo, 8K DPI, Tracciamento su Vetro, Clic Silenziosi, USB C, Bluetooth, Windows, Linux, Chrome - Grigio scuro</t>
  </si>
  <si>
    <t>1KVFEQGM</t>
  </si>
  <si>
    <t>B07W6JKJ5J</t>
  </si>
  <si>
    <t>5099206106741</t>
  </si>
  <si>
    <t>Logitech Rugged Folio per iPad (10ª generazione) Custodia con tastiera protettiva con Smart Connector e tastiera a prova di liquidi - Spanish Layout</t>
  </si>
  <si>
    <t>B07W5JK8YR</t>
  </si>
  <si>
    <t>5099206092846</t>
  </si>
  <si>
    <t>Logitech G305 LIGHTSPEED Mouse Gaming Wireless, Sensore 12K HERO, 12.000 DPI, Design Leggero, 6 Pulsanti Programmabili, Batteria 250 Ore, Memoria Integrata, PC/Laptop - Blu</t>
  </si>
  <si>
    <t>B00EJ3RMRS</t>
  </si>
  <si>
    <t>5099206046856</t>
  </si>
  <si>
    <t>Logitech K280E Pro Tastiera Business Cablata, Layout US ‎Internazionale Qwerty, Nero</t>
  </si>
  <si>
    <t>B0078M385M</t>
  </si>
  <si>
    <t>5099206032941</t>
  </si>
  <si>
    <t>Logitech K270 Tastiera Wireless per Windows, Layout ‎Francese AZERTY - Nero</t>
  </si>
  <si>
    <t>B07W8P4PDD</t>
  </si>
  <si>
    <t>5099206099807</t>
  </si>
  <si>
    <t>Logitech Lift Left Mouse Ergonomico Verticale, per Mancini, Senza Fili, Bluetooth o Logi Bolt USB, Clic Silenziosi, 4 Tasti, Compatibile con Windows / macOS / iPadOS, Laptop, PC - Grafite</t>
  </si>
  <si>
    <t>B07W6GM6PW</t>
  </si>
  <si>
    <t>5099206103788</t>
  </si>
  <si>
    <t>Ultimate Ears WONDERBOOM 3, Altoparlante Portatile Wireless Bluetooth, Suono a 360 Gradi con Bassi Profondi, Impermeabile, Antipolvere IP67, Galleggiante, Portata 40 m - Rosa</t>
  </si>
  <si>
    <t>B007BNE3QQ</t>
  </si>
  <si>
    <t>5054565328234</t>
  </si>
  <si>
    <t>Logitech K270 Tastiera Wireless per Windows, Layout Internazionale QWERTY - Nero</t>
  </si>
  <si>
    <t>B008M4RH1G</t>
  </si>
  <si>
    <t>5099206020924</t>
  </si>
  <si>
    <t>Logitech K120 Tastiera con Cavo per Windows, Layout Internazionale QWERTY - Nero</t>
  </si>
  <si>
    <t>172UACJH</t>
  </si>
  <si>
    <t>B01MCXJWD1</t>
  </si>
  <si>
    <t>5099206069909</t>
  </si>
  <si>
    <t>Logitech G Saitek Pro Flight Yoke System, Sistema Leva di Controllo di Volo, Quadrante ‎Acceleratore per Simulazioni Professionali, Leva Stelo Acciaio, 75 Controlli Programmabili, ‎Connessione USB, PC</t>
  </si>
  <si>
    <t>B07W6H9L5G</t>
  </si>
  <si>
    <t>5099206082830</t>
  </si>
  <si>
    <t>Logitech G923 Volante da Corsa e Pedali per Xbox One e PC, Presa Inglese - Nero</t>
  </si>
  <si>
    <t>B00N1YPXW2</t>
  </si>
  <si>
    <t>788115127965</t>
  </si>
  <si>
    <t>5099206084070</t>
  </si>
  <si>
    <t>Blue Yeti Microfono USB per Registrazione, Streaming, Gaming, Podcasting su PC e Mac, Mic a Condensatore per Laptop o Computer, Effetti Blue VO!CE, Stand Regolabile, Plug and Play - Nero</t>
  </si>
  <si>
    <t>B004ZH0RHK</t>
  </si>
  <si>
    <t>5099206027442</t>
  </si>
  <si>
    <t>Logitech K360 Tastiera Wireless Compatta per Windows, Layout Tedesco QWERTZ - Nero</t>
  </si>
  <si>
    <t>B003ZY9Z40</t>
  </si>
  <si>
    <t>785307925545</t>
  </si>
  <si>
    <t>5054184108859</t>
  </si>
  <si>
    <t>Logitech K120 Tastiera Cablata, Layout UK ‎Qwerty, Nero</t>
  </si>
  <si>
    <t>B07W4DGZ54</t>
  </si>
  <si>
    <t>5099206092372</t>
  </si>
  <si>
    <t>Logitech MK295 Kit Mouse e Tastiera Wireless, Layout Tedesco Qwertz, Grigio</t>
  </si>
  <si>
    <t>B004LAWLPW</t>
  </si>
  <si>
    <t>097855067081</t>
  </si>
  <si>
    <t>5054484155997</t>
  </si>
  <si>
    <t>Logitech K120 Tastiera Cablata, Layout US ‎Qwerty, Nero</t>
  </si>
  <si>
    <t>B00779631W</t>
  </si>
  <si>
    <t>5099206032927</t>
  </si>
  <si>
    <t>Logitech K270 Tastiera Wireless per Windows, Layout Spagnolo QWERTY - Nero</t>
  </si>
  <si>
    <t>B013SL2050</t>
  </si>
  <si>
    <t>5099206061422</t>
  </si>
  <si>
    <t>Logitech K380 Tastiera Bluetooth Multidispositivo per Windows, Apple iOS, ‎Bluetooth Wireless, Design Compatto, PC/Mac/Laptop/Smartphone/Tablet, Layout Italiano ‎QWERTY, Nero</t>
  </si>
  <si>
    <t>B07W7L3HJP</t>
  </si>
  <si>
    <t>5099206106192</t>
  </si>
  <si>
    <t>14700200</t>
  </si>
  <si>
    <t>14700285</t>
  </si>
  <si>
    <t>Logitech Crayon Matita digitale per iPad (con porte USB-C) con tecnologia Apple Pencil, precisione al pixel senza latenza e punta intelligente dinamica con ricarica USB-C rapida - Argento</t>
  </si>
  <si>
    <t>B00LFBEOUA</t>
  </si>
  <si>
    <t>651312040224</t>
  </si>
  <si>
    <t>0778416918843</t>
  </si>
  <si>
    <t>Logitech G402 Mouse Gaming Hyperion Fury, 4.000 Dpi, Design Leggero, 8 Pulsanti Programmabili, Compatibile Con Pc/Mac/Laptop, Nero, ‎13.6 x 7.2 x 4.1 cm; 144 grammi</t>
  </si>
  <si>
    <t>B07W7KB8L6</t>
  </si>
  <si>
    <t>5099206093690</t>
  </si>
  <si>
    <t>Logitech C505 Webcam HD - Videocamera USB Esterna 720p HD per Desktop o Laptop con Microfono a Lunga Portata, Compatibile con PC, Mac o Chromebook - Nero</t>
  </si>
  <si>
    <t>13O47WAG</t>
  </si>
  <si>
    <t>B076CNH34R</t>
  </si>
  <si>
    <t>5099206072862</t>
  </si>
  <si>
    <t>Logitech Craft Tastiera Wireless Illuminata con Manopola Controllo Creativo, Layout Scandinavo QWERTY, Grigio</t>
  </si>
  <si>
    <t>3I9WF8IG</t>
  </si>
  <si>
    <t>B07VRLJHFH</t>
  </si>
  <si>
    <t>5099206086593</t>
  </si>
  <si>
    <t>Logitech Slim Wireless Combo MK470 - Keyboard and mouse set - wireless - 2.4 GHz - QWERTY - UK - off-white</t>
  </si>
  <si>
    <t>B07W5JKB92</t>
  </si>
  <si>
    <t>5099206088825</t>
  </si>
  <si>
    <t>Logitech G915 LIGHTSPEED TKL Tastiera Gaming Wireless Meccanica Tenkeyless, Profilo Ribassato, GL-Tactile Switches, LIGHTSYNC RGB, Design Ultrasottile, +40 ore Durata Batteria, QWERTY US Layout, Nero</t>
  </si>
  <si>
    <t>B07W4DHYH6</t>
  </si>
  <si>
    <t>5099206100886</t>
  </si>
  <si>
    <t>B006T02YRM</t>
  </si>
  <si>
    <t>4055895970156</t>
  </si>
  <si>
    <t>Logitech K270 Tastiera Wireless per Windows, Layout Tedesco QWERTZ - Nero</t>
  </si>
  <si>
    <t>B07W6JP5N1</t>
  </si>
  <si>
    <t>5099206087569</t>
  </si>
  <si>
    <t>Logitech Custodia Con Tastiera Protettiva Con Smart Connector E Tastiera Resistente Agli Schizzi, Layout Italiano Qwerty, Grigio, ‎26 x 23.8 x 18.9 cm; 605 grammi</t>
  </si>
  <si>
    <t>89YFM3QC</t>
  </si>
  <si>
    <t>B07W5JJSBK</t>
  </si>
  <si>
    <t>5099206091795</t>
  </si>
  <si>
    <t>B07W7LLFVD</t>
  </si>
  <si>
    <t>5099206086876</t>
  </si>
  <si>
    <t>Logitech MX Keys Tastiera, Layout Spagnolo ‎Qwerty, Nero (Grafite)</t>
  </si>
  <si>
    <t>B07W4DHT47</t>
  </si>
  <si>
    <t>5099206093065</t>
  </si>
  <si>
    <t>Logitech M705 Marathon Mouse Wireless, Ricevitore USB Unifying 2,4 GHz, 1000 DPI, 5 Pulsanti Programmabili, Durata Batteria di 3 Anni, Compatibile con PC, Mac, Laptop, Chromebook - Grigio</t>
  </si>
  <si>
    <t>B07W4DHK3P</t>
  </si>
  <si>
    <t>5099206104372</t>
  </si>
  <si>
    <t>Logitech G G740 Mouse Pad da Gioco Grande, Ottimizzato per i Sensori da Gioco, Attrito Moderato, Antiscivolo, Accessori da Gioco per Mac e PC, 460 x 600 x 5 mm</t>
  </si>
  <si>
    <t>B07W5JKHPG</t>
  </si>
  <si>
    <t>5099206102286</t>
  </si>
  <si>
    <t>Logitech Blue Sona Microfono Dinamico Attivo XLR Broadcast, per Streaming e Creazione di Contenuti, Preamplificatore Attivo ClearAmp, Doppia Capsula, Supporto Interno - Nero</t>
  </si>
  <si>
    <t>B07G6CQQYG</t>
  </si>
  <si>
    <t>5099206080300</t>
  </si>
  <si>
    <t>Ultimate Ears BOOM 3 Altoparlante Wireless Bluetooth Portatile, Magic Button, Bassi Profondi, Impermeabile, Controllo Musica One Touch, Multidispositivo, Batteria di fino a 15 ore, Raggio 45m, Blu</t>
  </si>
  <si>
    <t>B07W6FQ659</t>
  </si>
  <si>
    <t>5099206094772</t>
  </si>
  <si>
    <t>Logitech G535 LIGHTSPEED Cuffia con Microfono Gaming Wireless - Cuffie Supra-Aurali Leggere, Microfono Flip to Mute, Audio Stereo, Compatibile con PC, PS4, PS5, Ricaricabile Tramite USB - Nero</t>
  </si>
  <si>
    <t>23FZKHHH</t>
  </si>
  <si>
    <t>B00C1CVMSY</t>
  </si>
  <si>
    <t>4053162347007</t>
  </si>
  <si>
    <t>Logitech B100 Mouse USB Cablato, 3 Pulsanti, Rilevamento Ottico, Ambidestro, PC / Mac / Laptop / Chromebook - Bianco</t>
  </si>
  <si>
    <t>B07W6GVZFL</t>
  </si>
  <si>
    <t>5099206105096</t>
  </si>
  <si>
    <t>Logitech Pebble Mouse Wireless con Bluetooth o ricevitore 2,4 GHz, Silenzioso, Mouse Sottile con Clic Silenziosi Per Laptop, Notebook, iPad, PC e Mac - Viola</t>
  </si>
  <si>
    <t>B07W6JFPT1</t>
  </si>
  <si>
    <t>5099206086821</t>
  </si>
  <si>
    <t>Logitech MX Keys Tastiera, Layout Francese ‎Azerty, Nero (Grafite)</t>
  </si>
  <si>
    <t>B07G6CRZ2Q</t>
  </si>
  <si>
    <t>5099206080324</t>
  </si>
  <si>
    <t>Ultimate Ears BOOM 3 Altoparlante Wireless Bluetooth Portatile, Magic Button, Bassi Profondi‎‎, Impermeabile, Controllo Musica One Touch, Multidispositivo, Batteria di fino a 15 ore, Raggio 45m, Rosso</t>
  </si>
  <si>
    <t>B07W5JK221</t>
  </si>
  <si>
    <t>5099206086395</t>
  </si>
  <si>
    <t>Logitech G Tastiera PRO USB QWERTZ Tedesco Nero G PRO, Standard, USB, Meccanico, QWERTZ, LED RGB, Nero</t>
  </si>
  <si>
    <t>B01KPT6UUE</t>
  </si>
  <si>
    <t>5099206066076</t>
  </si>
  <si>
    <t>32810200</t>
  </si>
  <si>
    <t>32810215</t>
  </si>
  <si>
    <t>B003UC85CU</t>
  </si>
  <si>
    <t>097855065476</t>
  </si>
  <si>
    <t>0097855067036</t>
  </si>
  <si>
    <t>Logitech MK120 Combo Tastiera e Mouse con Filo per Windows, Layout ‎Olandese-Belga AZERTY - Nero</t>
  </si>
  <si>
    <t>B003D8ZT0C</t>
  </si>
  <si>
    <t>097855066756</t>
  </si>
  <si>
    <t>5053973154329</t>
  </si>
  <si>
    <t>Logitech M90 Mouse USB Cablato, 1000 DPI, Mouse Ambidestro, Compatibile con PC/Mac/Laptop, Nero</t>
  </si>
  <si>
    <t>B01I252A34</t>
  </si>
  <si>
    <t>5099206046825</t>
  </si>
  <si>
    <t>Logitech K280e Pro Tastiera, Layout Italiano QWERTY - Nero</t>
  </si>
  <si>
    <t>5WYKNRTC</t>
  </si>
  <si>
    <t>B01ENKI4D2</t>
  </si>
  <si>
    <t>5099206066083</t>
  </si>
  <si>
    <t>Logitech K280E Pro Tastiera, Layout Italiano Qwerty, Nero</t>
  </si>
  <si>
    <t>La tastiera K280e di Logitech assicura una digitazione ottimale e presenta una struttura estremamente resistente, risultato di anni di ricerche. La tastiera, dotata di un comodo supporto per polsi, di tasti estremamente silenziosi e resistenti all'abrasione e di una struttura ultrarobusta, è progettata perdurare a lungo e offrire una produttività in grado di soddisfarele moderne esigenze in ambito lavorativo.</t>
  </si>
  <si>
    <t>B07W7MQMD9</t>
  </si>
  <si>
    <t>5099206085886</t>
  </si>
  <si>
    <t>Logitech G Mouse Da Gioco Cablato Ad Alte Prestazioni Logitech G502 Hero Special Edition, Sensore Hero 25K, 25600 Dpi, Rgb, 11 Pulsanti Programmabili, Bianco E Nero, ‎7.5 x 4 x 13.2 cm; 121 grammi</t>
  </si>
  <si>
    <t>B01M8M8G23</t>
  </si>
  <si>
    <t>5099206069930</t>
  </si>
  <si>
    <t>Logitech G Saitek Farm Sim Panel Controller, Pannello di Controllo Laterale ‎Macchinari Agricoli Pesanti, 25 Pulsanti Programmabili, Pilota Automatico, Joystick Asse ‎Rotante, USB, PC/Mac - Nero</t>
  </si>
  <si>
    <t>B074379C7Q</t>
  </si>
  <si>
    <t>836213000137</t>
  </si>
  <si>
    <t>5099206085022</t>
  </si>
  <si>
    <t>Blue Blackout Spark SL Microfono a Condensatore XLR per Registrazione Professionale, Streaming, Gaming e Podcast, Capsula Cardioide a Grande Diaframma, Shockmount e Custodia Protettiva - Nero</t>
  </si>
  <si>
    <t>B07W6J6WYH</t>
  </si>
  <si>
    <t>5099206101180</t>
  </si>
  <si>
    <t>Logitech POP Keys Tastiera Meccanica Wireless con Tasti Emoji Personalizzabili, Design Compatto Durevole, Connettività Bluetooth/USB, Compatibilità Multidispositivo e OS, Layout Italiano, Heartbreaker</t>
  </si>
  <si>
    <t>dvd</t>
  </si>
  <si>
    <t>B074N6823V</t>
  </si>
  <si>
    <t>5099206075023</t>
  </si>
  <si>
    <t>Logitech Z207 Altoparlanti per PC Wireless Bluetooth, Audio Stereo, 10 Watt, Ingresso Audio 3.5 mm, Jack per Cuffie, Multidispositivo, Easy Switch, Presa EU, ‎PC/TV/Smartphone/Tablet, Nero</t>
  </si>
  <si>
    <t>B06W547XN2</t>
  </si>
  <si>
    <t>5099206069343</t>
  </si>
  <si>
    <t>Logitech MK220 Combo Tastiera e Mouse Wireless Compatti per Windows, Layout ‎Francese AZERTY - Nero</t>
  </si>
  <si>
    <t>2DDMOF4W</t>
  </si>
  <si>
    <t>B07W7LTX74</t>
  </si>
  <si>
    <t>5099206107618</t>
  </si>
  <si>
    <t>Logitech Combo Touch per iPad (10ª generazione) Custodia con tastiera rimovibile con ampio trackpad di precisione, tastiera standard retroilluminata - French Layout</t>
  </si>
  <si>
    <t>B07W5JJPFH</t>
  </si>
  <si>
    <t>5099206093942</t>
  </si>
  <si>
    <t>MK120 - BLACK - DEU - EMEA PERP</t>
  </si>
  <si>
    <t>7WSJF8XO</t>
  </si>
  <si>
    <t>B06Y17MS8W</t>
  </si>
  <si>
    <t>5099206069695</t>
  </si>
  <si>
    <t>Logitech Universal Folio Cover iPad o Tablet con Tastiera Bluetooth Wireless, Apple, ‎Android, Windows da 9-10 Pollici, Facile Configurazione, Durata Batteria fino a 2 anni, ‎Spagnolo Qwerty, Nero</t>
  </si>
  <si>
    <t>88OCIVKF</t>
  </si>
  <si>
    <t>8SGS6BFX</t>
  </si>
  <si>
    <t>B01DKTP3PY</t>
  </si>
  <si>
    <t>5099206064188</t>
  </si>
  <si>
    <t>Logitech G440 Tappetino Mouse Gaming in Polimero Rigido, Mouse Pad per Giochi di Alto DPI, 340 x 280 mm, Spessore 3 mm, Attrito Basso, Superficie Uniforme - Nero</t>
  </si>
  <si>
    <t>3OAOBQ1I</t>
  </si>
  <si>
    <t>B07S69F4HC</t>
  </si>
  <si>
    <t>5099206083387</t>
  </si>
  <si>
    <t>Logitech G403 Mouse Gaming, Sensore HERO 25K, LIGHTSYNC RGB, Leggero 87 g + 10 g Opzionale, 25.600 DPI, Impugnature Laterali in Gomma, PC/Mac - Nero</t>
  </si>
  <si>
    <t>B009QZ3TO4</t>
  </si>
  <si>
    <t>5099206033658</t>
  </si>
  <si>
    <t>Logitech MK330 Kit Tastiera e Mouse, Layout Americano ‎Qwerty, Nero</t>
  </si>
  <si>
    <t>B07W6HY5TH</t>
  </si>
  <si>
    <t>5099206089044</t>
  </si>
  <si>
    <t>Logitech K380 Tastiera, Layout ‎Francese AZERTY - Rosa</t>
  </si>
  <si>
    <t>B07W6HLJJT</t>
  </si>
  <si>
    <t>5099206099029</t>
  </si>
  <si>
    <t>7930500</t>
  </si>
  <si>
    <t>7930501</t>
  </si>
  <si>
    <t>Logitech MXKEYS MINI WRLS ILLUMINATA KB GRAPHITE - US INT.L - INTNL</t>
  </si>
  <si>
    <t>B07W5JHF97</t>
  </si>
  <si>
    <t>5099206103764</t>
  </si>
  <si>
    <t>Ultimate Ears WONDERBOOM 3, Altoparlante Portatile Wireless Bluetooth, Suono a 360 Gradi con Bassi Profondi, Impermeabile, Antipolvere IP67, Galleggiante, Portata 40 m - Nero</t>
  </si>
  <si>
    <t>B007BNE5P0</t>
  </si>
  <si>
    <t>5099206032828</t>
  </si>
  <si>
    <t>Logitech K270 Tastiera Wireless per Windows, 2,4 GHz Wireless, Layout Scandinavo QWERTY - Nero</t>
  </si>
  <si>
    <t>B07W7KMK4W</t>
  </si>
  <si>
    <t>5099206098435</t>
  </si>
  <si>
    <t>Logitech G413 TKL SE Tastiera Meccanica Gaming - Tastiera Compatta, Layout Spagnolo QWERTY - Nero</t>
  </si>
  <si>
    <t>B07W5JK9J9</t>
  </si>
  <si>
    <t>5099206098572</t>
  </si>
  <si>
    <t>Logitech G G713, Tastiera da gaming con cavo, con illuminazione Lightsync RGB, interruttori touch (GX Marrone) e poggiapolsi per tastiera, compatibile con PC e Mac, Bianco nebbia</t>
  </si>
  <si>
    <t>2SN9AZGV</t>
  </si>
  <si>
    <t>3OXMGR8F</t>
  </si>
  <si>
    <t>B07H3HGS9R</t>
  </si>
  <si>
    <t>5099206080539</t>
  </si>
  <si>
    <t>Logitech B110 Mouse USB cablato, pulsanti silenziosi, design confortevole per l'uso a grandezza naturale, PC / Mac / Laptop ambidestro - Grigio</t>
  </si>
  <si>
    <t>B00P7RAI8A</t>
  </si>
  <si>
    <t>5099206021457</t>
  </si>
  <si>
    <t>Logitech K120 Tastiera Cablata Business per Windows/Linux, Layout Lituano Qwerty, Nero</t>
  </si>
  <si>
    <t>B07W6JQ52X</t>
  </si>
  <si>
    <t>5099206090798</t>
  </si>
  <si>
    <t>Logitech Slim Folio Pro, Layout Inglese UK ‎Qwerty</t>
  </si>
  <si>
    <t>6SZP9P7C</t>
  </si>
  <si>
    <t>B07W7L9JXG</t>
  </si>
  <si>
    <t>5099206099593</t>
  </si>
  <si>
    <t>XH6MA</t>
  </si>
  <si>
    <t>Logitech G PRO Gaming Keyboard Black ES</t>
  </si>
  <si>
    <t>B07W6GNXZG</t>
  </si>
  <si>
    <t>5099206105522</t>
  </si>
  <si>
    <t>Logitech Signature K650, Tastiera Poggiapolsi Wireless Full-size con Bluetooth BLE o Ricevitore USB Logi Bolt, Tasti Smorzati e Tastierino, Compatibile con PC/Windows/Mac, Italiano QWERTY - Grigio</t>
  </si>
  <si>
    <t>B07W5JKPJX</t>
  </si>
  <si>
    <t>5099206090460</t>
  </si>
  <si>
    <t>Logitech G PRO X SUPERLIGHT Mouse Gaming Wireless, Sensore HERO 25K, 25.600 DPI, Ultraleggero con 63g, Progettato ‎per eSport, 5 Pulsanti Programmabili, PC/Mac/Laptop - Nero</t>
  </si>
  <si>
    <t>B07W6GY48B</t>
  </si>
  <si>
    <t>5099206086838</t>
  </si>
  <si>
    <t>Logitech MX Keys Tastiera, Layout ‎Francese Azerty, Grigio</t>
  </si>
  <si>
    <t>GRAPH FRA2.4GHZ/BT N/A CEN.W.PAL FR</t>
  </si>
  <si>
    <t>B06XQ323B3</t>
  </si>
  <si>
    <t>5099206071759</t>
  </si>
  <si>
    <t>Logitech G413 Tastiera Gaming Meccanica, Tasti Retroilluminati, Switch Meccanici Romer-G ‎Tactile, Telaio Lega Alluminio, Funzioni Personalizzate, Passthrough USB, Layout Inglese GB ‎QWERTY, Argento</t>
  </si>
  <si>
    <t>B07W4DH9QZ</t>
  </si>
  <si>
    <t>5099206098862</t>
  </si>
  <si>
    <t>Logitech MX Keys Mini TECLADO RF Wireless + Bluetooth ??ERTY FRANCS Grafito</t>
  </si>
  <si>
    <t>B013SL1ZBK</t>
  </si>
  <si>
    <t>5099206061446</t>
  </si>
  <si>
    <t>Logitech K380 Tastiera Bluetooth, Layout Spagnolo ‎Qwerty, Nero</t>
  </si>
  <si>
    <t>B07W6JNWP8</t>
  </si>
  <si>
    <t>5099206101678</t>
  </si>
  <si>
    <t>Logitech POP Mouse Wireless con Emoji personalizzabili, Tecnologia SilentTouch, Precisione e Velocità, Design Compatto, Bluetooth, USB, Multidispositivo, Compatibile OS - Heartbreaker</t>
  </si>
  <si>
    <t>B07W6GFN9S</t>
  </si>
  <si>
    <t>5099206096547</t>
  </si>
  <si>
    <t>Logitech ERGO M575 for Business - Mouse trackball wireless - Design ergonomico, tecnologia Logi Bolt, Bluetooth, certificazione globale, Windows/Mac/Chrome/Linux - Grigio</t>
  </si>
  <si>
    <t>B07W4DGLJX</t>
  </si>
  <si>
    <t>5099206086531</t>
  </si>
  <si>
    <t>Logitech MK470 Kit Mouse e Tastiera, Layout Italiano Qwerty, Bianco</t>
  </si>
  <si>
    <t>B00MWR5IQK</t>
  </si>
  <si>
    <t>5099206052574</t>
  </si>
  <si>
    <t>Logitech M280 Mouse Wireless, 2,4 GHz con Ricevitore USB Nano, Tracciamento Ottico 1000 DPI, 3 Tasti, Durata Batteria di 18 Mesi, Compatibile con PC, Mac, Laptop, Chromebook - Blu</t>
  </si>
  <si>
    <t>6LL8HOVU</t>
  </si>
  <si>
    <t>B07W6JPVP3</t>
  </si>
  <si>
    <t>5099206085855</t>
  </si>
  <si>
    <t>Logitech Ergo K860, Layout Tedesco Qwertz, Grigio</t>
  </si>
  <si>
    <t>B07W6JGH91</t>
  </si>
  <si>
    <t>5099206105324</t>
  </si>
  <si>
    <t>Logitech Signature MK650 Combo Business Wireless Mouse e Tastiera, Logi Bolt, Bluetooth, SmartWheel, Certificato in tutto il mondo, Windows/Mac/Chrome/Linux, Bianco</t>
  </si>
  <si>
    <t>B009N6WMOY</t>
  </si>
  <si>
    <t>5099206039469</t>
  </si>
  <si>
    <t>Logitech K350 Tastiera Wireless, Layout ‎Tedesco Qwertz</t>
  </si>
  <si>
    <t>B07W4DH9CY</t>
  </si>
  <si>
    <t>5099206089549</t>
  </si>
  <si>
    <t>Logitech G733 LIGHTSPEED Cuffia Wireless con Microfono Gaming con Fascia per la Testa a Sospensione, LIGHTSYNC RGB, Tecnologia Microfono Blue VO!CE, Driver Audio Pro-G, Leggera - Lilla</t>
  </si>
  <si>
    <t>B01L6L52K4</t>
  </si>
  <si>
    <t>6920377905316</t>
  </si>
  <si>
    <t>Logitech C922 Pro Stream Webcam, Streaming Veloce HD 1080p/30fps o HD 720p/60fps, Correzione Luce HD, Autofocus, Audio ‎Stereo, Per YouTube, Twitch, XSplit, ‎PC/Mac/Laptop/Macbook/Tablet, Nero</t>
  </si>
  <si>
    <t>B07W6J829G</t>
  </si>
  <si>
    <t>5099206097209</t>
  </si>
  <si>
    <t>Logitech Signature M650 L Left Mouse Wireless, Per Mano Sinistra di Grandi Dimensioni, Clic Silenziosi, Tasti Laterali Personalizzabili, Bluetooth, Compatibilità Multidispositivo, Grigio</t>
  </si>
  <si>
    <t>8M8TKVMP</t>
  </si>
  <si>
    <t>B07W6HXQ9J</t>
  </si>
  <si>
    <t>5099206103757</t>
  </si>
  <si>
    <t>Logitech MX Master 3S per Mac - Mouse Bluetooth Wireless con Scorrimento Ultraveloce, Ergo, 8K DPI, Click Silenziosi, Tracciamento su Vetro, Personalizzabile, USB-C, Apple, iPad - Pale Grey</t>
  </si>
  <si>
    <t>64HSRN5O</t>
  </si>
  <si>
    <t>B07W5JK2L1</t>
  </si>
  <si>
    <t>5099206106772</t>
  </si>
  <si>
    <t>Logitech Rugged Folio per iPad (10ª generazione) Custodia con tastiera protettiva con Smart Connector e tastiera a prova di liquidi - English Layout</t>
  </si>
  <si>
    <t>B07W5JKR75</t>
  </si>
  <si>
    <t>5099206104358</t>
  </si>
  <si>
    <t>B07VTRZLWJ</t>
  </si>
  <si>
    <t>5099206080577</t>
  </si>
  <si>
    <t>Logitech G 915 LIGHTSPEED Tastiera Gamer Wireless Meccanica, Switch ultra-piatto GL Touch, RGB LIGHTSYNC, Design elegante e sottile, 30+ ore di gioco, 2,4 GHz/Bluetooth, AZERTY francese - Nero</t>
  </si>
  <si>
    <t>B07W4DHDCQ</t>
  </si>
  <si>
    <t>5099206098343</t>
  </si>
  <si>
    <t>Logitech MX Anywhere 3 for Business -Mouse ad alte prestazioni –Wireless, scorrimento veloce, tracciamento su tutte le superfici, ricaricabile, Logi Bolt, Bluetooth, Windows/Mac/iPadOS - Grafite</t>
  </si>
  <si>
    <t>B07W6HCFYS</t>
  </si>
  <si>
    <t>5099206107885</t>
  </si>
  <si>
    <t>Logitech MX Master 3S for Business, Mouse Wireless con Clic Silenzioso, 8K DPI, Ricevitore USB Logi Bolt Protetto, Bluetooth, USB-C, MagSpeed, Windows/Mac/Chrome/Linux - Grigio</t>
  </si>
  <si>
    <t>1UJ41WNC</t>
  </si>
  <si>
    <t>B00EJ3RN7C</t>
  </si>
  <si>
    <t>5099206046863</t>
  </si>
  <si>
    <t>Logitech K280e Pro Tastiera, Layout Svizzero ‎QWERTZ - Nero</t>
  </si>
  <si>
    <t>B00OK49SMI</t>
  </si>
  <si>
    <t>5099206055513</t>
  </si>
  <si>
    <t>Logitech Keys-To-Go Tastiera Bluetooth, Layout Inglese QWERTY - Nero</t>
  </si>
  <si>
    <t>3PHD2T1G</t>
  </si>
  <si>
    <t>6ENZZ2HC</t>
  </si>
  <si>
    <t>B01A9GXMW2</t>
  </si>
  <si>
    <t>898628002113</t>
  </si>
  <si>
    <t>4058154035573</t>
  </si>
  <si>
    <t>Logitech M170 Mouse Wireless, 2.4 GHz con Ricevitore Nano USB, Rilevamento Ottico, ‎Durata Batteria 12 Mesi, Mouse Ambidestro, PC/Mac/Laptop, Grigio</t>
  </si>
  <si>
    <t>B07W6JPFH1</t>
  </si>
  <si>
    <t>5099206082625</t>
  </si>
  <si>
    <t>14701055</t>
  </si>
  <si>
    <t>Tastiera da gioco wireless meccanica Logitech G815 LIGHTSPEED, switch LG Clicky Slim, RGB LIGHTSYNC, oltre 30 ore di gioco, 2,4 GHz/Bluetooth, AZERTY francese - nera</t>
  </si>
  <si>
    <t>B0013N474I</t>
  </si>
  <si>
    <t>013686001568</t>
  </si>
  <si>
    <t>5099206008441</t>
  </si>
  <si>
    <t>Logitech PC960 Cuffie Cablate per Computer, Cuffie Stereo con Microfono, Cancellazione di Rumore, ‎USB, Leggere, Controlli Sul Cavo, PC/Mac/Laptop, Nero</t>
  </si>
  <si>
    <t>B07W5JHZKS</t>
  </si>
  <si>
    <t>5099206097544</t>
  </si>
  <si>
    <t>B072R4BL6S</t>
  </si>
  <si>
    <t>097855131171</t>
  </si>
  <si>
    <t>0097855131171</t>
  </si>
  <si>
    <t>Logitech MeetUp microfono di espansione per la videocamera per videoconferenze</t>
  </si>
  <si>
    <t>B07W6HJ5L5</t>
  </si>
  <si>
    <t>5099206094703</t>
  </si>
  <si>
    <t>Logitech Rugged Combo 3 Custodia con tastiera iPad con Smart Connector per iPad (7a, 8a e 9a generazione), Layout Italiano QWERTY - Blu classico</t>
  </si>
  <si>
    <t>26N6PTLN</t>
  </si>
  <si>
    <t>3J421ZZB</t>
  </si>
  <si>
    <t>B07W7LTQ4B</t>
  </si>
  <si>
    <t>5099206099470</t>
  </si>
  <si>
    <t>Logitech Mouse Pad - Studio Series, per Computer con Base in Gomma Antiscivolo, Scorrimento Facile, Resistente agli Schizzi, Materiali Durevoli, Portatile, Design Moderno - Grigio</t>
  </si>
  <si>
    <t>B01N5NYRES</t>
  </si>
  <si>
    <t>1401197003598</t>
  </si>
  <si>
    <t>Logitech Brio Ultra HD Pro Webcam, Streaming Hyper-Fast 1080p/60fps, Ampio Campo Visivo ‎Regolabile, Zoom 5X, Funziona con Skype, WebEx, Cisco Jabber, Zoom, Windows Hello, ‎PC/Mac/Laptop/Chrome - Nero</t>
  </si>
  <si>
    <t>5MU5OCUS</t>
  </si>
  <si>
    <t>B07W7KV7TQ</t>
  </si>
  <si>
    <t>5099206104860</t>
  </si>
  <si>
    <t>AI1SP</t>
  </si>
  <si>
    <t>Logitech K380 Tastiera wireless Bluetooth Multi-Device con Easy-Switch, design sottile e durata della batteria di 2 anni. PC, laptop, Mac, Android, iPad OS, Apple TV, US International QWERTY - Viola</t>
  </si>
  <si>
    <t>B0094QSF8U</t>
  </si>
  <si>
    <t>5099206021525</t>
  </si>
  <si>
    <t>Logitech K120 Tastiera Cablata Business ‎per Windows/Linux, Layout Svizzero ‎Qwertz, Nero</t>
  </si>
  <si>
    <t>B07W7LB4T7</t>
  </si>
  <si>
    <t>5099206094970</t>
  </si>
  <si>
    <t>Logitech Ergo K860 - Graphite WRLS US INTL - INTNL</t>
  </si>
  <si>
    <t>6MCHCTQE</t>
  </si>
  <si>
    <t>B01D1Z00UK</t>
  </si>
  <si>
    <t>5099206063976</t>
  </si>
  <si>
    <t>20101200</t>
  </si>
  <si>
    <t>20101229</t>
  </si>
  <si>
    <t>Logitech MK235 Combo Tastiera e Mouse Wireless per Windows, Layout Internazionale QWERTY - Grigio</t>
  </si>
  <si>
    <t>B0118K7K4O</t>
  </si>
  <si>
    <t>065030860994</t>
  </si>
  <si>
    <t>5053676760377</t>
  </si>
  <si>
    <t>Logitech M185 Mouse Wireless, 2,4 GHz con Mini Ricevitore USB, Durata Batteria di 12 Mesi, Tracciamento Ottico 1000 DPI, Ambidestro, Compatibile con PC, Mac, Laptop - Blu</t>
  </si>
  <si>
    <t>B07W7JYP9B</t>
  </si>
  <si>
    <t>5099206107083</t>
  </si>
  <si>
    <t>5IOQE4AW</t>
  </si>
  <si>
    <t>6U12NWLG</t>
  </si>
  <si>
    <t>B07W7L62FX</t>
  </si>
  <si>
    <t>5099206095809</t>
  </si>
  <si>
    <t>Logitech Combo Touch Custodia con Tastiera per iPad Pro 12,9 pollici (5a generazione), Tastiera Retroilluminata Rimovibile, Trackpad Click-Anywhere, Smart Connector, Layout Italiano QWERTY, Sabbia</t>
  </si>
  <si>
    <t>B07W4DGVQF</t>
  </si>
  <si>
    <t>5099206092150</t>
  </si>
  <si>
    <t>Logitech MX Master 2S Mouse Wireless - Utilizzo su qualsiasi superficie, scorrimento iperveloce, ergonomico, ricaricabile, controllo fino a 3 computer Apple Mac e Windows (Bluetooth/USB) - Grigio</t>
  </si>
  <si>
    <t>B01AUGT964</t>
  </si>
  <si>
    <t>5099206063846</t>
  </si>
  <si>
    <t>Logitech MK235 Combo Tastiera e Mouse Wireless per Windows, Layout Tedesco QWERTZ - Grigio</t>
  </si>
  <si>
    <t>B07W7LHVBM</t>
  </si>
  <si>
    <t>5099206104815</t>
  </si>
  <si>
    <t>K380 MULTI-DEVICE BT KEYBOARD SAND - UK - INTNL</t>
  </si>
  <si>
    <t>B07HR4KVSN</t>
  </si>
  <si>
    <t>5099206081109</t>
  </si>
  <si>
    <t>ASTRO Gaming A40 TR-X Edition Cuffie Gaming Cablate, Dolby ATMOS, Jack Audio 3,5 mm, Microfono Intercambiabile, per Xbox Series X|S, Xbox One, PS5, PS4, PC, Mac, Nintendo Switch, Mobile - Rosso/Blu</t>
  </si>
  <si>
    <t>B005KSYPGW</t>
  </si>
  <si>
    <t>5099206027480</t>
  </si>
  <si>
    <t>Logitech K360 Tastiera Wireless Compatta per Windows, 2,4GHz Wireless, Ricevitore USB Unifying, 12 Tasti F, Durata Batteria di 3 Anni, Compatibile con PC, Laptop, Layout Italiano QWERTY - Nero</t>
  </si>
  <si>
    <t>B07VTRX1LD</t>
  </si>
  <si>
    <t>5099206080904</t>
  </si>
  <si>
    <t>Logitech G815 LIGHTSYNC RGB Tastiera Gaming Cablata, Profilo Ribassato, GL-Linear Switches, 5 Tasti G Programmabili, USB Passthrough, Controlli Multimediali Dedicati, QWERTY US Layout, Nero</t>
  </si>
  <si>
    <t>B01GNP4Y70</t>
  </si>
  <si>
    <t>5099206064942</t>
  </si>
  <si>
    <t>Logitech K780 Tastiera Wireless, Layout Tedesco Qwertz, ‎Grigio (Scuro)/Bianco</t>
  </si>
  <si>
    <t>B07W6HJVDM</t>
  </si>
  <si>
    <t>5099206099005</t>
  </si>
  <si>
    <t>14701100</t>
  </si>
  <si>
    <t>14701120</t>
  </si>
  <si>
    <t>Logitech MX Keys Mini tastiera wireless illuminata minimalista, compatta, Bluetooth, retroilluminata, USB-C, compatibile con Apple macOS, iOS, Windows, Linux, Android, metallo, grigio chiaro, QWERTY</t>
  </si>
  <si>
    <t>B07W4DGKZ5</t>
  </si>
  <si>
    <t>5099206107601</t>
  </si>
  <si>
    <t>Logitech Combo Touch per iPad (10ª generazione) Custodia con tastiera rimovibile con ampio trackpad di precisione, tastiera standard retroilluminata - German Layout</t>
  </si>
  <si>
    <t>7MIJ7O3B</t>
  </si>
  <si>
    <t>B07W5JK4VX</t>
  </si>
  <si>
    <t>5099206105577</t>
  </si>
  <si>
    <t>Logitech Signature K650 Tastiera Poggiapolsi Wireless Full-size, ‎Olandese-Belga AZERTY - Grigio</t>
  </si>
  <si>
    <t>B07W5JJMVJ</t>
  </si>
  <si>
    <t>5099206098855</t>
  </si>
  <si>
    <t>Logitech MX Keys Minimalist WLESS Illuminated KB</t>
  </si>
  <si>
    <t>2TEPPOLQ</t>
  </si>
  <si>
    <t>B00CJAF3ME</t>
  </si>
  <si>
    <t>5099206022881</t>
  </si>
  <si>
    <t>Logitech F310 Gamepad, Controller Cablato con Layout Stile Console, Tastierino Direzionale ‎‎4 Switch, XInput/DirectInput, Impugnatura Comoda, Cavo da 1.8 m, PC, ‎Blu/Nero</t>
  </si>
  <si>
    <t>B00S67M430</t>
  </si>
  <si>
    <t>5099206053212</t>
  </si>
  <si>
    <t>Logitech MK345 Combo Tastiera di Dimensioni Standard con Poggiapolsi e Comodo Mouse per la Mano Destra, Layout Internazionale QWERTY - Nero</t>
  </si>
  <si>
    <t>5PBSTBMJ</t>
  </si>
  <si>
    <t>1PEKEP8I</t>
  </si>
  <si>
    <t>8IGCODXQ</t>
  </si>
  <si>
    <t>11FTNKDS</t>
  </si>
  <si>
    <t>8JGSI6BM</t>
  </si>
  <si>
    <t>B014KH8BRW</t>
  </si>
  <si>
    <t>5712505613580</t>
  </si>
  <si>
    <t>Logitech C615 Webcam Portatile, Full HD 1080p/30fps, Videochiamata HD Widescreen, Pieghevole, ‎Correzione Luce HD e Rumore, Autofocus, per Skype, FaceTime, Hangouts, ‎PC/Mac/Laptop/Macbook/Tablet</t>
  </si>
  <si>
    <t>B07W6H31VJ</t>
  </si>
  <si>
    <t>5099206107441</t>
  </si>
  <si>
    <t>Logitech per iPad (10ª generazione) Custodia con tastiera | Slim Folio con tastiera wireless integrata (grafite) - French Layout</t>
  </si>
  <si>
    <t>B07TQ6G276</t>
  </si>
  <si>
    <t>5099206085701</t>
  </si>
  <si>
    <t>Logitech G PRO Cuffia Gaming, Cuffia Cablata con Microfono per Gaming, con Driver Audio PRO-G da 50 mm, Alluminio, Acciaio e Memory Foam, per Esport Gaming, per PC/PS/Xbox/Nintendo Switch, Nero</t>
  </si>
  <si>
    <t>B004QTBPWI</t>
  </si>
  <si>
    <t>033584477760</t>
  </si>
  <si>
    <t>5053973591421</t>
  </si>
  <si>
    <t>Logitech M235 Mouse Wireless, 2,4 GHz con Ricevitore USB Unifying, Tracciamento Ottico 1000 DPI, Durata Batteria di 12 Mesi, Compatibile con PC, Mac, Laptop, Chromebook - Rosso</t>
  </si>
  <si>
    <t>4TPDM63Y</t>
  </si>
  <si>
    <t>B07VZLMQN7</t>
  </si>
  <si>
    <t>5099206080560</t>
  </si>
  <si>
    <t>36401300</t>
  </si>
  <si>
    <t>36401320</t>
  </si>
  <si>
    <t>REDSEASONS Orologio Intelligente, Tracker di attività Impermeabile con cardiofrequenzimetro del Sonno, contapassi, contapassi per Uomini e Donne, Viola,Purple</t>
  </si>
  <si>
    <t>2C2WXZKY</t>
  </si>
  <si>
    <t>B07W5JKPJN</t>
  </si>
  <si>
    <t>5099206085909</t>
  </si>
  <si>
    <t>Logitech G513 GX Brown Tactile Gaming Tastatur</t>
  </si>
  <si>
    <t>B07W7LNTM5</t>
  </si>
  <si>
    <t>5099206095007</t>
  </si>
  <si>
    <t>Logitech G435 LIGHTSPEED Cuffie Gaming Wireless Bluetooth, Cuffie Over Ear Leggere, Microfoni Integrati, Batteria da 18 Ore, Compatibile con Dolby Atmos, PC, PS4, PS5, Mobile, Nintendo Switch - Nero</t>
  </si>
  <si>
    <t>48JXYHTN</t>
  </si>
  <si>
    <t>B0041U9CYU</t>
  </si>
  <si>
    <t>5099206020689</t>
  </si>
  <si>
    <t>Logitech K120 Tastiera con Cavo per Windows, Layout ‎Olandese-Belga AZERTY - Nero</t>
  </si>
  <si>
    <t>4PYL6E1E</t>
  </si>
  <si>
    <t>B07G6MYMKD</t>
  </si>
  <si>
    <t>5099206080362</t>
  </si>
  <si>
    <t>2305000</t>
  </si>
  <si>
    <t>2305001</t>
  </si>
  <si>
    <t>Ultimate Ears Megaboom 3 Altoparlante Wireless Bluetooth Portatile, Magic Button, Bassi Profondi‎, Impermeabile, Controllo Musica One Touch, Multidispositivo, Batteria di 20 h, Nero (Night Black)</t>
  </si>
  <si>
    <t>34SEC9UD</t>
  </si>
  <si>
    <t>B0056C69DO</t>
  </si>
  <si>
    <t>5099206021365</t>
  </si>
  <si>
    <t>Logitech K120 Tastiera Cablata Business per Windows/Linux, USB, Tasti ‎Silenziosi, Anti Schizzi, Barra Spaziatrice Curva, ‎PC/Laptop, Layout Italiano ‎QWERTY</t>
  </si>
  <si>
    <t>B004PGM9KY</t>
  </si>
  <si>
    <t>992060235303</t>
  </si>
  <si>
    <t>5425656426427</t>
  </si>
  <si>
    <t>Logitech Z906 5.1 Sistema di Altoparlanti Audio Dolby Surround, Certificato THX, Dolby e DTS, ‎Potenza 1000 Watt, Multidispositivo, Con Telecomando, Presa EU/IT, PC/PS4/Xbox/TV/Smartphone/Tablet</t>
  </si>
  <si>
    <t>B003LNXT7Y</t>
  </si>
  <si>
    <t>887594812475</t>
  </si>
  <si>
    <t>5054230691083</t>
  </si>
  <si>
    <t>Logitech Z313 2.1 Sistema di Altoparlanti Multimediali con Subwoofer, Audio Full Range, 50 Watt, Bassi Potenti, Ingressi Audio Bluetooth e 3,5 mm, ‎Presa EU/IT, PC/PS4/Xbox/TV/Smartphone/Tablet</t>
  </si>
  <si>
    <t>B01G3WBMZU</t>
  </si>
  <si>
    <t>817161015091</t>
  </si>
  <si>
    <t>5099206075276</t>
  </si>
  <si>
    <t>ASTRO Gaming A40 TR Cuffie Mod Kit, Microfono con Isolamento Vocale, ‎Cuscinetti Auricolari con Isolamento Acustico, Mascherine per Cuffie Close-Back, Personalizza il Tuo Look, Blu</t>
  </si>
  <si>
    <t>B07G6DKDY8</t>
  </si>
  <si>
    <t>5099206080317</t>
  </si>
  <si>
    <t>Ultimate Ears BOOM 3 Altoparlante Wireless Bluetooth Portatile, Magic Button, Bassi Profondi‎‎, Impermeabile, Controllo Musica One Touch, Multidispositivo, Batteria di fino a 15 ore, Raggio 45m, Viola</t>
  </si>
  <si>
    <t>27JB88GQ</t>
  </si>
  <si>
    <t>B07W7KMLQ9</t>
  </si>
  <si>
    <t>5099206086166</t>
  </si>
  <si>
    <t>Logitech G512 Carbon Gx Brown Carbon US intl us Nero</t>
  </si>
  <si>
    <t>1AKO6RJK</t>
  </si>
  <si>
    <t>4JN5J65Z</t>
  </si>
  <si>
    <t>4939TJ5G</t>
  </si>
  <si>
    <t>B00BF5QDZU</t>
  </si>
  <si>
    <t>013895023146</t>
  </si>
  <si>
    <t>0013895023146</t>
  </si>
  <si>
    <t>Logitech MK270 Combo Tastiera e Mouse Wireless per Windows, Layout ‎Francese AZERTY - Nero</t>
  </si>
  <si>
    <t>B07W6HYLB3</t>
  </si>
  <si>
    <t>5099206090002</t>
  </si>
  <si>
    <t>Logi G915 TKL LIGHTSPEED WL tak wh | 920-009661</t>
  </si>
  <si>
    <t>B07W6H29GS</t>
  </si>
  <si>
    <t>5099206107472</t>
  </si>
  <si>
    <t>Logitech per iPad (10ª generazione) Custodia con tastiera | Slim Folio con tastiera wireless integrata (grafite) - Pan Nordic Layout</t>
  </si>
  <si>
    <t>B07GS6ZS8J</t>
  </si>
  <si>
    <t>5099206080263</t>
  </si>
  <si>
    <t>548AEZAL</t>
  </si>
  <si>
    <t>B0166J6EFS</t>
  </si>
  <si>
    <t>5099206059382</t>
  </si>
  <si>
    <t>Logitech K400 Plus Tastiera Wireless Touch TV, Facili Controlli Multimediali e Touchpad Integrato, Layout Scandinavo QWERTY - Nero</t>
  </si>
  <si>
    <t>3MGBDEKK</t>
  </si>
  <si>
    <t>B00PVWZH78</t>
  </si>
  <si>
    <t>5099206053847</t>
  </si>
  <si>
    <t>B07W5JJP7Q</t>
  </si>
  <si>
    <t>5099206088948</t>
  </si>
  <si>
    <t>Logitech G915 TKL Tenkeyless Lightspeed fra</t>
  </si>
  <si>
    <t>B07W5JK5MW</t>
  </si>
  <si>
    <t>5099206090439</t>
  </si>
  <si>
    <t>Logitech MX Keys for Mac - Tastiera wireless avanzata illuminata, Layout Inglese QWERTY - Grigio</t>
  </si>
  <si>
    <t>B07W6HLN9H</t>
  </si>
  <si>
    <t>5099206101586</t>
  </si>
  <si>
    <t>ASTRO A10 Cuffie Gaming Cablate Gen 2, Cuffie da Gioco Over-Ear con Microfono Flip-to-Mute, Leggere, Driver 32 mm, Compatibile con Xbox Series X|S, Xbox One, PS5, PS4, Nintendo Switch, PC - Lilla</t>
  </si>
  <si>
    <t>B0056I3IDW</t>
  </si>
  <si>
    <t>000657847911</t>
  </si>
  <si>
    <t>5054629254752</t>
  </si>
  <si>
    <t>B07L8QV1XC</t>
  </si>
  <si>
    <t>5099206082434</t>
  </si>
  <si>
    <t>Logitech Crayon Digital Pencil for Education, matita digitale per tutti gli iPad (versioni 2018 e successive) con tecnologia Apple Pencil, design anti-rotolamento e punta intelligente dinamica</t>
  </si>
  <si>
    <t>B07W4DGZ53</t>
  </si>
  <si>
    <t>5099206097728</t>
  </si>
  <si>
    <t>Logitech - DISPOSITIVI di Ingresso K380 F. Mac Multi-Dispositivo BTKEYB - Rosa - fra - Centrale</t>
  </si>
  <si>
    <t>B07W4DH1XZ</t>
  </si>
  <si>
    <t>5099206098954</t>
  </si>
  <si>
    <t>Logitech MXKEYS Mini WRLS Illuminato KB Grigio Pale - ESP - MEDITER</t>
  </si>
  <si>
    <t>MXKEYS MINI WRLS ILLUMINATO KB GRIGIO PALE - ESP - MEDITER.</t>
  </si>
  <si>
    <t>B07W6JP4SQ</t>
  </si>
  <si>
    <t>5099206104792</t>
  </si>
  <si>
    <t>Logitech K380 Tastiera Wireless Bluetooth Multidispositivo, Fino 3 Dispositivi, Compatta,Batteria di 2 Anni - PC, Laptop, Windows, Mac, Chrome OS, Android, iPadOS, Apple TV - Sabbia</t>
  </si>
  <si>
    <t>B07W6JM8BJ</t>
  </si>
  <si>
    <t>5099206097216</t>
  </si>
  <si>
    <t>Logitech Signature M650 L Left Mouse Wireless, Per Mano Sinistra di Grandi Dimensioni, Clic Silenziosi, Tasti Laterali Personalizzabili, Bluetooth, Compatibilità Multidispositivo, Bianco</t>
  </si>
  <si>
    <t>B078MGXLVS</t>
  </si>
  <si>
    <t>836213000243</t>
  </si>
  <si>
    <t>0836213000243</t>
  </si>
  <si>
    <t>Blue Radius III Shockmount per Microfoni USB Multi-Pattern Yeti e Yeti Pro, Supporto a Sospensione Compatibile con Supporti Microfonici Standard e Microfoni o Clip con Filettatura Standard, Nero</t>
  </si>
  <si>
    <t>4P7SEHJS</t>
  </si>
  <si>
    <t>Total</t>
  </si>
  <si>
    <t>Claim Detail</t>
  </si>
  <si>
    <t>PO Detail</t>
  </si>
  <si>
    <t>Recon</t>
  </si>
  <si>
    <t>Concate</t>
  </si>
  <si>
    <t>Qty</t>
  </si>
  <si>
    <t>Invoice Price</t>
  </si>
  <si>
    <t>Invoice Rebate Amt</t>
  </si>
  <si>
    <t>Price</t>
  </si>
  <si>
    <t>ASIN/PO Invalid</t>
  </si>
  <si>
    <t>Qty Check</t>
  </si>
  <si>
    <t>Claim Qty &gt; PO Qty</t>
  </si>
  <si>
    <t>Price Variance</t>
  </si>
  <si>
    <t>11FTNKDSB07W7LXYTR</t>
  </si>
  <si>
    <t>11Y5DH1JB07W6JPZBL</t>
  </si>
  <si>
    <t>13O47WAGB076CNH34R</t>
  </si>
  <si>
    <t>16QFG5EWB07W6JB7N7</t>
  </si>
  <si>
    <t>172UACJHB01MCXJWD1</t>
  </si>
  <si>
    <t>17D6YHERB0074486GA</t>
  </si>
  <si>
    <t>17D6YHERB00S67M430</t>
  </si>
  <si>
    <t>17D6YHERB011N78DMA</t>
  </si>
  <si>
    <t>17D6YHERB01C4HCSOC</t>
  </si>
  <si>
    <t>17D6YHERB01MT5WL4M</t>
  </si>
  <si>
    <t>17D6YHERB01MT5WLHY</t>
  </si>
  <si>
    <t>17D6YHERB01MT5WMMG</t>
  </si>
  <si>
    <t>17D6YHERB077BT728N</t>
  </si>
  <si>
    <t>17D6YHERB078MHS3SC</t>
  </si>
  <si>
    <t>17D6YHERB0797FYB3K</t>
  </si>
  <si>
    <t>17D6YHERB0797JRLQC</t>
  </si>
  <si>
    <t>17D6YHERB0797LMGXH</t>
  </si>
  <si>
    <t>17D6YHERB079VVQS1R</t>
  </si>
  <si>
    <t>17D6YHERB07HZQT8JG</t>
  </si>
  <si>
    <t>17D6YHERB07W4DHXFT</t>
  </si>
  <si>
    <t>17D6YHERB07W6GVS5C</t>
  </si>
  <si>
    <t>17D6YHERB07W6JB7N7</t>
  </si>
  <si>
    <t>17D6YHERB07W6JPVP3</t>
  </si>
  <si>
    <t>17D6YHERB07W7K29YM</t>
  </si>
  <si>
    <t>17D6YHERB07W7KFLBN</t>
  </si>
  <si>
    <t>17D6YHERB07W7KNWK5</t>
  </si>
  <si>
    <t>17D6YHERB07W7LF6F1</t>
  </si>
  <si>
    <t>17ETH86SB07W4DH5GL</t>
  </si>
  <si>
    <t>17UTD61ZB07W7MKLNT</t>
  </si>
  <si>
    <t>1AKO6RJKB07W4DHKTD</t>
  </si>
  <si>
    <t>1JF8DBHDB010X0ZQ7S</t>
  </si>
  <si>
    <t>1KVFEQGMB00EJ3RMDM</t>
  </si>
  <si>
    <t>1KW92RHQB0041U9CYU</t>
  </si>
  <si>
    <t>1KW92RHQB0042BVWZ0</t>
  </si>
  <si>
    <t>1KW92RHQB005IDE064</t>
  </si>
  <si>
    <t>1KW92RHQB0094QSF8U</t>
  </si>
  <si>
    <t>1KW92RHQB00BT8QIJ4</t>
  </si>
  <si>
    <t>1KW92RHQB01D1Z00UK</t>
  </si>
  <si>
    <t>1KW92RHQB01GHP1IDY</t>
  </si>
  <si>
    <t>1KW92RHQB074C9LZVX</t>
  </si>
  <si>
    <t>1KW92RHQB078MHS3SC</t>
  </si>
  <si>
    <t>1KW92RHQB07VCS1895</t>
  </si>
  <si>
    <t>1KW92RHQB07W4DGQSX</t>
  </si>
  <si>
    <t>1KW92RHQB07W6JPZBL</t>
  </si>
  <si>
    <t>1KW92RHQB07W7LF6F1</t>
  </si>
  <si>
    <t>1KYIVKWCB004CM47VU</t>
  </si>
  <si>
    <t>1KYIVKWCB004PGM9KY</t>
  </si>
  <si>
    <t>1KYIVKWCB01DKGAQNG</t>
  </si>
  <si>
    <t>1KYIVKWCB01I252A34</t>
  </si>
  <si>
    <t>1KYIVKWCB07W7KMK4Y</t>
  </si>
  <si>
    <t>1LQM129ZB00CJ5FP04</t>
  </si>
  <si>
    <t>1LQM129ZB00ZOOKDU4</t>
  </si>
  <si>
    <t>1LQM129ZB00ZOZZM4U</t>
  </si>
  <si>
    <t>1LQM129ZB07CGNP3RH</t>
  </si>
  <si>
    <t>1LQM129ZB07W5JHLCB</t>
  </si>
  <si>
    <t>1LQM129ZB07W6GVHD8</t>
  </si>
  <si>
    <t>1LQM129ZB07W6H83LD</t>
  </si>
  <si>
    <t>1LQM129ZB07W6HQCNX</t>
  </si>
  <si>
    <t>1LQM129ZB07W6JGH8Z</t>
  </si>
  <si>
    <t>1LQM129ZB07W7L32NJ</t>
  </si>
  <si>
    <t>1LQM129ZB07W7LNTMC</t>
  </si>
  <si>
    <t>1M3XYEGXB07W7MSGPL</t>
  </si>
  <si>
    <t>1MDL1DPEB004LAWLPW</t>
  </si>
  <si>
    <t>1MDL1DPEB073399S1L</t>
  </si>
  <si>
    <t>1OMKO21CB00CHHDY66</t>
  </si>
  <si>
    <t>1PEKEP8IB014PYGYRE</t>
  </si>
  <si>
    <t>1PSIXGLTB004APAH40</t>
  </si>
  <si>
    <t>1PSIXGLTB0055ZWOZ4</t>
  </si>
  <si>
    <t>1PSIXGLTB00BCE30RS</t>
  </si>
  <si>
    <t>1PSIXGLTB011N78DMA</t>
  </si>
  <si>
    <t>1PSIXGLTB013Y78YY4</t>
  </si>
  <si>
    <t>1PSIXGLTB01DKGAQNG</t>
  </si>
  <si>
    <t>1PSIXGLTB01LQTFOYK</t>
  </si>
  <si>
    <t>1PSIXGLTB0797G6W5K</t>
  </si>
  <si>
    <t>1PSIXGLTB0797JRLQC</t>
  </si>
  <si>
    <t>1PSIXGLTB07DFWGKZ4</t>
  </si>
  <si>
    <t>1PSIXGLTB07W5JHLZK</t>
  </si>
  <si>
    <t>1PSIXGLTB07W6GVS5C</t>
  </si>
  <si>
    <t>1PSIXGLTB07W6JGH91</t>
  </si>
  <si>
    <t>1PSIXGLTB07W7KFFFF</t>
  </si>
  <si>
    <t>1PSIXGLTB07W7KFLBN</t>
  </si>
  <si>
    <t>1TY4KNJIB07W4DGGBH</t>
  </si>
  <si>
    <t>1UJ41WNCB00EJ3RN7C</t>
  </si>
  <si>
    <t>1VBBCE3CB003STDR1E</t>
  </si>
  <si>
    <t>1VBBCE3CB005BFCNYU</t>
  </si>
  <si>
    <t>1VBBCE3CB01A9HC69G</t>
  </si>
  <si>
    <t>1VBBCE3CB01K7GEAFC</t>
  </si>
  <si>
    <t>1VBBCE3CB0711V7BV6</t>
  </si>
  <si>
    <t>1VBBCE3CB07G5XJLWK</t>
  </si>
  <si>
    <t>1VBBCE3CB07HR4KVSN</t>
  </si>
  <si>
    <t>1VBBCE3CB07W5JJVFM</t>
  </si>
  <si>
    <t>1VBBCE3CB07W5JK3Z2</t>
  </si>
  <si>
    <t>1VBBCE3CB07W5JKLRF</t>
  </si>
  <si>
    <t>1VBBCE3CB07W6HDNPF</t>
  </si>
  <si>
    <t>1VBBCE3CB07W6HDNPG</t>
  </si>
  <si>
    <t>1VRJRIPAB07W7M4MZP</t>
  </si>
  <si>
    <t>1X4DXX4TB004QTBPWI</t>
  </si>
  <si>
    <t>1X4DXX4TB004ZH0RHK</t>
  </si>
  <si>
    <t>1X4DXX4TB00544XFHC</t>
  </si>
  <si>
    <t>1X4DXX4TB006T02YRM</t>
  </si>
  <si>
    <t>1X4DXX4TB006ZLK9SQ</t>
  </si>
  <si>
    <t>1X4DXX4TB00FSF2OSS</t>
  </si>
  <si>
    <t>1X4DXX4TB00PVWZH78</t>
  </si>
  <si>
    <t>1X4DXX4TB0105Y2T5Y</t>
  </si>
  <si>
    <t>1X4DXX4TB010EPT2X6</t>
  </si>
  <si>
    <t>1X4DXX4TB013SL1YXO</t>
  </si>
  <si>
    <t>1X4DXX4TB013SL1ZU6</t>
  </si>
  <si>
    <t>1X4DXX4TB01K7GEFWK</t>
  </si>
  <si>
    <t>1X4DXX4TB01L6L52K4</t>
  </si>
  <si>
    <t>1X4DXX4TB01M9EWQ2W</t>
  </si>
  <si>
    <t>1X4DXX4TB074N3HL5Q</t>
  </si>
  <si>
    <t>1X4DXX4TB07G6B2SGF</t>
  </si>
  <si>
    <t>1X4DXX4TB07MTY7N22</t>
  </si>
  <si>
    <t>1X4DXX4TB07PPNT9B2</t>
  </si>
  <si>
    <t>1X4DXX4TB07TTB3SR2</t>
  </si>
  <si>
    <t>1X4DXX4TB07TTB3SRB</t>
  </si>
  <si>
    <t>1X4DXX4TB07VL9YHC9</t>
  </si>
  <si>
    <t>1X4DXX4TB07W4DH1Y2</t>
  </si>
  <si>
    <t>1X4DXX4TB07W4DHNBF</t>
  </si>
  <si>
    <t>1X4DXX4TB07W4DHXC8</t>
  </si>
  <si>
    <t>1X4DXX4TB07W4DHYH6</t>
  </si>
  <si>
    <t>1X4DXX4TB07W5JJTG3</t>
  </si>
  <si>
    <t>1X4DXX4TB07W5JK1JN</t>
  </si>
  <si>
    <t>1X4DXX4TB07W5JKB92</t>
  </si>
  <si>
    <t>1X4DXX4TB07W5JKNB9</t>
  </si>
  <si>
    <t>1X4DXX4TB07W5JKPFG</t>
  </si>
  <si>
    <t>1X4DXX4TB07W5JKWTH</t>
  </si>
  <si>
    <t>1X4DXX4TB07W6FNF6N</t>
  </si>
  <si>
    <t>1X4DXX4TB07W6GNXZF</t>
  </si>
  <si>
    <t>1X4DXX4TB07W6HLQ35</t>
  </si>
  <si>
    <t>1X4DXX4TB07W6HSPY6</t>
  </si>
  <si>
    <t>1X4DXX4TB07W6HYLB3</t>
  </si>
  <si>
    <t>1X4DXX4TB07W6JM289</t>
  </si>
  <si>
    <t>1X4DXX4TB07W6JNWP8</t>
  </si>
  <si>
    <t>1X4DXX4TB07W6JP8N2</t>
  </si>
  <si>
    <t>1X4DXX4TB07W7JYN4P</t>
  </si>
  <si>
    <t>1X4DXX4TB07W7JYP91</t>
  </si>
  <si>
    <t>1X4DXX4TB07W7KBRHZ</t>
  </si>
  <si>
    <t>1X4DXX4TB07W7LHVBL</t>
  </si>
  <si>
    <t>1X4DXX4TB07W7MNYX5</t>
  </si>
  <si>
    <t>23IZV8AJB013Y78YY4</t>
  </si>
  <si>
    <t>23IZV8AJB07W6H9L5G</t>
  </si>
  <si>
    <t>243WWSUAB003ZY9Z40</t>
  </si>
  <si>
    <t>243WWSUAB0055ZWOZ4</t>
  </si>
  <si>
    <t>243WWSUAB007Z0YCEI</t>
  </si>
  <si>
    <t>243WWSUAB0094QSF8U</t>
  </si>
  <si>
    <t>243WWSUAB009QZ3TO4</t>
  </si>
  <si>
    <t>243WWSUAB00DN1D1MW</t>
  </si>
  <si>
    <t>243WWSUAB00EJ3RMDM</t>
  </si>
  <si>
    <t>243WWSUAB016QPMN84</t>
  </si>
  <si>
    <t>243WWSUAB01C47ZFLK</t>
  </si>
  <si>
    <t>243WWSUAB01DKGAQNG</t>
  </si>
  <si>
    <t>243WWSUAB01MT5WLHY</t>
  </si>
  <si>
    <t>243WWSUAB077BT728N</t>
  </si>
  <si>
    <t>243WWSUAB0797JRLQC</t>
  </si>
  <si>
    <t>243WWSUAB07DFWGKZ4</t>
  </si>
  <si>
    <t>243WWSUAB07W4DGQSX</t>
  </si>
  <si>
    <t>243WWSUAB07W4DH6FY</t>
  </si>
  <si>
    <t>243WWSUAB07W4DHXFT</t>
  </si>
  <si>
    <t>243WWSUAB07W6JJSV7</t>
  </si>
  <si>
    <t>243WWSUAB07W6JLQCY</t>
  </si>
  <si>
    <t>243WWSUAB07W7KFFFF</t>
  </si>
  <si>
    <t>243WWSUAB07W7LF6F1</t>
  </si>
  <si>
    <t>2467WIRPB003FRXFW0</t>
  </si>
  <si>
    <t>24EUBTHXB003UPJXIC</t>
  </si>
  <si>
    <t>24EUBTHXB0074486GA</t>
  </si>
  <si>
    <t>24EUBTHXB00BT8QIJ4</t>
  </si>
  <si>
    <t>24EUBTHXB00EJ3RMDM</t>
  </si>
  <si>
    <t>24EUBTHXB00EJ3RMRS</t>
  </si>
  <si>
    <t>24EUBTHXB01GHP1IDY</t>
  </si>
  <si>
    <t>24EUBTHXB01I252A34</t>
  </si>
  <si>
    <t>24EUBTHXB06XPHQW6G</t>
  </si>
  <si>
    <t>24EUBTHXB074C9LZVX</t>
  </si>
  <si>
    <t>24EUBTHXB077BT728N</t>
  </si>
  <si>
    <t>24EUBTHXB078MHS3SC</t>
  </si>
  <si>
    <t>24EUBTHXB079VVQS1R</t>
  </si>
  <si>
    <t>24EUBTHXB07VTRX1LD</t>
  </si>
  <si>
    <t>24EUBTHXB07VYGSZLM</t>
  </si>
  <si>
    <t>24EUBTHXB07W5JHLZK</t>
  </si>
  <si>
    <t>24EUBTHXB07W6JLQCY</t>
  </si>
  <si>
    <t>24EUBTHXB07W7K29YM</t>
  </si>
  <si>
    <t>24EUBTHXB07W7LF6F1</t>
  </si>
  <si>
    <t>26N6PTLNB00NP797AE</t>
  </si>
  <si>
    <t>27JB88GQB07W7KMLQ9</t>
  </si>
  <si>
    <t>29YOVOGFB000EOPQ7E</t>
  </si>
  <si>
    <t>29YOVOGFB07W4DHMVC</t>
  </si>
  <si>
    <t>29YOVOGFB07W6HKDNR</t>
  </si>
  <si>
    <t>2C2WXZKYB07W5JKPJN</t>
  </si>
  <si>
    <t>2CLMXQWQB00CJ5FP04</t>
  </si>
  <si>
    <t>2CLMXQWQB01BGBJ8Y0</t>
  </si>
  <si>
    <t>2CLMXQWQB01M3TTXMY</t>
  </si>
  <si>
    <t>2CLMXQWQB01MQ0GFUH</t>
  </si>
  <si>
    <t>2CLMXQWQB071ZFMC9Q</t>
  </si>
  <si>
    <t>2CLMXQWQB07CGNP3RH</t>
  </si>
  <si>
    <t>2CLMXQWQB07CGPZ3ZQ</t>
  </si>
  <si>
    <t>2CLMXQWQB07QKC4WWD</t>
  </si>
  <si>
    <t>2CLMXQWQB07W4DHK3P</t>
  </si>
  <si>
    <t>2CLMXQWQB07W6H83LD</t>
  </si>
  <si>
    <t>2CLMXQWQB07W6HPP3R</t>
  </si>
  <si>
    <t>2CLMXQWQB07W6JGH8Z</t>
  </si>
  <si>
    <t>2CLMXQWQB07W6JPM9P</t>
  </si>
  <si>
    <t>2CLMXQWQB07W6JPVPF</t>
  </si>
  <si>
    <t>2CLMXQWQB07W7K29YK</t>
  </si>
  <si>
    <t>2CLMXQWQB07W7LNTMC</t>
  </si>
  <si>
    <t>2DDMOF4WB07W7L3HJP</t>
  </si>
  <si>
    <t>2DDMOF4WB07W7LTX74</t>
  </si>
  <si>
    <t>2F7Y5WIXB000EOPQ7E</t>
  </si>
  <si>
    <t>2F7Y5WIXB00544XFHC</t>
  </si>
  <si>
    <t>2F7Y5WIXB00552K0GM</t>
  </si>
  <si>
    <t>2F7Y5WIXB008S1IOCY</t>
  </si>
  <si>
    <t>2F7Y5WIXB00EUUXBDE</t>
  </si>
  <si>
    <t>2F7Y5WIXB00IRCDT7Y</t>
  </si>
  <si>
    <t>2F7Y5WIXB013SL1ZU6</t>
  </si>
  <si>
    <t>2F7Y5WIXB013SL26LS</t>
  </si>
  <si>
    <t>2F7Y5WIXB01K7GEG9W</t>
  </si>
  <si>
    <t>2F7Y5WIXB01LY6Z2M6</t>
  </si>
  <si>
    <t>2F7Y5WIXB074W227RK</t>
  </si>
  <si>
    <t>2F7Y5WIXB07SCMTKGB</t>
  </si>
  <si>
    <t>2F7Y5WIXB07TLX61W7</t>
  </si>
  <si>
    <t>2F7Y5WIXB07W4DHKTD</t>
  </si>
  <si>
    <t>2F7Y5WIXB07W4DHZLS</t>
  </si>
  <si>
    <t>2F7Y5WIXB07W4DJ16Z</t>
  </si>
  <si>
    <t>2F7Y5WIXB07W5JHF5D</t>
  </si>
  <si>
    <t>2F7Y5WIXB07W5JHXF8</t>
  </si>
  <si>
    <t>2F7Y5WIXB07W5JJ1WH</t>
  </si>
  <si>
    <t>2F7Y5WIXB07W6H4R4G</t>
  </si>
  <si>
    <t>2F7Y5WIXB07W6JM35X</t>
  </si>
  <si>
    <t>2F7Y5WIXB07W7JYP9B</t>
  </si>
  <si>
    <t>2F7Y5WIXB07W7LHVBL</t>
  </si>
  <si>
    <t>2F7Y5WIXB07W7LNTM5</t>
  </si>
  <si>
    <t>2F7Y5WIXB07W7LW3VS</t>
  </si>
  <si>
    <t>2FPVCNJHB003L92O5Q</t>
  </si>
  <si>
    <t>2FPVCNJHB01A9HC69G</t>
  </si>
  <si>
    <t>2FPVCNJHB07W4DH5GL</t>
  </si>
  <si>
    <t>2JG1PBDCB07W4DG81W</t>
  </si>
  <si>
    <t>2LZI7R4TB007C0YQLA</t>
  </si>
  <si>
    <t>2LZI7R4TB00YUIM2J0</t>
  </si>
  <si>
    <t>2LZI7R4TB077BT728N</t>
  </si>
  <si>
    <t>2M7QFTCOB005KSYPGW</t>
  </si>
  <si>
    <t>2M7QFTCOB0078M385M</t>
  </si>
  <si>
    <t>2M7QFTCOB00MWNDUDM</t>
  </si>
  <si>
    <t>2M7QFTCOB00P7RAI8A</t>
  </si>
  <si>
    <t>2M7QFTCOB013SL1ZU6</t>
  </si>
  <si>
    <t>2M7QFTCOB013SL2050</t>
  </si>
  <si>
    <t>2M7QFTCOB014KH8BRW</t>
  </si>
  <si>
    <t>2M7QFTCOB01K7GEFWK</t>
  </si>
  <si>
    <t>2M7QFTCOB01M9EWQ2W</t>
  </si>
  <si>
    <t>2M7QFTCOB01MYW8COY</t>
  </si>
  <si>
    <t>2M7QFTCOB07CGNDZR3</t>
  </si>
  <si>
    <t>2M7QFTCOB07DTTGZ7M</t>
  </si>
  <si>
    <t>2M7QFTCOB07G6MBCG3</t>
  </si>
  <si>
    <t>2M7QFTCOB07GS6ZS8J</t>
  </si>
  <si>
    <t>2M7QFTCOB07H3HGVDW</t>
  </si>
  <si>
    <t>2M7QFTCOB07MTY7N22</t>
  </si>
  <si>
    <t>2M7QFTCOB07PPNT9B2</t>
  </si>
  <si>
    <t>2M7QFTCOB07TLX61W7</t>
  </si>
  <si>
    <t>2M7QFTCOB07TQ6G276</t>
  </si>
  <si>
    <t>2M7QFTCOB07VL9YHC9</t>
  </si>
  <si>
    <t>2M7QFTCOB07VRLJHFH</t>
  </si>
  <si>
    <t>2M7QFTCOB07W4DHKTB</t>
  </si>
  <si>
    <t>2M7QFTCOB07W4DHKTD</t>
  </si>
  <si>
    <t>2M7QFTCOB07W4DHQJ9</t>
  </si>
  <si>
    <t>2M7QFTCOB07W4DHT47</t>
  </si>
  <si>
    <t>2M7QFTCOB07W5JHX84</t>
  </si>
  <si>
    <t>2M7QFTCOB07W5JKKHL</t>
  </si>
  <si>
    <t>2M7QFTCOB07W5JKWTH</t>
  </si>
  <si>
    <t>2M7QFTCOB07W6GVZFL</t>
  </si>
  <si>
    <t>2M7QFTCOB07W6HJ5L5</t>
  </si>
  <si>
    <t>2M7QFTCOB07W6HKDNR</t>
  </si>
  <si>
    <t>2M7QFTCOB07W6HKMCN</t>
  </si>
  <si>
    <t>2M7QFTCOB07W6HLJJT</t>
  </si>
  <si>
    <t>2M7QFTCOB07W6HVXXN</t>
  </si>
  <si>
    <t>2M7QFTCOB07W6J6WYH</t>
  </si>
  <si>
    <t>2M7QFTCOB07W6J829F</t>
  </si>
  <si>
    <t>2M7QFTCOB07W6JHB2P</t>
  </si>
  <si>
    <t>2M7QFTCOB07W6JKH1B</t>
  </si>
  <si>
    <t>2M7QFTCOB07W6JM289</t>
  </si>
  <si>
    <t>2M7QFTCOB07W6JNF81</t>
  </si>
  <si>
    <t>2M7QFTCOB07W6JNQ82</t>
  </si>
  <si>
    <t>2M7QFTCOB07W7JYN4P</t>
  </si>
  <si>
    <t>2M7QFTCOB07W7JYP91</t>
  </si>
  <si>
    <t>2M7QFTCOB07W7L3DSX</t>
  </si>
  <si>
    <t>2M7QFTCOB07W7L3HJP</t>
  </si>
  <si>
    <t>2M7QFTCOB07W7LFHH9</t>
  </si>
  <si>
    <t>2M7QFTCOB07W7LNRN6</t>
  </si>
  <si>
    <t>2M7QFTCOB07W7MKLNT</t>
  </si>
  <si>
    <t>2NHJ23TZB07CGNDZR3</t>
  </si>
  <si>
    <t>2NHJ23TZB07G6CQQYG</t>
  </si>
  <si>
    <t>2NHJ23TZB07W4DHQJ9</t>
  </si>
  <si>
    <t>2R6FMUZDB006A2Q81M</t>
  </si>
  <si>
    <t>2R6FMUZDB00CJ5FP04</t>
  </si>
  <si>
    <t>2R6FMUZDB01M3TTXMY</t>
  </si>
  <si>
    <t>2R6FMUZDB01MFBNN9J</t>
  </si>
  <si>
    <t>2R6FMUZDB071W18JHM</t>
  </si>
  <si>
    <t>2R6FMUZDB07CGNP3RH</t>
  </si>
  <si>
    <t>2R6FMUZDB07G5XJLWK</t>
  </si>
  <si>
    <t>2R6FMUZDB07J9Q68CK</t>
  </si>
  <si>
    <t>2R6FMUZDB07MM4V7NR</t>
  </si>
  <si>
    <t>2R6FMUZDB07PMKHMFS</t>
  </si>
  <si>
    <t>2R6FMUZDB07QKC4WWD</t>
  </si>
  <si>
    <t>2R6FMUZDB07W4DH65R</t>
  </si>
  <si>
    <t>2R6FMUZDB07W5JHLCB</t>
  </si>
  <si>
    <t>2R6FMUZDB07W5JKBMG</t>
  </si>
  <si>
    <t>2R6FMUZDB07W5JKFQC</t>
  </si>
  <si>
    <t>2R6FMUZDB07W5JKLRF</t>
  </si>
  <si>
    <t>2R6FMUZDB07W5JKR75</t>
  </si>
  <si>
    <t>2R6FMUZDB07W6HJPSW</t>
  </si>
  <si>
    <t>2R6FMUZDB07W6HPP3R</t>
  </si>
  <si>
    <t>2R6FMUZDB07W6JGH8Z</t>
  </si>
  <si>
    <t>2R6FMUZDB07W6JPVPF</t>
  </si>
  <si>
    <t>2R6FMUZDB07W7K29YK</t>
  </si>
  <si>
    <t>2R6FMUZDB07W7LNTMC</t>
  </si>
  <si>
    <t>2R6FMUZDB07W7M4MZP</t>
  </si>
  <si>
    <t>2SN9AZGVB01L6L46LK</t>
  </si>
  <si>
    <t>2TEPPOLQB01MCXJWD1</t>
  </si>
  <si>
    <t>2TMBDXBKB002VA464S</t>
  </si>
  <si>
    <t>2TMBDXBKB00544XFHC</t>
  </si>
  <si>
    <t>2TMBDXBKB0099P55SY</t>
  </si>
  <si>
    <t>2TMBDXBKB00CGX8Q46</t>
  </si>
  <si>
    <t>2TMBDXBKB00CJ5FPTA</t>
  </si>
  <si>
    <t>2TMBDXBKB00L8VNQ88</t>
  </si>
  <si>
    <t>2TMBDXBKB00M6MLYZU</t>
  </si>
  <si>
    <t>2TMBDXBKB00VHHWNMI</t>
  </si>
  <si>
    <t>2TMBDXBKB0105Y2T5Y</t>
  </si>
  <si>
    <t>2TMBDXBKB014S0DVDK</t>
  </si>
  <si>
    <t>2TMBDXBKB01A9GXEOI</t>
  </si>
  <si>
    <t>2TMBDXBKB01K7GEG9W</t>
  </si>
  <si>
    <t>2TMBDXBKB01KZVQB42</t>
  </si>
  <si>
    <t>2TMBDXBKB0728J7D3B</t>
  </si>
  <si>
    <t>2TMBDXBKB07DTTGZ7M</t>
  </si>
  <si>
    <t>2TMBDXBKB07G6LWTG6</t>
  </si>
  <si>
    <t>2TMBDXBKB07G6MYMKD</t>
  </si>
  <si>
    <t>2TMBDXBKB07MTY7N22</t>
  </si>
  <si>
    <t>2TMBDXBKB07PPNT9B2</t>
  </si>
  <si>
    <t>2TMBDXBKB07TTB3SR2</t>
  </si>
  <si>
    <t>2TMBDXBKB07VL9YHC9</t>
  </si>
  <si>
    <t>2TMBDXBKB07W4DGC27</t>
  </si>
  <si>
    <t>2TMBDXBKB07W4DGQC1</t>
  </si>
  <si>
    <t>2TMBDXBKB07W4DHZLS</t>
  </si>
  <si>
    <t>2TMBDXBKB07W5JHV5C</t>
  </si>
  <si>
    <t>2TMBDXBKB07W5JJSBK</t>
  </si>
  <si>
    <t>2TMBDXBKB07W5JK1JN</t>
  </si>
  <si>
    <t>2TMBDXBKB07W5JK221</t>
  </si>
  <si>
    <t>2TMBDXBKB07W5JK2S4</t>
  </si>
  <si>
    <t>2TMBDXBKB07W5JK3M6</t>
  </si>
  <si>
    <t>2TMBDXBKB07W5JKPFG</t>
  </si>
  <si>
    <t>2TMBDXBKB07W6GW9BJ</t>
  </si>
  <si>
    <t>2TMBDXBKB07W6H4R4D</t>
  </si>
  <si>
    <t>2TMBDXBKB07W6HXZ5J</t>
  </si>
  <si>
    <t>2TMBDXBKB07W6J24VW</t>
  </si>
  <si>
    <t>2TMBDXBKB07W6J51XR</t>
  </si>
  <si>
    <t>2TMBDXBKB07W6JKH1B</t>
  </si>
  <si>
    <t>2TMBDXBKB07W6JLFZ2</t>
  </si>
  <si>
    <t>2TMBDXBKB07W6JNF81</t>
  </si>
  <si>
    <t>2TMBDXBKB07W7JYN4P</t>
  </si>
  <si>
    <t>2TMBDXBKB07W7KT2B3</t>
  </si>
  <si>
    <t>2TMBDXBKB07W7L3HJP</t>
  </si>
  <si>
    <t>2TMBDXBKB07W7LNRN6</t>
  </si>
  <si>
    <t>2TMBDXBKB07W7LW3VS</t>
  </si>
  <si>
    <t>2TMBDXBKB07W8P4PDD</t>
  </si>
  <si>
    <t>2W68T8TOB006A2Q81M</t>
  </si>
  <si>
    <t>2W68T8TOB00CJ5FP04</t>
  </si>
  <si>
    <t>2W68T8TOB01M3TTXMY</t>
  </si>
  <si>
    <t>2W68T8TOB01MFBNN9J</t>
  </si>
  <si>
    <t>2W68T8TOB071ZFMC9Q</t>
  </si>
  <si>
    <t>2W68T8TOB07G5XJLWK</t>
  </si>
  <si>
    <t>2W68T8TOB07MM4V7NR</t>
  </si>
  <si>
    <t>2W68T8TOB07PMKHMFS</t>
  </si>
  <si>
    <t>2W68T8TOB07QKC4WWD</t>
  </si>
  <si>
    <t>2W68T8TOB07VWZHCNX</t>
  </si>
  <si>
    <t>2W68T8TOB07W4DHK3P</t>
  </si>
  <si>
    <t>2W68T8TOB07W5JHLCB</t>
  </si>
  <si>
    <t>2W68T8TOB07W5JJVFM</t>
  </si>
  <si>
    <t>2W68T8TOB07W5JK3Z2</t>
  </si>
  <si>
    <t>2W68T8TOB07W5JKBMG</t>
  </si>
  <si>
    <t>2W68T8TOB07W5JKLRF</t>
  </si>
  <si>
    <t>2W68T8TOB07W6GVZFJ</t>
  </si>
  <si>
    <t>2W68T8TOB07W6HBBMH</t>
  </si>
  <si>
    <t>2W68T8TOB07W6HDNPG</t>
  </si>
  <si>
    <t>2W68T8TOB07W6HJPSW</t>
  </si>
  <si>
    <t>2W68T8TOB07W6HPP3R</t>
  </si>
  <si>
    <t>2W68T8TOB07W6J3W3B</t>
  </si>
  <si>
    <t>2W68T8TOB07W6J5VYB</t>
  </si>
  <si>
    <t>2W68T8TOB07W6JGH8Z</t>
  </si>
  <si>
    <t>2W68T8TOB07W6JPVPF</t>
  </si>
  <si>
    <t>2W68T8TOB08GX3XFYH</t>
  </si>
  <si>
    <t>2XSDZ5YGB07W4DGCMW</t>
  </si>
  <si>
    <t>31DJDC7QB002L3TSLQ</t>
  </si>
  <si>
    <t>31DJDC7QB00CJ5FP2C</t>
  </si>
  <si>
    <t>31DJDC7QB00CJ5FPTA</t>
  </si>
  <si>
    <t>31DJDC7QB00EUUXBDE</t>
  </si>
  <si>
    <t>31DJDC7QB00G2Y44ZK</t>
  </si>
  <si>
    <t>31DJDC7QB00MWNDVIG</t>
  </si>
  <si>
    <t>31DJDC7QB00OK49SMI</t>
  </si>
  <si>
    <t>31DJDC7QB00Q6MR0UO</t>
  </si>
  <si>
    <t>31DJDC7QB013SL2050</t>
  </si>
  <si>
    <t>31DJDC7QB014S0DVDK</t>
  </si>
  <si>
    <t>31DJDC7QB0166J6EFS</t>
  </si>
  <si>
    <t>31DJDC7QB01A9GXEOI</t>
  </si>
  <si>
    <t>31DJDC7QB01GNP4Y70</t>
  </si>
  <si>
    <t>31DJDC7QB01K7GEAF2</t>
  </si>
  <si>
    <t>31DJDC7QB0728J7D3B</t>
  </si>
  <si>
    <t>31DJDC7QB072R4BL6S</t>
  </si>
  <si>
    <t>31DJDC7QB079Z3DSBK</t>
  </si>
  <si>
    <t>31DJDC7QB07PNJ533Y</t>
  </si>
  <si>
    <t>31DJDC7QB07VFJT9NM</t>
  </si>
  <si>
    <t>31DJDC7QB07VK1S68S</t>
  </si>
  <si>
    <t>31DJDC7QB07W4DG827</t>
  </si>
  <si>
    <t>31DJDC7QB07W4DGLJX</t>
  </si>
  <si>
    <t>31DJDC7QB07W4DHKTD</t>
  </si>
  <si>
    <t>31DJDC7QB07W4DHMVB</t>
  </si>
  <si>
    <t>31DJDC7QB07W4DHT47</t>
  </si>
  <si>
    <t>31DJDC7QB07W4DJ16Z</t>
  </si>
  <si>
    <t>31DJDC7QB07W4DJF29</t>
  </si>
  <si>
    <t>31DJDC7QB07W5JHF97</t>
  </si>
  <si>
    <t>31DJDC7QB07W5JJ1WH</t>
  </si>
  <si>
    <t>31DJDC7QB07W6G3KBL</t>
  </si>
  <si>
    <t>31DJDC7QB07W6GVZFL</t>
  </si>
  <si>
    <t>31DJDC7QB07W6H4R4G</t>
  </si>
  <si>
    <t>31DJDC7QB07W6HVXXN</t>
  </si>
  <si>
    <t>31DJDC7QB07W6HXQ9J</t>
  </si>
  <si>
    <t>31DJDC7QB07W6JKH1B</t>
  </si>
  <si>
    <t>31DJDC7QB07W6JLFZ2</t>
  </si>
  <si>
    <t>31DJDC7QB07W6JNF81</t>
  </si>
  <si>
    <t>31DJDC7QB07W7J6RBC</t>
  </si>
  <si>
    <t>31DJDC7QB07W7KMK4Y</t>
  </si>
  <si>
    <t>31DJDC7QB07W7LFHH9</t>
  </si>
  <si>
    <t>31DJDC7QB07W7LNRN6</t>
  </si>
  <si>
    <t>31DJDC7QB07W7LXYTR</t>
  </si>
  <si>
    <t>31DJDC7QB07W7MKLNS</t>
  </si>
  <si>
    <t>31DJDC7QB07W8P4PDD</t>
  </si>
  <si>
    <t>31DJDC7QB0866PZN76</t>
  </si>
  <si>
    <t>31QWZ6KBB003LNXT7Y</t>
  </si>
  <si>
    <t>31QWZ6KBB01A9GXEOI</t>
  </si>
  <si>
    <t>33A3KRGGB07W6JNG13</t>
  </si>
  <si>
    <t>33RKXX6HB003V4A5VG</t>
  </si>
  <si>
    <t>34SEC9UDB0056C69DO</t>
  </si>
  <si>
    <t>36BT7GGLB00745IE1Q</t>
  </si>
  <si>
    <t>36BT7GGLB00L8VNQ88</t>
  </si>
  <si>
    <t>36BT7GGLB00O8K42PM</t>
  </si>
  <si>
    <t>36BT7GGLB00VHHWNMI</t>
  </si>
  <si>
    <t>36BT7GGLB013SL1ZU6</t>
  </si>
  <si>
    <t>36BT7GGLB013SL2050</t>
  </si>
  <si>
    <t>36BT7GGLB014PYGTUQ</t>
  </si>
  <si>
    <t>36BT7GGLB01K7GEG9W</t>
  </si>
  <si>
    <t>36BT7GGLB01MYW8COY</t>
  </si>
  <si>
    <t>36BT7GGLB07CGVGMLD</t>
  </si>
  <si>
    <t>36BT7GGLB07G6LWTG6</t>
  </si>
  <si>
    <t>36BT7GGLB07MTY7N22</t>
  </si>
  <si>
    <t>36BT7GGLB07TLX61W7</t>
  </si>
  <si>
    <t>36BT7GGLB07VL9YHC9</t>
  </si>
  <si>
    <t>36BT7GGLB07W4DG827</t>
  </si>
  <si>
    <t>36BT7GGLB07W4DH1Y2</t>
  </si>
  <si>
    <t>36BT7GGLB07W4DHKTB</t>
  </si>
  <si>
    <t>36BT7GGLB07W4DHY5F</t>
  </si>
  <si>
    <t>36BT7GGLB07W5JHV5C</t>
  </si>
  <si>
    <t>36BT7GGLB07W5JJ1WM</t>
  </si>
  <si>
    <t>36BT7GGLB07W5JK1JN</t>
  </si>
  <si>
    <t>36BT7GGLB07W5JKHFZ</t>
  </si>
  <si>
    <t>36BT7GGLB07W5JKKHL</t>
  </si>
  <si>
    <t>36BT7GGLB07W5JKNB9</t>
  </si>
  <si>
    <t>36BT7GGLB07W6GNXZF</t>
  </si>
  <si>
    <t>36BT7GGLB07W6H4R4G</t>
  </si>
  <si>
    <t>36BT7GGLB07W6HKDNR</t>
  </si>
  <si>
    <t>36BT7GGLB07W6HVXXN</t>
  </si>
  <si>
    <t>36BT7GGLB07W6HXZ5J</t>
  </si>
  <si>
    <t>36BT7GGLB07W6J24VW</t>
  </si>
  <si>
    <t>36BT7GGLB07W6J51XR</t>
  </si>
  <si>
    <t>36BT7GGLB07W6JFPT1</t>
  </si>
  <si>
    <t>36BT7GGLB07W6JNF81</t>
  </si>
  <si>
    <t>36BT7GGLB07W7JYP91</t>
  </si>
  <si>
    <t>36BT7GGLB07W7KT2B3</t>
  </si>
  <si>
    <t>36BT7GGLB07W7L3HJP</t>
  </si>
  <si>
    <t>36BT7GGLB07W7LNRN6</t>
  </si>
  <si>
    <t>38RKRRMYB07W6JKH17</t>
  </si>
  <si>
    <t>38RKRRMYB07W7LMCF9</t>
  </si>
  <si>
    <t>39TAD6PCB000XUQ2LI</t>
  </si>
  <si>
    <t>39TAD6PCB006A2Q81M</t>
  </si>
  <si>
    <t>39TAD6PCB00XJ3LVPI</t>
  </si>
  <si>
    <t>39TAD6PCB01K7GEAFC</t>
  </si>
  <si>
    <t>39TAD6PCB06XZZJ65H</t>
  </si>
  <si>
    <t>39TAD6PCB0711V7BV6</t>
  </si>
  <si>
    <t>39TAD6PCB07FNHV4MW</t>
  </si>
  <si>
    <t>39TAD6PCB07HR4KVSN</t>
  </si>
  <si>
    <t>39TAD6PCB07MM4V7NR</t>
  </si>
  <si>
    <t>39TAD6PCB07PMKHMFS</t>
  </si>
  <si>
    <t>39TAD6PCB07W4DHG24</t>
  </si>
  <si>
    <t>39TAD6PCB07W5JJVFM</t>
  </si>
  <si>
    <t>39TAD6PCB07W5JKBMG</t>
  </si>
  <si>
    <t>39TAD6PCB07W5JKLRF</t>
  </si>
  <si>
    <t>39TAD6PCB07W5JKT4S</t>
  </si>
  <si>
    <t>39TAD6PCB07W6HFDR8</t>
  </si>
  <si>
    <t>39TAD6PCB07W7MKLNS</t>
  </si>
  <si>
    <t>3A946EXYB00CJ5FPTA</t>
  </si>
  <si>
    <t>3A946EXYB0118K7K4O</t>
  </si>
  <si>
    <t>3A946EXYB015BCWNNS</t>
  </si>
  <si>
    <t>3A946EXYB01K7GEA3O</t>
  </si>
  <si>
    <t>3A946EXYB074N6823V</t>
  </si>
  <si>
    <t>3A946EXYB07G6CRZ2Q</t>
  </si>
  <si>
    <t>3A946EXYB07W4DGFSM</t>
  </si>
  <si>
    <t>3A946EXYB07W4DHMVB</t>
  </si>
  <si>
    <t>3A946EXYB07W4DHNG5</t>
  </si>
  <si>
    <t>3A946EXYB07W4DHXC8</t>
  </si>
  <si>
    <t>3A946EXYB07W6G3KBL</t>
  </si>
  <si>
    <t>3A946EXYB07W6G822V</t>
  </si>
  <si>
    <t>3A946EXYB07W6HKMCN</t>
  </si>
  <si>
    <t>3A946EXYB07W6HZ85B</t>
  </si>
  <si>
    <t>3A946EXYB07W6JKH17</t>
  </si>
  <si>
    <t>3A946EXYB07W6JKH1B</t>
  </si>
  <si>
    <t>3A946EXYB07W7LLFVD</t>
  </si>
  <si>
    <t>3BEWVQCYB074KGS5C3</t>
  </si>
  <si>
    <t>3BEWVQCYB0797G6W5K</t>
  </si>
  <si>
    <t>3CWLEPWLB07S7CKTBR</t>
  </si>
  <si>
    <t>3G77YEPLB01MYW8COY</t>
  </si>
  <si>
    <t>3GBCH66MB0055ZWOZ4</t>
  </si>
  <si>
    <t>3GBCH66MB00969DJO0</t>
  </si>
  <si>
    <t>3GBCH66MB00EJ3RMDM</t>
  </si>
  <si>
    <t>3GBCH66MB00NP797AE</t>
  </si>
  <si>
    <t>3GBCH66MB013Y78YY4</t>
  </si>
  <si>
    <t>3GBCH66MB016QPMN84</t>
  </si>
  <si>
    <t>3GBCH66MB01DKGAQNG</t>
  </si>
  <si>
    <t>3GBCH66MB01I252A34</t>
  </si>
  <si>
    <t>3GBCH66MB06XPHQW6G</t>
  </si>
  <si>
    <t>3GBCH66MB06XQ323B3</t>
  </si>
  <si>
    <t>3GBCH66MB074C9LZVX</t>
  </si>
  <si>
    <t>3GBCH66MB077BT728N</t>
  </si>
  <si>
    <t>3GBCH66MB07W1NZXRB</t>
  </si>
  <si>
    <t>3GBCH66MB07W5JKB91</t>
  </si>
  <si>
    <t>3GBCH66MB07W6JLQCY</t>
  </si>
  <si>
    <t>3GBCH66MB07W6JMQW4</t>
  </si>
  <si>
    <t>3GBCH66MB07W7KFFFF</t>
  </si>
  <si>
    <t>3GBCH66MB07W7MSGPL</t>
  </si>
  <si>
    <t>3GW1K2ZRB00BT8QIJ4</t>
  </si>
  <si>
    <t>3GW1K2ZRB011N78DMA</t>
  </si>
  <si>
    <t>3I9WF8IGB07VTSZ63W</t>
  </si>
  <si>
    <t>3I9WF8IGB07W5JJP7D</t>
  </si>
  <si>
    <t>3IQS66UGB0105Y2T5Y</t>
  </si>
  <si>
    <t>3IQS66UGB014PYGYRE</t>
  </si>
  <si>
    <t>3IQS66UGB01KZVQB42</t>
  </si>
  <si>
    <t>3IQS66UGB07L8QV1XC</t>
  </si>
  <si>
    <t>3IQS66UGB07MTXLFXV</t>
  </si>
  <si>
    <t>3IQS66UGB07W4DHNBL</t>
  </si>
  <si>
    <t>3IQS66UGB07W4DHQJ9</t>
  </si>
  <si>
    <t>3IQS66UGB07W5JHX84</t>
  </si>
  <si>
    <t>3IQS66UGB07W5JJ85Z</t>
  </si>
  <si>
    <t>3IQS66UGB07W5JKKHL</t>
  </si>
  <si>
    <t>3IQS66UGB07W6GY66B</t>
  </si>
  <si>
    <t>3IQS66UGB07W6JQ52X</t>
  </si>
  <si>
    <t>3J421ZZBB07W7LTQ4B</t>
  </si>
  <si>
    <t>3KXAV5DWB07W7MQMDH</t>
  </si>
  <si>
    <t>3KYCEHVHB005BFCNYU</t>
  </si>
  <si>
    <t>3KYCEHVHB005DVR56I</t>
  </si>
  <si>
    <t>3KYCEHVHB006A2Q81M</t>
  </si>
  <si>
    <t>3KYCEHVHB00CJ5FP04</t>
  </si>
  <si>
    <t>3KYCEHVHB00ZOOKDU4</t>
  </si>
  <si>
    <t>3KYCEHVHB00ZOZZM4U</t>
  </si>
  <si>
    <t>3KYCEHVHB00ZWOUH4S</t>
  </si>
  <si>
    <t>3KYCEHVHB01G3WBH9G</t>
  </si>
  <si>
    <t>3KYCEHVHB01M3TTXMY</t>
  </si>
  <si>
    <t>3KYCEHVHB01M8M8G23</t>
  </si>
  <si>
    <t>3KYCEHVHB01MFBNN9J</t>
  </si>
  <si>
    <t>3KYCEHVHB0711V7BV6</t>
  </si>
  <si>
    <t>3KYCEHVHB071ZFMC9Q</t>
  </si>
  <si>
    <t>3KYCEHVHB074379C7Q</t>
  </si>
  <si>
    <t>3KYCEHVHB07CGNP3RH</t>
  </si>
  <si>
    <t>3KYCEHVHB07CGPZ3ZQ</t>
  </si>
  <si>
    <t>3KYCEHVHB07G5XJLWK</t>
  </si>
  <si>
    <t>3KYCEHVHB07MM4V7NR</t>
  </si>
  <si>
    <t>3KYCEHVHB07PMKHMFS</t>
  </si>
  <si>
    <t>3KYCEHVHB07W4DGVQF</t>
  </si>
  <si>
    <t>3KYCEHVHB07W4DHDCQ</t>
  </si>
  <si>
    <t>3KYCEHVHB07W4DHG24</t>
  </si>
  <si>
    <t>3KYCEHVHB07W5JJVFM</t>
  </si>
  <si>
    <t>3KYCEHVHB07W5JK9J9</t>
  </si>
  <si>
    <t>3KYCEHVHB07W5JKBMG</t>
  </si>
  <si>
    <t>3KYCEHVHB07W5JKLRF</t>
  </si>
  <si>
    <t>3KYCEHVHB07W5JKT4S</t>
  </si>
  <si>
    <t>3KYCEHVHB07W6H31VJ</t>
  </si>
  <si>
    <t>3KYCEHVHB07W6HBBMH</t>
  </si>
  <si>
    <t>3KYCEHVHB07W6HFDR8</t>
  </si>
  <si>
    <t>3KYCEHVHB07W6HJPSW</t>
  </si>
  <si>
    <t>3KYCEHVHB07W6JGH8Z</t>
  </si>
  <si>
    <t>3KYCEHVHB07W6JP5N1</t>
  </si>
  <si>
    <t>3KYCEHVHB07W6JPM9P</t>
  </si>
  <si>
    <t>3KYCEHVHB07W6JPVPF</t>
  </si>
  <si>
    <t>3KYCEHVHB07W7LNTMC</t>
  </si>
  <si>
    <t>3KYCEHVHB07W7M1LNM</t>
  </si>
  <si>
    <t>3MGBDEKKB009N6WMOY</t>
  </si>
  <si>
    <t>3OAOBQ1IB01A9HC69G</t>
  </si>
  <si>
    <t>3OB2IUIKB008M4RH1G</t>
  </si>
  <si>
    <t>3OB2IUIKB073399S1L</t>
  </si>
  <si>
    <t>3OB2IUIKB07W7LB4T7</t>
  </si>
  <si>
    <t>3OL6Y8AFB07W5JJP7D</t>
  </si>
  <si>
    <t>3OXMGR8FB00BCE30RS</t>
  </si>
  <si>
    <t>3PHD2T1GB004LAWLPW</t>
  </si>
  <si>
    <t>3T2OW47PB003L92O5Q</t>
  </si>
  <si>
    <t>3T2OW47PB07W7L3HJP</t>
  </si>
  <si>
    <t>3T7ZSLFGB07W6H91JG</t>
  </si>
  <si>
    <t>3T7ZSLFGB07W7KV4GH</t>
  </si>
  <si>
    <t>3UDP1VLYB00CJ5FPTA</t>
  </si>
  <si>
    <t>3UDP1VLYB07S7CKTBR</t>
  </si>
  <si>
    <t>3UDP1VLYB07W6JKH17</t>
  </si>
  <si>
    <t>3UDP1VLYB07W7LMCF9</t>
  </si>
  <si>
    <t>44DTI43XB00YUIM2J0</t>
  </si>
  <si>
    <t>48JXYHTNB078MGXLVS</t>
  </si>
  <si>
    <t>48JXYHTNB07W7LTQ4B</t>
  </si>
  <si>
    <t>4939TJ5GB073399S1L</t>
  </si>
  <si>
    <t>4A3KDTEZB0038NRMKW</t>
  </si>
  <si>
    <t>4A3KDTEZB003UPJXIC</t>
  </si>
  <si>
    <t>4A3KDTEZB0042BVWZ0</t>
  </si>
  <si>
    <t>4A3KDTEZB0055ZWOZ4</t>
  </si>
  <si>
    <t>4A3KDTEZB0074486GA</t>
  </si>
  <si>
    <t>4A3KDTEZB009N6WMOY</t>
  </si>
  <si>
    <t>4A3KDTEZB00BCE30RS</t>
  </si>
  <si>
    <t>4A3KDTEZB00D2PX8C2</t>
  </si>
  <si>
    <t>4A3KDTEZB00EJ3RMDM</t>
  </si>
  <si>
    <t>4A3KDTEZB00YUIM2J0</t>
  </si>
  <si>
    <t>4A3KDTEZB011N78DMA</t>
  </si>
  <si>
    <t>4A3KDTEZB013Y78YY4</t>
  </si>
  <si>
    <t>4A3KDTEZB01KPT6UUE</t>
  </si>
  <si>
    <t>4A3KDTEZB01L6L451Q</t>
  </si>
  <si>
    <t>4A3KDTEZB01MT5WL4M</t>
  </si>
  <si>
    <t>4A3KDTEZB01MT5WMMG</t>
  </si>
  <si>
    <t>4A3KDTEZB074KMD92K</t>
  </si>
  <si>
    <t>4A3KDTEZB078MHS3SC</t>
  </si>
  <si>
    <t>4A3KDTEZB0797FYB3K</t>
  </si>
  <si>
    <t>4A3KDTEZB0797G6W5K</t>
  </si>
  <si>
    <t>4A3KDTEZB0797JRLQC</t>
  </si>
  <si>
    <t>4A3KDTEZB0797LMGXH</t>
  </si>
  <si>
    <t>4A3KDTEZB079YHHPF2</t>
  </si>
  <si>
    <t>4A3KDTEZB079Z3DSBK</t>
  </si>
  <si>
    <t>4A3KDTEZB07JB68RTK</t>
  </si>
  <si>
    <t>4A3KDTEZB07VTRZLWJ</t>
  </si>
  <si>
    <t>4A3KDTEZB07W4DHXFT</t>
  </si>
  <si>
    <t>4A3KDTEZB07W5JJPFH</t>
  </si>
  <si>
    <t>4A3KDTEZB07W6GVS5C</t>
  </si>
  <si>
    <t>4A3KDTEZB07W6JB7N7</t>
  </si>
  <si>
    <t>4A3KDTEZB07W6JGH91</t>
  </si>
  <si>
    <t>4A3KDTEZB07W6JLQCY</t>
  </si>
  <si>
    <t>4A3KDTEZB07W6JPFH1</t>
  </si>
  <si>
    <t>4A3KDTEZB07W6JPZBL</t>
  </si>
  <si>
    <t>4A3KDTEZB07W7KFFFF</t>
  </si>
  <si>
    <t>4A3KDTEZB07W7KFLBN</t>
  </si>
  <si>
    <t>4A3KDTEZB07W7KJC28</t>
  </si>
  <si>
    <t>4A3KDTEZB07W7MSGPL</t>
  </si>
  <si>
    <t>4AP423UWB07W5JK3Z2</t>
  </si>
  <si>
    <t>4DNB5NLZB079YHHPF2</t>
  </si>
  <si>
    <t>4E16R26MB003V0QEV0</t>
  </si>
  <si>
    <t>4EYWO72FB0099P55SY</t>
  </si>
  <si>
    <t>4F3XMHTVB00CJ5FP04</t>
  </si>
  <si>
    <t>4F3XMHTVB00XJ3LVPI</t>
  </si>
  <si>
    <t>4F3XMHTVB01DIJIDKI</t>
  </si>
  <si>
    <t>4F3XMHTVB01DKTP3PY</t>
  </si>
  <si>
    <t>4F3XMHTVB01G3WBH9G</t>
  </si>
  <si>
    <t>4F3XMHTVB01MQ0GFUH</t>
  </si>
  <si>
    <t>4F3XMHTVB0766JZ8Q3</t>
  </si>
  <si>
    <t>4F3XMHTVB07G5XJLWK</t>
  </si>
  <si>
    <t>4F3XMHTVB07MM4V7NR</t>
  </si>
  <si>
    <t>4F3XMHTVB07PYL7WZY</t>
  </si>
  <si>
    <t>4F3XMHTVB07QKC4WWD</t>
  </si>
  <si>
    <t>4F3XMHTVB07QNYCLBJ</t>
  </si>
  <si>
    <t>4F3XMHTVB07VWZHCNX</t>
  </si>
  <si>
    <t>4F3XMHTVB07W4DGKZ5</t>
  </si>
  <si>
    <t>4F3XMHTVB07W4DHG24</t>
  </si>
  <si>
    <t>4F3XMHTVB07W5JHLCB</t>
  </si>
  <si>
    <t>4F3XMHTVB07W5JJVFM</t>
  </si>
  <si>
    <t>4F3XMHTVB07W5JKFQC</t>
  </si>
  <si>
    <t>4F3XMHTVB07W5JKLRF</t>
  </si>
  <si>
    <t>4F3XMHTVB07W5JKPK4</t>
  </si>
  <si>
    <t>4F3XMHTVB07W5JKT4S</t>
  </si>
  <si>
    <t>4F3XMHTVB07W6GVHD8</t>
  </si>
  <si>
    <t>4F3XMHTVB07W6H83LD</t>
  </si>
  <si>
    <t>4F3XMHTVB07W6HBBMH</t>
  </si>
  <si>
    <t>4F3XMHTVB07W6HDNPF</t>
  </si>
  <si>
    <t>4F3XMHTVB07W6HDNPG</t>
  </si>
  <si>
    <t>4F3XMHTVB07W6HJPSW</t>
  </si>
  <si>
    <t>4F3XMHTVB07W6HLN9H</t>
  </si>
  <si>
    <t>4F3XMHTVB07W6HLSFF</t>
  </si>
  <si>
    <t>4F3XMHTVB07W6J3W3B</t>
  </si>
  <si>
    <t>4F3XMHTVB07W6JGH8Z</t>
  </si>
  <si>
    <t>4F3XMHTVB07W6JPM9P</t>
  </si>
  <si>
    <t>4F3XMHTVB07W7KB8L6</t>
  </si>
  <si>
    <t>4F3XMHTVB07W7LNTMC</t>
  </si>
  <si>
    <t>4GF112AEB003D8ZT0C</t>
  </si>
  <si>
    <t>4GF112AEB00544XFHC</t>
  </si>
  <si>
    <t>4GF112AEB00745IE0W</t>
  </si>
  <si>
    <t>4GF112AEB0078M385M</t>
  </si>
  <si>
    <t>4GF112AEB00CJAEX5M</t>
  </si>
  <si>
    <t>4GF112AEB00MWNDUDM</t>
  </si>
  <si>
    <t>4GF112AEB00MWR5IVA</t>
  </si>
  <si>
    <t>4GF112AEB00P7RAI8A</t>
  </si>
  <si>
    <t>4GF112AEB00Y0PP7B8</t>
  </si>
  <si>
    <t>4GF112AEB0105Y2T5Y</t>
  </si>
  <si>
    <t>4GF112AEB013SL2712</t>
  </si>
  <si>
    <t>4GF112AEB01K7GEG9W</t>
  </si>
  <si>
    <t>4GF112AEB01MYW8COY</t>
  </si>
  <si>
    <t>4GF112AEB01N5NYRES</t>
  </si>
  <si>
    <t>4GF112AEB07SF1RCYF</t>
  </si>
  <si>
    <t>4GF112AEB07W4DGFSM</t>
  </si>
  <si>
    <t>4GF112AEB07W4DGVFS</t>
  </si>
  <si>
    <t>4GF112AEB07W4DH1XZ</t>
  </si>
  <si>
    <t>4GF112AEB07W4DH8JM</t>
  </si>
  <si>
    <t>4GF112AEB07W4DHNBF</t>
  </si>
  <si>
    <t>4GF112AEB07W4DHNBL</t>
  </si>
  <si>
    <t>4GF112AEB07W4DHP2H</t>
  </si>
  <si>
    <t>4GF112AEB07W5JJP7Q</t>
  </si>
  <si>
    <t>4GF112AEB07W5JJP7R</t>
  </si>
  <si>
    <t>4GF112AEB07W5JJSBK</t>
  </si>
  <si>
    <t>4GF112AEB07W5JK1JN</t>
  </si>
  <si>
    <t>4GF112AEB07W5JK8YR</t>
  </si>
  <si>
    <t>4GF112AEB07W5JKHFZ</t>
  </si>
  <si>
    <t>4GF112AEB07W5JKPFG</t>
  </si>
  <si>
    <t>4GF112AEB07W5JKPJY</t>
  </si>
  <si>
    <t>4GF112AEB07W6GFN9S</t>
  </si>
  <si>
    <t>4GF112AEB07W6HCFYS</t>
  </si>
  <si>
    <t>4GF112AEB07W6HSPY7</t>
  </si>
  <si>
    <t>4GF112AEB07W6HY5TH</t>
  </si>
  <si>
    <t>4GF112AEB07W6J6W4P</t>
  </si>
  <si>
    <t>4GF112AEB07W6J829F</t>
  </si>
  <si>
    <t>4GF112AEB07W6J829G</t>
  </si>
  <si>
    <t>4GF112AEB07W6JM8BJ</t>
  </si>
  <si>
    <t>4GF112AEB07W6JNG11</t>
  </si>
  <si>
    <t>4GF112AEB07W6JNQ82</t>
  </si>
  <si>
    <t>4GF112AEB07W7KV7TQ</t>
  </si>
  <si>
    <t>4GF112AEB07W7L9JXG</t>
  </si>
  <si>
    <t>4GF112AEB07W7L9JXH</t>
  </si>
  <si>
    <t>4GF112AEB07W7MY2K8</t>
  </si>
  <si>
    <t>4GF112AEB07W8LZB2L</t>
  </si>
  <si>
    <t>4JN5J65ZB07W5JHF97</t>
  </si>
  <si>
    <t>4JN5J65ZB07W7LMCF9</t>
  </si>
  <si>
    <t>4KGCSU5VB074KMD92K</t>
  </si>
  <si>
    <t>4KLKWTOEB002VA464S</t>
  </si>
  <si>
    <t>4LYATDUXB002VA464S</t>
  </si>
  <si>
    <t>4LYATDUXB0056466CQ</t>
  </si>
  <si>
    <t>4LYATDUXB005BFCNYU</t>
  </si>
  <si>
    <t>4LYATDUXB006YYNGNY</t>
  </si>
  <si>
    <t>4LYATDUXB00C7INSWU</t>
  </si>
  <si>
    <t>4LYATDUXB00EUUXBDE</t>
  </si>
  <si>
    <t>4LYATDUXB00EUUXBEI</t>
  </si>
  <si>
    <t>4LYATDUXB00M6S9O9C</t>
  </si>
  <si>
    <t>4LYATDUXB00VHHWNMI</t>
  </si>
  <si>
    <t>4LYATDUXB013SL1ZBK</t>
  </si>
  <si>
    <t>4LYATDUXB019RPQML4</t>
  </si>
  <si>
    <t>4LYATDUXB01A9GXMW2</t>
  </si>
  <si>
    <t>4LYATDUXB01M9EWQ2W</t>
  </si>
  <si>
    <t>4LYATDUXB06VTVGSDW</t>
  </si>
  <si>
    <t>4LYATDUXB06W547XN2</t>
  </si>
  <si>
    <t>4LYATDUXB07CGVGMLD</t>
  </si>
  <si>
    <t>4LYATDUXB07DTTGZ7M</t>
  </si>
  <si>
    <t>4LYATDUXB07H3HGVDW</t>
  </si>
  <si>
    <t>4LYATDUXB07SCMTKGB</t>
  </si>
  <si>
    <t>4LYATDUXB07W4DGZ53</t>
  </si>
  <si>
    <t>4LYATDUXB07W4DH9CW</t>
  </si>
  <si>
    <t>4LYATDUXB07W4DHCS5</t>
  </si>
  <si>
    <t>4LYATDUXB07W4DHMVB</t>
  </si>
  <si>
    <t>4LYATDUXB07W4DHT47</t>
  </si>
  <si>
    <t>4LYATDUXB07W5JHX84</t>
  </si>
  <si>
    <t>4LYATDUXB07W5JJ85P</t>
  </si>
  <si>
    <t>4LYATDUXB07W5JJ85Z</t>
  </si>
  <si>
    <t>4LYATDUXB07W5JK4VQ</t>
  </si>
  <si>
    <t>4LYATDUXB07W5JKKHL</t>
  </si>
  <si>
    <t>4LYATDUXB07W6G822V</t>
  </si>
  <si>
    <t>4LYATDUXB07W6HBPSX</t>
  </si>
  <si>
    <t>4LYATDUXB07W6HLJJT</t>
  </si>
  <si>
    <t>4LYATDUXB07W6HVXXN</t>
  </si>
  <si>
    <t>4LYATDUXB07W6HXZ5J</t>
  </si>
  <si>
    <t>4LYATDUXB07W6JHB2P</t>
  </si>
  <si>
    <t>4LYATDUXB07W6JM289</t>
  </si>
  <si>
    <t>4LYATDUXB07W6JM35X</t>
  </si>
  <si>
    <t>4LYATDUXB07W7JHZKR</t>
  </si>
  <si>
    <t>4LYATDUXB07W7KCF3W</t>
  </si>
  <si>
    <t>4LYATDUXB07W7KHGMB</t>
  </si>
  <si>
    <t>4LYATDUXB07W7KMK4W</t>
  </si>
  <si>
    <t>4LYATDUXB07W7L3HJP</t>
  </si>
  <si>
    <t>4LYATDUXB07W7L62FX</t>
  </si>
  <si>
    <t>4LYATDUXB07W7L6HHN</t>
  </si>
  <si>
    <t>4LYATDUXB07W7LM8SS</t>
  </si>
  <si>
    <t>4LYATDUXB07W7MKLNT</t>
  </si>
  <si>
    <t>4LYATDUXB0866PZN76</t>
  </si>
  <si>
    <t>4LYATDUXB0B8W3JR26</t>
  </si>
  <si>
    <t>4O4TKA6PB00O8K42LQ</t>
  </si>
  <si>
    <t>4O4TKA6PB07S7CKTBR</t>
  </si>
  <si>
    <t>4O4TKA6PB07W6HKMCN</t>
  </si>
  <si>
    <t>4O4TKA6PB07W6JKH1B</t>
  </si>
  <si>
    <t>4O4TKA6PB07W7LMCF9</t>
  </si>
  <si>
    <t>4P7SEHJSB073399S1L</t>
  </si>
  <si>
    <t>4PYL6E1EB0044AFFMK</t>
  </si>
  <si>
    <t>4QG6L28MB07DFT9YHV</t>
  </si>
  <si>
    <t>4QG6L28MB07W7LB4T7</t>
  </si>
  <si>
    <t>4QG6L28MB07W7MQTQD</t>
  </si>
  <si>
    <t>4TBDRH5TB00ITLJB84</t>
  </si>
  <si>
    <t>4TBDRH5TB07W4DG81W</t>
  </si>
  <si>
    <t>4TPDM63YB07VZLMQN7</t>
  </si>
  <si>
    <t>4VH7UODNB07VTSZ63W</t>
  </si>
  <si>
    <t>4VH7UODNB07VWF2HCL</t>
  </si>
  <si>
    <t>4YV2PIQLB01L6L46LK</t>
  </si>
  <si>
    <t>4YV2PIQLB01MT5WLHY</t>
  </si>
  <si>
    <t>4YV2PIQLB07W4DGZ54</t>
  </si>
  <si>
    <t>548AEZALB073399S1L</t>
  </si>
  <si>
    <t>54JZ1ZVPB07W4DHNBF</t>
  </si>
  <si>
    <t>54JZ1ZVPB07W5JKPJX</t>
  </si>
  <si>
    <t>54JZ1ZVPB07W6J829F</t>
  </si>
  <si>
    <t>56UO2L2IB00745IE1Q</t>
  </si>
  <si>
    <t>56UO2L2IB00CJ5FPTA</t>
  </si>
  <si>
    <t>56UO2L2IB00CJAEX5M</t>
  </si>
  <si>
    <t>56UO2L2IB01K7GEA3O</t>
  </si>
  <si>
    <t>56UO2L2IB01K7GEAF2</t>
  </si>
  <si>
    <t>56UO2L2IB01LCQTEXE</t>
  </si>
  <si>
    <t>56UO2L2IB01LCQTF4M</t>
  </si>
  <si>
    <t>56UO2L2IB01M9EWQ2W</t>
  </si>
  <si>
    <t>56UO2L2IB074N6823V</t>
  </si>
  <si>
    <t>56UO2L2IB07CGVGMLD</t>
  </si>
  <si>
    <t>56UO2L2IB07G6B2SGF</t>
  </si>
  <si>
    <t>56UO2L2IB07PPNT9B2</t>
  </si>
  <si>
    <t>56UO2L2IB07VK1S68S</t>
  </si>
  <si>
    <t>56UO2L2IB07VL9YHC9</t>
  </si>
  <si>
    <t>56UO2L2IB07W4DGQC1</t>
  </si>
  <si>
    <t>56UO2L2IB07W4DHMVB</t>
  </si>
  <si>
    <t>56UO2L2IB07W4DHXC8</t>
  </si>
  <si>
    <t>56UO2L2IB07W5JJ85Z</t>
  </si>
  <si>
    <t>56UO2L2IB07W5JK1JN</t>
  </si>
  <si>
    <t>56UO2L2IB07W5JKNB9</t>
  </si>
  <si>
    <t>56UO2L2IB07W5JKPFG</t>
  </si>
  <si>
    <t>56UO2L2IB07W6FNF6N</t>
  </si>
  <si>
    <t>56UO2L2IB07W6HKMCN</t>
  </si>
  <si>
    <t>56UO2L2IB07W6HLQ35</t>
  </si>
  <si>
    <t>56UO2L2IB07W6JNWP8</t>
  </si>
  <si>
    <t>56UO2L2IB07W6JPTXG</t>
  </si>
  <si>
    <t>56UO2L2IB07W6JQ52X</t>
  </si>
  <si>
    <t>56UO2L2IB07W7J6RBC</t>
  </si>
  <si>
    <t>56UO2L2IB07W7JR6BZ</t>
  </si>
  <si>
    <t>56UO2L2IB07W7KMK4Y</t>
  </si>
  <si>
    <t>56UO2L2IB07W7KV4GH</t>
  </si>
  <si>
    <t>56UO2L2IB07W7LQDX7</t>
  </si>
  <si>
    <t>56UO2L2IB07W8P4PDD</t>
  </si>
  <si>
    <t>5ACDL3WJB07W6JB7N7</t>
  </si>
  <si>
    <t>5ACDL3WJB07W7KFFFF</t>
  </si>
  <si>
    <t>5FPQ9KSZB002L3TSLQ</t>
  </si>
  <si>
    <t>5FPQ9KSZB01A9GXEOI</t>
  </si>
  <si>
    <t>5FPQ9KSZB07W4DHL8V</t>
  </si>
  <si>
    <t>5FPQ9KSZB07W5JJ85P</t>
  </si>
  <si>
    <t>5FPQ9KSZB07W6FQ659</t>
  </si>
  <si>
    <t>5FPQ9KSZB07W6JNF81</t>
  </si>
  <si>
    <t>5IOQE4AWB07CGPZ3ZQ</t>
  </si>
  <si>
    <t>5KUAVFPZB0044AFFMK</t>
  </si>
  <si>
    <t>5KUAVFPZB007BNE3QQ</t>
  </si>
  <si>
    <t>5KUAVFPZB00YUIM2J0</t>
  </si>
  <si>
    <t>5KUAVFPZB01AUGT964</t>
  </si>
  <si>
    <t>5KUAVFPZB01DKGAQNG</t>
  </si>
  <si>
    <t>5KUAVFPZB07W6GNXZG</t>
  </si>
  <si>
    <t>5KUAVFPZB07W6GVS5C</t>
  </si>
  <si>
    <t>5MU5OCUSB07G6LWTG6</t>
  </si>
  <si>
    <t>5MWU8WTDB000XUQ2LI</t>
  </si>
  <si>
    <t>5MWU8WTDB00XJ3LVPI</t>
  </si>
  <si>
    <t>5MWU8WTDB00ZOZZM4U</t>
  </si>
  <si>
    <t>5MWU8WTDB00ZWOUH4S</t>
  </si>
  <si>
    <t>5MWU8WTDB01A9HC69G</t>
  </si>
  <si>
    <t>5MWU8WTDB01DIJIDKI</t>
  </si>
  <si>
    <t>5MWU8WTDB01MFBNN9J</t>
  </si>
  <si>
    <t>5MWU8WTDB071ZFMC9Q</t>
  </si>
  <si>
    <t>5MWU8WTDB07CGPZ3ZQ</t>
  </si>
  <si>
    <t>5MWU8WTDB07FNHV4MW</t>
  </si>
  <si>
    <t>5MWU8WTDB07G5XJLWK</t>
  </si>
  <si>
    <t>5MWU8WTDB07GS6ZB7T</t>
  </si>
  <si>
    <t>5MWU8WTDB07MM4V7NR</t>
  </si>
  <si>
    <t>5MWU8WTDB07QKC4WWD</t>
  </si>
  <si>
    <t>5MWU8WTDB07VWZHCNX</t>
  </si>
  <si>
    <t>5MWU8WTDB07W4DGKZ5</t>
  </si>
  <si>
    <t>5MWU8WTDB07W4DH65R</t>
  </si>
  <si>
    <t>5MWU8WTDB07W5JKBMG</t>
  </si>
  <si>
    <t>5MWU8WTDB07W5JKFQC</t>
  </si>
  <si>
    <t>5MWU8WTDB07W5JKLRF</t>
  </si>
  <si>
    <t>5MWU8WTDB07W6GVHD8</t>
  </si>
  <si>
    <t>5MWU8WTDB07W6GVZFJ</t>
  </si>
  <si>
    <t>5MWU8WTDB07W6HBBMH</t>
  </si>
  <si>
    <t>5MWU8WTDB07W6HJPSW</t>
  </si>
  <si>
    <t>5MWU8WTDB07W6HLSFF</t>
  </si>
  <si>
    <t>5MWU8WTDB07W6HPP3R</t>
  </si>
  <si>
    <t>5MWU8WTDB07W6JGH8Z</t>
  </si>
  <si>
    <t>5MWU8WTDB07W6JKKBV</t>
  </si>
  <si>
    <t>5MWU8WTDB07W6JNK1Z</t>
  </si>
  <si>
    <t>5MWU8WTDB07W7M4MZP</t>
  </si>
  <si>
    <t>5MWU8WTDB07W7MQMD9</t>
  </si>
  <si>
    <t>5P193OUGB07W4DHT47</t>
  </si>
  <si>
    <t>5P193OUGB07W7KCF3W</t>
  </si>
  <si>
    <t>5PBSTBMJB01K7GEG9W</t>
  </si>
  <si>
    <t>5UZID3SVB006T02YRM</t>
  </si>
  <si>
    <t>5UZID3SVB00A389JEW</t>
  </si>
  <si>
    <t>5UZID3SVB079YGFNC7</t>
  </si>
  <si>
    <t>5WYKNRTCB01ENKI4D2</t>
  </si>
  <si>
    <t>5X1OU9ZGB0056I3IDW</t>
  </si>
  <si>
    <t>5X1OU9ZGB006T02YRM</t>
  </si>
  <si>
    <t>5X1OU9ZGB00745IE0W</t>
  </si>
  <si>
    <t>5X1OU9ZGB00745IE1Q</t>
  </si>
  <si>
    <t>5X1OU9ZGB00745IE2K</t>
  </si>
  <si>
    <t>5X1OU9ZGB00G2Y44ZK</t>
  </si>
  <si>
    <t>5X1OU9ZGB00MWNDUDM</t>
  </si>
  <si>
    <t>5X1OU9ZGB010EPT2X6</t>
  </si>
  <si>
    <t>5X1OU9ZGB010X0ZQ7S</t>
  </si>
  <si>
    <t>5X1OU9ZGB013SL1YXO</t>
  </si>
  <si>
    <t>5X1OU9ZGB014S0DVDK</t>
  </si>
  <si>
    <t>5X1OU9ZGB01G3WBMZU</t>
  </si>
  <si>
    <t>5X1OU9ZGB01K7GEAF2</t>
  </si>
  <si>
    <t>5X1OU9ZGB01M9EWQ2W</t>
  </si>
  <si>
    <t>5X1OU9ZGB079Z3DSBK</t>
  </si>
  <si>
    <t>5X1OU9ZGB07G6DKDY8</t>
  </si>
  <si>
    <t>5X1OU9ZGB07G6LWTG6</t>
  </si>
  <si>
    <t>5X1OU9ZGB07MTY7N22</t>
  </si>
  <si>
    <t>5X1OU9ZGB07PPNT9B2</t>
  </si>
  <si>
    <t>5X1OU9ZGB07VRLJHFH</t>
  </si>
  <si>
    <t>5X1OU9ZGB07W4DGC27</t>
  </si>
  <si>
    <t>5X1OU9ZGB07W4DGQC1</t>
  </si>
  <si>
    <t>5X1OU9ZGB07W4DHJ91</t>
  </si>
  <si>
    <t>5X1OU9ZGB07W4DHY5F</t>
  </si>
  <si>
    <t>5X1OU9ZGB07W4DHYH6</t>
  </si>
  <si>
    <t>5X1OU9ZGB07W4DJF29</t>
  </si>
  <si>
    <t>5X1OU9ZGB07W5JJ1WM</t>
  </si>
  <si>
    <t>5X1OU9ZGB07W5JK1JN</t>
  </si>
  <si>
    <t>5X1OU9ZGB07W5JK3M6</t>
  </si>
  <si>
    <t>5X1OU9ZGB07W5JK9J9</t>
  </si>
  <si>
    <t>5X1OU9ZGB07W5JKPFG</t>
  </si>
  <si>
    <t>5X1OU9ZGB07W6GM6PW</t>
  </si>
  <si>
    <t>5X1OU9ZGB07W6GVZFL</t>
  </si>
  <si>
    <t>5X1OU9ZGB07W6GW9BJ</t>
  </si>
  <si>
    <t>5X1OU9ZGB07W6GY66B</t>
  </si>
  <si>
    <t>5X1OU9ZGB07W6H4R4J</t>
  </si>
  <si>
    <t>5X1OU9ZGB07W6HXQ9J</t>
  </si>
  <si>
    <t>5X1OU9ZGB07W6HXZ5J</t>
  </si>
  <si>
    <t>5X1OU9ZGB07W6J6WYH</t>
  </si>
  <si>
    <t>5X1OU9ZGB07W6JHB2P</t>
  </si>
  <si>
    <t>5X1OU9ZGB07W6JNF81</t>
  </si>
  <si>
    <t>5X1OU9ZGB07W7JR6BZ</t>
  </si>
  <si>
    <t>5X1OU9ZGB07W7JYN4P</t>
  </si>
  <si>
    <t>5X1OU9ZGB07W7KCF3W</t>
  </si>
  <si>
    <t>5X1OU9ZGB07W7KMK4Y</t>
  </si>
  <si>
    <t>5X1OU9ZGB07W7L9JXH</t>
  </si>
  <si>
    <t>5X1OU9ZGB07W7LQDX7</t>
  </si>
  <si>
    <t>5X1OU9ZGB07W7LXYTR</t>
  </si>
  <si>
    <t>5X1OU9ZGB07W7MNYX5</t>
  </si>
  <si>
    <t>5X1OU9ZGB07W7MZ93L</t>
  </si>
  <si>
    <t>5X1OU9ZGB07W8P4PDD</t>
  </si>
  <si>
    <t>5X874Q6MB07W7L19WV</t>
  </si>
  <si>
    <t>5YIK1RKMB07W4DHQJ9</t>
  </si>
  <si>
    <t>5YWSGF4JB01G7AWZEA</t>
  </si>
  <si>
    <t>6451M4NBB00745IE2K</t>
  </si>
  <si>
    <t>6451M4NBB07CGNDZR3</t>
  </si>
  <si>
    <t>6451M4NBB07G6DKDY8</t>
  </si>
  <si>
    <t>6451M4NBB07MTY7N22</t>
  </si>
  <si>
    <t>6451M4NBB07VRLJHFH</t>
  </si>
  <si>
    <t>6451M4NBB07W4DGC27</t>
  </si>
  <si>
    <t>6451M4NBB07W5JHF97</t>
  </si>
  <si>
    <t>6451M4NBB07W6HLQ35</t>
  </si>
  <si>
    <t>6451M4NBB07W7JYN4P</t>
  </si>
  <si>
    <t>64HSRN5OB07W5JK2L1</t>
  </si>
  <si>
    <t>69351YNLB00564NI9U</t>
  </si>
  <si>
    <t>69351YNLB01N6NGNQ8</t>
  </si>
  <si>
    <t>69351YNLB0797FYB3K</t>
  </si>
  <si>
    <t>69351YNLB07VK1S68S</t>
  </si>
  <si>
    <t>69351YNLB07W6GVS5C</t>
  </si>
  <si>
    <t>69351YNLB07W6JB7N7</t>
  </si>
  <si>
    <t>69351YNLB07W7KMK4Y</t>
  </si>
  <si>
    <t>6AA7OKBNB003V0QEV0</t>
  </si>
  <si>
    <t>6AA7OKBNB076K126YZ</t>
  </si>
  <si>
    <t>6AA7OKBNB07DFT9YHV</t>
  </si>
  <si>
    <t>6AA7OKBNB07W5JKKX9</t>
  </si>
  <si>
    <t>6ENZZ2HCB07JGCM9QM</t>
  </si>
  <si>
    <t>6JWFV3WKB006ZLK9SQ</t>
  </si>
  <si>
    <t>6JWFV3WKB00YUIM2J0</t>
  </si>
  <si>
    <t>6JWFV3WKB011N78DMA</t>
  </si>
  <si>
    <t>6JWFV3WKB01L6L46LK</t>
  </si>
  <si>
    <t>6JWFV3WKB01MT5WMMG</t>
  </si>
  <si>
    <t>6JWFV3WKB07QWTR62R</t>
  </si>
  <si>
    <t>6JWFV3WKB07W7KJC28</t>
  </si>
  <si>
    <t>6LL8HOVUB07VWF2HCL</t>
  </si>
  <si>
    <t>6MCHCTQEB07G6MBCG3</t>
  </si>
  <si>
    <t>6MI6OEVJB07W4DH6G4</t>
  </si>
  <si>
    <t>6MKSEO6MB0044AFFMK</t>
  </si>
  <si>
    <t>6MKSEO6MB0072AEZJI</t>
  </si>
  <si>
    <t>6MN9HM7HB07W4DG81W</t>
  </si>
  <si>
    <t>6QK5MDWIB003V0QEV0</t>
  </si>
  <si>
    <t>6QK5MDWIB07W5JKKX9</t>
  </si>
  <si>
    <t>6S7HWGDFB003L92O5Q</t>
  </si>
  <si>
    <t>6S7HWGDFB01A9HC69G</t>
  </si>
  <si>
    <t>6SVXGVNMB07W7M4MZP</t>
  </si>
  <si>
    <t>6SZP9P7CB006ZLK9SQ</t>
  </si>
  <si>
    <t>6U12NWLGB00BCE30RS</t>
  </si>
  <si>
    <t>6UZZHR2WB00YUIM2J0</t>
  </si>
  <si>
    <t>6UZZHR2WB07TLX61W7</t>
  </si>
  <si>
    <t>6UZZHR2WB07W7LNC8W</t>
  </si>
  <si>
    <t>72DIHLCIB07W5JKHFR</t>
  </si>
  <si>
    <t>72DIHLCIB07W6JPTXG</t>
  </si>
  <si>
    <t>74WI6EYDB0042C1KQ0</t>
  </si>
  <si>
    <t>74WI6EYDB0044AFFMK</t>
  </si>
  <si>
    <t>74WI6EYDB007BNE3QQ</t>
  </si>
  <si>
    <t>74WI6EYDB00BT8QIJ4</t>
  </si>
  <si>
    <t>74WI6EYDB01DKGAQNG</t>
  </si>
  <si>
    <t>74WI6EYDB01G7AWZEA</t>
  </si>
  <si>
    <t>74WI6EYDB01N6NGNQ8</t>
  </si>
  <si>
    <t>74WI6EYDB0797FYB3K</t>
  </si>
  <si>
    <t>74WI6EYDB07TLX61W7</t>
  </si>
  <si>
    <t>74WI6EYDB07W4DG81W</t>
  </si>
  <si>
    <t>74WI6EYDB07W5JK4LF</t>
  </si>
  <si>
    <t>74WI6EYDB07W6JJSV7</t>
  </si>
  <si>
    <t>74WI6EYDB07W6JNQ82</t>
  </si>
  <si>
    <t>74WI6EYDB07W7KFFFF</t>
  </si>
  <si>
    <t>74WI6EYDB07W7KJC28</t>
  </si>
  <si>
    <t>74WI6EYDB07W7KMK4Y</t>
  </si>
  <si>
    <t>7BEDNOMIB07VTSZ63W</t>
  </si>
  <si>
    <t>7BEDNOMIB07W5JJP7D</t>
  </si>
  <si>
    <t>7CQW3EPPB07CGPZ3ZQ</t>
  </si>
  <si>
    <t>7CQW3EPPB07FNHV4MW</t>
  </si>
  <si>
    <t>7CQW3EPPB07QKC4WWD</t>
  </si>
  <si>
    <t>7CQW3EPPB07W7MQMD9</t>
  </si>
  <si>
    <t>7EMS2FPGB007BNE5P0</t>
  </si>
  <si>
    <t>7EMS2FPGB00YUIM2J0</t>
  </si>
  <si>
    <t>7EMS2FPGB011N78DMA</t>
  </si>
  <si>
    <t>7EMS2FPGB01MT5WL4M</t>
  </si>
  <si>
    <t>7EMS2FPGB01MT5WMMG</t>
  </si>
  <si>
    <t>7EMS2FPGB074KFNJQG</t>
  </si>
  <si>
    <t>7EMS2FPGB074KGS5C3</t>
  </si>
  <si>
    <t>7EMS2FPGB07QWTR62R</t>
  </si>
  <si>
    <t>7EMS2FPGB07W6JMQW4</t>
  </si>
  <si>
    <t>7EMS2FPGB07W6JPVP3</t>
  </si>
  <si>
    <t>7EMS2FPGB07W7KFFFF</t>
  </si>
  <si>
    <t>7H9X1Z6SB002VA464S</t>
  </si>
  <si>
    <t>7H9X1Z6SB004ZH0RHK</t>
  </si>
  <si>
    <t>7H9X1Z6SB00552K0GM</t>
  </si>
  <si>
    <t>7H9X1Z6SB006LNTSP8</t>
  </si>
  <si>
    <t>7H9X1Z6SB006YYNGNY</t>
  </si>
  <si>
    <t>7H9X1Z6SB00745IE0W</t>
  </si>
  <si>
    <t>7H9X1Z6SB00779631W</t>
  </si>
  <si>
    <t>7H9X1Z6SB00C1CVMSY</t>
  </si>
  <si>
    <t>7H9X1Z6SB00C7INSWU</t>
  </si>
  <si>
    <t>7H9X1Z6SB00CJAF3ME</t>
  </si>
  <si>
    <t>7H9X1Z6SB00EUUX59O</t>
  </si>
  <si>
    <t>7H9X1Z6SB00LFBEOUA</t>
  </si>
  <si>
    <t>7H9X1Z6SB00Q6MR0UO</t>
  </si>
  <si>
    <t>7H9X1Z6SB019RPQML4</t>
  </si>
  <si>
    <t>7H9X1Z6SB01K7GEAEI</t>
  </si>
  <si>
    <t>7H9X1Z6SB01K7GEFWK</t>
  </si>
  <si>
    <t>7H9X1Z6SB01M9EWQ2W</t>
  </si>
  <si>
    <t>7H9X1Z6SB01MYW8COY</t>
  </si>
  <si>
    <t>7H9X1Z6SB07H3HGVDW</t>
  </si>
  <si>
    <t>7H9X1Z6SB07VFVRZ6Y</t>
  </si>
  <si>
    <t>7H9X1Z6SB07W4DGQC1</t>
  </si>
  <si>
    <t>7H9X1Z6SB07W4DH9CW</t>
  </si>
  <si>
    <t>7H9X1Z6SB07W4DH9QZ</t>
  </si>
  <si>
    <t>7H9X1Z6SB07W5JHZKS</t>
  </si>
  <si>
    <t>7H9X1Z6SB07W5JJMVJ</t>
  </si>
  <si>
    <t>7H9X1Z6SB07W5JKFQF</t>
  </si>
  <si>
    <t>7H9X1Z6SB07W5JKHFZ</t>
  </si>
  <si>
    <t>7H9X1Z6SB07W5JKHPG</t>
  </si>
  <si>
    <t>7H9X1Z6SB07W5JKWTH</t>
  </si>
  <si>
    <t>7H9X1Z6SB07W6GVZFL</t>
  </si>
  <si>
    <t>7H9X1Z6SB07W6GY48B</t>
  </si>
  <si>
    <t>7H9X1Z6SB07W6GY66B</t>
  </si>
  <si>
    <t>7H9X1Z6SB07W6H4R4G</t>
  </si>
  <si>
    <t>7H9X1Z6SB07W6HJVDM</t>
  </si>
  <si>
    <t>7H9X1Z6SB07W6HKDNR</t>
  </si>
  <si>
    <t>7H9X1Z6SB07W6HS3KX</t>
  </si>
  <si>
    <t>7H9X1Z6SB07W6HXQ9J</t>
  </si>
  <si>
    <t>7H9X1Z6SB07W6J51XR</t>
  </si>
  <si>
    <t>7H9X1Z6SB07W6J6W4P</t>
  </si>
  <si>
    <t>7H9X1Z6SB07W6J6WYH</t>
  </si>
  <si>
    <t>7H9X1Z6SB07W6J829G</t>
  </si>
  <si>
    <t>7H9X1Z6SB07W6JHB2P</t>
  </si>
  <si>
    <t>7H9X1Z6SB07W6JNG11</t>
  </si>
  <si>
    <t>7H9X1Z6SB07W6JNQ82</t>
  </si>
  <si>
    <t>7H9X1Z6SB07W6JP4SQ</t>
  </si>
  <si>
    <t>7H9X1Z6SB07W6JP976</t>
  </si>
  <si>
    <t>7H9X1Z6SB07W7KCF3W</t>
  </si>
  <si>
    <t>7H9X1Z6SB07W7L6HHN</t>
  </si>
  <si>
    <t>7H9X1Z6SB07W7L9JXH</t>
  </si>
  <si>
    <t>7H9X1Z6SB07W7MKLNT</t>
  </si>
  <si>
    <t>7H9X1Z6SB07W8LZB2L</t>
  </si>
  <si>
    <t>7ILTX3HJB003UPJXIC</t>
  </si>
  <si>
    <t>7ILTX3HJB0042C1KQ0</t>
  </si>
  <si>
    <t>7ILTX3HJB00YUIM2J0</t>
  </si>
  <si>
    <t>7ILTX3HJB011N78DMA</t>
  </si>
  <si>
    <t>7ILTX3HJB01AUGT964</t>
  </si>
  <si>
    <t>7ILTX3HJB01N6NGNQ8</t>
  </si>
  <si>
    <t>7ILTX3HJB07VK1S68S</t>
  </si>
  <si>
    <t>7ILTX3HJB07W6GVS5C</t>
  </si>
  <si>
    <t>7ILTX3HJB07W6JB7N7</t>
  </si>
  <si>
    <t>7ILTX3HJB07W7K1LSC</t>
  </si>
  <si>
    <t>7LA8DZCZB0013N474I</t>
  </si>
  <si>
    <t>7LA8DZCZB00M6S9O9C</t>
  </si>
  <si>
    <t>7LA8DZCZB00MWR5IQK</t>
  </si>
  <si>
    <t>7LA8DZCZB00O8K42LQ</t>
  </si>
  <si>
    <t>7LA8DZCZB013SL26LS</t>
  </si>
  <si>
    <t>7LA8DZCZB07PPNT9B2</t>
  </si>
  <si>
    <t>7LA8DZCZB07S69F4HC</t>
  </si>
  <si>
    <t>7LA8DZCZB07W4DHMVB</t>
  </si>
  <si>
    <t>7LA8DZCZB07W5JK5MW</t>
  </si>
  <si>
    <t>7LA8DZCZB07W6H91JG</t>
  </si>
  <si>
    <t>7LA8DZCZB07W6HXZ5J</t>
  </si>
  <si>
    <t>7LA8DZCZB07W6JKH1B</t>
  </si>
  <si>
    <t>7LA8DZCZB07W6JNQ1Y</t>
  </si>
  <si>
    <t>7LA8DZCZB07W6JNWP8</t>
  </si>
  <si>
    <t>7LA8DZCZB07W7J6RBC</t>
  </si>
  <si>
    <t>7LA8DZCZB07W7JHZKR</t>
  </si>
  <si>
    <t>7LA8DZCZB07W7LHVBM</t>
  </si>
  <si>
    <t>7MIJ7O3BB07W4DGVQF</t>
  </si>
  <si>
    <t>7OHBRCNPB07W6FW84S</t>
  </si>
  <si>
    <t>7OQHRVQMB014PYGYRE</t>
  </si>
  <si>
    <t>7RAC5F9EB002L3TSLQ</t>
  </si>
  <si>
    <t>7RAC5F9EB00544XFHC</t>
  </si>
  <si>
    <t>7RAC5F9EB00552K0GM</t>
  </si>
  <si>
    <t>7RAC5F9EB006ZLK9SQ</t>
  </si>
  <si>
    <t>7RAC5F9EB00EUUXFFS</t>
  </si>
  <si>
    <t>7RAC5F9EB00N1YPXW2</t>
  </si>
  <si>
    <t>7RAC5F9EB01A9GXEOI</t>
  </si>
  <si>
    <t>7RAC5F9EB01K7GEAEI</t>
  </si>
  <si>
    <t>7RAC5F9EB01K7GEG9W</t>
  </si>
  <si>
    <t>7RAC5F9EB01KZVQB42</t>
  </si>
  <si>
    <t>7RAC5F9EB01LY6Z2M6</t>
  </si>
  <si>
    <t>7RAC5F9EB0728J7D3B</t>
  </si>
  <si>
    <t>7RAC5F9EB074W227RK</t>
  </si>
  <si>
    <t>7RAC5F9EB07DTTGZ7M</t>
  </si>
  <si>
    <t>7RAC5F9EB07H3HGVDW</t>
  </si>
  <si>
    <t>7RAC5F9EB07MTXLFXV</t>
  </si>
  <si>
    <t>7RAC5F9EB07TLX61W7</t>
  </si>
  <si>
    <t>7RAC5F9EB07TTB3SR2</t>
  </si>
  <si>
    <t>7RAC5F9EB07VFJT9NM</t>
  </si>
  <si>
    <t>7RAC5F9EB07W4DHKTD</t>
  </si>
  <si>
    <t>7RAC5F9EB07W4DHNBF</t>
  </si>
  <si>
    <t>7RAC5F9EB07W4DHZLS</t>
  </si>
  <si>
    <t>7RAC5F9EB07W5JHXF8</t>
  </si>
  <si>
    <t>7RAC5F9EB07W6HBPSX</t>
  </si>
  <si>
    <t>7RAC5F9EB07W6JM35X</t>
  </si>
  <si>
    <t>7RAC5F9EB07W7KBRHZ</t>
  </si>
  <si>
    <t>7RAC5F9EB07W7KHQLR</t>
  </si>
  <si>
    <t>7RAC5F9EB07W7LW3VS</t>
  </si>
  <si>
    <t>7SCVG2OTB003UC85CU</t>
  </si>
  <si>
    <t>7SCVG2OTB003UPJXIC</t>
  </si>
  <si>
    <t>7SCVG2OTB00969DJO0</t>
  </si>
  <si>
    <t>7SCVG2OTB00BF5QDZU</t>
  </si>
  <si>
    <t>7SCVG2OTB00EJ3RMDM</t>
  </si>
  <si>
    <t>7SCVG2OTB013Y78YY4</t>
  </si>
  <si>
    <t>7SCVG2OTB01GHP1IDY</t>
  </si>
  <si>
    <t>7SCVG2OTB01N6NGNQ8</t>
  </si>
  <si>
    <t>7SCVG2OTB077BT728N</t>
  </si>
  <si>
    <t>7SCVG2OTB078MHS3SC</t>
  </si>
  <si>
    <t>7SCVG2OTB0797FYB3K</t>
  </si>
  <si>
    <t>7SCVG2OTB079Z3DSBK</t>
  </si>
  <si>
    <t>7SCVG2OTB07W4DGQSX</t>
  </si>
  <si>
    <t>7SCVG2OTB07W4DHCVJ</t>
  </si>
  <si>
    <t>7SCVG2OTB07W5JK4VX</t>
  </si>
  <si>
    <t>7SCVG2OTB07W6JB7N7</t>
  </si>
  <si>
    <t>7SCVG2OTB07W7KNWK5</t>
  </si>
  <si>
    <t>7SCVG2OTB07W7LF6F1</t>
  </si>
  <si>
    <t>7TFUVBKWB0044AFFMK</t>
  </si>
  <si>
    <t>7TFUVBKWB00YUIM2J0</t>
  </si>
  <si>
    <t>7TFUVBKWB011N78DMA</t>
  </si>
  <si>
    <t>7TFUVBKWB07W7KFFFF</t>
  </si>
  <si>
    <t>7WSJF8XOB06Y17MS8W</t>
  </si>
  <si>
    <t>7YGRCVCKB074C9FYP8</t>
  </si>
  <si>
    <t>7Z4XWHJOB00BCE30RS</t>
  </si>
  <si>
    <t>86DLD4XXB078MLBGRM</t>
  </si>
  <si>
    <t>88OCIVKFB002L3TSLQ</t>
  </si>
  <si>
    <t>8949MU8ZB0072AEZJI</t>
  </si>
  <si>
    <t>8949MU8ZB074KMD92K</t>
  </si>
  <si>
    <t>89YFM3QCB01A9HC69G</t>
  </si>
  <si>
    <t>8BG295LIB003STDR1E</t>
  </si>
  <si>
    <t>8BG295LIB00ZWOUH4S</t>
  </si>
  <si>
    <t>8BG295LIB01A9HC69G</t>
  </si>
  <si>
    <t>8BG295LIB01DIJIDKI</t>
  </si>
  <si>
    <t>8BG295LIB01G3WBH9G</t>
  </si>
  <si>
    <t>8BG295LIB01MFBNN9J</t>
  </si>
  <si>
    <t>8BG295LIB071ZFMC9Q</t>
  </si>
  <si>
    <t>8BG295LIB07CGPZ3ZQ</t>
  </si>
  <si>
    <t>8BG295LIB07G5XJLWK</t>
  </si>
  <si>
    <t>8BG295LIB07J9Q68CK</t>
  </si>
  <si>
    <t>8BG295LIB07MM4V7NR</t>
  </si>
  <si>
    <t>8BG295LIB07QKC4WWD</t>
  </si>
  <si>
    <t>8BG295LIB07VWZHCNX</t>
  </si>
  <si>
    <t>8BG295LIB07W4DGGBH</t>
  </si>
  <si>
    <t>8BG295LIB07W4DGKZ5</t>
  </si>
  <si>
    <t>8BG295LIB07W4DH65R</t>
  </si>
  <si>
    <t>8BG295LIB07W4DHG24</t>
  </si>
  <si>
    <t>8BG295LIB07W4DHK3P</t>
  </si>
  <si>
    <t>8BG295LIB07W5JJVFM</t>
  </si>
  <si>
    <t>8BG295LIB07W5JK3Z2</t>
  </si>
  <si>
    <t>8BG295LIB07W5JKBMG</t>
  </si>
  <si>
    <t>8BG295LIB07W5JKLRF</t>
  </si>
  <si>
    <t>8BG295LIB07W5JKPK4</t>
  </si>
  <si>
    <t>8BG295LIB07W5JKR75</t>
  </si>
  <si>
    <t>8BG295LIB07W6H29GS</t>
  </si>
  <si>
    <t>8BG295LIB07W6H83LD</t>
  </si>
  <si>
    <t>8BG295LIB07W6HBBMH</t>
  </si>
  <si>
    <t>8BG295LIB07W6HLSFF</t>
  </si>
  <si>
    <t>8BG295LIB07W6HPP3R</t>
  </si>
  <si>
    <t>8BG295LIB07W6HT7X6</t>
  </si>
  <si>
    <t>8BG295LIB07W6JKJ5J</t>
  </si>
  <si>
    <t>8BG295LIB07W6JNK1Z</t>
  </si>
  <si>
    <t>8BG295LIB07W6JPVPF</t>
  </si>
  <si>
    <t>8BG295LIB07W7K29YK</t>
  </si>
  <si>
    <t>8BG295LIB07W7L32NJ</t>
  </si>
  <si>
    <t>8BG295LIB07W7LNTMC</t>
  </si>
  <si>
    <t>8BG295LIB07W7M4MZP</t>
  </si>
  <si>
    <t>8BG295LIB07W7MQMD9</t>
  </si>
  <si>
    <t>8DUEXZHEB07HZQT8JG</t>
  </si>
  <si>
    <t>8DUEXZHEB07W6HMCF8</t>
  </si>
  <si>
    <t>8ESGGO9XB07W4DH5GL</t>
  </si>
  <si>
    <t>8FQ2THMTB07W4DH5GL</t>
  </si>
  <si>
    <t>8FQ2THMTB07W7MQMDH</t>
  </si>
  <si>
    <t>8GSFVICRB01A9HC69G</t>
  </si>
  <si>
    <t>8IGCODXQB07W6FW84S</t>
  </si>
  <si>
    <t>8ISKBUCSB00AIIIKPQ</t>
  </si>
  <si>
    <t>8JGSI6BMB00FSF2OSS</t>
  </si>
  <si>
    <t>8JIYRRZWB07JGCM9QM</t>
  </si>
  <si>
    <t>8JIYRRZWB07W5JJP7D</t>
  </si>
  <si>
    <t>8KIX7NYMB07W5JJP7R</t>
  </si>
  <si>
    <t>8M8TKVMPB077BT728N</t>
  </si>
  <si>
    <t>8SGS6BFXB00IRCDT7Y</t>
  </si>
  <si>
    <t>Dispute Summary</t>
  </si>
  <si>
    <t>ASIN/PO combo Invalid</t>
  </si>
  <si>
    <t>PO</t>
  </si>
  <si>
    <t>ASIN</t>
  </si>
  <si>
    <t>QTY</t>
  </si>
  <si>
    <t>Rebate</t>
  </si>
  <si>
    <t>PO Qty</t>
  </si>
  <si>
    <t>Claim QTY</t>
  </si>
  <si>
    <t>Over Claimed Qty</t>
  </si>
  <si>
    <t>Rebate Amt</t>
  </si>
  <si>
    <t>Total Over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</si>
</sst>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D1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/>
    <xf numFmtId="39" fontId="0" fillId="0" borderId="0" xfId="0" applyNumberFormat="1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4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dileep1\Desktop\AMAZON\Amazon%20Contractual%20Rebate%20Macro%20(14).xlsm" TargetMode="External"/><Relationship Id="rId1" Type="http://schemas.openxmlformats.org/officeDocument/2006/relationships/externalLinkPath" Target="Amazon%20Contractual%20Rebate%20Macro%20(1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Offers"/>
      <sheetName val="Pivot"/>
      <sheetName val="Dispute Summary"/>
      <sheetName val="Recon"/>
      <sheetName val="BackupPivot"/>
      <sheetName val="Backup"/>
      <sheetName val="Calendar"/>
      <sheetName val="Config"/>
      <sheetName val="PO Repor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K1" t="str">
            <v>Rebate per Units</v>
          </cell>
          <cell r="L1" t="str">
            <v>Price per unit</v>
          </cell>
          <cell r="AJ1" t="str">
            <v>Invoice Concate</v>
          </cell>
        </row>
        <row r="2">
          <cell r="K2">
            <v>5.3638399999999997</v>
          </cell>
          <cell r="L2">
            <v>157.76</v>
          </cell>
          <cell r="AJ2" t="str">
            <v>4A3KDTEZB079Z3DSBK</v>
          </cell>
        </row>
        <row r="3">
          <cell r="K3">
            <v>2.8522599999999998</v>
          </cell>
          <cell r="L3">
            <v>83.89</v>
          </cell>
          <cell r="AJ3" t="str">
            <v>3A946EXYB07W6G3KBL</v>
          </cell>
        </row>
        <row r="4">
          <cell r="K4">
            <v>2.19028</v>
          </cell>
          <cell r="L4">
            <v>64.42</v>
          </cell>
          <cell r="AJ4" t="str">
            <v>3GBCH66MB0055ZWOZ4</v>
          </cell>
        </row>
        <row r="5">
          <cell r="K5">
            <v>0.89658000000000004</v>
          </cell>
          <cell r="L5">
            <v>26.37</v>
          </cell>
          <cell r="AJ5" t="str">
            <v>7H9X1Z6SB00Q6MR0UO</v>
          </cell>
        </row>
        <row r="6">
          <cell r="K6">
            <v>1.3804000000000001</v>
          </cell>
          <cell r="L6">
            <v>40.6</v>
          </cell>
          <cell r="AJ6" t="str">
            <v>2TMBDXBKB07W4DHZLS</v>
          </cell>
        </row>
        <row r="7">
          <cell r="K7">
            <v>2.5639400000000001</v>
          </cell>
          <cell r="L7">
            <v>75.41</v>
          </cell>
          <cell r="AJ7" t="str">
            <v>4GF112AEB07W4DGFSM</v>
          </cell>
        </row>
        <row r="8">
          <cell r="K8">
            <v>0.31824000000000002</v>
          </cell>
          <cell r="L8">
            <v>9.36</v>
          </cell>
          <cell r="AJ8" t="str">
            <v>4E16R26MB003V0QEV0</v>
          </cell>
        </row>
        <row r="9">
          <cell r="K9">
            <v>7.15768</v>
          </cell>
          <cell r="L9">
            <v>210.52</v>
          </cell>
          <cell r="AJ9" t="str">
            <v>4A3KDTEZB07W6JB7N7</v>
          </cell>
        </row>
        <row r="10">
          <cell r="K10">
            <v>0.31824000000000002</v>
          </cell>
          <cell r="L10">
            <v>9.3600000000000012</v>
          </cell>
          <cell r="AJ10" t="str">
            <v>2TMBDXBKB01A9GXEOI</v>
          </cell>
        </row>
        <row r="11">
          <cell r="K11">
            <v>1.0580799999999999</v>
          </cell>
          <cell r="L11">
            <v>31.12</v>
          </cell>
          <cell r="AJ11" t="str">
            <v>2W68T8TOB07W5JKBMG</v>
          </cell>
        </row>
        <row r="12">
          <cell r="K12">
            <v>4.1224999999999996</v>
          </cell>
          <cell r="L12">
            <v>121.25</v>
          </cell>
          <cell r="AJ12" t="str">
            <v>7EMS2FPGB074KGS5C3</v>
          </cell>
        </row>
        <row r="13">
          <cell r="K13">
            <v>0.89657999999999993</v>
          </cell>
          <cell r="L13">
            <v>26.37</v>
          </cell>
          <cell r="AJ13" t="str">
            <v>7H9X1Z6SB00Q6MR0UO</v>
          </cell>
        </row>
        <row r="14">
          <cell r="K14">
            <v>0.55726000000000009</v>
          </cell>
          <cell r="L14">
            <v>16.39</v>
          </cell>
          <cell r="AJ14" t="str">
            <v>2M7QFTCOB07W7JYP91</v>
          </cell>
        </row>
        <row r="15">
          <cell r="K15">
            <v>0.39440000000000003</v>
          </cell>
          <cell r="L15">
            <v>11.6</v>
          </cell>
          <cell r="AJ15" t="str">
            <v>2CLMXQWQB07W7K29YK</v>
          </cell>
        </row>
        <row r="16">
          <cell r="K16">
            <v>0.89658000000000004</v>
          </cell>
          <cell r="L16">
            <v>26.37</v>
          </cell>
          <cell r="AJ16" t="str">
            <v>7H9X1Z6SB00Q6MR0UO</v>
          </cell>
        </row>
        <row r="17">
          <cell r="K17">
            <v>1.09514</v>
          </cell>
          <cell r="L17">
            <v>32.21</v>
          </cell>
          <cell r="AJ17" t="str">
            <v>3A946EXYB015BCWNNS</v>
          </cell>
        </row>
        <row r="18">
          <cell r="K18">
            <v>0.89590000000000003</v>
          </cell>
          <cell r="L18">
            <v>26.349999999999998</v>
          </cell>
          <cell r="AJ18" t="str">
            <v>243WWSUAB00DN1D1MW</v>
          </cell>
        </row>
        <row r="19">
          <cell r="K19">
            <v>0.31824000000000002</v>
          </cell>
          <cell r="L19">
            <v>9.3600000000000012</v>
          </cell>
          <cell r="AJ19" t="str">
            <v>31DJDC7QB01A9GXEOI</v>
          </cell>
        </row>
        <row r="20">
          <cell r="K20">
            <v>0.80715999999999999</v>
          </cell>
          <cell r="L20">
            <v>23.74</v>
          </cell>
          <cell r="AJ20" t="str">
            <v>5MWU8WTDB07W6HBBMH</v>
          </cell>
        </row>
        <row r="21">
          <cell r="K21">
            <v>3.94468</v>
          </cell>
          <cell r="L21">
            <v>116.02</v>
          </cell>
          <cell r="AJ21" t="str">
            <v>2CLMXQWQB07W6HPP3R</v>
          </cell>
        </row>
        <row r="22">
          <cell r="K22">
            <v>0.69699999999999995</v>
          </cell>
          <cell r="L22">
            <v>20.5</v>
          </cell>
          <cell r="AJ22" t="str">
            <v>7RAC5F9EB002L3TSLQ</v>
          </cell>
        </row>
        <row r="23">
          <cell r="K23">
            <v>1.3804000000000001</v>
          </cell>
          <cell r="L23">
            <v>40.6</v>
          </cell>
          <cell r="AJ23" t="str">
            <v>36BT7GGLB00O8K42PM</v>
          </cell>
        </row>
        <row r="24">
          <cell r="K24">
            <v>0.69700000000000006</v>
          </cell>
          <cell r="L24">
            <v>20.5</v>
          </cell>
          <cell r="AJ24" t="str">
            <v>7RAC5F9EB002L3TSLQ</v>
          </cell>
        </row>
        <row r="25">
          <cell r="K25">
            <v>0.27879999999999999</v>
          </cell>
          <cell r="L25">
            <v>8.1999999999999993</v>
          </cell>
          <cell r="AJ25" t="str">
            <v>3UDP1VLYB07W6JKH17</v>
          </cell>
        </row>
        <row r="26">
          <cell r="K26">
            <v>3.5040399999999998</v>
          </cell>
          <cell r="L26">
            <v>103.06</v>
          </cell>
          <cell r="AJ26" t="str">
            <v>56UO2L2IB07PPNT9B2</v>
          </cell>
        </row>
        <row r="27">
          <cell r="K27">
            <v>2.49356</v>
          </cell>
          <cell r="L27">
            <v>73.34</v>
          </cell>
          <cell r="AJ27" t="str">
            <v>7H9X1Z6SB07W6JNQ82</v>
          </cell>
        </row>
        <row r="28">
          <cell r="K28">
            <v>3.2922199999999999</v>
          </cell>
          <cell r="L28">
            <v>96.83</v>
          </cell>
          <cell r="AJ28" t="str">
            <v>5FPQ9KSZB07W4DHL8V</v>
          </cell>
        </row>
        <row r="29">
          <cell r="K29">
            <v>2.5639400000000001</v>
          </cell>
          <cell r="L29">
            <v>75.41</v>
          </cell>
          <cell r="AJ29" t="str">
            <v>4GF112AEB07W4DGFSM</v>
          </cell>
        </row>
        <row r="30">
          <cell r="K30">
            <v>0.59704000000000002</v>
          </cell>
          <cell r="L30">
            <v>17.559999999999999</v>
          </cell>
          <cell r="AJ30" t="str">
            <v>1KW92RHQB0042BVWZ0</v>
          </cell>
        </row>
        <row r="31">
          <cell r="K31">
            <v>1.61432</v>
          </cell>
          <cell r="L31">
            <v>47.48</v>
          </cell>
          <cell r="AJ31" t="str">
            <v>8FQ2THMTB07W7MQMDH</v>
          </cell>
        </row>
        <row r="32">
          <cell r="K32">
            <v>0.55726000000000009</v>
          </cell>
          <cell r="L32">
            <v>16.39</v>
          </cell>
          <cell r="AJ32" t="str">
            <v>7RAC5F9EB01K7GEG9W</v>
          </cell>
        </row>
        <row r="33">
          <cell r="K33">
            <v>0.31824000000000002</v>
          </cell>
          <cell r="L33">
            <v>9.36</v>
          </cell>
          <cell r="AJ33" t="str">
            <v>31QWZ6KBB01A9GXEOI</v>
          </cell>
        </row>
        <row r="34">
          <cell r="K34">
            <v>2.3667400000000001</v>
          </cell>
          <cell r="L34">
            <v>69.61</v>
          </cell>
          <cell r="AJ34" t="str">
            <v>2R6FMUZDB07W4DH65R</v>
          </cell>
        </row>
        <row r="35">
          <cell r="K35">
            <v>0.55725999999999998</v>
          </cell>
          <cell r="L35">
            <v>16.39</v>
          </cell>
          <cell r="AJ35" t="str">
            <v>2LZI7R4TB077BT728N</v>
          </cell>
        </row>
        <row r="36">
          <cell r="K36">
            <v>2.5639400000000001</v>
          </cell>
          <cell r="L36">
            <v>75.41</v>
          </cell>
          <cell r="AJ36" t="str">
            <v>4GF112AEB07W4DGFSM</v>
          </cell>
        </row>
        <row r="37">
          <cell r="K37">
            <v>2.5639400000000001</v>
          </cell>
          <cell r="L37">
            <v>75.41</v>
          </cell>
          <cell r="AJ37" t="str">
            <v>4GF112AEB07W4DGFSM</v>
          </cell>
        </row>
        <row r="38">
          <cell r="K38">
            <v>0.98634000000000011</v>
          </cell>
          <cell r="L38">
            <v>29.01</v>
          </cell>
          <cell r="AJ38" t="str">
            <v>4F3XMHTVB0766JZ8Q3</v>
          </cell>
        </row>
        <row r="39">
          <cell r="K39">
            <v>0.31824000000000002</v>
          </cell>
          <cell r="L39">
            <v>9.36</v>
          </cell>
          <cell r="AJ39" t="str">
            <v>5MWU8WTDB01A9HC69G</v>
          </cell>
        </row>
        <row r="40">
          <cell r="K40">
            <v>3.74918</v>
          </cell>
          <cell r="L40">
            <v>110.27</v>
          </cell>
          <cell r="AJ40" t="str">
            <v>1M3XYEGXB07W7MSGPL</v>
          </cell>
        </row>
        <row r="41">
          <cell r="K41">
            <v>1.09514</v>
          </cell>
          <cell r="L41">
            <v>32.21</v>
          </cell>
          <cell r="AJ41" t="str">
            <v>4GF112AEB07W5JKPFG</v>
          </cell>
        </row>
        <row r="42">
          <cell r="K42" t="e">
            <v>#DIV/0!</v>
          </cell>
          <cell r="L42" t="e">
            <v>#DIV/0!</v>
          </cell>
          <cell r="AJ42" t="str">
            <v>7RAC5F9EB01K7GEG9W</v>
          </cell>
        </row>
        <row r="43">
          <cell r="K43" t="e">
            <v>#DIV/0!</v>
          </cell>
          <cell r="L43" t="e">
            <v>#DIV/0!</v>
          </cell>
          <cell r="AJ43" t="str">
            <v>7RAC5F9EB01K7GEG9W</v>
          </cell>
        </row>
        <row r="44">
          <cell r="K44">
            <v>3.57</v>
          </cell>
          <cell r="L44">
            <v>105</v>
          </cell>
          <cell r="AJ44" t="str">
            <v>5X1OU9ZGB07MTY7N22</v>
          </cell>
        </row>
        <row r="45">
          <cell r="K45">
            <v>3.5700000000000003</v>
          </cell>
          <cell r="L45">
            <v>105</v>
          </cell>
          <cell r="AJ45" t="str">
            <v>5X1OU9ZGB07MTY7N22</v>
          </cell>
        </row>
        <row r="46">
          <cell r="K46">
            <v>1.9553400000000001</v>
          </cell>
          <cell r="L46">
            <v>57.51</v>
          </cell>
          <cell r="AJ46" t="str">
            <v>3GBCH66MB06XPHQW6G</v>
          </cell>
        </row>
        <row r="47">
          <cell r="K47">
            <v>3.9742600000000001</v>
          </cell>
          <cell r="L47">
            <v>116.89</v>
          </cell>
          <cell r="AJ47" t="str">
            <v>39TAD6PCB07PMKHMFS</v>
          </cell>
        </row>
        <row r="48">
          <cell r="K48">
            <v>2.49356</v>
          </cell>
          <cell r="L48">
            <v>73.34</v>
          </cell>
          <cell r="AJ48" t="str">
            <v>1MDL1DPEB073399S1L</v>
          </cell>
        </row>
        <row r="49">
          <cell r="K49">
            <v>0.55726000000000009</v>
          </cell>
          <cell r="L49">
            <v>16.39</v>
          </cell>
          <cell r="AJ49" t="str">
            <v>7RAC5F9EB01K7GEG9W</v>
          </cell>
        </row>
        <row r="50">
          <cell r="K50">
            <v>0.55725999999999998</v>
          </cell>
          <cell r="L50">
            <v>16.39</v>
          </cell>
          <cell r="AJ50" t="str">
            <v>7RAC5F9EB01K7GEG9W</v>
          </cell>
        </row>
        <row r="51">
          <cell r="K51">
            <v>0.55726000000000009</v>
          </cell>
          <cell r="L51">
            <v>16.39</v>
          </cell>
          <cell r="AJ51" t="str">
            <v>36BT7GGLB07W7JYP91</v>
          </cell>
        </row>
        <row r="52">
          <cell r="K52">
            <v>1.09514</v>
          </cell>
          <cell r="L52">
            <v>32.21</v>
          </cell>
          <cell r="AJ52" t="str">
            <v>7ILTX3HJB07W7K1LSC</v>
          </cell>
        </row>
        <row r="53">
          <cell r="K53">
            <v>0.55726000000000009</v>
          </cell>
          <cell r="L53">
            <v>16.39</v>
          </cell>
          <cell r="AJ53" t="str">
            <v>7RAC5F9EB01K7GEG9W</v>
          </cell>
        </row>
        <row r="54">
          <cell r="K54">
            <v>4.1755399999999998</v>
          </cell>
          <cell r="L54">
            <v>122.81</v>
          </cell>
          <cell r="AJ54" t="str">
            <v>31DJDC7QB07W7MKLNS</v>
          </cell>
        </row>
        <row r="55">
          <cell r="K55">
            <v>2.8522599999999998</v>
          </cell>
          <cell r="L55">
            <v>83.89</v>
          </cell>
          <cell r="AJ55" t="str">
            <v>2F7Y5WIXB07W4DHKTD</v>
          </cell>
        </row>
        <row r="56">
          <cell r="K56" t="e">
            <v>#DIV/0!</v>
          </cell>
          <cell r="L56" t="e">
            <v>#DIV/0!</v>
          </cell>
          <cell r="AJ56" t="str">
            <v>11Y5DH1JB078MHS3SC</v>
          </cell>
        </row>
        <row r="57">
          <cell r="K57" t="e">
            <v>#DIV/0!</v>
          </cell>
          <cell r="L57" t="e">
            <v>#DIV/0!</v>
          </cell>
          <cell r="AJ57" t="str">
            <v>11Y5DH1JB078MHS3SC</v>
          </cell>
        </row>
        <row r="58">
          <cell r="K58">
            <v>7.15768</v>
          </cell>
          <cell r="L58">
            <v>210.52</v>
          </cell>
          <cell r="AJ58" t="str">
            <v>23IZV8AJB013Y78YY4</v>
          </cell>
        </row>
        <row r="59">
          <cell r="K59">
            <v>1.5283</v>
          </cell>
          <cell r="L59">
            <v>44.95</v>
          </cell>
          <cell r="AJ59" t="str">
            <v>2W68T8TOB07W6HDNPG</v>
          </cell>
        </row>
        <row r="60">
          <cell r="K60">
            <v>0.43791999999999998</v>
          </cell>
          <cell r="L60">
            <v>12.88</v>
          </cell>
          <cell r="AJ60" t="str">
            <v>6451M4NBB00745IE2K</v>
          </cell>
        </row>
        <row r="61">
          <cell r="K61">
            <v>0.35802</v>
          </cell>
          <cell r="L61">
            <v>10.53</v>
          </cell>
          <cell r="AJ61" t="str">
            <v>1PSIXGLTB004APAH40</v>
          </cell>
        </row>
        <row r="62">
          <cell r="K62">
            <v>0.80715999999999999</v>
          </cell>
          <cell r="L62">
            <v>23.740000000000002</v>
          </cell>
          <cell r="AJ62" t="str">
            <v>4F3XMHTVB07W6HBBMH</v>
          </cell>
        </row>
        <row r="63">
          <cell r="K63">
            <v>4.1082200000000002</v>
          </cell>
          <cell r="L63">
            <v>120.83</v>
          </cell>
          <cell r="AJ63" t="str">
            <v>5X1OU9ZGB07W4DJF29</v>
          </cell>
        </row>
        <row r="64">
          <cell r="K64">
            <v>3.9446800000000004</v>
          </cell>
          <cell r="L64">
            <v>116.02000000000001</v>
          </cell>
          <cell r="AJ64" t="str">
            <v>2W68T8TOB07W6HPP3R</v>
          </cell>
        </row>
        <row r="65">
          <cell r="K65">
            <v>3.74918</v>
          </cell>
          <cell r="L65">
            <v>110.27000000000001</v>
          </cell>
          <cell r="AJ65" t="str">
            <v>7BEDNOMIB07VTSZ63W</v>
          </cell>
        </row>
        <row r="66">
          <cell r="K66">
            <v>4.5362799999999996</v>
          </cell>
          <cell r="L66">
            <v>133.42000000000002</v>
          </cell>
          <cell r="AJ66" t="str">
            <v>31DJDC7QB07W6JNF81</v>
          </cell>
        </row>
        <row r="67">
          <cell r="K67">
            <v>2.49356</v>
          </cell>
          <cell r="L67">
            <v>73.339999999999989</v>
          </cell>
          <cell r="AJ67" t="str">
            <v>2F7Y5WIXB07TLX61W7</v>
          </cell>
        </row>
        <row r="68">
          <cell r="K68">
            <v>0.25874000000000003</v>
          </cell>
          <cell r="L68">
            <v>7.61</v>
          </cell>
          <cell r="AJ68" t="str">
            <v>7H9X1Z6SB07W8LZB2L</v>
          </cell>
        </row>
        <row r="69">
          <cell r="K69">
            <v>2.49356</v>
          </cell>
          <cell r="L69">
            <v>73.34</v>
          </cell>
          <cell r="AJ69" t="str">
            <v>2F7Y5WIXB07TLX61W7</v>
          </cell>
        </row>
        <row r="70">
          <cell r="K70">
            <v>1.25562</v>
          </cell>
          <cell r="L70">
            <v>36.93</v>
          </cell>
          <cell r="AJ70" t="str">
            <v>6451M4NBB07CGNDZR3</v>
          </cell>
        </row>
        <row r="71">
          <cell r="K71" t="e">
            <v>#DIV/0!</v>
          </cell>
          <cell r="L71" t="e">
            <v>#DIV/0!</v>
          </cell>
          <cell r="AJ71" t="str">
            <v>1X4DXX4TB07SF1RCYF</v>
          </cell>
        </row>
        <row r="72">
          <cell r="K72">
            <v>3.2922199999999999</v>
          </cell>
          <cell r="L72">
            <v>96.83</v>
          </cell>
          <cell r="AJ72" t="str">
            <v>4LYATDUXB002VA464S</v>
          </cell>
        </row>
        <row r="73">
          <cell r="K73">
            <v>1.25562</v>
          </cell>
          <cell r="L73">
            <v>36.93</v>
          </cell>
          <cell r="AJ73" t="str">
            <v>6451M4NBB07CGNDZR3</v>
          </cell>
        </row>
        <row r="74">
          <cell r="K74">
            <v>1.8193400000000002</v>
          </cell>
          <cell r="L74">
            <v>53.51</v>
          </cell>
          <cell r="AJ74" t="str">
            <v>6451M4NBB07W6HLQ35</v>
          </cell>
        </row>
        <row r="75">
          <cell r="K75">
            <v>3.9742600000000001</v>
          </cell>
          <cell r="L75">
            <v>116.89</v>
          </cell>
          <cell r="AJ75" t="str">
            <v>39TAD6PCB07PMKHMFS</v>
          </cell>
        </row>
        <row r="76">
          <cell r="K76">
            <v>3.9742600000000001</v>
          </cell>
          <cell r="L76">
            <v>116.89</v>
          </cell>
          <cell r="AJ76" t="str">
            <v>39TAD6PCB07PMKHMFS</v>
          </cell>
        </row>
        <row r="77">
          <cell r="K77" t="e">
            <v>#DIV/0!</v>
          </cell>
          <cell r="L77" t="e">
            <v>#DIV/0!</v>
          </cell>
          <cell r="AJ77" t="str">
            <v>4AP423UWB00ZOZZM4U</v>
          </cell>
        </row>
        <row r="78">
          <cell r="K78">
            <v>4.8256199999999998</v>
          </cell>
          <cell r="L78">
            <v>141.93</v>
          </cell>
          <cell r="AJ78" t="str">
            <v>8DUEXZHEB07W6HMCF8</v>
          </cell>
        </row>
        <row r="79">
          <cell r="K79">
            <v>7.15768</v>
          </cell>
          <cell r="L79">
            <v>210.52</v>
          </cell>
          <cell r="AJ79" t="str">
            <v>4A3KDTEZB013Y78YY4</v>
          </cell>
        </row>
        <row r="80">
          <cell r="K80">
            <v>7.5163800000000007</v>
          </cell>
          <cell r="L80">
            <v>221.07000000000002</v>
          </cell>
          <cell r="AJ80" t="str">
            <v>5KUAVFPZB00YUIM2J0</v>
          </cell>
        </row>
        <row r="81">
          <cell r="K81">
            <v>5.4090600000000002</v>
          </cell>
          <cell r="L81">
            <v>159.09</v>
          </cell>
          <cell r="AJ81" t="str">
            <v>1KW92RHQB078MHS3SC</v>
          </cell>
        </row>
        <row r="82">
          <cell r="K82">
            <v>1.2223000000000002</v>
          </cell>
          <cell r="L82">
            <v>35.950000000000003</v>
          </cell>
          <cell r="AJ82" t="str">
            <v>4GF112AEB07W5JKPJY</v>
          </cell>
        </row>
        <row r="83">
          <cell r="K83">
            <v>2.8522599999999998</v>
          </cell>
          <cell r="L83">
            <v>83.89</v>
          </cell>
          <cell r="AJ83" t="str">
            <v>2F7Y5WIXB07W4DHKTD</v>
          </cell>
        </row>
        <row r="84">
          <cell r="K84">
            <v>1.7938400000000001</v>
          </cell>
          <cell r="L84">
            <v>52.76</v>
          </cell>
          <cell r="AJ84" t="str">
            <v>4F3XMHTVB07W6JGH8Z</v>
          </cell>
        </row>
        <row r="85">
          <cell r="K85">
            <v>0.99551999999999996</v>
          </cell>
          <cell r="L85">
            <v>29.28</v>
          </cell>
          <cell r="AJ85" t="str">
            <v>2F7Y5WIXB00IRCDT7Y</v>
          </cell>
        </row>
        <row r="86">
          <cell r="K86">
            <v>1.3804000000000001</v>
          </cell>
          <cell r="L86">
            <v>40.6</v>
          </cell>
          <cell r="AJ86" t="str">
            <v>36BT7GGLB07W7LNRN6</v>
          </cell>
        </row>
        <row r="87">
          <cell r="K87">
            <v>4.46692</v>
          </cell>
          <cell r="L87">
            <v>131.38</v>
          </cell>
          <cell r="AJ87" t="str">
            <v>56UO2L2IB07W7LQDX7</v>
          </cell>
        </row>
        <row r="88">
          <cell r="K88">
            <v>0.39439999999999997</v>
          </cell>
          <cell r="L88">
            <v>11.6</v>
          </cell>
          <cell r="AJ88" t="str">
            <v>8BG295LIB01DIJIDKI</v>
          </cell>
        </row>
        <row r="89">
          <cell r="K89">
            <v>0.35802</v>
          </cell>
          <cell r="L89">
            <v>10.53</v>
          </cell>
          <cell r="AJ89" t="str">
            <v>2F7Y5WIXB00544XFHC</v>
          </cell>
        </row>
        <row r="90">
          <cell r="K90">
            <v>2.3470200000000001</v>
          </cell>
          <cell r="L90">
            <v>69.03</v>
          </cell>
          <cell r="AJ90" t="str">
            <v>5MWU8WTDB07MM4V7NR</v>
          </cell>
        </row>
        <row r="91">
          <cell r="K91">
            <v>1.5245600000000001</v>
          </cell>
          <cell r="L91">
            <v>44.84</v>
          </cell>
          <cell r="AJ91" t="str">
            <v>1PSIXGLTB01LQTFOYK</v>
          </cell>
        </row>
        <row r="92">
          <cell r="K92">
            <v>2.49356</v>
          </cell>
          <cell r="L92">
            <v>73.34</v>
          </cell>
          <cell r="AJ92" t="str">
            <v>3OB2IUIKB073399S1L</v>
          </cell>
        </row>
        <row r="93">
          <cell r="K93">
            <v>1.34504</v>
          </cell>
          <cell r="L93">
            <v>39.56</v>
          </cell>
          <cell r="AJ93" t="str">
            <v>2TMBDXBKB00L8VNQ88</v>
          </cell>
        </row>
        <row r="94">
          <cell r="K94">
            <v>2.49356</v>
          </cell>
          <cell r="L94">
            <v>73.34</v>
          </cell>
          <cell r="AJ94" t="str">
            <v>2F7Y5WIXB07TLX61W7</v>
          </cell>
        </row>
        <row r="95">
          <cell r="K95">
            <v>0.69699999999999995</v>
          </cell>
          <cell r="L95">
            <v>20.5</v>
          </cell>
          <cell r="AJ95" t="str">
            <v>243WWSUAB007Z0YCEI</v>
          </cell>
        </row>
        <row r="96">
          <cell r="K96">
            <v>3.21096</v>
          </cell>
          <cell r="L96">
            <v>94.44</v>
          </cell>
          <cell r="AJ96" t="str">
            <v>2XSDZ5YGB07W4DGCMW</v>
          </cell>
        </row>
        <row r="97">
          <cell r="K97">
            <v>3.94468</v>
          </cell>
          <cell r="L97">
            <v>116.02000000000001</v>
          </cell>
          <cell r="AJ97" t="str">
            <v>5MWU8WTDB07W6JKKBV</v>
          </cell>
        </row>
        <row r="98">
          <cell r="K98">
            <v>1.09514</v>
          </cell>
          <cell r="L98">
            <v>32.21</v>
          </cell>
          <cell r="AJ98" t="str">
            <v>4LYATDUXB07W6JM289</v>
          </cell>
        </row>
        <row r="99">
          <cell r="K99">
            <v>0.43791999999999998</v>
          </cell>
          <cell r="L99">
            <v>12.88</v>
          </cell>
          <cell r="AJ99" t="str">
            <v>36BT7GGLB00745IE1Q</v>
          </cell>
        </row>
        <row r="100">
          <cell r="K100">
            <v>0.79627999999999999</v>
          </cell>
          <cell r="L100">
            <v>23.42</v>
          </cell>
          <cell r="AJ100" t="str">
            <v>243WWSUAB01DKGAQNG</v>
          </cell>
        </row>
        <row r="101">
          <cell r="K101">
            <v>2.8522599999999998</v>
          </cell>
          <cell r="L101">
            <v>83.89</v>
          </cell>
          <cell r="AJ101" t="str">
            <v>1X4DXX4TB07SF1RCYF</v>
          </cell>
        </row>
        <row r="102">
          <cell r="K102">
            <v>2.8522600000000002</v>
          </cell>
          <cell r="L102">
            <v>83.89</v>
          </cell>
          <cell r="AJ102" t="str">
            <v>1X4DXX4TB07SF1RCYF</v>
          </cell>
        </row>
        <row r="103">
          <cell r="K103">
            <v>0.43792000000000003</v>
          </cell>
          <cell r="L103">
            <v>12.879999999999999</v>
          </cell>
          <cell r="AJ103" t="str">
            <v>3KYCEHVHB00ZOZZM4U</v>
          </cell>
        </row>
        <row r="104">
          <cell r="K104">
            <v>1.4572400000000001</v>
          </cell>
          <cell r="L104">
            <v>42.86</v>
          </cell>
          <cell r="AJ104" t="str">
            <v>2M7QFTCOB07H3HGVDW</v>
          </cell>
        </row>
        <row r="105">
          <cell r="K105">
            <v>1.5776000000000001</v>
          </cell>
          <cell r="L105">
            <v>46.4</v>
          </cell>
          <cell r="AJ105" t="str">
            <v>5X1OU9ZGB07W4DGC27</v>
          </cell>
        </row>
        <row r="106">
          <cell r="K106">
            <v>1.09514</v>
          </cell>
          <cell r="L106">
            <v>32.21</v>
          </cell>
          <cell r="AJ106" t="str">
            <v>2M7QFTCOB07W7L3DSX</v>
          </cell>
        </row>
        <row r="107">
          <cell r="K107">
            <v>2.7611400000000001</v>
          </cell>
          <cell r="L107">
            <v>81.209999999999994</v>
          </cell>
          <cell r="AJ107" t="str">
            <v>2M7QFTCOB07W6HVXXN</v>
          </cell>
        </row>
        <row r="108">
          <cell r="K108">
            <v>0.31823999999999997</v>
          </cell>
          <cell r="L108">
            <v>9.36</v>
          </cell>
          <cell r="AJ108" t="str">
            <v>6S7HWGDFB01A9HC69G</v>
          </cell>
        </row>
        <row r="109">
          <cell r="K109">
            <v>2.5632600000000001</v>
          </cell>
          <cell r="L109">
            <v>75.39</v>
          </cell>
          <cell r="AJ109" t="str">
            <v>7RAC5F9EB07W7LW3VS</v>
          </cell>
        </row>
        <row r="110">
          <cell r="K110">
            <v>2.5632600000000001</v>
          </cell>
          <cell r="L110">
            <v>75.39</v>
          </cell>
          <cell r="AJ110" t="str">
            <v>7RAC5F9EB07W7LW3VS</v>
          </cell>
        </row>
        <row r="111">
          <cell r="K111">
            <v>2.5867200000000001</v>
          </cell>
          <cell r="L111">
            <v>76.08</v>
          </cell>
          <cell r="AJ111" t="str">
            <v>2W68T8TOB07W6J5VYB</v>
          </cell>
        </row>
        <row r="112">
          <cell r="K112">
            <v>0.99551999999999996</v>
          </cell>
          <cell r="L112">
            <v>29.28</v>
          </cell>
          <cell r="AJ112" t="str">
            <v>1X4DXX4TB00FSF2OSS</v>
          </cell>
        </row>
        <row r="113">
          <cell r="K113">
            <v>2.9576600000000002</v>
          </cell>
          <cell r="L113">
            <v>86.99</v>
          </cell>
          <cell r="AJ113" t="str">
            <v>8KIX7NYMB07W5JJP7R</v>
          </cell>
        </row>
        <row r="114">
          <cell r="K114">
            <v>1.09514</v>
          </cell>
          <cell r="L114">
            <v>32.21</v>
          </cell>
          <cell r="AJ114" t="str">
            <v>7H9X1Z6SB07W6JP976</v>
          </cell>
        </row>
        <row r="115">
          <cell r="K115">
            <v>1.3936599999999999</v>
          </cell>
          <cell r="L115">
            <v>40.99</v>
          </cell>
          <cell r="AJ115" t="str">
            <v>1X4DXX4TB074N3HL5Q</v>
          </cell>
        </row>
        <row r="116">
          <cell r="K116">
            <v>2.49356</v>
          </cell>
          <cell r="L116">
            <v>73.34</v>
          </cell>
          <cell r="AJ116" t="str">
            <v>3KYCEHVHB07G5XJLWK</v>
          </cell>
        </row>
        <row r="117">
          <cell r="K117">
            <v>0.89589999999999992</v>
          </cell>
          <cell r="L117">
            <v>26.35</v>
          </cell>
          <cell r="AJ117" t="str">
            <v>54JZ1ZVPB07W6J829F</v>
          </cell>
        </row>
        <row r="118">
          <cell r="K118">
            <v>3.1361599999999998</v>
          </cell>
          <cell r="L118">
            <v>92.24</v>
          </cell>
          <cell r="AJ118" t="str">
            <v>5MWU8WTDB07W6GVHD8</v>
          </cell>
        </row>
        <row r="119">
          <cell r="K119">
            <v>2.49356</v>
          </cell>
          <cell r="L119">
            <v>73.34</v>
          </cell>
          <cell r="AJ119" t="str">
            <v>6JWFV3WKB07QWTR62R</v>
          </cell>
        </row>
        <row r="120">
          <cell r="K120">
            <v>2.5639399999999997</v>
          </cell>
          <cell r="L120">
            <v>75.41</v>
          </cell>
          <cell r="AJ120" t="str">
            <v>69351YNLB01N6NGNQ8</v>
          </cell>
        </row>
        <row r="121">
          <cell r="K121">
            <v>2.8522599999999998</v>
          </cell>
          <cell r="L121">
            <v>83.89</v>
          </cell>
          <cell r="AJ121" t="str">
            <v>5MWU8WTDB07QKC4WWD</v>
          </cell>
        </row>
        <row r="122">
          <cell r="K122">
            <v>1.19442</v>
          </cell>
          <cell r="L122">
            <v>35.130000000000003</v>
          </cell>
          <cell r="AJ122" t="str">
            <v>2M7QFTCOB07VL9YHC9</v>
          </cell>
        </row>
        <row r="123">
          <cell r="K123">
            <v>3.2922199999999999</v>
          </cell>
          <cell r="L123">
            <v>96.83</v>
          </cell>
          <cell r="AJ123" t="str">
            <v>2TMBDXBKB002VA464S</v>
          </cell>
        </row>
        <row r="124">
          <cell r="K124">
            <v>1.61432</v>
          </cell>
          <cell r="L124">
            <v>47.480000000000004</v>
          </cell>
          <cell r="AJ124" t="str">
            <v>3IQS66UGB07MTXLFXV</v>
          </cell>
        </row>
        <row r="125">
          <cell r="K125">
            <v>1.09514</v>
          </cell>
          <cell r="L125">
            <v>32.21</v>
          </cell>
          <cell r="AJ125" t="str">
            <v>243WWSUAB07W4DH6FY</v>
          </cell>
        </row>
        <row r="126">
          <cell r="K126">
            <v>1.09514</v>
          </cell>
          <cell r="L126">
            <v>32.21</v>
          </cell>
          <cell r="AJ126" t="str">
            <v>29YOVOGFB07W4DHMVC</v>
          </cell>
        </row>
        <row r="127">
          <cell r="K127">
            <v>1.972</v>
          </cell>
          <cell r="L127">
            <v>58</v>
          </cell>
          <cell r="AJ127" t="str">
            <v>2R6FMUZDB07W5JHLCB</v>
          </cell>
        </row>
        <row r="128">
          <cell r="K128">
            <v>1.5283</v>
          </cell>
          <cell r="L128">
            <v>44.95</v>
          </cell>
          <cell r="AJ128" t="str">
            <v>3KYCEHVHB01G3WBH9G</v>
          </cell>
        </row>
        <row r="129">
          <cell r="K129">
            <v>2.9583400000000002</v>
          </cell>
          <cell r="L129">
            <v>87.01</v>
          </cell>
          <cell r="AJ129" t="str">
            <v>4LYATDUXB06VTVGSDW</v>
          </cell>
        </row>
        <row r="130">
          <cell r="K130">
            <v>3.21096</v>
          </cell>
          <cell r="L130">
            <v>94.44</v>
          </cell>
          <cell r="AJ130" t="str">
            <v>3GBCH66MB07W6JMQW4</v>
          </cell>
        </row>
        <row r="131">
          <cell r="K131">
            <v>2.9239999999999999</v>
          </cell>
          <cell r="L131">
            <v>86</v>
          </cell>
          <cell r="AJ131" t="str">
            <v>5X1OU9ZGB00G2Y44ZK</v>
          </cell>
        </row>
        <row r="132">
          <cell r="K132">
            <v>1.5283</v>
          </cell>
          <cell r="L132">
            <v>44.95</v>
          </cell>
          <cell r="AJ132" t="str">
            <v>2W68T8TOB07W5JKLRF</v>
          </cell>
        </row>
        <row r="133">
          <cell r="K133">
            <v>1.09514</v>
          </cell>
          <cell r="L133">
            <v>32.21</v>
          </cell>
          <cell r="AJ133" t="str">
            <v>17D6YHERB07W4DHXFT</v>
          </cell>
        </row>
        <row r="134">
          <cell r="K134">
            <v>1.61432</v>
          </cell>
          <cell r="L134">
            <v>47.48</v>
          </cell>
          <cell r="AJ134" t="str">
            <v>3IQS66UGB07MTXLFXV</v>
          </cell>
        </row>
        <row r="135">
          <cell r="K135">
            <v>1.09514</v>
          </cell>
          <cell r="L135">
            <v>32.21</v>
          </cell>
          <cell r="AJ135" t="str">
            <v>1X4DXX4TB07W5JJTG3</v>
          </cell>
        </row>
        <row r="136">
          <cell r="K136">
            <v>0.99551999999999996</v>
          </cell>
          <cell r="L136">
            <v>29.28</v>
          </cell>
          <cell r="AJ136" t="str">
            <v>31DJDC7QB00EUUXBDE</v>
          </cell>
        </row>
        <row r="137">
          <cell r="K137">
            <v>1.09514</v>
          </cell>
          <cell r="L137">
            <v>32.21</v>
          </cell>
          <cell r="AJ137" t="str">
            <v>29YOVOGFB07W4DHMVC</v>
          </cell>
        </row>
        <row r="138">
          <cell r="K138">
            <v>0.99551999999999996</v>
          </cell>
          <cell r="L138">
            <v>29.28</v>
          </cell>
          <cell r="AJ138" t="str">
            <v>31DJDC7QB00EUUXBDE</v>
          </cell>
        </row>
        <row r="139">
          <cell r="K139">
            <v>1.09514</v>
          </cell>
          <cell r="L139">
            <v>32.21</v>
          </cell>
          <cell r="AJ139" t="str">
            <v>29YOVOGFB07W4DHMVC</v>
          </cell>
        </row>
        <row r="140">
          <cell r="K140" t="e">
            <v>#DIV/0!</v>
          </cell>
          <cell r="L140" t="e">
            <v>#DIV/0!</v>
          </cell>
          <cell r="AJ140" t="str">
            <v>6JWFV3WKB07QWTR62R</v>
          </cell>
        </row>
        <row r="141">
          <cell r="K141">
            <v>2.5445600000000002</v>
          </cell>
          <cell r="L141">
            <v>74.84</v>
          </cell>
          <cell r="AJ141" t="str">
            <v>243WWSUAB07W6JLQCY</v>
          </cell>
        </row>
        <row r="142">
          <cell r="K142">
            <v>1.3804000000000001</v>
          </cell>
          <cell r="L142">
            <v>40.6</v>
          </cell>
          <cell r="AJ142" t="str">
            <v>39TAD6PCB06XZZJ65H</v>
          </cell>
        </row>
        <row r="143">
          <cell r="K143">
            <v>3.92496</v>
          </cell>
          <cell r="L143">
            <v>115.44000000000001</v>
          </cell>
          <cell r="AJ143" t="str">
            <v>7SCVG2OTB003UPJXIC</v>
          </cell>
        </row>
        <row r="144">
          <cell r="K144">
            <v>1.25562</v>
          </cell>
          <cell r="L144">
            <v>36.93</v>
          </cell>
          <cell r="AJ144" t="str">
            <v>5X1OU9ZGB07W6GW9BJ</v>
          </cell>
        </row>
        <row r="145">
          <cell r="K145">
            <v>2.5639400000000001</v>
          </cell>
          <cell r="L145">
            <v>75.41</v>
          </cell>
          <cell r="AJ145" t="str">
            <v>4GF112AEB07W6JNG11</v>
          </cell>
        </row>
        <row r="146">
          <cell r="K146">
            <v>2.5639400000000001</v>
          </cell>
          <cell r="L146">
            <v>75.41</v>
          </cell>
          <cell r="AJ146" t="str">
            <v>38RKRRMYB07W7LMCF9</v>
          </cell>
        </row>
        <row r="147">
          <cell r="K147">
            <v>0.89590000000000003</v>
          </cell>
          <cell r="L147">
            <v>26.35</v>
          </cell>
          <cell r="AJ147" t="str">
            <v>4A3KDTEZB00BCE30RS</v>
          </cell>
        </row>
        <row r="148">
          <cell r="K148">
            <v>0.89590000000000003</v>
          </cell>
          <cell r="L148">
            <v>26.349999999999998</v>
          </cell>
          <cell r="AJ148" t="str">
            <v>4A3KDTEZB00BCE30RS</v>
          </cell>
        </row>
        <row r="149">
          <cell r="K149">
            <v>1.25562</v>
          </cell>
          <cell r="L149">
            <v>36.93</v>
          </cell>
          <cell r="AJ149" t="str">
            <v>2M7QFTCOB07CGNDZR3</v>
          </cell>
        </row>
        <row r="150">
          <cell r="K150">
            <v>1.25562</v>
          </cell>
          <cell r="L150">
            <v>36.93</v>
          </cell>
          <cell r="AJ150" t="str">
            <v>2M7QFTCOB07CGNDZR3</v>
          </cell>
        </row>
        <row r="151">
          <cell r="K151">
            <v>1.34504</v>
          </cell>
          <cell r="L151">
            <v>39.56</v>
          </cell>
          <cell r="AJ151" t="str">
            <v>8BG295LIB07W6HLSFF</v>
          </cell>
        </row>
        <row r="152">
          <cell r="K152">
            <v>2.8522599999999998</v>
          </cell>
          <cell r="L152">
            <v>83.89</v>
          </cell>
          <cell r="AJ152" t="str">
            <v>7H9X1Z6SB07W6J51XR</v>
          </cell>
        </row>
        <row r="153">
          <cell r="K153">
            <v>1.4572399999999999</v>
          </cell>
          <cell r="L153">
            <v>42.860000000000007</v>
          </cell>
          <cell r="AJ153" t="str">
            <v>7RAC5F9EB07H3HGVDW</v>
          </cell>
        </row>
        <row r="154">
          <cell r="K154">
            <v>2.49356</v>
          </cell>
          <cell r="L154">
            <v>73.34</v>
          </cell>
          <cell r="AJ154" t="str">
            <v>6UZZHR2WB07TLX61W7</v>
          </cell>
        </row>
        <row r="155">
          <cell r="K155">
            <v>1.5245599999999999</v>
          </cell>
          <cell r="L155">
            <v>44.84</v>
          </cell>
          <cell r="AJ155" t="str">
            <v>2CLMXQWQB01MQ0GFUH</v>
          </cell>
        </row>
        <row r="156">
          <cell r="K156">
            <v>3.94468</v>
          </cell>
          <cell r="L156">
            <v>116.02</v>
          </cell>
          <cell r="AJ156" t="str">
            <v>1VRJRIPAB07W7M4MZP</v>
          </cell>
        </row>
        <row r="157">
          <cell r="K157">
            <v>0.55725999999999998</v>
          </cell>
          <cell r="L157">
            <v>16.39</v>
          </cell>
          <cell r="AJ157" t="str">
            <v>4GF112AEB01K7GEG9W</v>
          </cell>
        </row>
        <row r="158">
          <cell r="K158">
            <v>2.3667400000000001</v>
          </cell>
          <cell r="L158">
            <v>69.61</v>
          </cell>
          <cell r="AJ158" t="str">
            <v>2F7Y5WIXB074W227RK</v>
          </cell>
        </row>
        <row r="159">
          <cell r="K159">
            <v>1.25562</v>
          </cell>
          <cell r="L159">
            <v>36.93</v>
          </cell>
          <cell r="AJ159" t="str">
            <v>2R6FMUZDB07CGNP3RH</v>
          </cell>
        </row>
        <row r="160">
          <cell r="K160">
            <v>1.09514</v>
          </cell>
          <cell r="L160">
            <v>32.21</v>
          </cell>
          <cell r="AJ160" t="str">
            <v>1X4DXX4TB013SL1ZU6</v>
          </cell>
        </row>
        <row r="161">
          <cell r="K161">
            <v>2.5445600000000002</v>
          </cell>
          <cell r="L161">
            <v>74.84</v>
          </cell>
          <cell r="AJ161" t="str">
            <v>24EUBTHXB07W6JLQCY</v>
          </cell>
        </row>
        <row r="162">
          <cell r="K162">
            <v>1.1658600000000001</v>
          </cell>
          <cell r="L162">
            <v>34.29</v>
          </cell>
          <cell r="AJ162" t="str">
            <v>31DJDC7QB00CJ5FPTA</v>
          </cell>
        </row>
        <row r="163">
          <cell r="K163" t="e">
            <v>#DIV/0!</v>
          </cell>
          <cell r="L163" t="e">
            <v>#DIV/0!</v>
          </cell>
          <cell r="AJ163" t="str">
            <v>31DJDC7QB00EUUXBDE</v>
          </cell>
        </row>
        <row r="164">
          <cell r="K164">
            <v>2.6730800000000001</v>
          </cell>
          <cell r="L164">
            <v>78.62</v>
          </cell>
          <cell r="AJ164" t="str">
            <v>3G77YEPLB01MYW8COY</v>
          </cell>
        </row>
        <row r="165">
          <cell r="K165">
            <v>3.1361600000000003</v>
          </cell>
          <cell r="L165">
            <v>92.240000000000009</v>
          </cell>
          <cell r="AJ165" t="str">
            <v>7RAC5F9EB07W4DHNBF</v>
          </cell>
        </row>
        <row r="166">
          <cell r="K166">
            <v>0.55725999999999998</v>
          </cell>
          <cell r="L166">
            <v>16.39</v>
          </cell>
          <cell r="AJ166" t="str">
            <v>2F7Y5WIXB07W7LHVBL</v>
          </cell>
        </row>
        <row r="167">
          <cell r="K167">
            <v>2.3667400000000001</v>
          </cell>
          <cell r="L167">
            <v>69.61</v>
          </cell>
          <cell r="AJ167" t="str">
            <v>1LQM129ZB07W6HQCNX</v>
          </cell>
        </row>
        <row r="168">
          <cell r="K168">
            <v>0.9860000000000001</v>
          </cell>
          <cell r="L168">
            <v>29</v>
          </cell>
          <cell r="AJ168" t="str">
            <v>1KW92RHQB07W7LF6F1</v>
          </cell>
        </row>
        <row r="169">
          <cell r="K169">
            <v>2.3140399999999999</v>
          </cell>
          <cell r="L169">
            <v>68.06</v>
          </cell>
          <cell r="AJ169" t="str">
            <v>7BEDNOMIB07W5JJP7D</v>
          </cell>
        </row>
        <row r="170">
          <cell r="K170">
            <v>1.09514</v>
          </cell>
          <cell r="L170">
            <v>32.21</v>
          </cell>
          <cell r="AJ170" t="str">
            <v>243WWSUAB07W4DHXFT</v>
          </cell>
        </row>
        <row r="171">
          <cell r="K171">
            <v>2.8522599999999998</v>
          </cell>
          <cell r="L171">
            <v>83.89</v>
          </cell>
          <cell r="AJ171" t="str">
            <v>4F3XMHTVB07QNYCLBJ</v>
          </cell>
        </row>
        <row r="172">
          <cell r="K172">
            <v>1.19442</v>
          </cell>
          <cell r="L172">
            <v>35.130000000000003</v>
          </cell>
          <cell r="AJ172" t="str">
            <v>6S7HWGDFB003L92O5Q</v>
          </cell>
        </row>
        <row r="173">
          <cell r="K173">
            <v>0.43791999999999998</v>
          </cell>
          <cell r="L173">
            <v>12.88</v>
          </cell>
          <cell r="AJ173" t="str">
            <v>2467WIRPB003FRXFW0</v>
          </cell>
        </row>
        <row r="174">
          <cell r="K174" t="e">
            <v>#DIV/0!</v>
          </cell>
          <cell r="L174" t="e">
            <v>#DIV/0!</v>
          </cell>
          <cell r="AJ174" t="str">
            <v>2467WIRPB003FRXFW0</v>
          </cell>
        </row>
        <row r="175">
          <cell r="K175">
            <v>1.4932799999999999</v>
          </cell>
          <cell r="L175">
            <v>43.92</v>
          </cell>
          <cell r="AJ175" t="str">
            <v>3BEWVQCYB0797G6W5K</v>
          </cell>
        </row>
        <row r="176">
          <cell r="K176">
            <v>0.39406000000000002</v>
          </cell>
          <cell r="L176">
            <v>11.59</v>
          </cell>
          <cell r="AJ176" t="str">
            <v>8BG295LIB07VWZHCNX</v>
          </cell>
        </row>
        <row r="177">
          <cell r="K177">
            <v>3.1361599999999998</v>
          </cell>
          <cell r="L177">
            <v>92.24</v>
          </cell>
          <cell r="AJ177" t="str">
            <v>1LQM129ZB07W6GVHD8</v>
          </cell>
        </row>
        <row r="178">
          <cell r="K178">
            <v>2.8522599999999998</v>
          </cell>
          <cell r="L178">
            <v>83.89</v>
          </cell>
          <cell r="AJ178" t="str">
            <v>4F3XMHTVB07QKC4WWD</v>
          </cell>
        </row>
        <row r="179">
          <cell r="K179" t="e">
            <v>#DIV/0!</v>
          </cell>
          <cell r="L179" t="e">
            <v>#DIV/0!</v>
          </cell>
          <cell r="AJ179" t="str">
            <v>44DTI43XB006ZLK9SQ</v>
          </cell>
        </row>
        <row r="180">
          <cell r="K180">
            <v>10.152060000000001</v>
          </cell>
          <cell r="L180">
            <v>298.58999999999997</v>
          </cell>
          <cell r="AJ180" t="str">
            <v>4LYATDUXB0866PZN76</v>
          </cell>
        </row>
        <row r="181">
          <cell r="K181">
            <v>1.972</v>
          </cell>
          <cell r="L181">
            <v>58</v>
          </cell>
          <cell r="AJ181" t="str">
            <v>5P193OUGB07W7KCF3W</v>
          </cell>
        </row>
        <row r="182">
          <cell r="K182">
            <v>2.3470199999999997</v>
          </cell>
          <cell r="L182">
            <v>69.03</v>
          </cell>
          <cell r="AJ182" t="str">
            <v>2R6FMUZDB07MM4V7NR</v>
          </cell>
        </row>
        <row r="183">
          <cell r="K183">
            <v>1.09514</v>
          </cell>
          <cell r="L183">
            <v>32.21</v>
          </cell>
          <cell r="AJ183" t="str">
            <v>2TMBDXBKB07W5JHV5C</v>
          </cell>
        </row>
        <row r="184">
          <cell r="K184">
            <v>1.09514</v>
          </cell>
          <cell r="L184">
            <v>32.21</v>
          </cell>
          <cell r="AJ184" t="str">
            <v>36BT7GGLB00VHHWNMI</v>
          </cell>
        </row>
        <row r="185">
          <cell r="K185">
            <v>1.972</v>
          </cell>
          <cell r="L185">
            <v>58</v>
          </cell>
          <cell r="AJ185" t="str">
            <v>5X1OU9ZGB07W4DHJ91</v>
          </cell>
        </row>
        <row r="186">
          <cell r="K186">
            <v>0.89658000000000004</v>
          </cell>
          <cell r="L186">
            <v>26.37</v>
          </cell>
          <cell r="AJ186" t="str">
            <v>39TAD6PCB07W6HFDR8</v>
          </cell>
        </row>
        <row r="187">
          <cell r="K187">
            <v>2.49356</v>
          </cell>
          <cell r="L187">
            <v>73.34</v>
          </cell>
          <cell r="AJ187" t="str">
            <v>7EMS2FPGB07QWTR62R</v>
          </cell>
        </row>
        <row r="188">
          <cell r="K188">
            <v>0.55726000000000009</v>
          </cell>
          <cell r="L188">
            <v>16.39</v>
          </cell>
          <cell r="AJ188" t="str">
            <v>4GF112AEB01K7GEG9W</v>
          </cell>
        </row>
        <row r="189">
          <cell r="K189">
            <v>2.49356</v>
          </cell>
          <cell r="L189">
            <v>73.34</v>
          </cell>
          <cell r="AJ189" t="str">
            <v>7EMS2FPGB07QWTR62R</v>
          </cell>
        </row>
        <row r="190">
          <cell r="K190">
            <v>1.9988600000000001</v>
          </cell>
          <cell r="L190">
            <v>58.79</v>
          </cell>
          <cell r="AJ190" t="str">
            <v>29YOVOGFB000EOPQ7E</v>
          </cell>
        </row>
        <row r="191">
          <cell r="K191">
            <v>1.5245600000000001</v>
          </cell>
          <cell r="L191">
            <v>44.84</v>
          </cell>
          <cell r="AJ191" t="str">
            <v>31DJDC7QB07W4DHMVB</v>
          </cell>
        </row>
        <row r="192">
          <cell r="K192">
            <v>2.3470200000000001</v>
          </cell>
          <cell r="L192">
            <v>69.03</v>
          </cell>
          <cell r="AJ192" t="str">
            <v>69351YNLB07W7KMK4Y</v>
          </cell>
        </row>
        <row r="193">
          <cell r="K193">
            <v>1.0761000000000001</v>
          </cell>
          <cell r="L193">
            <v>31.65</v>
          </cell>
          <cell r="AJ193" t="str">
            <v>4LYATDUXB07W7LM8SS</v>
          </cell>
        </row>
        <row r="194">
          <cell r="K194" t="e">
            <v>#DIV/0!</v>
          </cell>
          <cell r="L194" t="e">
            <v>#DIV/0!</v>
          </cell>
          <cell r="AJ194" t="str">
            <v>5AWKJCHNB07W7KRXDW</v>
          </cell>
        </row>
        <row r="195">
          <cell r="K195">
            <v>0.69699999999999995</v>
          </cell>
          <cell r="L195">
            <v>20.5</v>
          </cell>
          <cell r="AJ195" t="str">
            <v>7RAC5F9EB006ZLK9SQ</v>
          </cell>
        </row>
        <row r="196">
          <cell r="K196">
            <v>3.1361599999999998</v>
          </cell>
          <cell r="L196">
            <v>92.24</v>
          </cell>
          <cell r="AJ196" t="str">
            <v>4GF112AEB07W4DHNBF</v>
          </cell>
        </row>
        <row r="197">
          <cell r="K197">
            <v>4.2329999999999997</v>
          </cell>
          <cell r="L197">
            <v>124.5</v>
          </cell>
          <cell r="AJ197" t="str">
            <v>7RAC5F9EB07W7KHQLR</v>
          </cell>
        </row>
        <row r="198">
          <cell r="K198">
            <v>7.15768</v>
          </cell>
          <cell r="L198">
            <v>210.52</v>
          </cell>
          <cell r="AJ198" t="str">
            <v>5ACDL3WJB07W6JB7N7</v>
          </cell>
        </row>
        <row r="199">
          <cell r="K199" t="e">
            <v>#DIV/0!</v>
          </cell>
          <cell r="L199" t="e">
            <v>#DIV/0!</v>
          </cell>
          <cell r="AJ199" t="str">
            <v>3HKQYMTXB00XJ3LVPI</v>
          </cell>
        </row>
        <row r="200">
          <cell r="K200">
            <v>1.25562</v>
          </cell>
          <cell r="L200">
            <v>36.93</v>
          </cell>
          <cell r="AJ200" t="str">
            <v>2TMBDXBKB07W6GW9BJ</v>
          </cell>
        </row>
        <row r="201">
          <cell r="K201">
            <v>1.5776000000000001</v>
          </cell>
          <cell r="L201">
            <v>46.4</v>
          </cell>
          <cell r="AJ201" t="str">
            <v>2TMBDXBKB07W4DGC27</v>
          </cell>
        </row>
        <row r="202">
          <cell r="K202">
            <v>1.5775999999999999</v>
          </cell>
          <cell r="L202">
            <v>46.4</v>
          </cell>
          <cell r="AJ202" t="str">
            <v>2TMBDXBKB07W4DGC27</v>
          </cell>
        </row>
        <row r="203">
          <cell r="K203">
            <v>3.5040399999999998</v>
          </cell>
          <cell r="L203">
            <v>103.06</v>
          </cell>
          <cell r="AJ203" t="str">
            <v>5X1OU9ZGB07PPNT9B2</v>
          </cell>
        </row>
        <row r="204">
          <cell r="K204">
            <v>1.4932799999999999</v>
          </cell>
          <cell r="L204">
            <v>43.92</v>
          </cell>
          <cell r="AJ204" t="str">
            <v>4DNB5NLZB079YHHPF2</v>
          </cell>
        </row>
        <row r="205">
          <cell r="K205">
            <v>1.4932799999999999</v>
          </cell>
          <cell r="L205">
            <v>43.92</v>
          </cell>
          <cell r="AJ205" t="str">
            <v>17D6YHERB0797JRLQC</v>
          </cell>
        </row>
        <row r="206">
          <cell r="K206" t="e">
            <v>#DIV/0!</v>
          </cell>
          <cell r="L206" t="e">
            <v>#DIV/0!</v>
          </cell>
          <cell r="AJ206" t="str">
            <v>2TMBDXBKB07W4DGC27</v>
          </cell>
        </row>
        <row r="207">
          <cell r="K207">
            <v>1.5864400000000001</v>
          </cell>
          <cell r="L207">
            <v>46.66</v>
          </cell>
          <cell r="AJ207" t="str">
            <v>7H9X1Z6SB00C7INSWU</v>
          </cell>
        </row>
        <row r="208">
          <cell r="K208">
            <v>0.79627999999999999</v>
          </cell>
          <cell r="L208">
            <v>23.42</v>
          </cell>
          <cell r="AJ208" t="str">
            <v>1PSIXGLTB01DKGAQNG</v>
          </cell>
        </row>
        <row r="209">
          <cell r="K209">
            <v>4.5107800000000005</v>
          </cell>
          <cell r="L209">
            <v>132.66999999999999</v>
          </cell>
          <cell r="AJ209" t="str">
            <v>2R6FMUZDB071W18JHM</v>
          </cell>
        </row>
        <row r="210">
          <cell r="K210">
            <v>0.69699999999999995</v>
          </cell>
          <cell r="L210">
            <v>20.5</v>
          </cell>
          <cell r="AJ210" t="str">
            <v>7RAC5F9EB006ZLK9SQ</v>
          </cell>
        </row>
        <row r="211">
          <cell r="K211">
            <v>1.25562</v>
          </cell>
          <cell r="L211">
            <v>36.93</v>
          </cell>
          <cell r="AJ211" t="str">
            <v>4LYATDUXB07CGVGMLD</v>
          </cell>
        </row>
        <row r="212">
          <cell r="K212">
            <v>2.3667400000000001</v>
          </cell>
          <cell r="L212">
            <v>69.61</v>
          </cell>
          <cell r="AJ212" t="str">
            <v>7CQW3EPPB07FNHV4MW</v>
          </cell>
        </row>
        <row r="213">
          <cell r="K213">
            <v>3.2922199999999999</v>
          </cell>
          <cell r="L213">
            <v>96.83</v>
          </cell>
          <cell r="AJ213" t="str">
            <v>7OQHRVQMB014PYGYRE</v>
          </cell>
        </row>
        <row r="214">
          <cell r="K214" t="e">
            <v>#DIV/0!</v>
          </cell>
          <cell r="L214" t="e">
            <v>#DIV/0!</v>
          </cell>
          <cell r="AJ214" t="str">
            <v>4LYATDUXB07CGVGMLD</v>
          </cell>
        </row>
        <row r="215">
          <cell r="K215">
            <v>0.79627999999999999</v>
          </cell>
          <cell r="L215">
            <v>23.42</v>
          </cell>
          <cell r="AJ215" t="str">
            <v>7H9X1Z6SB07W6GY66B</v>
          </cell>
        </row>
        <row r="216">
          <cell r="K216">
            <v>1.25562</v>
          </cell>
          <cell r="L216">
            <v>36.93</v>
          </cell>
          <cell r="AJ216" t="str">
            <v>4LYATDUXB07W5JHX84</v>
          </cell>
        </row>
        <row r="217">
          <cell r="K217">
            <v>1.09514</v>
          </cell>
          <cell r="L217">
            <v>32.21</v>
          </cell>
          <cell r="AJ217" t="str">
            <v>1JF8DBHDB010X0ZQ7S</v>
          </cell>
        </row>
        <row r="218">
          <cell r="K218">
            <v>0.43792000000000003</v>
          </cell>
          <cell r="L218">
            <v>12.88</v>
          </cell>
          <cell r="AJ218" t="str">
            <v>1LQM129ZB00ZOZZM4U</v>
          </cell>
        </row>
        <row r="219">
          <cell r="K219">
            <v>2.49356</v>
          </cell>
          <cell r="L219">
            <v>73.34</v>
          </cell>
          <cell r="AJ219" t="str">
            <v>8BG295LIB07G5XJLWK</v>
          </cell>
        </row>
        <row r="220">
          <cell r="K220">
            <v>1.1658599999999999</v>
          </cell>
          <cell r="L220">
            <v>34.29</v>
          </cell>
          <cell r="AJ220" t="str">
            <v>2TMBDXBKB00CJ5FPTA</v>
          </cell>
        </row>
        <row r="221">
          <cell r="K221">
            <v>0.55725999999999998</v>
          </cell>
          <cell r="L221">
            <v>16.39</v>
          </cell>
          <cell r="AJ221" t="str">
            <v>243WWSUAB077BT728N</v>
          </cell>
        </row>
        <row r="222">
          <cell r="K222" t="e">
            <v>#DIV/0!</v>
          </cell>
          <cell r="L222" t="e">
            <v>#DIV/0!</v>
          </cell>
          <cell r="AJ222" t="str">
            <v>8BG295LIB07W5JKFQC</v>
          </cell>
        </row>
        <row r="223">
          <cell r="K223">
            <v>0.80715999999999999</v>
          </cell>
          <cell r="L223">
            <v>23.74</v>
          </cell>
          <cell r="AJ223" t="str">
            <v>8BG295LIB07W5JKFQC</v>
          </cell>
        </row>
        <row r="224">
          <cell r="K224">
            <v>2.8522599999999998</v>
          </cell>
          <cell r="L224">
            <v>83.89</v>
          </cell>
          <cell r="AJ224" t="str">
            <v>2R6FMUZDB01M3TTXMY</v>
          </cell>
        </row>
        <row r="225">
          <cell r="K225">
            <v>4.46692</v>
          </cell>
          <cell r="L225">
            <v>131.38</v>
          </cell>
          <cell r="AJ225" t="str">
            <v>5X1OU9ZGB07W7LQDX7</v>
          </cell>
        </row>
        <row r="226">
          <cell r="K226">
            <v>3.21096</v>
          </cell>
          <cell r="L226">
            <v>94.44</v>
          </cell>
          <cell r="AJ226" t="str">
            <v>7H9X1Z6SB01M9EWQ2W</v>
          </cell>
        </row>
        <row r="227">
          <cell r="K227">
            <v>4.1224999999999996</v>
          </cell>
          <cell r="L227">
            <v>121.25</v>
          </cell>
          <cell r="AJ227" t="str">
            <v>4KGCSU5VB074KMD92K</v>
          </cell>
        </row>
        <row r="228">
          <cell r="K228">
            <v>2.8522599999999998</v>
          </cell>
          <cell r="L228">
            <v>83.89</v>
          </cell>
          <cell r="AJ228" t="str">
            <v>36BT7GGLB07W6J51XR</v>
          </cell>
        </row>
        <row r="229">
          <cell r="K229">
            <v>7.5163799999999998</v>
          </cell>
          <cell r="L229">
            <v>221.07000000000002</v>
          </cell>
          <cell r="AJ229" t="str">
            <v>7TFUVBKWB011N78DMA</v>
          </cell>
        </row>
        <row r="230">
          <cell r="K230">
            <v>7.6959</v>
          </cell>
          <cell r="L230">
            <v>226.35</v>
          </cell>
          <cell r="AJ230" t="str">
            <v>7TFUVBKWB07W7KFFFF</v>
          </cell>
        </row>
        <row r="231">
          <cell r="K231">
            <v>0.89658000000000004</v>
          </cell>
          <cell r="L231">
            <v>26.37</v>
          </cell>
          <cell r="AJ231" t="str">
            <v>3KYCEHVHB07W5JKT4S</v>
          </cell>
        </row>
        <row r="232">
          <cell r="K232">
            <v>7.6959</v>
          </cell>
          <cell r="L232">
            <v>226.35</v>
          </cell>
          <cell r="AJ232" t="str">
            <v>7TFUVBKWB07W7KFFFF</v>
          </cell>
        </row>
        <row r="233">
          <cell r="K233">
            <v>0.80715999999999999</v>
          </cell>
          <cell r="L233">
            <v>23.74</v>
          </cell>
          <cell r="AJ233" t="str">
            <v>8BG295LIB07W5JKFQC</v>
          </cell>
        </row>
        <row r="234">
          <cell r="K234">
            <v>0.79627999999999999</v>
          </cell>
          <cell r="L234">
            <v>23.42</v>
          </cell>
          <cell r="AJ234" t="str">
            <v>243WWSUAB01C47ZFLK</v>
          </cell>
        </row>
        <row r="235">
          <cell r="K235">
            <v>1.5283</v>
          </cell>
          <cell r="L235">
            <v>44.95</v>
          </cell>
          <cell r="AJ235" t="str">
            <v>36BT7GGLB014PYGTUQ</v>
          </cell>
        </row>
        <row r="236">
          <cell r="K236">
            <v>0.89589999999999992</v>
          </cell>
          <cell r="L236">
            <v>26.35</v>
          </cell>
          <cell r="AJ236" t="str">
            <v>7H9X1Z6SB01K7GEAEI</v>
          </cell>
        </row>
        <row r="237">
          <cell r="K237">
            <v>0.30226000000000003</v>
          </cell>
          <cell r="L237">
            <v>8.89</v>
          </cell>
          <cell r="AJ237" t="str">
            <v>4F3XMHTVB07W5JJVFM</v>
          </cell>
        </row>
        <row r="238">
          <cell r="K238">
            <v>1.09514</v>
          </cell>
          <cell r="L238">
            <v>32.21</v>
          </cell>
          <cell r="AJ238" t="str">
            <v>4GF112AEB00MWNDUDM</v>
          </cell>
        </row>
        <row r="239">
          <cell r="K239">
            <v>2.3667400000000001</v>
          </cell>
          <cell r="L239">
            <v>69.61</v>
          </cell>
          <cell r="AJ239" t="str">
            <v>1KW92RHQB005IDE064</v>
          </cell>
        </row>
        <row r="240">
          <cell r="K240">
            <v>2.5639400000000001</v>
          </cell>
          <cell r="L240">
            <v>75.41</v>
          </cell>
          <cell r="AJ240" t="str">
            <v>17D6YHERB01MT5WL4M</v>
          </cell>
        </row>
        <row r="241">
          <cell r="K241">
            <v>2.5639400000000001</v>
          </cell>
          <cell r="L241">
            <v>75.41</v>
          </cell>
          <cell r="AJ241" t="str">
            <v>17D6YHERB01MT5WMMG</v>
          </cell>
        </row>
        <row r="242">
          <cell r="K242">
            <v>0.27879999999999999</v>
          </cell>
          <cell r="L242">
            <v>8.1999999999999993</v>
          </cell>
          <cell r="AJ242" t="str">
            <v>3A946EXYB07W6JKH17</v>
          </cell>
        </row>
        <row r="243">
          <cell r="K243">
            <v>2.3140399999999999</v>
          </cell>
          <cell r="L243">
            <v>68.06</v>
          </cell>
          <cell r="AJ243" t="str">
            <v>6AA7OKBNB07W5JKKX9</v>
          </cell>
        </row>
        <row r="244">
          <cell r="K244">
            <v>0.80715999999999999</v>
          </cell>
          <cell r="L244">
            <v>23.740000000000002</v>
          </cell>
          <cell r="AJ244" t="str">
            <v>8BG295LIB07W5JKFQC</v>
          </cell>
        </row>
        <row r="245">
          <cell r="K245">
            <v>7.6959000000000009</v>
          </cell>
          <cell r="L245">
            <v>226.35</v>
          </cell>
          <cell r="AJ245" t="str">
            <v>7TFUVBKWB07W7KFFFF</v>
          </cell>
        </row>
        <row r="246">
          <cell r="K246">
            <v>1.19442</v>
          </cell>
          <cell r="L246">
            <v>35.130000000000003</v>
          </cell>
          <cell r="AJ246" t="str">
            <v>3T2OW47PB003L92O5Q</v>
          </cell>
        </row>
        <row r="247">
          <cell r="K247">
            <v>3.5499399999999999</v>
          </cell>
          <cell r="L247">
            <v>104.41000000000001</v>
          </cell>
          <cell r="AJ247" t="str">
            <v>2W68T8TOB07W6J3W3B</v>
          </cell>
        </row>
        <row r="248">
          <cell r="K248">
            <v>0.80715999999999999</v>
          </cell>
          <cell r="L248">
            <v>23.740000000000002</v>
          </cell>
          <cell r="AJ248" t="str">
            <v>8BG295LIB07W5JKFQC</v>
          </cell>
        </row>
        <row r="249">
          <cell r="K249">
            <v>7.5163800000000007</v>
          </cell>
          <cell r="L249">
            <v>221.07000000000002</v>
          </cell>
          <cell r="AJ249" t="str">
            <v>3GW1K2ZRB011N78DMA</v>
          </cell>
        </row>
        <row r="250">
          <cell r="K250">
            <v>1.09514</v>
          </cell>
          <cell r="L250">
            <v>32.21</v>
          </cell>
          <cell r="AJ250" t="str">
            <v>3A946EXYB07W6JKH1B</v>
          </cell>
        </row>
        <row r="251">
          <cell r="K251">
            <v>1.09514</v>
          </cell>
          <cell r="L251">
            <v>32.21</v>
          </cell>
          <cell r="AJ251" t="str">
            <v>3IQS66UGB07W4DHNBL</v>
          </cell>
        </row>
        <row r="252">
          <cell r="K252">
            <v>2.5639400000000001</v>
          </cell>
          <cell r="L252">
            <v>75.41</v>
          </cell>
          <cell r="AJ252" t="str">
            <v>56UO2L2IB07W6FNF6N</v>
          </cell>
        </row>
        <row r="253">
          <cell r="K253">
            <v>3.5040399999999998</v>
          </cell>
          <cell r="L253">
            <v>103.06</v>
          </cell>
          <cell r="AJ253" t="str">
            <v>1X4DXX4TB07PPNT9B2</v>
          </cell>
        </row>
        <row r="254">
          <cell r="K254">
            <v>1.0846</v>
          </cell>
          <cell r="L254">
            <v>31.9</v>
          </cell>
          <cell r="AJ254" t="str">
            <v>4O4TKA6PB07W6HKMCN</v>
          </cell>
        </row>
        <row r="255">
          <cell r="K255">
            <v>4.9306799999999997</v>
          </cell>
          <cell r="L255">
            <v>145.02000000000001</v>
          </cell>
          <cell r="AJ255" t="str">
            <v>4LYATDUXB07W6HBPSX</v>
          </cell>
        </row>
        <row r="256">
          <cell r="K256">
            <v>0.35801999999999995</v>
          </cell>
          <cell r="L256">
            <v>10.530000000000001</v>
          </cell>
          <cell r="AJ256" t="str">
            <v>7H9X1Z6SB00552K0GM</v>
          </cell>
        </row>
        <row r="257">
          <cell r="K257">
            <v>2.3667400000000001</v>
          </cell>
          <cell r="L257">
            <v>69.61</v>
          </cell>
          <cell r="AJ257" t="str">
            <v>8BG295LIB07W4DGGBH</v>
          </cell>
        </row>
        <row r="258">
          <cell r="K258">
            <v>3.1555399999999998</v>
          </cell>
          <cell r="L258">
            <v>92.81</v>
          </cell>
          <cell r="AJ258" t="str">
            <v>5X1OU9ZGB07W7MZ93L</v>
          </cell>
        </row>
        <row r="259">
          <cell r="K259">
            <v>0.71740000000000004</v>
          </cell>
          <cell r="L259">
            <v>21.099999999999998</v>
          </cell>
          <cell r="AJ259" t="str">
            <v>2CLMXQWQB00CJ5FP04</v>
          </cell>
        </row>
        <row r="260">
          <cell r="K260">
            <v>1.9553400000000001</v>
          </cell>
          <cell r="L260">
            <v>57.51</v>
          </cell>
          <cell r="AJ260" t="str">
            <v>2R6FMUZDB01MFBNN9J</v>
          </cell>
        </row>
        <row r="261">
          <cell r="K261">
            <v>2.5639399999999997</v>
          </cell>
          <cell r="L261">
            <v>75.41</v>
          </cell>
          <cell r="AJ261" t="str">
            <v>74WI6EYDB01N6NGNQ8</v>
          </cell>
        </row>
        <row r="262">
          <cell r="K262">
            <v>1.09514</v>
          </cell>
          <cell r="L262">
            <v>32.21</v>
          </cell>
          <cell r="AJ262" t="str">
            <v>7RAC5F9EB07W5JHXF8</v>
          </cell>
        </row>
        <row r="263">
          <cell r="K263">
            <v>0.55726000000000009</v>
          </cell>
          <cell r="L263">
            <v>16.39</v>
          </cell>
          <cell r="AJ263" t="str">
            <v>4TBDRH5TB00ITLJB84</v>
          </cell>
        </row>
        <row r="264">
          <cell r="K264">
            <v>2.8522600000000002</v>
          </cell>
          <cell r="L264">
            <v>83.89</v>
          </cell>
          <cell r="AJ264" t="str">
            <v>4LYATDUXB07W7MKLNT</v>
          </cell>
        </row>
        <row r="265">
          <cell r="K265">
            <v>1.1332199999999999</v>
          </cell>
          <cell r="L265">
            <v>33.33</v>
          </cell>
          <cell r="AJ265" t="str">
            <v>4LYATDUXB00M6S9O9C</v>
          </cell>
        </row>
        <row r="266">
          <cell r="K266">
            <v>5.4090600000000002</v>
          </cell>
          <cell r="L266">
            <v>159.09</v>
          </cell>
          <cell r="AJ266" t="str">
            <v>7SCVG2OTB078MHS3SC</v>
          </cell>
        </row>
        <row r="267">
          <cell r="K267">
            <v>0.79627999999999999</v>
          </cell>
          <cell r="L267">
            <v>23.42</v>
          </cell>
          <cell r="AJ267" t="str">
            <v>24EUBTHXB0074486GA</v>
          </cell>
        </row>
        <row r="268">
          <cell r="K268">
            <v>2.5445600000000002</v>
          </cell>
          <cell r="L268">
            <v>74.84</v>
          </cell>
          <cell r="AJ268" t="str">
            <v>243WWSUAB07W6JJSV7</v>
          </cell>
        </row>
        <row r="269">
          <cell r="K269">
            <v>2.7679399999999998</v>
          </cell>
          <cell r="L269">
            <v>81.41</v>
          </cell>
          <cell r="AJ269" t="str">
            <v>4GF112AEB0105Y2T5Y</v>
          </cell>
        </row>
        <row r="270">
          <cell r="K270" t="e">
            <v>#DIV/0!</v>
          </cell>
          <cell r="L270" t="e">
            <v>#DIV/0!</v>
          </cell>
          <cell r="AJ270" t="str">
            <v>4GF112AEB07W5JJP7W</v>
          </cell>
        </row>
        <row r="271">
          <cell r="K271">
            <v>2.7679399999999998</v>
          </cell>
          <cell r="L271">
            <v>81.41</v>
          </cell>
          <cell r="AJ271" t="str">
            <v>4GF112AEB0105Y2T5Y</v>
          </cell>
        </row>
        <row r="272">
          <cell r="K272">
            <v>1.3936600000000001</v>
          </cell>
          <cell r="L272">
            <v>40.99</v>
          </cell>
          <cell r="AJ272" t="str">
            <v>5UZID3SVB00A389JEW</v>
          </cell>
        </row>
        <row r="273">
          <cell r="K273">
            <v>0.55726000000000009</v>
          </cell>
          <cell r="L273">
            <v>16.39</v>
          </cell>
          <cell r="AJ273" t="str">
            <v>3KYCEHVHB005DVR56I</v>
          </cell>
        </row>
        <row r="274">
          <cell r="K274">
            <v>2.3667400000000001</v>
          </cell>
          <cell r="L274">
            <v>69.61</v>
          </cell>
          <cell r="AJ274" t="str">
            <v>39TAD6PCB07FNHV4MW</v>
          </cell>
        </row>
        <row r="275">
          <cell r="K275">
            <v>1.19442</v>
          </cell>
          <cell r="L275">
            <v>35.130000000000003</v>
          </cell>
          <cell r="AJ275" t="str">
            <v>3GBCH66MB016QPMN84</v>
          </cell>
        </row>
        <row r="276">
          <cell r="K276">
            <v>2.3667400000000001</v>
          </cell>
          <cell r="L276">
            <v>69.61</v>
          </cell>
          <cell r="AJ276" t="str">
            <v>7TFUVBKWB0044AFFMK</v>
          </cell>
        </row>
        <row r="277">
          <cell r="K277">
            <v>1.09514</v>
          </cell>
          <cell r="L277">
            <v>32.21</v>
          </cell>
          <cell r="AJ277" t="str">
            <v>4GF112AEB07W5JJP7W</v>
          </cell>
        </row>
        <row r="278">
          <cell r="K278">
            <v>0.89590000000000003</v>
          </cell>
          <cell r="L278">
            <v>26.349999999999998</v>
          </cell>
          <cell r="AJ278" t="str">
            <v>1OMKO21CB00CHHDY66</v>
          </cell>
        </row>
        <row r="279">
          <cell r="K279">
            <v>0.99551999999999996</v>
          </cell>
          <cell r="L279">
            <v>29.28</v>
          </cell>
          <cell r="AJ279" t="str">
            <v>56UO2L2IB07W7JR6BZ</v>
          </cell>
        </row>
        <row r="280">
          <cell r="K280">
            <v>0.89589999999999992</v>
          </cell>
          <cell r="L280">
            <v>26.35</v>
          </cell>
          <cell r="AJ280" t="str">
            <v>56UO2L2IB01LCQTF4M</v>
          </cell>
        </row>
        <row r="281">
          <cell r="K281">
            <v>1.0846</v>
          </cell>
          <cell r="L281">
            <v>31.9</v>
          </cell>
          <cell r="AJ281" t="str">
            <v>4O4TKA6PB07W6HKMCN</v>
          </cell>
        </row>
        <row r="282">
          <cell r="K282">
            <v>1.0846</v>
          </cell>
          <cell r="L282">
            <v>31.9</v>
          </cell>
          <cell r="AJ282" t="str">
            <v>4O4TKA6PB07W6HKMCN</v>
          </cell>
        </row>
        <row r="283">
          <cell r="K283" t="e">
            <v>#DIV/0!</v>
          </cell>
          <cell r="L283" t="e">
            <v>#DIV/0!</v>
          </cell>
          <cell r="AJ283" t="str">
            <v>7CQW3EPPB07FNHV4MW</v>
          </cell>
        </row>
        <row r="284">
          <cell r="K284">
            <v>1.09514</v>
          </cell>
          <cell r="L284">
            <v>32.21</v>
          </cell>
          <cell r="AJ284" t="str">
            <v>39TAD6PCB00XJ3LVPI</v>
          </cell>
        </row>
        <row r="285">
          <cell r="K285">
            <v>3.03382</v>
          </cell>
          <cell r="L285">
            <v>89.23</v>
          </cell>
          <cell r="AJ285" t="str">
            <v>7H9X1Z6SB07W5JKFQF</v>
          </cell>
        </row>
        <row r="286">
          <cell r="K286">
            <v>1.09514</v>
          </cell>
          <cell r="L286">
            <v>32.21</v>
          </cell>
          <cell r="AJ286" t="str">
            <v>4A3KDTEZB07W4DHXFT</v>
          </cell>
        </row>
        <row r="287">
          <cell r="K287">
            <v>1.09514</v>
          </cell>
          <cell r="L287">
            <v>32.21</v>
          </cell>
          <cell r="AJ287" t="str">
            <v>4A3KDTEZB07W4DHXFT</v>
          </cell>
        </row>
        <row r="288">
          <cell r="K288">
            <v>0.99552000000000007</v>
          </cell>
          <cell r="L288">
            <v>29.279999999999998</v>
          </cell>
          <cell r="AJ288" t="str">
            <v>4LYATDUXB07W5JJ85Z</v>
          </cell>
        </row>
        <row r="289">
          <cell r="K289">
            <v>1.4932800000000002</v>
          </cell>
          <cell r="L289">
            <v>43.919999999999995</v>
          </cell>
          <cell r="AJ289" t="str">
            <v>4A3KDTEZB0797LMGXH</v>
          </cell>
        </row>
        <row r="290">
          <cell r="K290" t="e">
            <v>#DIV/0!</v>
          </cell>
          <cell r="L290" t="e">
            <v>#DIV/0!</v>
          </cell>
          <cell r="AJ290" t="str">
            <v>56UO2L2IB07W6FNF6N</v>
          </cell>
        </row>
        <row r="291">
          <cell r="K291">
            <v>1.4932800000000002</v>
          </cell>
          <cell r="L291">
            <v>43.919999999999995</v>
          </cell>
          <cell r="AJ291" t="str">
            <v>4A3KDTEZB0797LMGXH</v>
          </cell>
        </row>
        <row r="292">
          <cell r="K292">
            <v>10.152060000000001</v>
          </cell>
          <cell r="L292">
            <v>298.58999999999997</v>
          </cell>
          <cell r="AJ292" t="str">
            <v>31DJDC7QB0866PZN76</v>
          </cell>
        </row>
        <row r="293">
          <cell r="K293">
            <v>1.09514</v>
          </cell>
          <cell r="L293">
            <v>32.21</v>
          </cell>
          <cell r="AJ293" t="str">
            <v>1X4DXX4TB013SL1YXO</v>
          </cell>
        </row>
        <row r="294">
          <cell r="K294">
            <v>2.49356</v>
          </cell>
          <cell r="L294">
            <v>73.34</v>
          </cell>
          <cell r="AJ294" t="str">
            <v>3KYCEHVHB07G5XJLWK</v>
          </cell>
        </row>
        <row r="295">
          <cell r="K295">
            <v>0.9860000000000001</v>
          </cell>
          <cell r="L295">
            <v>29</v>
          </cell>
          <cell r="AJ295" t="str">
            <v>1PSIXGLTB07W7KFLBN</v>
          </cell>
        </row>
        <row r="296">
          <cell r="K296">
            <v>1.61432</v>
          </cell>
          <cell r="L296">
            <v>47.48</v>
          </cell>
          <cell r="AJ296" t="str">
            <v>3KXAV5DWB07W7MQMDH</v>
          </cell>
        </row>
        <row r="297">
          <cell r="K297">
            <v>3.94468</v>
          </cell>
          <cell r="L297">
            <v>116.02</v>
          </cell>
          <cell r="AJ297" t="str">
            <v>6SVXGVNMB07W7M4MZP</v>
          </cell>
        </row>
        <row r="298">
          <cell r="K298">
            <v>2.5639400000000001</v>
          </cell>
          <cell r="L298">
            <v>75.41</v>
          </cell>
          <cell r="AJ298" t="str">
            <v>36BT7GGLB07W6HXZ5J</v>
          </cell>
        </row>
        <row r="299">
          <cell r="K299">
            <v>2.3470200000000001</v>
          </cell>
          <cell r="L299">
            <v>69.03</v>
          </cell>
          <cell r="AJ299" t="str">
            <v>1KYIVKWCB07W7KMK4Y</v>
          </cell>
        </row>
        <row r="300">
          <cell r="K300">
            <v>2.5639400000000001</v>
          </cell>
          <cell r="L300">
            <v>75.41</v>
          </cell>
          <cell r="AJ300" t="str">
            <v>36BT7GGLB07W6HXZ5J</v>
          </cell>
        </row>
        <row r="301">
          <cell r="K301">
            <v>1.09514</v>
          </cell>
          <cell r="L301">
            <v>32.21</v>
          </cell>
          <cell r="AJ301" t="str">
            <v>7SCVG2OTB07W4DHCVJ</v>
          </cell>
        </row>
        <row r="302">
          <cell r="K302">
            <v>0.89590000000000003</v>
          </cell>
          <cell r="L302">
            <v>26.349999999999998</v>
          </cell>
          <cell r="AJ302" t="str">
            <v>1PSIXGLTB00BCE30RS</v>
          </cell>
        </row>
        <row r="303">
          <cell r="K303">
            <v>1.3804000000000001</v>
          </cell>
          <cell r="L303">
            <v>40.6</v>
          </cell>
          <cell r="AJ303" t="str">
            <v>7RAC5F9EB07W4DHZLS</v>
          </cell>
        </row>
        <row r="304">
          <cell r="K304">
            <v>0.80715999999999999</v>
          </cell>
          <cell r="L304">
            <v>23.74</v>
          </cell>
          <cell r="AJ304" t="str">
            <v>2W68T8TOB07W6JPVPF</v>
          </cell>
        </row>
        <row r="305">
          <cell r="K305">
            <v>0.59704000000000002</v>
          </cell>
          <cell r="L305">
            <v>17.559999999999999</v>
          </cell>
          <cell r="AJ305" t="str">
            <v>1KYIVKWCB004CM47VU</v>
          </cell>
        </row>
        <row r="306">
          <cell r="K306">
            <v>5.8558199999999996</v>
          </cell>
          <cell r="L306">
            <v>172.23</v>
          </cell>
          <cell r="AJ306" t="str">
            <v>7OHBRCNPB07W6FW84S</v>
          </cell>
        </row>
        <row r="307">
          <cell r="K307">
            <v>2.3140399999999999</v>
          </cell>
          <cell r="L307">
            <v>68.06</v>
          </cell>
          <cell r="AJ307" t="str">
            <v>4LYATDUXB07W7KHGMB</v>
          </cell>
        </row>
        <row r="308">
          <cell r="K308">
            <v>1.19442</v>
          </cell>
          <cell r="L308">
            <v>35.130000000000003</v>
          </cell>
          <cell r="AJ308" t="str">
            <v>7ILTX3HJB07VK1S68S</v>
          </cell>
        </row>
        <row r="309">
          <cell r="K309">
            <v>8.169179999999999</v>
          </cell>
          <cell r="L309">
            <v>240.26999999999998</v>
          </cell>
          <cell r="AJ309" t="str">
            <v>3GBCH66MB07W5JKB91</v>
          </cell>
        </row>
        <row r="310">
          <cell r="K310">
            <v>3.2922199999999999</v>
          </cell>
          <cell r="L310">
            <v>96.830000000000013</v>
          </cell>
          <cell r="AJ310" t="str">
            <v>2F7Y5WIXB01LY6Z2M6</v>
          </cell>
        </row>
        <row r="311">
          <cell r="K311">
            <v>5.1907800000000002</v>
          </cell>
          <cell r="L311">
            <v>152.66999999999999</v>
          </cell>
          <cell r="AJ311" t="str">
            <v>72DIHLCIB07W6JPTXG</v>
          </cell>
        </row>
        <row r="312">
          <cell r="K312">
            <v>3.2922199999999999</v>
          </cell>
          <cell r="L312">
            <v>96.83</v>
          </cell>
          <cell r="AJ312" t="str">
            <v>2F7Y5WIXB01LY6Z2M6</v>
          </cell>
        </row>
        <row r="313">
          <cell r="K313">
            <v>1.3610200000000001</v>
          </cell>
          <cell r="L313">
            <v>40.03</v>
          </cell>
          <cell r="AJ313" t="str">
            <v>56UO2L2IB07W4DHXC8</v>
          </cell>
        </row>
        <row r="314">
          <cell r="K314">
            <v>3.5040399999999998</v>
          </cell>
          <cell r="L314">
            <v>103.06</v>
          </cell>
          <cell r="AJ314" t="str">
            <v>2TMBDXBKB07PPNT9B2</v>
          </cell>
        </row>
        <row r="315">
          <cell r="K315">
            <v>0.55725999999999998</v>
          </cell>
          <cell r="L315">
            <v>16.39</v>
          </cell>
          <cell r="AJ315" t="str">
            <v>3KYCEHVHB00ZOOKDU4</v>
          </cell>
        </row>
        <row r="316">
          <cell r="K316">
            <v>0.89590000000000003</v>
          </cell>
          <cell r="L316">
            <v>26.349999999999998</v>
          </cell>
          <cell r="AJ316" t="str">
            <v>4A3KDTEZB00D2PX8C2</v>
          </cell>
        </row>
        <row r="317">
          <cell r="K317">
            <v>0.89590000000000003</v>
          </cell>
          <cell r="L317">
            <v>26.349999999999998</v>
          </cell>
          <cell r="AJ317" t="str">
            <v>4A3KDTEZB00D2PX8C2</v>
          </cell>
        </row>
        <row r="318">
          <cell r="K318">
            <v>3.21096</v>
          </cell>
          <cell r="L318">
            <v>94.44</v>
          </cell>
          <cell r="AJ318" t="str">
            <v>2TMBDXBKB07W6J24VW</v>
          </cell>
        </row>
        <row r="319">
          <cell r="K319">
            <v>0.79627999999999999</v>
          </cell>
          <cell r="L319">
            <v>23.42</v>
          </cell>
          <cell r="AJ319" t="str">
            <v>17D6YHERB01C4HCSOC</v>
          </cell>
        </row>
        <row r="320">
          <cell r="K320">
            <v>0.69700000000000006</v>
          </cell>
          <cell r="L320">
            <v>20.5</v>
          </cell>
          <cell r="AJ320" t="str">
            <v>4LYATDUXB00EUUXBEI</v>
          </cell>
        </row>
        <row r="321">
          <cell r="K321">
            <v>2.36572</v>
          </cell>
          <cell r="L321">
            <v>69.58</v>
          </cell>
          <cell r="AJ321" t="str">
            <v>7H9X1Z6SB07W5JKWTH</v>
          </cell>
        </row>
        <row r="322">
          <cell r="K322">
            <v>3.9742600000000001</v>
          </cell>
          <cell r="L322">
            <v>116.89</v>
          </cell>
          <cell r="AJ322" t="str">
            <v>3KYCEHVHB07PMKHMFS</v>
          </cell>
        </row>
        <row r="323">
          <cell r="K323">
            <v>0.99551999999999996</v>
          </cell>
          <cell r="L323">
            <v>29.28</v>
          </cell>
          <cell r="AJ323" t="str">
            <v>4LYATDUXB00EUUXBDE</v>
          </cell>
        </row>
        <row r="324">
          <cell r="K324" t="e">
            <v>#DIV/0!</v>
          </cell>
          <cell r="L324" t="e">
            <v>#DIV/0!</v>
          </cell>
          <cell r="AJ324" t="str">
            <v>6V4P22HVB0728J7D3B</v>
          </cell>
        </row>
        <row r="325">
          <cell r="K325">
            <v>0.55726000000000009</v>
          </cell>
          <cell r="L325">
            <v>16.39</v>
          </cell>
          <cell r="AJ325" t="str">
            <v>24EUBTHXB077BT728N</v>
          </cell>
        </row>
        <row r="326">
          <cell r="K326">
            <v>2.8522599999999998</v>
          </cell>
          <cell r="L326">
            <v>83.89</v>
          </cell>
          <cell r="AJ326" t="str">
            <v>17UTD61ZB07W7MKLNT</v>
          </cell>
        </row>
        <row r="327">
          <cell r="K327">
            <v>1.5245599999999999</v>
          </cell>
          <cell r="L327">
            <v>44.84</v>
          </cell>
          <cell r="AJ327" t="str">
            <v>4YV2PIQLB01L6L46LK</v>
          </cell>
        </row>
        <row r="328">
          <cell r="K328">
            <v>1.09514</v>
          </cell>
          <cell r="L328">
            <v>32.21</v>
          </cell>
          <cell r="AJ328" t="str">
            <v>4GF112AEB013SL2712</v>
          </cell>
        </row>
        <row r="329">
          <cell r="K329">
            <v>0.99551999999999996</v>
          </cell>
          <cell r="L329">
            <v>29.28</v>
          </cell>
          <cell r="AJ329" t="str">
            <v>4LYATDUXB07W6JHB2P</v>
          </cell>
        </row>
        <row r="330">
          <cell r="K330" t="e">
            <v>#DIV/0!</v>
          </cell>
          <cell r="L330" t="e">
            <v>#DIV/0!</v>
          </cell>
          <cell r="AJ330" t="str">
            <v>1PSIXGLTB00D2PX8C2</v>
          </cell>
        </row>
        <row r="331">
          <cell r="K331">
            <v>2.3470200000000001</v>
          </cell>
          <cell r="L331">
            <v>69.03</v>
          </cell>
          <cell r="AJ331" t="str">
            <v>4LYATDUXB07W7JHZKR</v>
          </cell>
        </row>
        <row r="332">
          <cell r="K332">
            <v>3.5040399999999998</v>
          </cell>
          <cell r="L332">
            <v>103.06</v>
          </cell>
          <cell r="AJ332" t="str">
            <v>31DJDC7QB07PNJ533Y</v>
          </cell>
        </row>
        <row r="333">
          <cell r="K333">
            <v>1.4932799999999999</v>
          </cell>
          <cell r="L333">
            <v>43.92</v>
          </cell>
          <cell r="AJ333" t="str">
            <v>4A3KDTEZB0797FYB3K</v>
          </cell>
        </row>
        <row r="334">
          <cell r="K334">
            <v>1.4932799999999999</v>
          </cell>
          <cell r="L334">
            <v>43.92</v>
          </cell>
          <cell r="AJ334" t="str">
            <v>4A3KDTEZB0797FYB3K</v>
          </cell>
        </row>
        <row r="335">
          <cell r="K335">
            <v>0.55725999999999998</v>
          </cell>
          <cell r="L335">
            <v>16.39</v>
          </cell>
          <cell r="AJ335" t="str">
            <v>3KYCEHVHB00ZOOKDU4</v>
          </cell>
        </row>
        <row r="336">
          <cell r="K336">
            <v>1.4348000000000001</v>
          </cell>
          <cell r="L336">
            <v>42.2</v>
          </cell>
          <cell r="AJ336" t="str">
            <v>17ETH86SB07W4DH5GL</v>
          </cell>
        </row>
        <row r="337">
          <cell r="K337">
            <v>2.3667400000000001</v>
          </cell>
          <cell r="L337">
            <v>69.61</v>
          </cell>
          <cell r="AJ337" t="str">
            <v>1TY4KNJIB07W4DGGBH</v>
          </cell>
        </row>
        <row r="338">
          <cell r="K338">
            <v>2.49356</v>
          </cell>
          <cell r="L338">
            <v>73.34</v>
          </cell>
          <cell r="AJ338" t="str">
            <v>4LYATDUXB07W5JJ85P</v>
          </cell>
        </row>
        <row r="339">
          <cell r="K339">
            <v>4.1224999999999996</v>
          </cell>
          <cell r="L339">
            <v>121.25</v>
          </cell>
          <cell r="AJ339" t="str">
            <v>7EMS2FPGB074KFNJQG</v>
          </cell>
        </row>
        <row r="340">
          <cell r="K340">
            <v>0.89590000000000003</v>
          </cell>
          <cell r="L340">
            <v>26.35</v>
          </cell>
          <cell r="AJ340" t="str">
            <v>1PSIXGLTB00D2PX8C2</v>
          </cell>
        </row>
        <row r="341">
          <cell r="K341">
            <v>1.25562</v>
          </cell>
          <cell r="L341">
            <v>36.93</v>
          </cell>
          <cell r="AJ341" t="str">
            <v>2CLMXQWQB07CGPZ3ZQ</v>
          </cell>
        </row>
        <row r="342">
          <cell r="K342" t="e">
            <v>#DIV/0!</v>
          </cell>
          <cell r="L342" t="e">
            <v>#DIV/0!</v>
          </cell>
          <cell r="AJ342" t="str">
            <v>39TAD6PCB07PYL7WZY</v>
          </cell>
        </row>
        <row r="343">
          <cell r="K343">
            <v>1.25562</v>
          </cell>
          <cell r="L343">
            <v>36.93</v>
          </cell>
          <cell r="AJ343" t="str">
            <v>2CLMXQWQB07CGPZ3ZQ</v>
          </cell>
        </row>
        <row r="344">
          <cell r="K344">
            <v>0.89658000000000004</v>
          </cell>
          <cell r="L344">
            <v>26.37</v>
          </cell>
          <cell r="AJ344" t="str">
            <v>39TAD6PCB07W4DHG24</v>
          </cell>
        </row>
        <row r="345">
          <cell r="K345">
            <v>1.0845999999999998</v>
          </cell>
          <cell r="L345">
            <v>31.9</v>
          </cell>
          <cell r="AJ345" t="str">
            <v>56UO2L2IB07W6HKMCN</v>
          </cell>
        </row>
        <row r="346">
          <cell r="K346">
            <v>1.25562</v>
          </cell>
          <cell r="L346">
            <v>36.93</v>
          </cell>
          <cell r="AJ346" t="str">
            <v>2CLMXQWQB07CGPZ3ZQ</v>
          </cell>
        </row>
        <row r="347">
          <cell r="K347">
            <v>0.89589999999999992</v>
          </cell>
          <cell r="L347">
            <v>26.35</v>
          </cell>
          <cell r="AJ347" t="str">
            <v>1PSIXGLTB00D2PX8C2</v>
          </cell>
        </row>
        <row r="348">
          <cell r="K348">
            <v>0.55726000000000009</v>
          </cell>
          <cell r="L348">
            <v>16.39</v>
          </cell>
          <cell r="AJ348" t="str">
            <v>3GBCH66MB00EJ3RMDM</v>
          </cell>
        </row>
        <row r="349">
          <cell r="K349">
            <v>1.09514</v>
          </cell>
          <cell r="L349">
            <v>32.21</v>
          </cell>
          <cell r="AJ349" t="str">
            <v>5X1OU9ZGB013SL1YXO</v>
          </cell>
        </row>
        <row r="350">
          <cell r="K350">
            <v>3.1361599999999998</v>
          </cell>
          <cell r="L350">
            <v>92.24</v>
          </cell>
          <cell r="AJ350" t="str">
            <v>2TMBDXBKB07W6H4R4D</v>
          </cell>
        </row>
        <row r="351">
          <cell r="K351">
            <v>0.43792000000000003</v>
          </cell>
          <cell r="L351">
            <v>12.88</v>
          </cell>
          <cell r="AJ351" t="str">
            <v>7H9X1Z6SB00745IE0W</v>
          </cell>
        </row>
        <row r="352">
          <cell r="K352">
            <v>7.15768</v>
          </cell>
          <cell r="L352">
            <v>210.52</v>
          </cell>
          <cell r="AJ352" t="str">
            <v>3GBCH66MB013Y78YY4</v>
          </cell>
        </row>
        <row r="353">
          <cell r="K353">
            <v>1.19442</v>
          </cell>
          <cell r="L353">
            <v>35.130000000000003</v>
          </cell>
          <cell r="AJ353" t="str">
            <v>7SCVG2OTB00969DJO0</v>
          </cell>
        </row>
        <row r="354">
          <cell r="K354">
            <v>5.1907800000000002</v>
          </cell>
          <cell r="L354">
            <v>152.66999999999999</v>
          </cell>
          <cell r="AJ354" t="str">
            <v>56UO2L2IB07W6JPTXG</v>
          </cell>
        </row>
        <row r="355">
          <cell r="K355">
            <v>2.3470200000000001</v>
          </cell>
          <cell r="L355">
            <v>69.03</v>
          </cell>
          <cell r="AJ355" t="str">
            <v>4F3XMHTVB07MM4V7NR</v>
          </cell>
        </row>
        <row r="356">
          <cell r="K356">
            <v>0.55725999999999998</v>
          </cell>
          <cell r="L356">
            <v>16.39</v>
          </cell>
          <cell r="AJ356" t="str">
            <v>2M7QFTCOB01K7GEFWK</v>
          </cell>
        </row>
        <row r="357">
          <cell r="K357">
            <v>3.74918</v>
          </cell>
          <cell r="L357">
            <v>110.27</v>
          </cell>
          <cell r="AJ357" t="str">
            <v>5X1OU9ZGB07W6H4R4J</v>
          </cell>
        </row>
        <row r="358">
          <cell r="K358">
            <v>2.3140399999999999</v>
          </cell>
          <cell r="L358">
            <v>68.06</v>
          </cell>
          <cell r="AJ358" t="str">
            <v>6QK5MDWIB07W5JKKX9</v>
          </cell>
        </row>
        <row r="359">
          <cell r="K359">
            <v>0.31823999999999997</v>
          </cell>
          <cell r="L359">
            <v>9.36</v>
          </cell>
          <cell r="AJ359" t="str">
            <v>8949MU8ZB0072AEZJI</v>
          </cell>
        </row>
        <row r="360">
          <cell r="K360">
            <v>1.7938400000000001</v>
          </cell>
          <cell r="L360">
            <v>52.76</v>
          </cell>
          <cell r="AJ360" t="str">
            <v>2R6FMUZDB07W6JGH8Z</v>
          </cell>
        </row>
        <row r="361">
          <cell r="K361">
            <v>2.3470200000000001</v>
          </cell>
          <cell r="L361">
            <v>69.03</v>
          </cell>
          <cell r="AJ361" t="str">
            <v>4F3XMHTVB07MM4V7NR</v>
          </cell>
        </row>
        <row r="362">
          <cell r="K362">
            <v>0.43791999999999998</v>
          </cell>
          <cell r="L362">
            <v>12.88</v>
          </cell>
          <cell r="AJ362" t="str">
            <v>4GF112AEB00745IE0W</v>
          </cell>
        </row>
        <row r="363">
          <cell r="K363">
            <v>0.55726000000000009</v>
          </cell>
          <cell r="L363">
            <v>16.39</v>
          </cell>
          <cell r="AJ363" t="str">
            <v>7RAC5F9EB07VFJT9NM</v>
          </cell>
        </row>
        <row r="364">
          <cell r="K364">
            <v>4.8256199999999998</v>
          </cell>
          <cell r="L364">
            <v>141.93</v>
          </cell>
          <cell r="AJ364" t="str">
            <v>6UZZHR2WB07W7LNC8W</v>
          </cell>
        </row>
        <row r="365">
          <cell r="K365">
            <v>2.3470199999999997</v>
          </cell>
          <cell r="L365">
            <v>69.03</v>
          </cell>
          <cell r="AJ365" t="str">
            <v>56UO2L2IB07W5JKNB9</v>
          </cell>
        </row>
        <row r="366">
          <cell r="K366">
            <v>1.09514</v>
          </cell>
          <cell r="L366">
            <v>32.21</v>
          </cell>
          <cell r="AJ366" t="str">
            <v>2F7Y5WIXB07W5JHF5D</v>
          </cell>
        </row>
        <row r="367">
          <cell r="K367">
            <v>0.55725999999999998</v>
          </cell>
          <cell r="L367">
            <v>16.39</v>
          </cell>
          <cell r="AJ367" t="str">
            <v>7RAC5F9EB07VFJT9NM</v>
          </cell>
        </row>
        <row r="368">
          <cell r="K368">
            <v>5.3638399999999997</v>
          </cell>
          <cell r="L368">
            <v>157.76000000000002</v>
          </cell>
          <cell r="AJ368" t="str">
            <v>31DJDC7QB079Z3DSBK</v>
          </cell>
        </row>
        <row r="369">
          <cell r="K369">
            <v>3.7491800000000004</v>
          </cell>
          <cell r="L369">
            <v>110.27</v>
          </cell>
          <cell r="AJ369" t="str">
            <v>4VH7UODNB07VTSZ63W</v>
          </cell>
        </row>
        <row r="370">
          <cell r="K370">
            <v>7.5163799999999998</v>
          </cell>
          <cell r="L370">
            <v>221.07</v>
          </cell>
          <cell r="AJ370" t="str">
            <v>6JWFV3WKB00YUIM2J0</v>
          </cell>
        </row>
        <row r="371">
          <cell r="K371">
            <v>1.3804000000000001</v>
          </cell>
          <cell r="L371">
            <v>40.6</v>
          </cell>
          <cell r="AJ371" t="str">
            <v>2M7QFTCOB07W7LNRN6</v>
          </cell>
        </row>
        <row r="372">
          <cell r="K372">
            <v>1.3610199999999999</v>
          </cell>
          <cell r="L372">
            <v>40.03</v>
          </cell>
          <cell r="AJ372" t="str">
            <v>56UO2L2IB07W4DHXC8</v>
          </cell>
        </row>
        <row r="373">
          <cell r="K373">
            <v>1.4932799999999999</v>
          </cell>
          <cell r="L373">
            <v>43.92</v>
          </cell>
          <cell r="AJ373" t="str">
            <v>17D6YHERB0797JRLQC</v>
          </cell>
        </row>
        <row r="374">
          <cell r="K374">
            <v>0.59704000000000002</v>
          </cell>
          <cell r="L374">
            <v>17.559999999999999</v>
          </cell>
          <cell r="AJ374" t="str">
            <v>74WI6EYDB0042C1KQ0</v>
          </cell>
        </row>
        <row r="375">
          <cell r="K375">
            <v>3.9742600000000001</v>
          </cell>
          <cell r="L375">
            <v>116.89</v>
          </cell>
          <cell r="AJ375" t="str">
            <v>39TAD6PCB07PYL7WZY</v>
          </cell>
        </row>
        <row r="376">
          <cell r="K376">
            <v>0.82279999999999998</v>
          </cell>
          <cell r="L376">
            <v>24.2</v>
          </cell>
          <cell r="AJ376" t="str">
            <v>2R6FMUZDB07J9Q68CK</v>
          </cell>
        </row>
        <row r="377">
          <cell r="K377">
            <v>0.62763999999999998</v>
          </cell>
          <cell r="L377">
            <v>18.46</v>
          </cell>
          <cell r="AJ377" t="str">
            <v>2CLMXQWQB07W6H83LD</v>
          </cell>
        </row>
        <row r="378">
          <cell r="K378">
            <v>2.6730800000000001</v>
          </cell>
          <cell r="L378">
            <v>78.62</v>
          </cell>
          <cell r="AJ378" t="str">
            <v>4GF112AEB07W4DGVFS</v>
          </cell>
        </row>
        <row r="379">
          <cell r="K379">
            <v>1.1332199999999999</v>
          </cell>
          <cell r="L379">
            <v>33.33</v>
          </cell>
          <cell r="AJ379" t="str">
            <v>7LA8DZCZB00M6S9O9C</v>
          </cell>
        </row>
        <row r="380">
          <cell r="K380">
            <v>2.49356</v>
          </cell>
          <cell r="L380">
            <v>73.34</v>
          </cell>
          <cell r="AJ380" t="str">
            <v>8BG295LIB07G5XJLWK</v>
          </cell>
        </row>
        <row r="381">
          <cell r="K381">
            <v>1.25562</v>
          </cell>
          <cell r="L381">
            <v>36.93</v>
          </cell>
          <cell r="AJ381" t="str">
            <v>4LYATDUXB07CGVGMLD</v>
          </cell>
        </row>
        <row r="382">
          <cell r="K382">
            <v>0.30226000000000003</v>
          </cell>
          <cell r="L382">
            <v>8.89</v>
          </cell>
          <cell r="AJ382" t="str">
            <v>1VBBCE3CB07W5JK3Z2</v>
          </cell>
        </row>
        <row r="383">
          <cell r="K383">
            <v>1.25562</v>
          </cell>
          <cell r="L383">
            <v>36.93</v>
          </cell>
          <cell r="AJ383" t="str">
            <v>4LYATDUXB07CGVGMLD</v>
          </cell>
        </row>
        <row r="384">
          <cell r="K384">
            <v>0.72759999999999991</v>
          </cell>
          <cell r="L384">
            <v>21.400000000000002</v>
          </cell>
          <cell r="AJ384" t="str">
            <v>56UO2L2IB07G6B2SGF</v>
          </cell>
        </row>
        <row r="385">
          <cell r="K385">
            <v>0.30226000000000003</v>
          </cell>
          <cell r="L385">
            <v>8.8899999999999988</v>
          </cell>
          <cell r="AJ385" t="str">
            <v>1VBBCE3CB07W5JK3Z2</v>
          </cell>
        </row>
        <row r="386">
          <cell r="K386">
            <v>5.0051399999999999</v>
          </cell>
          <cell r="L386">
            <v>147.21</v>
          </cell>
          <cell r="AJ386" t="str">
            <v>8JIYRRZWB07JGCM9QM</v>
          </cell>
        </row>
        <row r="387">
          <cell r="K387">
            <v>3.2922199999999999</v>
          </cell>
          <cell r="L387">
            <v>96.83</v>
          </cell>
          <cell r="AJ387" t="str">
            <v>3IQS66UGB014PYGYRE</v>
          </cell>
        </row>
        <row r="388">
          <cell r="K388">
            <v>2.3470200000000001</v>
          </cell>
          <cell r="L388">
            <v>69.03</v>
          </cell>
          <cell r="AJ388" t="str">
            <v>56UO2L2IB07W5JKNB9</v>
          </cell>
        </row>
        <row r="389">
          <cell r="K389">
            <v>0.21487999999999999</v>
          </cell>
          <cell r="L389">
            <v>6.32</v>
          </cell>
          <cell r="AJ389" t="str">
            <v>4F3XMHTVB07W6JPM9P</v>
          </cell>
        </row>
        <row r="390">
          <cell r="K390">
            <v>1.5245599999999999</v>
          </cell>
          <cell r="L390">
            <v>44.84</v>
          </cell>
          <cell r="AJ390" t="str">
            <v>2F7Y5WIXB07W6JM35X</v>
          </cell>
        </row>
        <row r="391">
          <cell r="K391">
            <v>1.972</v>
          </cell>
          <cell r="L391">
            <v>58</v>
          </cell>
          <cell r="AJ391" t="str">
            <v>4F3XMHTVB07W5JHLCB</v>
          </cell>
        </row>
        <row r="392">
          <cell r="K392">
            <v>1.7938400000000001</v>
          </cell>
          <cell r="L392">
            <v>52.76</v>
          </cell>
          <cell r="AJ392" t="str">
            <v>1LQM129ZB07W6JGH8Z</v>
          </cell>
        </row>
        <row r="393">
          <cell r="K393">
            <v>2.8522599999999998</v>
          </cell>
          <cell r="L393">
            <v>83.89</v>
          </cell>
          <cell r="AJ393" t="str">
            <v>2TMBDXBKB07W7KT2B3</v>
          </cell>
        </row>
        <row r="394">
          <cell r="K394">
            <v>0.35802</v>
          </cell>
          <cell r="L394">
            <v>10.53</v>
          </cell>
          <cell r="AJ394" t="str">
            <v>4GF112AEB07W6J6W4P</v>
          </cell>
        </row>
        <row r="395">
          <cell r="K395">
            <v>1.5776000000000001</v>
          </cell>
          <cell r="L395">
            <v>46.4</v>
          </cell>
          <cell r="AJ395" t="str">
            <v>6451M4NBB07W4DGC27</v>
          </cell>
        </row>
        <row r="396">
          <cell r="K396">
            <v>3.5700000000000003</v>
          </cell>
          <cell r="L396">
            <v>105</v>
          </cell>
          <cell r="AJ396" t="str">
            <v>36BT7GGLB07MTY7N22</v>
          </cell>
        </row>
        <row r="397">
          <cell r="K397">
            <v>0.79627999999999999</v>
          </cell>
          <cell r="L397">
            <v>23.419999999999998</v>
          </cell>
          <cell r="AJ397" t="str">
            <v>4GF112AEB00MWR5IVA</v>
          </cell>
        </row>
        <row r="398">
          <cell r="K398">
            <v>1.19442</v>
          </cell>
          <cell r="L398">
            <v>35.130000000000003</v>
          </cell>
          <cell r="AJ398" t="str">
            <v>1KW92RHQB07VCS1895</v>
          </cell>
        </row>
        <row r="399">
          <cell r="K399">
            <v>2.1498200000000001</v>
          </cell>
          <cell r="L399">
            <v>63.23</v>
          </cell>
          <cell r="AJ399" t="str">
            <v>3A946EXYB07W4DHNG5</v>
          </cell>
        </row>
        <row r="400">
          <cell r="K400">
            <v>1.5775999999999999</v>
          </cell>
          <cell r="L400">
            <v>46.4</v>
          </cell>
          <cell r="AJ400" t="str">
            <v>6451M4NBB07W4DGC27</v>
          </cell>
        </row>
        <row r="401">
          <cell r="K401">
            <v>2.49356</v>
          </cell>
          <cell r="L401">
            <v>73.34</v>
          </cell>
          <cell r="AJ401" t="str">
            <v>4F3XMHTVB07G5XJLWK</v>
          </cell>
        </row>
        <row r="402">
          <cell r="K402">
            <v>2.5639399999999997</v>
          </cell>
          <cell r="L402">
            <v>75.41</v>
          </cell>
          <cell r="AJ402" t="str">
            <v>243WWSUAB01MT5WLHY</v>
          </cell>
        </row>
        <row r="403">
          <cell r="K403">
            <v>1.5283</v>
          </cell>
          <cell r="L403">
            <v>44.95</v>
          </cell>
          <cell r="AJ403" t="str">
            <v>1VBBCE3CB07W6HDNPF</v>
          </cell>
        </row>
        <row r="404">
          <cell r="K404">
            <v>8.1691800000000008</v>
          </cell>
          <cell r="L404">
            <v>240.27</v>
          </cell>
          <cell r="AJ404" t="str">
            <v>4A3KDTEZB07W6JPZBL</v>
          </cell>
        </row>
        <row r="405">
          <cell r="K405">
            <v>1.09514</v>
          </cell>
          <cell r="L405">
            <v>32.21</v>
          </cell>
          <cell r="AJ405" t="str">
            <v>2F7Y5WIXB013SL1ZU6</v>
          </cell>
        </row>
        <row r="406">
          <cell r="K406">
            <v>6.0914400000000004</v>
          </cell>
          <cell r="L406">
            <v>179.16</v>
          </cell>
          <cell r="AJ406" t="str">
            <v>2M7QFTCOB07W6HKDNR</v>
          </cell>
        </row>
        <row r="407">
          <cell r="K407">
            <v>2.5639399999999997</v>
          </cell>
          <cell r="L407">
            <v>75.41</v>
          </cell>
          <cell r="AJ407" t="str">
            <v>1X4DXX4TB07W6FNF6N</v>
          </cell>
        </row>
        <row r="408">
          <cell r="K408">
            <v>0.79627999999999999</v>
          </cell>
          <cell r="L408">
            <v>23.42</v>
          </cell>
          <cell r="AJ408" t="str">
            <v>5KUAVFPZB01DKGAQNG</v>
          </cell>
        </row>
        <row r="409">
          <cell r="K409">
            <v>1.5283</v>
          </cell>
          <cell r="L409">
            <v>44.95</v>
          </cell>
          <cell r="AJ409" t="str">
            <v>1VBBCE3CB07W6HDNPG</v>
          </cell>
        </row>
        <row r="410">
          <cell r="K410">
            <v>1.5283</v>
          </cell>
          <cell r="L410">
            <v>44.95</v>
          </cell>
          <cell r="AJ410" t="str">
            <v>1VBBCE3CB07W6HDNPG</v>
          </cell>
        </row>
        <row r="411">
          <cell r="K411">
            <v>2.49356</v>
          </cell>
          <cell r="L411">
            <v>73.339999999999989</v>
          </cell>
          <cell r="AJ411" t="str">
            <v>4F3XMHTVB07G5XJLWK</v>
          </cell>
        </row>
        <row r="412">
          <cell r="K412" t="e">
            <v>#DIV/0!</v>
          </cell>
          <cell r="L412" t="e">
            <v>#DIV/0!</v>
          </cell>
          <cell r="AJ412" t="str">
            <v>7RAC5F9EB07W5JKWTH</v>
          </cell>
        </row>
        <row r="413">
          <cell r="K413">
            <v>6.8462399999999999</v>
          </cell>
          <cell r="L413">
            <v>201.36</v>
          </cell>
          <cell r="AJ413" t="str">
            <v>4QG6L28MB07W7MQTQD</v>
          </cell>
        </row>
        <row r="414">
          <cell r="K414">
            <v>3.57</v>
          </cell>
          <cell r="L414">
            <v>105</v>
          </cell>
          <cell r="AJ414" t="str">
            <v>2M7QFTCOB07MTY7N22</v>
          </cell>
        </row>
        <row r="415">
          <cell r="K415">
            <v>0.89590000000000003</v>
          </cell>
          <cell r="L415">
            <v>26.349999999999998</v>
          </cell>
          <cell r="AJ415" t="str">
            <v>3GBCH66MB00NP797AE</v>
          </cell>
        </row>
        <row r="416">
          <cell r="K416">
            <v>1.09514</v>
          </cell>
          <cell r="L416">
            <v>32.21</v>
          </cell>
          <cell r="AJ416" t="str">
            <v>4GF112AEB00Y0PP7B8</v>
          </cell>
        </row>
        <row r="417">
          <cell r="K417">
            <v>2.2664399999999998</v>
          </cell>
          <cell r="L417">
            <v>66.66</v>
          </cell>
          <cell r="AJ417" t="str">
            <v>2W68T8TOB071ZFMC9Q</v>
          </cell>
        </row>
        <row r="418">
          <cell r="K418">
            <v>0.31823999999999997</v>
          </cell>
          <cell r="L418">
            <v>9.36</v>
          </cell>
          <cell r="AJ418" t="str">
            <v>24EUBTHXB00BT8QIJ4</v>
          </cell>
        </row>
        <row r="419">
          <cell r="K419">
            <v>1.19442</v>
          </cell>
          <cell r="L419">
            <v>35.129999999999995</v>
          </cell>
          <cell r="AJ419" t="str">
            <v>1KW92RHQB07VCS1895</v>
          </cell>
        </row>
        <row r="420">
          <cell r="K420">
            <v>4.5362799999999996</v>
          </cell>
          <cell r="L420">
            <v>133.41999999999999</v>
          </cell>
          <cell r="AJ420" t="str">
            <v>5FPQ9KSZB07W6JNF81</v>
          </cell>
        </row>
        <row r="421">
          <cell r="K421">
            <v>0.89589999999999992</v>
          </cell>
          <cell r="L421">
            <v>26.35</v>
          </cell>
          <cell r="AJ421" t="str">
            <v>56UO2L2IB01K7GEA3O</v>
          </cell>
        </row>
        <row r="422">
          <cell r="K422">
            <v>2.5445600000000002</v>
          </cell>
          <cell r="L422">
            <v>74.84</v>
          </cell>
          <cell r="AJ422" t="str">
            <v>74WI6EYDB07W6JJSV7</v>
          </cell>
        </row>
        <row r="423">
          <cell r="K423">
            <v>0.99551999999999996</v>
          </cell>
          <cell r="L423">
            <v>29.28</v>
          </cell>
          <cell r="AJ423" t="str">
            <v>36BT7GGLB07W4DG827</v>
          </cell>
        </row>
        <row r="424">
          <cell r="K424">
            <v>2.49356</v>
          </cell>
          <cell r="L424">
            <v>73.34</v>
          </cell>
          <cell r="AJ424" t="str">
            <v>31DJDC7QB07W6JLFZ2</v>
          </cell>
        </row>
        <row r="425">
          <cell r="K425">
            <v>2.8220000000000001</v>
          </cell>
          <cell r="L425">
            <v>83</v>
          </cell>
          <cell r="AJ425" t="str">
            <v>2M7QFTCOB07DTTGZ7M</v>
          </cell>
        </row>
        <row r="426">
          <cell r="K426">
            <v>2.36572</v>
          </cell>
          <cell r="L426">
            <v>69.58</v>
          </cell>
          <cell r="AJ426" t="str">
            <v>7RAC5F9EB07W5JKWTH</v>
          </cell>
        </row>
        <row r="427">
          <cell r="K427" t="e">
            <v>#DIV/0!</v>
          </cell>
          <cell r="L427" t="e">
            <v>#DIV/0!</v>
          </cell>
          <cell r="AJ427" t="str">
            <v>2CLMXQWQB00ZOZZM4U</v>
          </cell>
        </row>
        <row r="428">
          <cell r="K428">
            <v>2.6730800000000001</v>
          </cell>
          <cell r="L428">
            <v>78.61999999999999</v>
          </cell>
          <cell r="AJ428" t="str">
            <v>7YGRCVCKB074C9FYP8</v>
          </cell>
        </row>
        <row r="429">
          <cell r="K429">
            <v>0.35802</v>
          </cell>
          <cell r="L429">
            <v>10.53</v>
          </cell>
          <cell r="AJ429" t="str">
            <v>4GF112AEB07W6J6W4P</v>
          </cell>
        </row>
        <row r="430">
          <cell r="K430">
            <v>0.55726000000000009</v>
          </cell>
          <cell r="L430">
            <v>16.39</v>
          </cell>
          <cell r="AJ430" t="str">
            <v>2TMBDXBKB01K7GEG9W</v>
          </cell>
        </row>
        <row r="431">
          <cell r="K431">
            <v>0.99551999999999996</v>
          </cell>
          <cell r="L431">
            <v>29.28</v>
          </cell>
          <cell r="AJ431" t="str">
            <v>6MI6OEVJB07W4DH6G4</v>
          </cell>
        </row>
        <row r="432">
          <cell r="K432">
            <v>0.55725999999999998</v>
          </cell>
          <cell r="L432">
            <v>16.39</v>
          </cell>
          <cell r="AJ432" t="str">
            <v>2TMBDXBKB01K7GEG9W</v>
          </cell>
        </row>
        <row r="433">
          <cell r="K433">
            <v>0.55726000000000009</v>
          </cell>
          <cell r="L433">
            <v>16.39</v>
          </cell>
          <cell r="AJ433" t="str">
            <v>31DJDC7QB07VFJT9NM</v>
          </cell>
        </row>
        <row r="434">
          <cell r="K434">
            <v>0.55726000000000009</v>
          </cell>
          <cell r="L434">
            <v>16.39</v>
          </cell>
          <cell r="AJ434" t="str">
            <v>31DJDC7QB07VFJT9NM</v>
          </cell>
        </row>
        <row r="435">
          <cell r="K435">
            <v>0.43791999999999998</v>
          </cell>
          <cell r="L435">
            <v>12.88</v>
          </cell>
          <cell r="AJ435" t="str">
            <v>2CLMXQWQB00ZOZZM4U</v>
          </cell>
        </row>
        <row r="436">
          <cell r="K436">
            <v>2.7611399999999997</v>
          </cell>
          <cell r="L436">
            <v>81.210000000000008</v>
          </cell>
          <cell r="AJ436" t="str">
            <v>31DJDC7QB07W6HVXXN</v>
          </cell>
        </row>
        <row r="437">
          <cell r="K437">
            <v>2.7611400000000001</v>
          </cell>
          <cell r="L437">
            <v>81.209999999999994</v>
          </cell>
          <cell r="AJ437" t="str">
            <v>31DJDC7QB07W6HVXXN</v>
          </cell>
        </row>
        <row r="438">
          <cell r="K438">
            <v>2.3470200000000001</v>
          </cell>
          <cell r="L438">
            <v>69.03</v>
          </cell>
          <cell r="AJ438" t="str">
            <v>74WI6EYDB07W7KMK4Y</v>
          </cell>
        </row>
        <row r="439">
          <cell r="K439">
            <v>1.9553400000000001</v>
          </cell>
          <cell r="L439">
            <v>57.51</v>
          </cell>
          <cell r="AJ439" t="str">
            <v>3CWLEPWLB07S7CKTBR</v>
          </cell>
        </row>
        <row r="440">
          <cell r="K440">
            <v>0.89657999999999993</v>
          </cell>
          <cell r="L440">
            <v>26.369999999999997</v>
          </cell>
          <cell r="AJ440" t="str">
            <v>2M7QFTCOB07W4DHKTB</v>
          </cell>
        </row>
        <row r="441">
          <cell r="K441">
            <v>7.9723200000000007</v>
          </cell>
          <cell r="L441">
            <v>234.48</v>
          </cell>
          <cell r="AJ441" t="str">
            <v>7RAC5F9EB07TTB3SR2</v>
          </cell>
        </row>
        <row r="442">
          <cell r="K442">
            <v>2.49356</v>
          </cell>
          <cell r="L442">
            <v>73.34</v>
          </cell>
          <cell r="AJ442" t="str">
            <v>17D6YHERB07HZQT8JG</v>
          </cell>
        </row>
        <row r="443">
          <cell r="K443">
            <v>0.31823999999999997</v>
          </cell>
          <cell r="L443">
            <v>9.36</v>
          </cell>
          <cell r="AJ443" t="str">
            <v>2FPVCNJHB01A9HC69G</v>
          </cell>
        </row>
        <row r="444">
          <cell r="K444">
            <v>1.4932799999999999</v>
          </cell>
          <cell r="L444">
            <v>43.92</v>
          </cell>
          <cell r="AJ444" t="str">
            <v>74WI6EYDB0797FYB3K</v>
          </cell>
        </row>
        <row r="445">
          <cell r="K445">
            <v>2.5639400000000001</v>
          </cell>
          <cell r="L445">
            <v>75.41</v>
          </cell>
          <cell r="AJ445" t="str">
            <v>4GF112AEB07W5JK1JN</v>
          </cell>
        </row>
        <row r="446">
          <cell r="K446">
            <v>0.59704000000000002</v>
          </cell>
          <cell r="L446">
            <v>17.559999999999999</v>
          </cell>
          <cell r="AJ446" t="str">
            <v>2LZI7R4TB007C0YQLA</v>
          </cell>
        </row>
        <row r="447">
          <cell r="K447">
            <v>1.09514</v>
          </cell>
          <cell r="L447">
            <v>32.21</v>
          </cell>
          <cell r="AJ447" t="str">
            <v>5X1OU9ZGB00MWNDUDM</v>
          </cell>
        </row>
        <row r="448">
          <cell r="K448">
            <v>1.61432</v>
          </cell>
          <cell r="L448">
            <v>47.48</v>
          </cell>
          <cell r="AJ448" t="str">
            <v>5MWU8WTDB07GS6ZB7T</v>
          </cell>
        </row>
        <row r="449">
          <cell r="K449">
            <v>0.89589999999999992</v>
          </cell>
          <cell r="L449">
            <v>26.35</v>
          </cell>
          <cell r="AJ449" t="str">
            <v>1VBBCE3CB01K7GEAFC</v>
          </cell>
        </row>
        <row r="450">
          <cell r="K450">
            <v>0.89589999999999992</v>
          </cell>
          <cell r="L450">
            <v>26.35</v>
          </cell>
          <cell r="AJ450" t="str">
            <v>1VBBCE3CB01K7GEAFC</v>
          </cell>
        </row>
        <row r="451">
          <cell r="K451">
            <v>1.61432</v>
          </cell>
          <cell r="L451">
            <v>47.48</v>
          </cell>
          <cell r="AJ451" t="str">
            <v>5MWU8WTDB07GS6ZB7T</v>
          </cell>
        </row>
        <row r="452">
          <cell r="K452">
            <v>2.3470200000000001</v>
          </cell>
          <cell r="L452">
            <v>69.03</v>
          </cell>
          <cell r="AJ452" t="str">
            <v>39TAD6PCB07MM4V7NR</v>
          </cell>
        </row>
        <row r="453">
          <cell r="K453" t="e">
            <v>#DIV/0!</v>
          </cell>
          <cell r="L453" t="e">
            <v>#DIV/0!</v>
          </cell>
          <cell r="AJ453" t="str">
            <v>36BT7GGLB07W4DHKTD</v>
          </cell>
        </row>
        <row r="454">
          <cell r="K454">
            <v>2.8522599999999998</v>
          </cell>
          <cell r="L454">
            <v>83.89</v>
          </cell>
          <cell r="AJ454" t="str">
            <v>36BT7GGLB07W4DHKTD</v>
          </cell>
        </row>
        <row r="455">
          <cell r="K455">
            <v>2.8522599999999998</v>
          </cell>
          <cell r="L455">
            <v>83.89</v>
          </cell>
          <cell r="AJ455" t="str">
            <v>36BT7GGLB07W4DHKTD</v>
          </cell>
        </row>
        <row r="456">
          <cell r="K456">
            <v>2.49356</v>
          </cell>
          <cell r="L456">
            <v>73.34</v>
          </cell>
          <cell r="AJ456" t="str">
            <v>5MWU8WTDB07G5XJLWK</v>
          </cell>
        </row>
        <row r="457">
          <cell r="K457">
            <v>0.39813999999999999</v>
          </cell>
          <cell r="L457">
            <v>11.71</v>
          </cell>
          <cell r="AJ457" t="str">
            <v>5MWU8WTDB000XUQ2LI</v>
          </cell>
        </row>
        <row r="458">
          <cell r="K458">
            <v>2.49356</v>
          </cell>
          <cell r="L458">
            <v>73.34</v>
          </cell>
          <cell r="AJ458" t="str">
            <v>5MWU8WTDB07G5XJLWK</v>
          </cell>
        </row>
        <row r="459">
          <cell r="K459">
            <v>1.09514</v>
          </cell>
          <cell r="L459">
            <v>32.21</v>
          </cell>
          <cell r="AJ459" t="str">
            <v>7LA8DZCZB07W6JKH1B</v>
          </cell>
        </row>
        <row r="460">
          <cell r="K460">
            <v>1.19442</v>
          </cell>
          <cell r="L460">
            <v>35.130000000000003</v>
          </cell>
          <cell r="AJ460" t="str">
            <v>4LYATDUXB07W4DHCS5</v>
          </cell>
        </row>
        <row r="461">
          <cell r="K461">
            <v>1.5283</v>
          </cell>
          <cell r="L461">
            <v>44.95</v>
          </cell>
          <cell r="AJ461" t="str">
            <v>8BG295LIB07W5JKLRF</v>
          </cell>
        </row>
        <row r="462">
          <cell r="K462">
            <v>2.3470200000000001</v>
          </cell>
          <cell r="L462">
            <v>69.03</v>
          </cell>
          <cell r="AJ462" t="str">
            <v>31DJDC7QB07W7KMK4Y</v>
          </cell>
        </row>
        <row r="463">
          <cell r="K463">
            <v>1.8917600000000001</v>
          </cell>
          <cell r="L463">
            <v>55.64</v>
          </cell>
          <cell r="AJ463" t="str">
            <v>8ISKBUCSB00AIIIKPQ</v>
          </cell>
        </row>
        <row r="464">
          <cell r="K464">
            <v>2.5639400000000001</v>
          </cell>
          <cell r="L464">
            <v>75.41</v>
          </cell>
          <cell r="AJ464" t="str">
            <v>7H9X1Z6SB07W6H4R4G</v>
          </cell>
        </row>
        <row r="465">
          <cell r="K465">
            <v>7.6959</v>
          </cell>
          <cell r="L465">
            <v>226.35000000000002</v>
          </cell>
          <cell r="AJ465" t="str">
            <v>4TBDRH5TB07W4DG81W</v>
          </cell>
        </row>
        <row r="466">
          <cell r="K466" t="e">
            <v>#DIV/0!</v>
          </cell>
          <cell r="L466" t="e">
            <v>#DIV/0!</v>
          </cell>
          <cell r="AJ466" t="str">
            <v>36BT7GGLB07W4DHKTD</v>
          </cell>
        </row>
        <row r="467">
          <cell r="K467">
            <v>2.5445600000000002</v>
          </cell>
          <cell r="L467">
            <v>74.84</v>
          </cell>
          <cell r="AJ467" t="str">
            <v>4A3KDTEZB07W6JLQCY</v>
          </cell>
        </row>
        <row r="468">
          <cell r="K468" t="e">
            <v>#DIV/0!</v>
          </cell>
          <cell r="L468" t="e">
            <v>#DIV/0!</v>
          </cell>
          <cell r="AJ468" t="str">
            <v>6JD3FE7OB00O8K42LQ</v>
          </cell>
        </row>
        <row r="469">
          <cell r="K469" t="e">
            <v>#DIV/0!</v>
          </cell>
          <cell r="L469" t="e">
            <v>#DIV/0!</v>
          </cell>
          <cell r="AJ469" t="str">
            <v>6JD3FE7OB00O8K42LQ</v>
          </cell>
        </row>
        <row r="470">
          <cell r="K470">
            <v>1.3804000000000001</v>
          </cell>
          <cell r="L470">
            <v>40.6</v>
          </cell>
          <cell r="AJ470" t="str">
            <v>7RAC5F9EB07W4DHZLS</v>
          </cell>
        </row>
        <row r="471">
          <cell r="K471">
            <v>0.55726000000000009</v>
          </cell>
          <cell r="L471">
            <v>16.39</v>
          </cell>
          <cell r="AJ471" t="str">
            <v>2TMBDXBKB01K7GEG9W</v>
          </cell>
        </row>
        <row r="472">
          <cell r="K472">
            <v>2.5639400000000001</v>
          </cell>
          <cell r="L472">
            <v>75.410000000000011</v>
          </cell>
          <cell r="AJ472" t="str">
            <v>7H9X1Z6SB07W6H4R4G</v>
          </cell>
        </row>
        <row r="473">
          <cell r="K473">
            <v>0.89590000000000003</v>
          </cell>
          <cell r="L473">
            <v>26.35</v>
          </cell>
          <cell r="AJ473" t="str">
            <v>7RAC5F9EB01K7GEAEI</v>
          </cell>
        </row>
        <row r="474">
          <cell r="K474">
            <v>3.21096</v>
          </cell>
          <cell r="L474">
            <v>94.44</v>
          </cell>
          <cell r="AJ474" t="str">
            <v>2M7QFTCOB01M9EWQ2W</v>
          </cell>
        </row>
        <row r="475">
          <cell r="K475">
            <v>0.31823999999999997</v>
          </cell>
          <cell r="L475">
            <v>9.36</v>
          </cell>
          <cell r="AJ475" t="str">
            <v>7RAC5F9EB01A9GXEOI</v>
          </cell>
        </row>
        <row r="476">
          <cell r="K476">
            <v>2.5639400000000001</v>
          </cell>
          <cell r="L476">
            <v>75.41</v>
          </cell>
          <cell r="AJ476" t="str">
            <v>31DJDC7QB07W6H4R4G</v>
          </cell>
        </row>
        <row r="477">
          <cell r="K477" t="e">
            <v>#DIV/0!</v>
          </cell>
          <cell r="L477" t="e">
            <v>#DIV/0!</v>
          </cell>
          <cell r="AJ477" t="str">
            <v>2TMBDXBKB01K7GEG9W</v>
          </cell>
        </row>
        <row r="478">
          <cell r="K478">
            <v>0.9860000000000001</v>
          </cell>
          <cell r="L478">
            <v>29</v>
          </cell>
          <cell r="AJ478" t="str">
            <v>4A3KDTEZB07W7KJC28</v>
          </cell>
        </row>
        <row r="479">
          <cell r="K479">
            <v>1.34504</v>
          </cell>
          <cell r="L479">
            <v>39.56</v>
          </cell>
          <cell r="AJ479" t="str">
            <v>2F7Y5WIXB07SCMTKGB</v>
          </cell>
        </row>
        <row r="480">
          <cell r="K480">
            <v>0.21487999999999999</v>
          </cell>
          <cell r="L480">
            <v>6.3199999999999994</v>
          </cell>
          <cell r="AJ480" t="str">
            <v>2CLMXQWQB07W6JPM9P</v>
          </cell>
        </row>
        <row r="481">
          <cell r="K481">
            <v>1.09514</v>
          </cell>
          <cell r="L481">
            <v>32.21</v>
          </cell>
          <cell r="AJ481" t="str">
            <v>3IQS66UGB07W5JKKHL</v>
          </cell>
        </row>
        <row r="482">
          <cell r="K482">
            <v>1.09514</v>
          </cell>
          <cell r="L482">
            <v>32.21</v>
          </cell>
          <cell r="AJ482" t="str">
            <v>1X4DXX4TB07W4DH1Y2</v>
          </cell>
        </row>
        <row r="483">
          <cell r="K483">
            <v>1.09514</v>
          </cell>
          <cell r="L483">
            <v>32.21</v>
          </cell>
          <cell r="AJ483" t="str">
            <v>2TMBDXBKB07W5JKPFG</v>
          </cell>
        </row>
        <row r="484">
          <cell r="K484">
            <v>2.5639400000000001</v>
          </cell>
          <cell r="L484">
            <v>75.41</v>
          </cell>
          <cell r="AJ484" t="str">
            <v>31DJDC7QB07W6H4R4G</v>
          </cell>
        </row>
        <row r="485">
          <cell r="K485">
            <v>3.2922199999999999</v>
          </cell>
          <cell r="L485">
            <v>96.83</v>
          </cell>
          <cell r="AJ485" t="str">
            <v>4KLKWTOEB002VA464S</v>
          </cell>
        </row>
        <row r="486">
          <cell r="K486">
            <v>1.09514</v>
          </cell>
          <cell r="L486">
            <v>32.21</v>
          </cell>
          <cell r="AJ486" t="str">
            <v>4GF112AEB07W4DH8JM</v>
          </cell>
        </row>
        <row r="487">
          <cell r="K487">
            <v>0.89658000000000004</v>
          </cell>
          <cell r="L487">
            <v>26.37</v>
          </cell>
          <cell r="AJ487" t="str">
            <v>3KYCEHVHB07W4DHG24</v>
          </cell>
        </row>
        <row r="488">
          <cell r="K488">
            <v>1.09514</v>
          </cell>
          <cell r="L488">
            <v>32.21</v>
          </cell>
          <cell r="AJ488" t="str">
            <v>36BT7GGLB07W4DH1Y2</v>
          </cell>
        </row>
        <row r="489">
          <cell r="K489">
            <v>1.5283</v>
          </cell>
          <cell r="L489">
            <v>44.95</v>
          </cell>
          <cell r="AJ489" t="str">
            <v>31DJDC7QB014S0DVDK</v>
          </cell>
        </row>
        <row r="490">
          <cell r="K490">
            <v>2.7417600000000002</v>
          </cell>
          <cell r="L490">
            <v>80.64</v>
          </cell>
          <cell r="AJ490" t="str">
            <v>31DJDC7QB07W7J6RBC</v>
          </cell>
        </row>
        <row r="491">
          <cell r="K491">
            <v>2.1498200000000001</v>
          </cell>
          <cell r="L491">
            <v>63.23</v>
          </cell>
          <cell r="AJ491" t="str">
            <v>31DJDC7QB07W7LXYTR</v>
          </cell>
        </row>
        <row r="492">
          <cell r="K492">
            <v>0.55726000000000009</v>
          </cell>
          <cell r="L492">
            <v>16.39</v>
          </cell>
          <cell r="AJ492" t="str">
            <v>2F7Y5WIXB07W4DJ16Z</v>
          </cell>
        </row>
        <row r="493">
          <cell r="K493">
            <v>1.0580800000000001</v>
          </cell>
          <cell r="L493">
            <v>31.12</v>
          </cell>
          <cell r="AJ493" t="str">
            <v>1X4DXX4TB07W7KBRHZ</v>
          </cell>
        </row>
        <row r="494">
          <cell r="K494">
            <v>1.19442</v>
          </cell>
          <cell r="L494">
            <v>35.130000000000003</v>
          </cell>
          <cell r="AJ494" t="str">
            <v>3GBCH66MB00969DJO0</v>
          </cell>
        </row>
        <row r="495">
          <cell r="K495">
            <v>3.9742600000000001</v>
          </cell>
          <cell r="L495">
            <v>116.89</v>
          </cell>
          <cell r="AJ495" t="str">
            <v>2R6FMUZDB07PMKHMFS</v>
          </cell>
        </row>
        <row r="496">
          <cell r="K496">
            <v>4.46692</v>
          </cell>
          <cell r="L496">
            <v>131.38</v>
          </cell>
          <cell r="AJ496" t="str">
            <v>3T7ZSLFGB07W6H91JG</v>
          </cell>
        </row>
        <row r="497">
          <cell r="K497">
            <v>2.5639400000000001</v>
          </cell>
          <cell r="L497">
            <v>75.41</v>
          </cell>
          <cell r="AJ497" t="str">
            <v>7LA8DZCZB07W6HXZ5J</v>
          </cell>
        </row>
        <row r="498">
          <cell r="K498">
            <v>1.5283</v>
          </cell>
          <cell r="L498">
            <v>44.95</v>
          </cell>
          <cell r="AJ498" t="str">
            <v>1VBBCE3CB0711V7BV6</v>
          </cell>
        </row>
        <row r="499">
          <cell r="K499">
            <v>2.1498200000000001</v>
          </cell>
          <cell r="L499">
            <v>63.230000000000004</v>
          </cell>
          <cell r="AJ499" t="str">
            <v>31DJDC7QB07W7LFHH9</v>
          </cell>
        </row>
        <row r="500">
          <cell r="K500">
            <v>1.5283000000000002</v>
          </cell>
          <cell r="L500">
            <v>44.95</v>
          </cell>
          <cell r="AJ500" t="str">
            <v>1VBBCE3CB0711V7BV6</v>
          </cell>
        </row>
        <row r="501">
          <cell r="K501">
            <v>0.80715999999999999</v>
          </cell>
          <cell r="L501">
            <v>23.74</v>
          </cell>
          <cell r="AJ501" t="str">
            <v>3KYCEHVHB07W6JPVPF</v>
          </cell>
        </row>
        <row r="502">
          <cell r="K502">
            <v>0.69699999999999995</v>
          </cell>
          <cell r="L502">
            <v>20.5</v>
          </cell>
          <cell r="AJ502" t="str">
            <v>6JWFV3WKB006ZLK9SQ</v>
          </cell>
        </row>
        <row r="503">
          <cell r="K503">
            <v>2.5639400000000001</v>
          </cell>
          <cell r="L503">
            <v>75.41</v>
          </cell>
          <cell r="AJ503" t="str">
            <v>36BT7GGLB07W6GNXZF</v>
          </cell>
        </row>
        <row r="504">
          <cell r="K504" t="e">
            <v>#DIV/0!</v>
          </cell>
          <cell r="L504" t="e">
            <v>#DIV/0!</v>
          </cell>
          <cell r="AJ504" t="str">
            <v>1X4DXX4TB074W227RK</v>
          </cell>
        </row>
        <row r="505">
          <cell r="K505">
            <v>4.46692</v>
          </cell>
          <cell r="L505">
            <v>131.38</v>
          </cell>
          <cell r="AJ505" t="str">
            <v>17D6YHERB079VVQS1R</v>
          </cell>
        </row>
        <row r="506">
          <cell r="K506">
            <v>0.55725999999999998</v>
          </cell>
          <cell r="L506">
            <v>16.39</v>
          </cell>
          <cell r="AJ506" t="str">
            <v>1LQM129ZB00ZOOKDU4</v>
          </cell>
        </row>
        <row r="507">
          <cell r="K507">
            <v>0.69699999999999995</v>
          </cell>
          <cell r="L507">
            <v>20.5</v>
          </cell>
          <cell r="AJ507" t="str">
            <v>31DJDC7QB002L3TSLQ</v>
          </cell>
        </row>
        <row r="508">
          <cell r="K508">
            <v>3.62066</v>
          </cell>
          <cell r="L508">
            <v>106.49</v>
          </cell>
          <cell r="AJ508" t="str">
            <v>2TMBDXBKB07G6LWTG6</v>
          </cell>
        </row>
        <row r="509">
          <cell r="K509">
            <v>1.1944199999999998</v>
          </cell>
          <cell r="L509">
            <v>35.130000000000003</v>
          </cell>
          <cell r="AJ509" t="str">
            <v>7H9X1Z6SB07VFVRZ6Y</v>
          </cell>
        </row>
        <row r="510">
          <cell r="K510">
            <v>0.79627999999999999</v>
          </cell>
          <cell r="L510">
            <v>23.42</v>
          </cell>
          <cell r="AJ510" t="str">
            <v>3IQS66UGB07W6GY66B</v>
          </cell>
        </row>
        <row r="511">
          <cell r="K511">
            <v>0.69699999999999995</v>
          </cell>
          <cell r="L511">
            <v>20.5</v>
          </cell>
          <cell r="AJ511" t="str">
            <v>31DJDC7QB002L3TSLQ</v>
          </cell>
        </row>
        <row r="512">
          <cell r="K512" t="e">
            <v>#DIV/0!</v>
          </cell>
          <cell r="L512" t="e">
            <v>#DIV/0!</v>
          </cell>
          <cell r="AJ512" t="str">
            <v>1X4DXX4TB074W227RK</v>
          </cell>
        </row>
        <row r="513">
          <cell r="K513">
            <v>3.94468</v>
          </cell>
          <cell r="L513">
            <v>116.02</v>
          </cell>
          <cell r="AJ513" t="str">
            <v>2R6FMUZDB07W7M4MZP</v>
          </cell>
        </row>
        <row r="514">
          <cell r="K514">
            <v>0.35802</v>
          </cell>
          <cell r="L514">
            <v>10.53</v>
          </cell>
          <cell r="AJ514" t="str">
            <v>7H9X1Z6SB07W4DH9CW</v>
          </cell>
        </row>
        <row r="515">
          <cell r="K515" t="e">
            <v>#DIV/0!</v>
          </cell>
          <cell r="L515" t="e">
            <v>#DIV/0!</v>
          </cell>
          <cell r="AJ515" t="str">
            <v>3KYCEHVHB07W6JPVPF</v>
          </cell>
        </row>
        <row r="516">
          <cell r="K516">
            <v>2.49356</v>
          </cell>
          <cell r="L516">
            <v>73.34</v>
          </cell>
          <cell r="AJ516" t="str">
            <v>8DUEXZHEB07HZQT8JG</v>
          </cell>
        </row>
        <row r="517">
          <cell r="K517">
            <v>1.9553400000000001</v>
          </cell>
          <cell r="L517">
            <v>57.51</v>
          </cell>
          <cell r="AJ517" t="str">
            <v>5MWU8WTDB01MFBNN9J</v>
          </cell>
        </row>
        <row r="518">
          <cell r="K518">
            <v>0.31823999999999997</v>
          </cell>
          <cell r="L518">
            <v>9.36</v>
          </cell>
          <cell r="AJ518" t="str">
            <v>6MKSEO6MB0072AEZJI</v>
          </cell>
        </row>
        <row r="519">
          <cell r="K519">
            <v>1.09514</v>
          </cell>
          <cell r="L519">
            <v>32.21</v>
          </cell>
          <cell r="AJ519" t="str">
            <v>1X4DXX4TB07W6JM289</v>
          </cell>
        </row>
        <row r="520">
          <cell r="K520">
            <v>3.5499399999999999</v>
          </cell>
          <cell r="L520">
            <v>104.41</v>
          </cell>
          <cell r="AJ520" t="str">
            <v>3KYCEHVHB07W7M1LNM</v>
          </cell>
        </row>
        <row r="521">
          <cell r="K521">
            <v>2.3470200000000001</v>
          </cell>
          <cell r="L521">
            <v>69.03</v>
          </cell>
          <cell r="AJ521" t="str">
            <v>2TMBDXBKB07W7JYN4P</v>
          </cell>
        </row>
        <row r="522">
          <cell r="K522">
            <v>7.6959</v>
          </cell>
          <cell r="L522">
            <v>226.35</v>
          </cell>
          <cell r="AJ522" t="str">
            <v>6MN9HM7HB07W4DG81W</v>
          </cell>
        </row>
        <row r="523">
          <cell r="K523">
            <v>7.6959</v>
          </cell>
          <cell r="L523">
            <v>226.35</v>
          </cell>
          <cell r="AJ523" t="str">
            <v>6MN9HM7HB07W4DG81W</v>
          </cell>
        </row>
        <row r="524">
          <cell r="K524">
            <v>1.5245599999999999</v>
          </cell>
          <cell r="L524">
            <v>44.84</v>
          </cell>
          <cell r="AJ524" t="str">
            <v>4A3KDTEZB01L6L451Q</v>
          </cell>
        </row>
        <row r="525">
          <cell r="K525" t="e">
            <v>#DIV/0!</v>
          </cell>
          <cell r="L525" t="e">
            <v>#DIV/0!</v>
          </cell>
          <cell r="AJ525" t="str">
            <v>6JWFV3WKB006ZLK9SQ</v>
          </cell>
        </row>
        <row r="526">
          <cell r="K526" t="e">
            <v>#DIV/0!</v>
          </cell>
          <cell r="L526" t="e">
            <v>#DIV/0!</v>
          </cell>
          <cell r="AJ526" t="str">
            <v>7RAC5F9EB07TTB3SRB</v>
          </cell>
        </row>
        <row r="527">
          <cell r="K527">
            <v>2.3140399999999999</v>
          </cell>
          <cell r="L527">
            <v>68.06</v>
          </cell>
          <cell r="AJ527" t="str">
            <v>2W68T8TOB07W6HJPSW</v>
          </cell>
        </row>
        <row r="528">
          <cell r="K528">
            <v>0.55726000000000009</v>
          </cell>
          <cell r="L528">
            <v>16.39</v>
          </cell>
          <cell r="AJ528" t="str">
            <v>56UO2L2IB01LCQTEXE</v>
          </cell>
        </row>
        <row r="529">
          <cell r="K529">
            <v>3.1555399999999998</v>
          </cell>
          <cell r="L529">
            <v>92.81</v>
          </cell>
          <cell r="AJ529" t="str">
            <v>3T7ZSLFGB07W7KV4GH</v>
          </cell>
        </row>
        <row r="530">
          <cell r="K530" t="e">
            <v>#DIV/0!</v>
          </cell>
          <cell r="L530" t="e">
            <v>#DIV/0!</v>
          </cell>
          <cell r="AJ530" t="str">
            <v>1X4DXX4TB074W227RK</v>
          </cell>
        </row>
        <row r="531">
          <cell r="K531">
            <v>1.5283</v>
          </cell>
          <cell r="L531">
            <v>44.95</v>
          </cell>
          <cell r="AJ531" t="str">
            <v>5X1OU9ZGB014S0DVDK</v>
          </cell>
        </row>
        <row r="532">
          <cell r="K532">
            <v>0.55726000000000009</v>
          </cell>
          <cell r="L532">
            <v>16.39</v>
          </cell>
          <cell r="AJ532" t="str">
            <v>1X4DXX4TB07W7LHVBL</v>
          </cell>
        </row>
        <row r="533">
          <cell r="K533">
            <v>4.8256199999999998</v>
          </cell>
          <cell r="L533">
            <v>141.93</v>
          </cell>
          <cell r="AJ533" t="str">
            <v>3GBCH66MB07W1NZXRB</v>
          </cell>
        </row>
        <row r="534">
          <cell r="K534">
            <v>1.09514</v>
          </cell>
          <cell r="L534">
            <v>32.21</v>
          </cell>
          <cell r="AJ534" t="str">
            <v>2F7Y5WIXB07W5JHXF8</v>
          </cell>
        </row>
        <row r="535">
          <cell r="K535">
            <v>3.2922199999999999</v>
          </cell>
          <cell r="L535">
            <v>96.83</v>
          </cell>
          <cell r="AJ535" t="str">
            <v>7RAC5F9EB01LY6Z2M6</v>
          </cell>
        </row>
        <row r="536">
          <cell r="K536">
            <v>2.49356</v>
          </cell>
          <cell r="L536">
            <v>73.34</v>
          </cell>
          <cell r="AJ536" t="str">
            <v>5MWU8WTDB07G5XJLWK</v>
          </cell>
        </row>
        <row r="537">
          <cell r="K537">
            <v>0.43792000000000003</v>
          </cell>
          <cell r="L537">
            <v>12.88</v>
          </cell>
          <cell r="AJ537" t="str">
            <v>5MWU8WTDB00ZOZZM4U</v>
          </cell>
        </row>
        <row r="538">
          <cell r="K538">
            <v>1.5245599999999999</v>
          </cell>
          <cell r="L538">
            <v>44.84</v>
          </cell>
          <cell r="AJ538" t="str">
            <v>4LYATDUXB07W6JM35X</v>
          </cell>
        </row>
        <row r="539">
          <cell r="K539">
            <v>0.89589999999999992</v>
          </cell>
          <cell r="L539">
            <v>26.35</v>
          </cell>
          <cell r="AJ539" t="str">
            <v>3A946EXYB01K7GEA3O</v>
          </cell>
        </row>
        <row r="540">
          <cell r="K540">
            <v>0.98633999999999988</v>
          </cell>
          <cell r="L540">
            <v>29.01</v>
          </cell>
          <cell r="AJ540" t="str">
            <v>31DJDC7QB00CJ5FP2C</v>
          </cell>
        </row>
        <row r="541">
          <cell r="K541">
            <v>0.79627999999999999</v>
          </cell>
          <cell r="L541">
            <v>23.42</v>
          </cell>
          <cell r="AJ541" t="str">
            <v>2CLMXQWQB01BGBJ8Y0</v>
          </cell>
        </row>
        <row r="542">
          <cell r="K542">
            <v>0.99552000000000007</v>
          </cell>
          <cell r="L542">
            <v>29.279999999999998</v>
          </cell>
          <cell r="AJ542" t="str">
            <v>4LYATDUXB0056466CQ</v>
          </cell>
        </row>
        <row r="543">
          <cell r="K543">
            <v>2.3667399999999996</v>
          </cell>
          <cell r="L543">
            <v>69.61</v>
          </cell>
          <cell r="AJ543" t="str">
            <v>1X4DXX4TB074W227RK</v>
          </cell>
        </row>
        <row r="544">
          <cell r="K544">
            <v>2.3470200000000001</v>
          </cell>
          <cell r="L544">
            <v>69.03</v>
          </cell>
          <cell r="AJ544" t="str">
            <v>2TMBDXBKB07W5JK2S4</v>
          </cell>
        </row>
        <row r="545">
          <cell r="K545">
            <v>3.4234599999999999</v>
          </cell>
          <cell r="L545">
            <v>100.69</v>
          </cell>
          <cell r="AJ545" t="str">
            <v>8BG295LIB07W6HT7X6</v>
          </cell>
        </row>
        <row r="546">
          <cell r="K546">
            <v>0.79627999999999999</v>
          </cell>
          <cell r="L546">
            <v>23.419999999999998</v>
          </cell>
          <cell r="AJ546" t="str">
            <v>5X1OU9ZGB07W6GY66B</v>
          </cell>
        </row>
        <row r="547">
          <cell r="K547">
            <v>0.79627999999999999</v>
          </cell>
          <cell r="L547">
            <v>23.42</v>
          </cell>
          <cell r="AJ547" t="str">
            <v>2CLMXQWQB01BGBJ8Y0</v>
          </cell>
        </row>
        <row r="548">
          <cell r="K548">
            <v>1.0580799999999999</v>
          </cell>
          <cell r="L548">
            <v>31.119999999999997</v>
          </cell>
          <cell r="AJ548" t="str">
            <v>8BG295LIB07W5JKBMG</v>
          </cell>
        </row>
        <row r="549">
          <cell r="K549">
            <v>0.31824000000000002</v>
          </cell>
          <cell r="L549">
            <v>9.36</v>
          </cell>
          <cell r="AJ549" t="str">
            <v>4LYATDUXB019RPQML4</v>
          </cell>
        </row>
        <row r="550">
          <cell r="K550">
            <v>2.17022</v>
          </cell>
          <cell r="L550">
            <v>63.830000000000005</v>
          </cell>
          <cell r="AJ550" t="str">
            <v>2W68T8TOB08GX3XFYH</v>
          </cell>
        </row>
        <row r="551">
          <cell r="K551">
            <v>1.09514</v>
          </cell>
          <cell r="L551">
            <v>32.21</v>
          </cell>
          <cell r="AJ551" t="str">
            <v>1X4DXX4TB07W6HSPY6</v>
          </cell>
        </row>
        <row r="552">
          <cell r="K552">
            <v>2.5639400000000001</v>
          </cell>
          <cell r="L552">
            <v>75.41</v>
          </cell>
          <cell r="AJ552" t="str">
            <v>7H9X1Z6SB07W6JNG11</v>
          </cell>
        </row>
        <row r="553">
          <cell r="K553">
            <v>2.3667400000000001</v>
          </cell>
          <cell r="L553">
            <v>69.61</v>
          </cell>
          <cell r="AJ553" t="str">
            <v>4A3KDTEZB0038NRMKW</v>
          </cell>
        </row>
        <row r="554">
          <cell r="K554">
            <v>1.09514</v>
          </cell>
          <cell r="L554">
            <v>32.21</v>
          </cell>
          <cell r="AJ554" t="str">
            <v>2M7QFTCOB07W5JKKHL</v>
          </cell>
        </row>
        <row r="555">
          <cell r="K555">
            <v>2.49356</v>
          </cell>
          <cell r="L555">
            <v>73.34</v>
          </cell>
          <cell r="AJ555" t="str">
            <v>2M7QFTCOB07TLX61W7</v>
          </cell>
        </row>
        <row r="556">
          <cell r="K556">
            <v>0.99551999999999996</v>
          </cell>
          <cell r="L556">
            <v>29.28</v>
          </cell>
          <cell r="AJ556" t="str">
            <v>56UO2L2IB07W5JJ85Z</v>
          </cell>
        </row>
        <row r="557">
          <cell r="K557">
            <v>0.55725999999999998</v>
          </cell>
          <cell r="L557">
            <v>16.39</v>
          </cell>
          <cell r="AJ557" t="str">
            <v>7H9X1Z6SB01K7GEFWK</v>
          </cell>
        </row>
        <row r="558">
          <cell r="K558">
            <v>4.46692</v>
          </cell>
          <cell r="L558">
            <v>131.38</v>
          </cell>
          <cell r="AJ558" t="str">
            <v>7LA8DZCZB07W6H91JG</v>
          </cell>
        </row>
        <row r="559">
          <cell r="K559">
            <v>0.31824000000000002</v>
          </cell>
          <cell r="L559">
            <v>9.36</v>
          </cell>
          <cell r="AJ559" t="str">
            <v>8BG295LIB01A9HC69G</v>
          </cell>
        </row>
        <row r="560">
          <cell r="K560">
            <v>1.5283</v>
          </cell>
          <cell r="L560">
            <v>44.949999999999996</v>
          </cell>
          <cell r="AJ560" t="str">
            <v>39TAD6PCB0711V7BV6</v>
          </cell>
        </row>
        <row r="561">
          <cell r="K561">
            <v>0.31823999999999997</v>
          </cell>
          <cell r="L561">
            <v>9.36</v>
          </cell>
          <cell r="AJ561" t="str">
            <v>8BG295LIB01A9HC69G</v>
          </cell>
        </row>
        <row r="562">
          <cell r="K562">
            <v>1.5775999999999999</v>
          </cell>
          <cell r="L562">
            <v>46.4</v>
          </cell>
          <cell r="AJ562" t="str">
            <v>72DIHLCIB07W5JKHFR</v>
          </cell>
        </row>
        <row r="563">
          <cell r="K563">
            <v>0.55726000000000009</v>
          </cell>
          <cell r="L563">
            <v>16.39</v>
          </cell>
          <cell r="AJ563" t="str">
            <v>1X4DXX4TB07W7MNYX5</v>
          </cell>
        </row>
        <row r="564">
          <cell r="K564">
            <v>0.55726000000000009</v>
          </cell>
          <cell r="L564">
            <v>16.39</v>
          </cell>
          <cell r="AJ564" t="str">
            <v>1X4DXX4TB07W7MNYX5</v>
          </cell>
        </row>
        <row r="565">
          <cell r="K565">
            <v>2.6730800000000001</v>
          </cell>
          <cell r="L565">
            <v>78.62</v>
          </cell>
          <cell r="AJ565" t="str">
            <v>1KW92RHQB074C9LZVX</v>
          </cell>
        </row>
        <row r="566">
          <cell r="K566">
            <v>1.4572399999999999</v>
          </cell>
          <cell r="L566">
            <v>42.860000000000007</v>
          </cell>
          <cell r="AJ566" t="str">
            <v>4LYATDUXB07H3HGVDW</v>
          </cell>
        </row>
        <row r="567">
          <cell r="K567">
            <v>2.3470200000000001</v>
          </cell>
          <cell r="L567">
            <v>69.03</v>
          </cell>
          <cell r="AJ567" t="str">
            <v>7LA8DZCZB07W6JNQ1Y</v>
          </cell>
        </row>
        <row r="568">
          <cell r="K568">
            <v>2.9576600000000002</v>
          </cell>
          <cell r="L568">
            <v>86.99</v>
          </cell>
          <cell r="AJ568" t="str">
            <v>4GF112AEB07W5JJP7R</v>
          </cell>
        </row>
        <row r="569">
          <cell r="K569">
            <v>3.5700000000000003</v>
          </cell>
          <cell r="L569">
            <v>105</v>
          </cell>
          <cell r="AJ569" t="str">
            <v>1KW92RHQB01GHP1IDY</v>
          </cell>
        </row>
        <row r="570">
          <cell r="K570">
            <v>0.21488000000000002</v>
          </cell>
          <cell r="L570">
            <v>6.32</v>
          </cell>
          <cell r="AJ570" t="str">
            <v>2W68T8TOB07W6GVZFJ</v>
          </cell>
        </row>
        <row r="571">
          <cell r="K571" t="e">
            <v>#DIV/0!</v>
          </cell>
          <cell r="L571" t="e">
            <v>#DIV/0!</v>
          </cell>
          <cell r="AJ571" t="str">
            <v>39TAD6PCB0711V7BV6</v>
          </cell>
        </row>
        <row r="572">
          <cell r="K572">
            <v>1.09514</v>
          </cell>
          <cell r="L572">
            <v>32.21</v>
          </cell>
          <cell r="AJ572" t="str">
            <v>4GF112AEB07W4DHNBL</v>
          </cell>
        </row>
        <row r="573">
          <cell r="K573">
            <v>0.31824000000000002</v>
          </cell>
          <cell r="L573">
            <v>9.36</v>
          </cell>
          <cell r="AJ573" t="str">
            <v>69351YNLB00564NI9U</v>
          </cell>
        </row>
        <row r="574">
          <cell r="K574">
            <v>1.4932799999999999</v>
          </cell>
          <cell r="L574">
            <v>43.92</v>
          </cell>
          <cell r="AJ574" t="str">
            <v>4A3KDTEZB079YHHPF2</v>
          </cell>
        </row>
        <row r="575">
          <cell r="K575">
            <v>0.69699999999999995</v>
          </cell>
          <cell r="L575">
            <v>20.5</v>
          </cell>
          <cell r="AJ575" t="str">
            <v>4LYATDUXB006YYNGNY</v>
          </cell>
        </row>
        <row r="576">
          <cell r="K576">
            <v>1.61432</v>
          </cell>
          <cell r="L576">
            <v>47.48</v>
          </cell>
          <cell r="AJ576" t="str">
            <v>4F3XMHTVB07W5JKPK4</v>
          </cell>
        </row>
        <row r="577">
          <cell r="K577">
            <v>2.36572</v>
          </cell>
          <cell r="L577">
            <v>69.58</v>
          </cell>
          <cell r="AJ577" t="str">
            <v>2M7QFTCOB07W5JKWTH</v>
          </cell>
        </row>
        <row r="578">
          <cell r="K578" t="e">
            <v>#DIV/0!</v>
          </cell>
          <cell r="L578" t="e">
            <v>#DIV/0!</v>
          </cell>
          <cell r="AJ578" t="str">
            <v>4GF112AEB07W4DHNBL</v>
          </cell>
        </row>
        <row r="579">
          <cell r="K579">
            <v>4.2839999999999998</v>
          </cell>
          <cell r="L579">
            <v>126</v>
          </cell>
          <cell r="AJ579" t="str">
            <v>2TMBDXBKB00CGX8Q46</v>
          </cell>
        </row>
        <row r="580">
          <cell r="K580">
            <v>2.5639400000000001</v>
          </cell>
          <cell r="L580">
            <v>75.41</v>
          </cell>
          <cell r="AJ580" t="str">
            <v>4A3KDTEZB01MT5WMMG</v>
          </cell>
        </row>
        <row r="581">
          <cell r="K581">
            <v>2.5639399999999997</v>
          </cell>
          <cell r="L581">
            <v>75.41</v>
          </cell>
          <cell r="AJ581" t="str">
            <v>4A3KDTEZB01MT5WMMG</v>
          </cell>
        </row>
        <row r="582">
          <cell r="K582">
            <v>7.15768</v>
          </cell>
          <cell r="L582">
            <v>210.52</v>
          </cell>
          <cell r="AJ582" t="str">
            <v>17D6YHERB07W6JB7N7</v>
          </cell>
        </row>
        <row r="583">
          <cell r="K583">
            <v>7.9723200000000007</v>
          </cell>
          <cell r="L583">
            <v>234.48</v>
          </cell>
          <cell r="AJ583" t="str">
            <v>7RAC5F9EB07TTB3SRB</v>
          </cell>
        </row>
        <row r="584">
          <cell r="K584" t="e">
            <v>#DIV/0!</v>
          </cell>
          <cell r="L584" t="e">
            <v>#DIV/0!</v>
          </cell>
          <cell r="AJ584" t="str">
            <v>1VBBCE3CB07W6HDNPG</v>
          </cell>
        </row>
        <row r="585">
          <cell r="K585">
            <v>0.31823999999999997</v>
          </cell>
          <cell r="L585">
            <v>9.36</v>
          </cell>
          <cell r="AJ585" t="str">
            <v>74WI6EYDB00BT8QIJ4</v>
          </cell>
        </row>
        <row r="586">
          <cell r="K586">
            <v>3.05728</v>
          </cell>
          <cell r="L586">
            <v>89.92</v>
          </cell>
          <cell r="AJ586" t="str">
            <v>86DLD4XXB078MLBGRM</v>
          </cell>
        </row>
        <row r="587">
          <cell r="K587">
            <v>2.49356</v>
          </cell>
          <cell r="L587">
            <v>73.34</v>
          </cell>
          <cell r="AJ587" t="str">
            <v>2M7QFTCOB07W6JNQ82</v>
          </cell>
        </row>
        <row r="588">
          <cell r="K588">
            <v>1.5245600000000001</v>
          </cell>
          <cell r="L588">
            <v>44.84</v>
          </cell>
          <cell r="AJ588" t="str">
            <v>56UO2L2IB07W4DHMVB</v>
          </cell>
        </row>
        <row r="589">
          <cell r="K589">
            <v>0.9860000000000001</v>
          </cell>
          <cell r="L589">
            <v>29</v>
          </cell>
          <cell r="AJ589" t="str">
            <v>17D6YHERB07W7K29YM</v>
          </cell>
        </row>
        <row r="590">
          <cell r="K590">
            <v>2.8522599999999998</v>
          </cell>
          <cell r="L590">
            <v>83.89</v>
          </cell>
          <cell r="AJ590" t="str">
            <v>36BT7GGLB07W7KT2B3</v>
          </cell>
        </row>
        <row r="591">
          <cell r="K591">
            <v>2.8522600000000002</v>
          </cell>
          <cell r="L591">
            <v>83.89</v>
          </cell>
          <cell r="AJ591" t="str">
            <v>36BT7GGLB07W7KT2B3</v>
          </cell>
        </row>
        <row r="592">
          <cell r="K592">
            <v>0.55726000000000009</v>
          </cell>
          <cell r="L592">
            <v>16.39</v>
          </cell>
          <cell r="AJ592" t="str">
            <v>3A946EXYB07W6G822V</v>
          </cell>
        </row>
        <row r="593">
          <cell r="K593">
            <v>0.35802</v>
          </cell>
          <cell r="L593">
            <v>10.530000000000001</v>
          </cell>
          <cell r="AJ593" t="str">
            <v>7RAC5F9EB00544XFHC</v>
          </cell>
        </row>
        <row r="594">
          <cell r="K594" t="e">
            <v>#DIV/0!</v>
          </cell>
          <cell r="L594" t="e">
            <v>#DIV/0!</v>
          </cell>
          <cell r="AJ594" t="str">
            <v>7111PLSBB00552K0GM</v>
          </cell>
        </row>
        <row r="595">
          <cell r="K595" t="e">
            <v>#DIV/0!</v>
          </cell>
          <cell r="L595" t="e">
            <v>#DIV/0!</v>
          </cell>
          <cell r="AJ595" t="str">
            <v>2CS3RNQSB07W6JP8N2</v>
          </cell>
        </row>
        <row r="596">
          <cell r="K596">
            <v>2.3667400000000001</v>
          </cell>
          <cell r="L596">
            <v>69.61</v>
          </cell>
          <cell r="AJ596" t="str">
            <v>74WI6EYDB0044AFFMK</v>
          </cell>
        </row>
        <row r="597">
          <cell r="K597" t="e">
            <v>#DIV/0!</v>
          </cell>
          <cell r="L597" t="e">
            <v>#DIV/0!</v>
          </cell>
          <cell r="AJ597" t="str">
            <v>6451M4NBB07W5JJ1WH</v>
          </cell>
        </row>
        <row r="598">
          <cell r="K598">
            <v>2.3667400000000001</v>
          </cell>
          <cell r="L598">
            <v>69.61</v>
          </cell>
          <cell r="AJ598" t="str">
            <v>1LQM129ZB07W7L32NJ</v>
          </cell>
        </row>
        <row r="599">
          <cell r="K599">
            <v>1.61432</v>
          </cell>
          <cell r="L599">
            <v>47.48</v>
          </cell>
          <cell r="AJ599" t="str">
            <v>8BG295LIB07W5JKPK4</v>
          </cell>
        </row>
        <row r="600">
          <cell r="K600">
            <v>0.99552000000000007</v>
          </cell>
          <cell r="L600">
            <v>29.279999999999998</v>
          </cell>
          <cell r="AJ600" t="str">
            <v>3KYCEHVHB005BFCNYU</v>
          </cell>
        </row>
        <row r="601">
          <cell r="K601">
            <v>1.972</v>
          </cell>
          <cell r="L601">
            <v>58</v>
          </cell>
          <cell r="AJ601" t="str">
            <v>7H9X1Z6SB07W7KCF3W</v>
          </cell>
        </row>
        <row r="602">
          <cell r="K602">
            <v>3.3904800000000002</v>
          </cell>
          <cell r="L602">
            <v>99.72</v>
          </cell>
          <cell r="AJ602" t="str">
            <v>6AA7OKBNB07DFT9YHV</v>
          </cell>
        </row>
        <row r="603">
          <cell r="K603">
            <v>2.1498200000000001</v>
          </cell>
          <cell r="L603">
            <v>63.23</v>
          </cell>
          <cell r="AJ603" t="str">
            <v>2M7QFTCOB07W7LFHH9</v>
          </cell>
        </row>
        <row r="604">
          <cell r="K604">
            <v>0.35802</v>
          </cell>
          <cell r="L604">
            <v>10.53</v>
          </cell>
          <cell r="AJ604" t="str">
            <v>4GF112AEB07W7MY2K8</v>
          </cell>
        </row>
        <row r="605">
          <cell r="K605">
            <v>3.21096</v>
          </cell>
          <cell r="L605">
            <v>94.44</v>
          </cell>
          <cell r="AJ605" t="str">
            <v>7SCVG2OTB07W7KNWK5</v>
          </cell>
        </row>
        <row r="606">
          <cell r="K606">
            <v>2.7679399999999998</v>
          </cell>
          <cell r="L606">
            <v>81.41</v>
          </cell>
          <cell r="AJ606" t="str">
            <v>3IQS66UGB0105Y2T5Y</v>
          </cell>
        </row>
        <row r="607">
          <cell r="K607">
            <v>0.79627999999999999</v>
          </cell>
          <cell r="L607">
            <v>23.42</v>
          </cell>
          <cell r="AJ607" t="str">
            <v>2F7Y5WIXB008S1IOCY</v>
          </cell>
        </row>
        <row r="608">
          <cell r="K608">
            <v>1.34504</v>
          </cell>
          <cell r="L608">
            <v>39.56</v>
          </cell>
          <cell r="AJ608" t="str">
            <v>5MWU8WTDB07W6JNK1Z</v>
          </cell>
        </row>
        <row r="609">
          <cell r="K609">
            <v>0.79627999999999999</v>
          </cell>
          <cell r="L609">
            <v>23.42</v>
          </cell>
          <cell r="AJ609" t="str">
            <v>2F7Y5WIXB008S1IOCY</v>
          </cell>
        </row>
        <row r="610">
          <cell r="K610" t="e">
            <v>#DIV/0!</v>
          </cell>
          <cell r="L610" t="e">
            <v>#DIV/0!</v>
          </cell>
          <cell r="AJ610" t="str">
            <v>4GF112AEB07W7MY2K8</v>
          </cell>
        </row>
        <row r="611">
          <cell r="K611">
            <v>7.6959</v>
          </cell>
          <cell r="L611">
            <v>226.35</v>
          </cell>
          <cell r="AJ611" t="str">
            <v>2JG1PBDCB07W4DG81W</v>
          </cell>
        </row>
        <row r="612">
          <cell r="K612" t="e">
            <v>#DIV/0!</v>
          </cell>
          <cell r="L612" t="e">
            <v>#DIV/0!</v>
          </cell>
          <cell r="AJ612" t="str">
            <v>6N7I6OMHB00413BI7Q</v>
          </cell>
        </row>
        <row r="613">
          <cell r="K613">
            <v>0.39439999999999997</v>
          </cell>
          <cell r="L613">
            <v>11.6</v>
          </cell>
          <cell r="AJ613" t="str">
            <v>3KYCEHVHB07W7LNTMC</v>
          </cell>
        </row>
        <row r="614">
          <cell r="K614">
            <v>7.15768</v>
          </cell>
          <cell r="L614">
            <v>210.51999999999998</v>
          </cell>
          <cell r="AJ614" t="str">
            <v>16QFG5EWB07W6JB7N7</v>
          </cell>
        </row>
        <row r="615">
          <cell r="K615">
            <v>0.99551999999999996</v>
          </cell>
          <cell r="L615">
            <v>29.28</v>
          </cell>
          <cell r="AJ615" t="str">
            <v>7H9X1Z6SB00EUUX59O</v>
          </cell>
        </row>
        <row r="616">
          <cell r="K616">
            <v>2.7679400000000003</v>
          </cell>
          <cell r="L616">
            <v>81.410000000000011</v>
          </cell>
          <cell r="AJ616" t="str">
            <v>3IQS66UGB0105Y2T5Y</v>
          </cell>
        </row>
        <row r="617">
          <cell r="K617">
            <v>1.61432</v>
          </cell>
          <cell r="L617">
            <v>47.48</v>
          </cell>
          <cell r="AJ617" t="str">
            <v>2CS3RNQSB07W6JP8N2</v>
          </cell>
        </row>
        <row r="618">
          <cell r="K618">
            <v>2.5639400000000001</v>
          </cell>
          <cell r="L618">
            <v>75.41</v>
          </cell>
          <cell r="AJ618" t="str">
            <v>36BT7GGLB07W5JK1JN</v>
          </cell>
        </row>
        <row r="619">
          <cell r="K619">
            <v>4.8256199999999998</v>
          </cell>
          <cell r="L619">
            <v>141.93</v>
          </cell>
          <cell r="AJ619" t="str">
            <v>24EUBTHXB07VYGSZLM</v>
          </cell>
        </row>
        <row r="620">
          <cell r="K620">
            <v>2.5639400000000001</v>
          </cell>
          <cell r="L620">
            <v>75.41</v>
          </cell>
          <cell r="AJ620" t="str">
            <v>36BT7GGLB07W6H4R4G</v>
          </cell>
        </row>
        <row r="621">
          <cell r="K621">
            <v>1.4932799999999999</v>
          </cell>
          <cell r="L621">
            <v>43.92</v>
          </cell>
          <cell r="AJ621" t="str">
            <v>243WWSUAB0797JRLQC</v>
          </cell>
        </row>
        <row r="622">
          <cell r="K622">
            <v>3.74918</v>
          </cell>
          <cell r="L622">
            <v>110.27000000000001</v>
          </cell>
          <cell r="AJ622" t="str">
            <v>3GBCH66MB07W7MSGPL</v>
          </cell>
        </row>
        <row r="623">
          <cell r="K623">
            <v>0.98634000000000011</v>
          </cell>
          <cell r="L623">
            <v>29.01</v>
          </cell>
          <cell r="AJ623" t="str">
            <v>4GF112AEB00CJAEX5M</v>
          </cell>
        </row>
        <row r="624">
          <cell r="K624">
            <v>1.1658599999999999</v>
          </cell>
          <cell r="L624">
            <v>34.29</v>
          </cell>
          <cell r="AJ624" t="str">
            <v>8BG295LIB00ZWOUH4S</v>
          </cell>
        </row>
        <row r="625">
          <cell r="K625">
            <v>0.35802</v>
          </cell>
          <cell r="L625">
            <v>10.53</v>
          </cell>
          <cell r="AJ625" t="str">
            <v>33RKXX6HB003V4A5VG</v>
          </cell>
        </row>
        <row r="626">
          <cell r="K626">
            <v>3.92496</v>
          </cell>
          <cell r="L626">
            <v>115.44</v>
          </cell>
          <cell r="AJ626" t="str">
            <v>6N7I6OMHB00413BI7Q</v>
          </cell>
        </row>
        <row r="627">
          <cell r="K627">
            <v>1.09514</v>
          </cell>
          <cell r="L627">
            <v>32.21</v>
          </cell>
          <cell r="AJ627" t="str">
            <v>7H9X1Z6SB07W6HS3KX</v>
          </cell>
        </row>
        <row r="628">
          <cell r="K628">
            <v>2.5639400000000001</v>
          </cell>
          <cell r="L628">
            <v>75.41</v>
          </cell>
          <cell r="AJ628" t="str">
            <v>7H9X1Z6SB07W6JNG11</v>
          </cell>
        </row>
        <row r="629">
          <cell r="K629">
            <v>2.5639400000000001</v>
          </cell>
          <cell r="L629">
            <v>75.41</v>
          </cell>
          <cell r="AJ629" t="str">
            <v>3UDP1VLYB07W7LMCF9</v>
          </cell>
        </row>
        <row r="630">
          <cell r="K630">
            <v>2.3470200000000001</v>
          </cell>
          <cell r="L630">
            <v>69.03</v>
          </cell>
          <cell r="AJ630" t="str">
            <v>3KYCEHVHB07MM4V7NR</v>
          </cell>
        </row>
        <row r="631">
          <cell r="K631">
            <v>2.3470200000000001</v>
          </cell>
          <cell r="L631">
            <v>69.03</v>
          </cell>
          <cell r="AJ631" t="str">
            <v>3KYCEHVHB07MM4V7NR</v>
          </cell>
        </row>
        <row r="632">
          <cell r="K632">
            <v>0.55725999999999998</v>
          </cell>
          <cell r="L632">
            <v>16.39</v>
          </cell>
          <cell r="AJ632" t="str">
            <v>36BT7GGLB01K7GEG9W</v>
          </cell>
        </row>
        <row r="633">
          <cell r="K633">
            <v>1.09514</v>
          </cell>
          <cell r="L633">
            <v>32.21</v>
          </cell>
          <cell r="AJ633" t="str">
            <v>36BT7GGLB07W5JKKHL</v>
          </cell>
        </row>
        <row r="634">
          <cell r="K634">
            <v>0.30226000000000003</v>
          </cell>
          <cell r="L634">
            <v>8.89</v>
          </cell>
          <cell r="AJ634" t="str">
            <v>1VBBCE3CB07W5JJVFM</v>
          </cell>
        </row>
        <row r="635">
          <cell r="K635">
            <v>1.4348000000000001</v>
          </cell>
          <cell r="L635">
            <v>42.199999999999996</v>
          </cell>
          <cell r="AJ635" t="str">
            <v>8ESGGO9XB07W4DH5GL</v>
          </cell>
        </row>
        <row r="636">
          <cell r="K636">
            <v>1.972</v>
          </cell>
          <cell r="L636">
            <v>58</v>
          </cell>
          <cell r="AJ636" t="str">
            <v>7H9X1Z6SB07W7KCF3W</v>
          </cell>
        </row>
        <row r="637">
          <cell r="K637">
            <v>3.1361599999999998</v>
          </cell>
          <cell r="L637">
            <v>92.24</v>
          </cell>
          <cell r="AJ637" t="str">
            <v>4F3XMHTVB07W6GVHD8</v>
          </cell>
        </row>
        <row r="638">
          <cell r="K638">
            <v>0.30226000000000003</v>
          </cell>
          <cell r="L638">
            <v>8.89</v>
          </cell>
          <cell r="AJ638" t="str">
            <v>39TAD6PCB07W5JJVFM</v>
          </cell>
        </row>
        <row r="639">
          <cell r="K639">
            <v>0.80715999999999999</v>
          </cell>
          <cell r="L639">
            <v>23.74</v>
          </cell>
          <cell r="AJ639" t="str">
            <v>8BG295LIB07W6HBBMH</v>
          </cell>
        </row>
        <row r="640">
          <cell r="K640">
            <v>2.1498200000000001</v>
          </cell>
          <cell r="L640">
            <v>63.23</v>
          </cell>
          <cell r="AJ640" t="str">
            <v>2R6FMUZDB006A2Q81M</v>
          </cell>
        </row>
        <row r="641">
          <cell r="K641">
            <v>1.5776000000000001</v>
          </cell>
          <cell r="L641">
            <v>46.4</v>
          </cell>
          <cell r="AJ641" t="str">
            <v>4LYATDUXB0B8W3JR26</v>
          </cell>
        </row>
        <row r="642">
          <cell r="K642">
            <v>1.9988600000000001</v>
          </cell>
          <cell r="L642">
            <v>58.79</v>
          </cell>
          <cell r="AJ642" t="str">
            <v>2F7Y5WIXB000EOPQ7E</v>
          </cell>
        </row>
        <row r="643">
          <cell r="K643">
            <v>0.55725999999999998</v>
          </cell>
          <cell r="L643">
            <v>16.39</v>
          </cell>
          <cell r="AJ643" t="str">
            <v>31DJDC7QB01K7GEAF2</v>
          </cell>
        </row>
        <row r="644">
          <cell r="K644">
            <v>0.98599999999999999</v>
          </cell>
          <cell r="L644">
            <v>29</v>
          </cell>
          <cell r="AJ644" t="str">
            <v>17D6YHERB07W7LF6F1</v>
          </cell>
        </row>
        <row r="645">
          <cell r="K645">
            <v>2.5639400000000001</v>
          </cell>
          <cell r="L645">
            <v>75.41</v>
          </cell>
          <cell r="AJ645" t="str">
            <v>1X4DXX4TB07W6GNXZF</v>
          </cell>
        </row>
        <row r="646">
          <cell r="K646">
            <v>2.3470200000000001</v>
          </cell>
          <cell r="L646">
            <v>69.03</v>
          </cell>
          <cell r="AJ646" t="str">
            <v>1X4DXX4TB07W7JYN4P</v>
          </cell>
        </row>
        <row r="647">
          <cell r="K647">
            <v>1.09514</v>
          </cell>
          <cell r="L647">
            <v>32.21</v>
          </cell>
          <cell r="AJ647" t="str">
            <v>31DJDC7QB00MWNDVIG</v>
          </cell>
        </row>
        <row r="648">
          <cell r="K648">
            <v>1.4932799999999999</v>
          </cell>
          <cell r="L648">
            <v>43.92</v>
          </cell>
          <cell r="AJ648" t="str">
            <v>2TMBDXBKB01KZVQB42</v>
          </cell>
        </row>
        <row r="649">
          <cell r="K649">
            <v>1.972</v>
          </cell>
          <cell r="L649">
            <v>58</v>
          </cell>
          <cell r="AJ649" t="str">
            <v>5X874Q6MB07W7L19WV</v>
          </cell>
        </row>
        <row r="650">
          <cell r="K650">
            <v>1.4932799999999999</v>
          </cell>
          <cell r="L650">
            <v>43.92</v>
          </cell>
          <cell r="AJ650" t="str">
            <v>2TMBDXBKB01KZVQB42</v>
          </cell>
        </row>
        <row r="651">
          <cell r="K651">
            <v>1.5245599999999999</v>
          </cell>
          <cell r="L651">
            <v>44.839999999999996</v>
          </cell>
          <cell r="AJ651" t="str">
            <v>4LYATDUXB07W4DHMVB</v>
          </cell>
        </row>
        <row r="652">
          <cell r="K652">
            <v>2.3470199999999997</v>
          </cell>
          <cell r="L652">
            <v>69.03</v>
          </cell>
          <cell r="AJ652" t="str">
            <v>2W68T8TOB07MM4V7NR</v>
          </cell>
        </row>
        <row r="653">
          <cell r="K653">
            <v>0.31824000000000002</v>
          </cell>
          <cell r="L653">
            <v>9.3600000000000012</v>
          </cell>
          <cell r="AJ653" t="str">
            <v>3GW1K2ZRB00BT8QIJ4</v>
          </cell>
        </row>
        <row r="654">
          <cell r="K654">
            <v>25.97906</v>
          </cell>
          <cell r="L654">
            <v>764.09</v>
          </cell>
          <cell r="AJ654" t="str">
            <v>7H9X1Z6SB07W4DGQC1</v>
          </cell>
        </row>
        <row r="655">
          <cell r="K655">
            <v>3.3904800000000002</v>
          </cell>
          <cell r="L655">
            <v>99.72</v>
          </cell>
          <cell r="AJ655" t="str">
            <v>1PSIXGLTB07DFWGKZ4</v>
          </cell>
        </row>
        <row r="656">
          <cell r="K656">
            <v>2.3470200000000001</v>
          </cell>
          <cell r="L656">
            <v>69.03</v>
          </cell>
          <cell r="AJ656" t="str">
            <v>5X1OU9ZGB07W7KMK4Y</v>
          </cell>
        </row>
        <row r="657">
          <cell r="K657">
            <v>6.0914400000000004</v>
          </cell>
          <cell r="L657">
            <v>179.16</v>
          </cell>
          <cell r="AJ657" t="str">
            <v>29YOVOGFB07W6HKDNR</v>
          </cell>
        </row>
        <row r="658">
          <cell r="K658">
            <v>1.972</v>
          </cell>
          <cell r="L658">
            <v>58</v>
          </cell>
          <cell r="AJ658" t="str">
            <v>1LQM129ZB07W5JHLCB</v>
          </cell>
        </row>
        <row r="659">
          <cell r="K659">
            <v>0.35802</v>
          </cell>
          <cell r="L659">
            <v>10.53</v>
          </cell>
          <cell r="AJ659" t="str">
            <v>7RAC5F9EB00552K0GM</v>
          </cell>
        </row>
        <row r="660">
          <cell r="K660">
            <v>1.25562</v>
          </cell>
          <cell r="L660">
            <v>36.93</v>
          </cell>
          <cell r="AJ660" t="str">
            <v>3KYCEHVHB07CGPZ3ZQ</v>
          </cell>
        </row>
        <row r="661">
          <cell r="K661">
            <v>2.8522600000000002</v>
          </cell>
          <cell r="L661">
            <v>83.889999999999986</v>
          </cell>
          <cell r="AJ661" t="str">
            <v>2W68T8TOB07QKC4WWD</v>
          </cell>
        </row>
        <row r="662">
          <cell r="K662">
            <v>0.31823999999999997</v>
          </cell>
          <cell r="L662">
            <v>9.36</v>
          </cell>
          <cell r="AJ662" t="str">
            <v>8GSFVICRB01A9HC69G</v>
          </cell>
        </row>
        <row r="663">
          <cell r="K663">
            <v>0.30226000000000003</v>
          </cell>
          <cell r="L663">
            <v>8.89</v>
          </cell>
          <cell r="AJ663" t="str">
            <v>2W68T8TOB07W5JK3Z2</v>
          </cell>
        </row>
        <row r="664">
          <cell r="K664">
            <v>2.3140399999999999</v>
          </cell>
          <cell r="L664">
            <v>68.06</v>
          </cell>
          <cell r="AJ664" t="str">
            <v>3KYCEHVHB07W6HJPSW</v>
          </cell>
        </row>
        <row r="665">
          <cell r="K665">
            <v>2.49356</v>
          </cell>
          <cell r="L665">
            <v>73.34</v>
          </cell>
          <cell r="AJ665" t="str">
            <v>5FPQ9KSZB07W5JJ85P</v>
          </cell>
        </row>
        <row r="666">
          <cell r="K666">
            <v>2.1498200000000001</v>
          </cell>
          <cell r="L666">
            <v>63.230000000000004</v>
          </cell>
          <cell r="AJ666" t="str">
            <v>5X1OU9ZGB07W7LXYTR</v>
          </cell>
        </row>
        <row r="667">
          <cell r="K667">
            <v>0.9860000000000001</v>
          </cell>
          <cell r="L667">
            <v>29</v>
          </cell>
          <cell r="AJ667" t="str">
            <v>17D6YHERB07W7LF6F1</v>
          </cell>
        </row>
        <row r="668">
          <cell r="K668">
            <v>0.69699999999999995</v>
          </cell>
          <cell r="L668">
            <v>20.5</v>
          </cell>
          <cell r="AJ668" t="str">
            <v>7H9X1Z6SB006LNTSP8</v>
          </cell>
        </row>
        <row r="669">
          <cell r="K669">
            <v>1.25562</v>
          </cell>
          <cell r="L669">
            <v>36.93</v>
          </cell>
          <cell r="AJ669" t="str">
            <v>3KYCEHVHB07CGPZ3ZQ</v>
          </cell>
        </row>
        <row r="670">
          <cell r="K670">
            <v>1.25562</v>
          </cell>
          <cell r="L670">
            <v>36.93</v>
          </cell>
          <cell r="AJ670" t="str">
            <v>3KYCEHVHB07CGPZ3ZQ</v>
          </cell>
        </row>
        <row r="671">
          <cell r="K671">
            <v>1.9553400000000001</v>
          </cell>
          <cell r="L671">
            <v>57.51</v>
          </cell>
          <cell r="AJ671" t="str">
            <v>8BG295LIB01MFBNN9J</v>
          </cell>
        </row>
        <row r="672">
          <cell r="K672">
            <v>2.49356</v>
          </cell>
          <cell r="L672">
            <v>73.34</v>
          </cell>
          <cell r="AJ672" t="str">
            <v>2W68T8TOB07G5XJLWK</v>
          </cell>
        </row>
        <row r="673">
          <cell r="K673">
            <v>1.09514</v>
          </cell>
          <cell r="L673">
            <v>32.21</v>
          </cell>
          <cell r="AJ673" t="str">
            <v>1X4DXX4TB010EPT2X6</v>
          </cell>
        </row>
        <row r="674">
          <cell r="K674">
            <v>2.1498200000000001</v>
          </cell>
          <cell r="L674">
            <v>63.23</v>
          </cell>
          <cell r="AJ674" t="str">
            <v>2R6FMUZDB006A2Q81M</v>
          </cell>
        </row>
        <row r="675">
          <cell r="K675">
            <v>1.09514</v>
          </cell>
          <cell r="L675">
            <v>32.21</v>
          </cell>
          <cell r="AJ675" t="str">
            <v>7SCVG2OTB07W4DGQSX</v>
          </cell>
        </row>
        <row r="676">
          <cell r="K676">
            <v>0.25874000000000003</v>
          </cell>
          <cell r="L676">
            <v>7.61</v>
          </cell>
          <cell r="AJ676" t="str">
            <v>4GF112AEB07W8LZB2L</v>
          </cell>
        </row>
        <row r="677">
          <cell r="K677">
            <v>0.25874000000000003</v>
          </cell>
          <cell r="L677">
            <v>7.6099999999999994</v>
          </cell>
          <cell r="AJ677" t="str">
            <v>4GF112AEB07W8LZB2L</v>
          </cell>
        </row>
        <row r="678">
          <cell r="K678">
            <v>0.98599999999999999</v>
          </cell>
          <cell r="L678">
            <v>29</v>
          </cell>
          <cell r="AJ678" t="str">
            <v>74WI6EYDB07W7KJC28</v>
          </cell>
        </row>
        <row r="679">
          <cell r="K679">
            <v>3.21096</v>
          </cell>
          <cell r="L679">
            <v>94.44</v>
          </cell>
          <cell r="AJ679" t="str">
            <v>36BT7GGLB07W6J24VW</v>
          </cell>
        </row>
        <row r="680">
          <cell r="K680" t="e">
            <v>#DIV/0!</v>
          </cell>
          <cell r="L680" t="e">
            <v>#DIV/0!</v>
          </cell>
          <cell r="AJ680" t="str">
            <v>2W68T8TOB07QKC4WWD</v>
          </cell>
        </row>
        <row r="681">
          <cell r="K681">
            <v>0.99551999999999996</v>
          </cell>
          <cell r="L681">
            <v>29.28</v>
          </cell>
          <cell r="AJ681" t="str">
            <v>1VBBCE3CB005BFCNYU</v>
          </cell>
        </row>
        <row r="682">
          <cell r="K682">
            <v>1.81934</v>
          </cell>
          <cell r="L682">
            <v>53.51</v>
          </cell>
          <cell r="AJ682" t="str">
            <v>3A946EXYB07W6HZ85B</v>
          </cell>
        </row>
        <row r="683">
          <cell r="K683" t="e">
            <v>#DIV/0!</v>
          </cell>
          <cell r="L683" t="e">
            <v>#DIV/0!</v>
          </cell>
          <cell r="AJ683" t="str">
            <v>7RAC5F9EB07W7LW3VS</v>
          </cell>
        </row>
        <row r="684">
          <cell r="K684" t="e">
            <v>#DIV/0!</v>
          </cell>
          <cell r="L684" t="e">
            <v>#DIV/0!</v>
          </cell>
          <cell r="AJ684" t="str">
            <v>2W68T8TOB07QKC4WWD</v>
          </cell>
        </row>
        <row r="685">
          <cell r="K685">
            <v>2.49356</v>
          </cell>
          <cell r="L685">
            <v>73.34</v>
          </cell>
          <cell r="AJ685" t="str">
            <v>2W68T8TOB07G5XJLWK</v>
          </cell>
        </row>
        <row r="686">
          <cell r="K686">
            <v>0.35802</v>
          </cell>
          <cell r="L686">
            <v>10.53</v>
          </cell>
          <cell r="AJ686" t="str">
            <v>7RAC5F9EB00552K0GM</v>
          </cell>
        </row>
        <row r="687">
          <cell r="K687">
            <v>1.09514</v>
          </cell>
          <cell r="L687">
            <v>32.21</v>
          </cell>
          <cell r="AJ687" t="str">
            <v>1X4DXX4TB07W5JKPFG</v>
          </cell>
        </row>
        <row r="688">
          <cell r="K688">
            <v>1.972</v>
          </cell>
          <cell r="L688">
            <v>58</v>
          </cell>
          <cell r="AJ688" t="str">
            <v>5X874Q6MB07W7L19WV</v>
          </cell>
        </row>
        <row r="689">
          <cell r="K689">
            <v>1.09514</v>
          </cell>
          <cell r="L689">
            <v>32.21</v>
          </cell>
          <cell r="AJ689" t="str">
            <v>1X4DXX4TB07W5JKPFG</v>
          </cell>
        </row>
        <row r="690">
          <cell r="K690">
            <v>0.72760000000000002</v>
          </cell>
          <cell r="L690">
            <v>21.4</v>
          </cell>
          <cell r="AJ690" t="str">
            <v>1X4DXX4TB07G6B2SGF</v>
          </cell>
        </row>
        <row r="691">
          <cell r="K691">
            <v>1.5245600000000001</v>
          </cell>
          <cell r="L691">
            <v>44.84</v>
          </cell>
          <cell r="AJ691" t="str">
            <v>4A3KDTEZB07W6GVS5C</v>
          </cell>
        </row>
        <row r="692">
          <cell r="K692">
            <v>1.5245599999999999</v>
          </cell>
          <cell r="L692">
            <v>44.84</v>
          </cell>
          <cell r="AJ692" t="str">
            <v>4A3KDTEZB07W6GVS5C</v>
          </cell>
        </row>
        <row r="693">
          <cell r="K693">
            <v>0.59704000000000002</v>
          </cell>
          <cell r="L693">
            <v>17.559999999999999</v>
          </cell>
          <cell r="AJ693" t="str">
            <v>7ILTX3HJB0042C1KQ0</v>
          </cell>
        </row>
        <row r="694">
          <cell r="K694">
            <v>0.31823999999999997</v>
          </cell>
          <cell r="L694">
            <v>9.36</v>
          </cell>
          <cell r="AJ694" t="str">
            <v>7RAC5F9EB01A9GXEOI</v>
          </cell>
        </row>
        <row r="695">
          <cell r="K695">
            <v>0.27879999999999999</v>
          </cell>
          <cell r="L695">
            <v>8.1999999999999993</v>
          </cell>
          <cell r="AJ695" t="str">
            <v>38RKRRMYB07W6JKH17</v>
          </cell>
        </row>
        <row r="696">
          <cell r="K696">
            <v>1.19442</v>
          </cell>
          <cell r="L696">
            <v>35.130000000000003</v>
          </cell>
          <cell r="AJ696" t="str">
            <v>36BT7GGLB07VL9YHC9</v>
          </cell>
        </row>
        <row r="697">
          <cell r="K697">
            <v>3.9742599999999997</v>
          </cell>
          <cell r="L697">
            <v>116.89</v>
          </cell>
          <cell r="AJ697" t="str">
            <v>4F3XMHTVB07PYL7WZY</v>
          </cell>
        </row>
        <row r="698">
          <cell r="K698">
            <v>0.80715999999999999</v>
          </cell>
          <cell r="L698">
            <v>23.74</v>
          </cell>
          <cell r="AJ698" t="str">
            <v>2R6FMUZDB07W5JKFQC</v>
          </cell>
        </row>
        <row r="699">
          <cell r="K699">
            <v>0.80715999999999999</v>
          </cell>
          <cell r="L699">
            <v>23.74</v>
          </cell>
          <cell r="AJ699" t="str">
            <v>2R6FMUZDB07W5JKFQC</v>
          </cell>
        </row>
        <row r="700">
          <cell r="K700">
            <v>3.57</v>
          </cell>
          <cell r="L700">
            <v>105</v>
          </cell>
          <cell r="AJ700" t="str">
            <v>6451M4NBB07MTY7N22</v>
          </cell>
        </row>
        <row r="701">
          <cell r="K701">
            <v>0.98599999999999999</v>
          </cell>
          <cell r="L701">
            <v>29</v>
          </cell>
          <cell r="AJ701" t="str">
            <v>74WI6EYDB07W5JK4LF</v>
          </cell>
        </row>
        <row r="702">
          <cell r="K702">
            <v>0.59704000000000002</v>
          </cell>
          <cell r="L702">
            <v>17.559999999999999</v>
          </cell>
          <cell r="AJ702" t="str">
            <v>4A3KDTEZB0042BVWZ0</v>
          </cell>
        </row>
        <row r="703">
          <cell r="K703" t="e">
            <v>#DIV/0!</v>
          </cell>
          <cell r="L703" t="e">
            <v>#DIV/0!</v>
          </cell>
          <cell r="AJ703" t="str">
            <v>1X4DXX4TB01LCQTF4M</v>
          </cell>
        </row>
        <row r="704">
          <cell r="K704">
            <v>2.3140399999999999</v>
          </cell>
          <cell r="L704">
            <v>68.06</v>
          </cell>
          <cell r="AJ704" t="str">
            <v>24EUBTHXB07W5JHLZK</v>
          </cell>
        </row>
        <row r="705">
          <cell r="K705">
            <v>2.8522599999999998</v>
          </cell>
          <cell r="L705">
            <v>83.89</v>
          </cell>
          <cell r="AJ705" t="str">
            <v>2M7QFTCOB07W7MKLNT</v>
          </cell>
        </row>
        <row r="706">
          <cell r="K706">
            <v>2.5639400000000001</v>
          </cell>
          <cell r="L706">
            <v>75.41</v>
          </cell>
          <cell r="AJ706" t="str">
            <v>5X1OU9ZGB07W6HXZ5J</v>
          </cell>
        </row>
        <row r="707">
          <cell r="K707">
            <v>7.5163800000000007</v>
          </cell>
          <cell r="L707">
            <v>221.07000000000002</v>
          </cell>
          <cell r="AJ707" t="str">
            <v>7EMS2FPGB011N78DMA</v>
          </cell>
        </row>
        <row r="708">
          <cell r="K708">
            <v>2.7611400000000001</v>
          </cell>
          <cell r="L708">
            <v>81.209999999999994</v>
          </cell>
          <cell r="AJ708" t="str">
            <v>36BT7GGLB07W6HVXXN</v>
          </cell>
        </row>
        <row r="709">
          <cell r="K709">
            <v>1.19442</v>
          </cell>
          <cell r="L709">
            <v>35.130000000000003</v>
          </cell>
          <cell r="AJ709" t="str">
            <v>4EYWO72FB0099P55SY</v>
          </cell>
        </row>
        <row r="710">
          <cell r="K710" t="e">
            <v>#DIV/0!</v>
          </cell>
          <cell r="L710" t="e">
            <v>#DIV/0!</v>
          </cell>
          <cell r="AJ710" t="str">
            <v>3KYCEHVHB07CGPZ3ZQ</v>
          </cell>
        </row>
        <row r="711">
          <cell r="K711">
            <v>2.8522599999999998</v>
          </cell>
          <cell r="L711">
            <v>83.89</v>
          </cell>
          <cell r="AJ711" t="str">
            <v>2M7QFTCOB07W7MKLNT</v>
          </cell>
        </row>
        <row r="712">
          <cell r="K712">
            <v>0.89589999999999992</v>
          </cell>
          <cell r="L712">
            <v>26.35</v>
          </cell>
          <cell r="AJ712" t="str">
            <v>1X4DXX4TB01LCQTF4M</v>
          </cell>
        </row>
        <row r="713">
          <cell r="K713">
            <v>1.09514</v>
          </cell>
          <cell r="L713">
            <v>32.21</v>
          </cell>
          <cell r="AJ713" t="str">
            <v>4LYATDUXB00VHHWNMI</v>
          </cell>
        </row>
        <row r="714">
          <cell r="K714" t="e">
            <v>#DIV/0!</v>
          </cell>
          <cell r="L714" t="e">
            <v>#DIV/0!</v>
          </cell>
          <cell r="AJ714" t="str">
            <v>3KYCEHVHB07CGPZ3ZQ</v>
          </cell>
        </row>
        <row r="715">
          <cell r="K715">
            <v>1.1658599999999999</v>
          </cell>
          <cell r="L715">
            <v>34.29</v>
          </cell>
          <cell r="AJ715" t="str">
            <v>5MWU8WTDB00ZWOUH4S</v>
          </cell>
        </row>
        <row r="716">
          <cell r="K716">
            <v>-0.47021999999999997</v>
          </cell>
          <cell r="L716" t="e">
            <v>#VALUE!</v>
          </cell>
          <cell r="AJ716" t="str">
            <v>1VBBCE3CB07W5JKBMG</v>
          </cell>
        </row>
        <row r="717">
          <cell r="K717">
            <v>0.69700000000000006</v>
          </cell>
          <cell r="L717">
            <v>20.5</v>
          </cell>
          <cell r="AJ717" t="str">
            <v>7RAC5F9EB00EUUXFFS</v>
          </cell>
        </row>
        <row r="718">
          <cell r="K718">
            <v>7.1576800000000009</v>
          </cell>
          <cell r="L718">
            <v>210.52</v>
          </cell>
          <cell r="AJ718" t="str">
            <v>1PSIXGLTB013Y78YY4</v>
          </cell>
        </row>
        <row r="719">
          <cell r="K719">
            <v>5.4090599999999993</v>
          </cell>
          <cell r="L719">
            <v>159.09</v>
          </cell>
          <cell r="AJ719" t="str">
            <v>24EUBTHXB078MHS3SC</v>
          </cell>
        </row>
        <row r="720">
          <cell r="K720">
            <v>1.7938400000000001</v>
          </cell>
          <cell r="L720">
            <v>52.76</v>
          </cell>
          <cell r="AJ720" t="str">
            <v>2CLMXQWQB07W6JGH8Z</v>
          </cell>
        </row>
        <row r="721">
          <cell r="K721">
            <v>1.5245599999999999</v>
          </cell>
          <cell r="L721">
            <v>44.84</v>
          </cell>
          <cell r="AJ721" t="str">
            <v>69351YNLB07W6GVS5C</v>
          </cell>
        </row>
        <row r="722">
          <cell r="K722">
            <v>3.57</v>
          </cell>
          <cell r="L722">
            <v>105</v>
          </cell>
          <cell r="AJ722" t="str">
            <v>5YWSGF4JB01G7AWZEA</v>
          </cell>
        </row>
        <row r="723">
          <cell r="K723">
            <v>1.19442</v>
          </cell>
          <cell r="L723">
            <v>35.130000000000003</v>
          </cell>
          <cell r="AJ723" t="str">
            <v>31DJDC7QB07VK1S68S</v>
          </cell>
        </row>
        <row r="724">
          <cell r="K724" t="e">
            <v>#DIV/0!</v>
          </cell>
          <cell r="L724" t="e">
            <v>#DIV/0!</v>
          </cell>
          <cell r="AJ724" t="str">
            <v>1X4DXX4TB01LCQTF4M</v>
          </cell>
        </row>
        <row r="725">
          <cell r="K725">
            <v>-0.47022000000000003</v>
          </cell>
          <cell r="L725" t="e">
            <v>#VALUE!</v>
          </cell>
          <cell r="AJ725" t="str">
            <v>1VBBCE3CB07W5JKBMG</v>
          </cell>
        </row>
        <row r="726">
          <cell r="K726">
            <v>2.49356</v>
          </cell>
          <cell r="L726">
            <v>73.34</v>
          </cell>
          <cell r="AJ726" t="str">
            <v>4A3KDTEZB07JB68RTK</v>
          </cell>
        </row>
        <row r="727">
          <cell r="K727">
            <v>1.7938400000000001</v>
          </cell>
          <cell r="L727">
            <v>52.760000000000005</v>
          </cell>
          <cell r="AJ727" t="str">
            <v>5MWU8WTDB07W6JGH8Z</v>
          </cell>
        </row>
        <row r="728">
          <cell r="K728">
            <v>1.5245599999999999</v>
          </cell>
          <cell r="L728">
            <v>44.84</v>
          </cell>
          <cell r="AJ728" t="str">
            <v>7LA8DZCZB07W4DHMVB</v>
          </cell>
        </row>
        <row r="729">
          <cell r="K729">
            <v>2.6730800000000001</v>
          </cell>
          <cell r="L729">
            <v>78.62</v>
          </cell>
          <cell r="AJ729" t="str">
            <v>3GBCH66MB074C9LZVX</v>
          </cell>
        </row>
        <row r="730">
          <cell r="K730">
            <v>1.61432</v>
          </cell>
          <cell r="L730">
            <v>47.48</v>
          </cell>
          <cell r="AJ730" t="str">
            <v>1X4DXX4TB07W6JP8N2</v>
          </cell>
        </row>
        <row r="731">
          <cell r="K731">
            <v>1.09514</v>
          </cell>
          <cell r="L731">
            <v>32.21</v>
          </cell>
          <cell r="AJ731" t="str">
            <v>1VBBCE3CB003STDR1E</v>
          </cell>
        </row>
        <row r="732">
          <cell r="K732">
            <v>2.17022</v>
          </cell>
          <cell r="L732">
            <v>63.83</v>
          </cell>
          <cell r="AJ732" t="str">
            <v>6AA7OKBNB076K126YZ</v>
          </cell>
        </row>
        <row r="733">
          <cell r="K733">
            <v>1.09514</v>
          </cell>
          <cell r="L733">
            <v>32.21</v>
          </cell>
          <cell r="AJ733" t="str">
            <v>1VBBCE3CB003STDR1E</v>
          </cell>
        </row>
        <row r="734">
          <cell r="K734">
            <v>3.0317799999999999</v>
          </cell>
          <cell r="L734">
            <v>89.17</v>
          </cell>
          <cell r="AJ734" t="str">
            <v>5X1OU9ZGB07W5JJ1WM</v>
          </cell>
        </row>
        <row r="735">
          <cell r="K735">
            <v>0.55726000000000009</v>
          </cell>
          <cell r="L735">
            <v>16.39</v>
          </cell>
          <cell r="AJ735" t="str">
            <v>7SCVG2OTB077BT728N</v>
          </cell>
        </row>
        <row r="736">
          <cell r="K736">
            <v>0.89590000000000003</v>
          </cell>
          <cell r="L736">
            <v>26.35</v>
          </cell>
          <cell r="AJ736" t="str">
            <v>7Z4XWHJOB00BCE30RS</v>
          </cell>
        </row>
        <row r="737">
          <cell r="K737">
            <v>2.8220000000000001</v>
          </cell>
          <cell r="L737">
            <v>83</v>
          </cell>
          <cell r="AJ737" t="str">
            <v>2TMBDXBKB07W5JK3M6</v>
          </cell>
        </row>
        <row r="738">
          <cell r="K738" t="e">
            <v>#DIV/0!</v>
          </cell>
          <cell r="L738" t="e">
            <v>#DIV/0!</v>
          </cell>
          <cell r="AJ738" t="str">
            <v>7RAC5F9EB013SL26LS</v>
          </cell>
        </row>
        <row r="739">
          <cell r="K739">
            <v>1.4932799999999999</v>
          </cell>
          <cell r="L739">
            <v>43.92</v>
          </cell>
          <cell r="AJ739" t="str">
            <v>5UZID3SVB079YGFNC7</v>
          </cell>
        </row>
        <row r="740">
          <cell r="K740" t="e">
            <v>#DIV/0!</v>
          </cell>
          <cell r="L740" t="e">
            <v>#DIV/0!</v>
          </cell>
          <cell r="AJ740" t="str">
            <v>31DJDC7QB00552K0GM</v>
          </cell>
        </row>
        <row r="741">
          <cell r="K741" t="e">
            <v>#DIV/0!</v>
          </cell>
          <cell r="L741" t="e">
            <v>#DIV/0!</v>
          </cell>
          <cell r="AJ741" t="str">
            <v>35T37A7JB07W5JHLCB</v>
          </cell>
        </row>
        <row r="742">
          <cell r="K742">
            <v>2.3470200000000001</v>
          </cell>
          <cell r="L742">
            <v>69.03</v>
          </cell>
          <cell r="AJ742" t="str">
            <v>5X1OU9ZGB07W7L9JXH</v>
          </cell>
        </row>
        <row r="743">
          <cell r="K743">
            <v>0.99551999999999996</v>
          </cell>
          <cell r="L743">
            <v>29.28</v>
          </cell>
          <cell r="AJ743" t="str">
            <v>4LYATDUXB005BFCNYU</v>
          </cell>
        </row>
        <row r="744">
          <cell r="K744">
            <v>1.0846</v>
          </cell>
          <cell r="L744">
            <v>31.9</v>
          </cell>
          <cell r="AJ744" t="str">
            <v>5YIK1RKMB07W4DHQJ9</v>
          </cell>
        </row>
        <row r="745">
          <cell r="K745">
            <v>1.25562</v>
          </cell>
          <cell r="L745">
            <v>36.93</v>
          </cell>
          <cell r="AJ745" t="str">
            <v>2NHJ23TZB07CGNDZR3</v>
          </cell>
        </row>
        <row r="746">
          <cell r="K746">
            <v>1.61432</v>
          </cell>
          <cell r="L746">
            <v>47.48</v>
          </cell>
          <cell r="AJ746" t="str">
            <v>36BT7GGLB07W4DHY5F</v>
          </cell>
        </row>
        <row r="747">
          <cell r="K747" t="e">
            <v>#DIV/0!</v>
          </cell>
          <cell r="L747" t="e">
            <v>#DIV/0!</v>
          </cell>
          <cell r="AJ747" t="str">
            <v>33RKXX6HB003V4A5VG</v>
          </cell>
        </row>
        <row r="748">
          <cell r="K748">
            <v>4.5362799999999996</v>
          </cell>
          <cell r="L748">
            <v>133.41999999999999</v>
          </cell>
          <cell r="AJ748" t="str">
            <v>2TMBDXBKB07W6JNF81</v>
          </cell>
        </row>
        <row r="749">
          <cell r="K749">
            <v>1.34504</v>
          </cell>
          <cell r="L749">
            <v>39.56</v>
          </cell>
          <cell r="AJ749" t="str">
            <v>8BG295LIB07W6JNK1Z</v>
          </cell>
        </row>
        <row r="750">
          <cell r="K750">
            <v>1.25562</v>
          </cell>
          <cell r="L750">
            <v>36.93</v>
          </cell>
          <cell r="AJ750" t="str">
            <v>2NHJ23TZB07CGNDZR3</v>
          </cell>
        </row>
        <row r="751">
          <cell r="K751">
            <v>1.09514</v>
          </cell>
          <cell r="L751">
            <v>32.21</v>
          </cell>
          <cell r="AJ751" t="str">
            <v>4GF112AEB07W4DHP2H</v>
          </cell>
        </row>
        <row r="752">
          <cell r="K752">
            <v>1.5283</v>
          </cell>
          <cell r="L752">
            <v>44.95</v>
          </cell>
          <cell r="AJ752" t="str">
            <v>3KYCEHVHB0711V7BV6</v>
          </cell>
        </row>
        <row r="753">
          <cell r="K753">
            <v>1.09514</v>
          </cell>
          <cell r="L753">
            <v>32.21</v>
          </cell>
          <cell r="AJ753" t="str">
            <v>4GF112AEB07W4DHP2H</v>
          </cell>
        </row>
        <row r="754">
          <cell r="K754">
            <v>3.74918</v>
          </cell>
          <cell r="L754">
            <v>110.27000000000001</v>
          </cell>
          <cell r="AJ754" t="str">
            <v>4VH7UODNB07VWF2HCL</v>
          </cell>
        </row>
        <row r="755">
          <cell r="K755">
            <v>0.30226000000000003</v>
          </cell>
          <cell r="L755">
            <v>8.89</v>
          </cell>
          <cell r="AJ755" t="str">
            <v>3KYCEHVHB07W5JJVFM</v>
          </cell>
        </row>
        <row r="756">
          <cell r="K756">
            <v>0.71740000000000004</v>
          </cell>
          <cell r="L756">
            <v>21.1</v>
          </cell>
          <cell r="AJ756" t="str">
            <v>2R6FMUZDB00CJ5FP04</v>
          </cell>
        </row>
        <row r="757">
          <cell r="K757">
            <v>0.25874000000000003</v>
          </cell>
          <cell r="L757">
            <v>7.6099999999999994</v>
          </cell>
          <cell r="AJ757" t="str">
            <v>4LYATDUXB07W7L6HHN</v>
          </cell>
        </row>
        <row r="758">
          <cell r="K758">
            <v>2.7108199999999996</v>
          </cell>
          <cell r="L758">
            <v>79.73</v>
          </cell>
          <cell r="AJ758" t="str">
            <v>2M7QFTCOB07G6MBCG3</v>
          </cell>
        </row>
        <row r="759">
          <cell r="K759">
            <v>0.31823999999999997</v>
          </cell>
          <cell r="L759">
            <v>9.36</v>
          </cell>
          <cell r="AJ759" t="str">
            <v>6AA7OKBNB003V0QEV0</v>
          </cell>
        </row>
        <row r="760">
          <cell r="K760">
            <v>7.5163799999999998</v>
          </cell>
          <cell r="L760">
            <v>221.07</v>
          </cell>
          <cell r="AJ760" t="str">
            <v>7ILTX3HJB00YUIM2J0</v>
          </cell>
        </row>
        <row r="761">
          <cell r="K761">
            <v>2.3140399999999999</v>
          </cell>
          <cell r="L761">
            <v>68.06</v>
          </cell>
          <cell r="AJ761" t="str">
            <v>3OL6Y8AFB07W5JJP7D</v>
          </cell>
        </row>
        <row r="762">
          <cell r="K762">
            <v>0.35802</v>
          </cell>
          <cell r="L762">
            <v>10.53</v>
          </cell>
          <cell r="AJ762" t="str">
            <v>31DJDC7QB00552K0GM</v>
          </cell>
        </row>
        <row r="763">
          <cell r="K763">
            <v>1.24644</v>
          </cell>
          <cell r="L763">
            <v>36.660000000000004</v>
          </cell>
          <cell r="AJ763" t="str">
            <v>2TMBDXBKB00M6MLYZU</v>
          </cell>
        </row>
        <row r="764">
          <cell r="K764" t="e">
            <v>#DIV/0!</v>
          </cell>
          <cell r="L764" t="e">
            <v>#DIV/0!</v>
          </cell>
          <cell r="AJ764" t="str">
            <v>2TMBDXBKB00M6MLYZU</v>
          </cell>
        </row>
        <row r="765">
          <cell r="K765" t="e">
            <v>#DIV/0!</v>
          </cell>
          <cell r="L765" t="e">
            <v>#DIV/0!</v>
          </cell>
          <cell r="AJ765" t="str">
            <v>7RAC5F9EB013SL26LS</v>
          </cell>
        </row>
        <row r="766">
          <cell r="K766">
            <v>1.25562</v>
          </cell>
          <cell r="L766">
            <v>36.93</v>
          </cell>
          <cell r="AJ766" t="str">
            <v>2NHJ23TZB07CGNDZR3</v>
          </cell>
        </row>
        <row r="767">
          <cell r="K767" t="e">
            <v>#DIV/0!</v>
          </cell>
          <cell r="L767" t="e">
            <v>#DIV/0!</v>
          </cell>
          <cell r="AJ767" t="str">
            <v>2NHJ23TZB07CGNDZR3</v>
          </cell>
        </row>
        <row r="768">
          <cell r="K768">
            <v>0.80715999999999999</v>
          </cell>
          <cell r="L768">
            <v>23.74</v>
          </cell>
          <cell r="AJ768" t="str">
            <v>2R6FMUZDB07W5JKFQC</v>
          </cell>
        </row>
        <row r="769">
          <cell r="K769">
            <v>0.89658000000000004</v>
          </cell>
          <cell r="L769">
            <v>26.37</v>
          </cell>
          <cell r="AJ769" t="str">
            <v>3KYCEHVHB07W6HFDR8</v>
          </cell>
        </row>
        <row r="770">
          <cell r="K770">
            <v>0.79627999999999999</v>
          </cell>
          <cell r="L770">
            <v>23.42</v>
          </cell>
          <cell r="AJ770" t="str">
            <v>17D6YHERB0074486GA</v>
          </cell>
        </row>
        <row r="771">
          <cell r="K771">
            <v>1.09514</v>
          </cell>
          <cell r="L771">
            <v>32.21</v>
          </cell>
          <cell r="AJ771" t="str">
            <v>2M7QFTCOB00MWNDUDM</v>
          </cell>
        </row>
        <row r="772">
          <cell r="K772">
            <v>2.8522599999999998</v>
          </cell>
          <cell r="L772">
            <v>83.89</v>
          </cell>
          <cell r="AJ772" t="str">
            <v>33A3KRGGB07W6JNG13</v>
          </cell>
        </row>
        <row r="773">
          <cell r="K773">
            <v>0.35802</v>
          </cell>
          <cell r="L773">
            <v>10.53</v>
          </cell>
          <cell r="AJ773" t="str">
            <v>4LYATDUXB07W5JK4VQ</v>
          </cell>
        </row>
        <row r="774">
          <cell r="K774">
            <v>0.99551999999999996</v>
          </cell>
          <cell r="L774">
            <v>29.28</v>
          </cell>
          <cell r="AJ774" t="str">
            <v>4GF112AEB07W6HSPY7</v>
          </cell>
        </row>
        <row r="775">
          <cell r="K775">
            <v>1.09514</v>
          </cell>
          <cell r="L775">
            <v>32.21</v>
          </cell>
          <cell r="AJ775" t="str">
            <v>7RAC5F9EB013SL26LS</v>
          </cell>
        </row>
        <row r="776">
          <cell r="K776">
            <v>0.79627999999999999</v>
          </cell>
          <cell r="L776">
            <v>23.42</v>
          </cell>
          <cell r="AJ776" t="str">
            <v>3GBCH66MB01DKGAQNG</v>
          </cell>
        </row>
        <row r="777">
          <cell r="K777">
            <v>2.3140399999999999</v>
          </cell>
          <cell r="L777">
            <v>68.06</v>
          </cell>
          <cell r="AJ777" t="str">
            <v>8JIYRRZWB07W5JJP7D</v>
          </cell>
        </row>
        <row r="778">
          <cell r="K778">
            <v>2.5639399999999997</v>
          </cell>
          <cell r="L778">
            <v>75.41</v>
          </cell>
          <cell r="AJ778" t="str">
            <v>36BT7GGLB07W5JKHFZ</v>
          </cell>
        </row>
        <row r="779">
          <cell r="K779">
            <v>1.09514</v>
          </cell>
          <cell r="L779">
            <v>32.21</v>
          </cell>
          <cell r="AJ779" t="str">
            <v>36BT7GGLB013SL1ZU6</v>
          </cell>
        </row>
        <row r="780">
          <cell r="K780">
            <v>0.55726000000000009</v>
          </cell>
          <cell r="L780">
            <v>16.39</v>
          </cell>
          <cell r="AJ780" t="str">
            <v>1KVFEQGMB00EJ3RMDM</v>
          </cell>
        </row>
        <row r="781">
          <cell r="K781">
            <v>2.9583400000000002</v>
          </cell>
          <cell r="L781">
            <v>87.01</v>
          </cell>
          <cell r="AJ781" t="str">
            <v>8BG295LIB07W6JKJ5J</v>
          </cell>
        </row>
        <row r="782">
          <cell r="K782">
            <v>0.55726000000000009</v>
          </cell>
          <cell r="L782">
            <v>16.39</v>
          </cell>
          <cell r="AJ782" t="str">
            <v>3GBCH66MB077BT728N</v>
          </cell>
        </row>
        <row r="783">
          <cell r="K783">
            <v>0.39813999999999999</v>
          </cell>
          <cell r="L783">
            <v>11.71</v>
          </cell>
          <cell r="AJ783" t="str">
            <v>39TAD6PCB000XUQ2LI</v>
          </cell>
        </row>
        <row r="784">
          <cell r="K784">
            <v>0.55725999999999998</v>
          </cell>
          <cell r="L784">
            <v>16.39</v>
          </cell>
          <cell r="AJ784" t="str">
            <v>5X1OU9ZGB07W7MNYX5</v>
          </cell>
        </row>
        <row r="785">
          <cell r="K785">
            <v>1.0580800000000001</v>
          </cell>
          <cell r="L785">
            <v>31.12</v>
          </cell>
          <cell r="AJ785" t="str">
            <v>2R6FMUZDB07W5JKBMG</v>
          </cell>
        </row>
        <row r="786">
          <cell r="K786">
            <v>1.09514</v>
          </cell>
          <cell r="L786">
            <v>32.21</v>
          </cell>
          <cell r="AJ786" t="str">
            <v>2M7QFTCOB013SL1ZU6</v>
          </cell>
        </row>
        <row r="787">
          <cell r="K787">
            <v>1.25562</v>
          </cell>
          <cell r="L787">
            <v>36.93</v>
          </cell>
          <cell r="AJ787" t="str">
            <v>4GF112AEB07W5JK8YR</v>
          </cell>
        </row>
        <row r="788">
          <cell r="K788">
            <v>1.9553400000000001</v>
          </cell>
          <cell r="L788">
            <v>57.51</v>
          </cell>
          <cell r="AJ788" t="str">
            <v>3UDP1VLYB07S7CKTBR</v>
          </cell>
        </row>
        <row r="789">
          <cell r="K789">
            <v>0.55726000000000009</v>
          </cell>
          <cell r="L789">
            <v>16.39</v>
          </cell>
          <cell r="AJ789" t="str">
            <v>24EUBTHXB00EJ3RMRS</v>
          </cell>
        </row>
        <row r="790">
          <cell r="K790">
            <v>0.79627999999999999</v>
          </cell>
          <cell r="L790">
            <v>23.42</v>
          </cell>
          <cell r="AJ790" t="str">
            <v>4GF112AEB0078M385M</v>
          </cell>
        </row>
        <row r="791">
          <cell r="K791">
            <v>0.79627999999999999</v>
          </cell>
          <cell r="L791">
            <v>23.42</v>
          </cell>
          <cell r="AJ791" t="str">
            <v>4GF112AEB0078M385M</v>
          </cell>
        </row>
        <row r="792">
          <cell r="K792">
            <v>1.5775999999999999</v>
          </cell>
          <cell r="L792">
            <v>46.4</v>
          </cell>
          <cell r="AJ792" t="str">
            <v>31DJDC7QB07W8P4PDD</v>
          </cell>
        </row>
        <row r="793">
          <cell r="K793">
            <v>2.5639400000000001</v>
          </cell>
          <cell r="L793">
            <v>75.41</v>
          </cell>
          <cell r="AJ793" t="str">
            <v>2TMBDXBKB07W6HXZ5J</v>
          </cell>
        </row>
        <row r="794">
          <cell r="K794">
            <v>0.80715999999999999</v>
          </cell>
          <cell r="L794">
            <v>23.74</v>
          </cell>
          <cell r="AJ794" t="str">
            <v>4F3XMHTVB07W5JKFQC</v>
          </cell>
        </row>
        <row r="795">
          <cell r="K795">
            <v>1.81934</v>
          </cell>
          <cell r="L795">
            <v>53.51</v>
          </cell>
          <cell r="AJ795" t="str">
            <v>5X1OU9ZGB07W6GM6PW</v>
          </cell>
        </row>
        <row r="796">
          <cell r="K796">
            <v>1.1944199999999998</v>
          </cell>
          <cell r="L796">
            <v>35.129999999999995</v>
          </cell>
          <cell r="AJ796" t="str">
            <v>69351YNLB07VK1S68S</v>
          </cell>
        </row>
        <row r="797">
          <cell r="K797">
            <v>1.5245599999999999</v>
          </cell>
          <cell r="L797">
            <v>44.839999999999996</v>
          </cell>
          <cell r="AJ797" t="str">
            <v>4F3XMHTVB01MQ0GFUH</v>
          </cell>
        </row>
        <row r="798">
          <cell r="K798">
            <v>0.79627999999999999</v>
          </cell>
          <cell r="L798">
            <v>23.42</v>
          </cell>
          <cell r="AJ798" t="str">
            <v>74WI6EYDB007BNE3QQ</v>
          </cell>
        </row>
        <row r="799">
          <cell r="K799">
            <v>0.35802</v>
          </cell>
          <cell r="L799">
            <v>10.53</v>
          </cell>
          <cell r="AJ799" t="str">
            <v>3OB2IUIKB008M4RH1G</v>
          </cell>
        </row>
        <row r="800">
          <cell r="K800" t="e">
            <v>#DIV/0!</v>
          </cell>
          <cell r="L800" t="e">
            <v>#DIV/0!</v>
          </cell>
          <cell r="AJ800" t="str">
            <v>4LYATDUXB00Q6MR0UO</v>
          </cell>
        </row>
        <row r="801">
          <cell r="K801">
            <v>0.99551999999999996</v>
          </cell>
          <cell r="L801">
            <v>29.28</v>
          </cell>
          <cell r="AJ801" t="str">
            <v>2F7Y5WIXB00EUUXBDE</v>
          </cell>
        </row>
        <row r="802">
          <cell r="K802">
            <v>3.0317799999999999</v>
          </cell>
          <cell r="L802">
            <v>89.17</v>
          </cell>
          <cell r="AJ802" t="str">
            <v>172UACJHB01MCXJWD1</v>
          </cell>
        </row>
        <row r="803">
          <cell r="K803">
            <v>7.1576800000000009</v>
          </cell>
          <cell r="L803">
            <v>210.52</v>
          </cell>
          <cell r="AJ803" t="str">
            <v>23IZV8AJB07W6H9L5G</v>
          </cell>
        </row>
        <row r="804">
          <cell r="K804">
            <v>3.2922199999999999</v>
          </cell>
          <cell r="L804">
            <v>96.83</v>
          </cell>
          <cell r="AJ804" t="str">
            <v>7RAC5F9EB00N1YPXW2</v>
          </cell>
        </row>
        <row r="805">
          <cell r="K805">
            <v>0.99552000000000007</v>
          </cell>
          <cell r="L805">
            <v>29.279999999999998</v>
          </cell>
          <cell r="AJ805" t="str">
            <v>2F7Y5WIXB00EUUXBDE</v>
          </cell>
        </row>
        <row r="806">
          <cell r="K806">
            <v>0.99552000000000007</v>
          </cell>
          <cell r="L806">
            <v>29.279999999999998</v>
          </cell>
          <cell r="AJ806" t="str">
            <v>1X4DXX4TB004ZH0RHK</v>
          </cell>
        </row>
        <row r="807">
          <cell r="K807" t="e">
            <v>#DIV/0!</v>
          </cell>
          <cell r="L807" t="e">
            <v>#DIV/0!</v>
          </cell>
          <cell r="AJ807" t="str">
            <v>4LYATDUXB00Q6MR0UO</v>
          </cell>
        </row>
        <row r="808">
          <cell r="K808">
            <v>1.5245599999999999</v>
          </cell>
          <cell r="L808">
            <v>44.84</v>
          </cell>
          <cell r="AJ808" t="str">
            <v>7RAC5F9EB07W6JM35X</v>
          </cell>
        </row>
        <row r="809">
          <cell r="K809">
            <v>1.5776000000000001</v>
          </cell>
          <cell r="L809">
            <v>46.4</v>
          </cell>
          <cell r="AJ809" t="str">
            <v>2TMBDXBKB07W8P4PDD</v>
          </cell>
        </row>
        <row r="810">
          <cell r="K810">
            <v>0.89658000000000004</v>
          </cell>
          <cell r="L810">
            <v>26.37</v>
          </cell>
          <cell r="AJ810" t="str">
            <v>31DJDC7QB00Q6MR0UO</v>
          </cell>
        </row>
        <row r="811">
          <cell r="K811">
            <v>0.31823999999999997</v>
          </cell>
          <cell r="L811">
            <v>9.36</v>
          </cell>
          <cell r="AJ811" t="str">
            <v>243WWSUAB003ZY9Z40</v>
          </cell>
        </row>
        <row r="812">
          <cell r="K812">
            <v>1.09514</v>
          </cell>
          <cell r="L812">
            <v>32.21</v>
          </cell>
          <cell r="AJ812" t="str">
            <v>5X1OU9ZGB010X0ZQ7S</v>
          </cell>
        </row>
        <row r="813">
          <cell r="K813" t="e">
            <v>#DIV/0!</v>
          </cell>
          <cell r="L813" t="e">
            <v>#DIV/0!</v>
          </cell>
          <cell r="AJ813" t="str">
            <v>17D6YHERB07W4DGZ54</v>
          </cell>
        </row>
        <row r="814">
          <cell r="K814" t="e">
            <v>#DIV/0!</v>
          </cell>
          <cell r="L814" t="e">
            <v>#DIV/0!</v>
          </cell>
          <cell r="AJ814" t="str">
            <v>1VBBCE3CB07PMKHMFS</v>
          </cell>
        </row>
        <row r="815">
          <cell r="K815">
            <v>1.09514</v>
          </cell>
          <cell r="L815">
            <v>32.21</v>
          </cell>
          <cell r="AJ815" t="str">
            <v>2F7Y5WIXB013SL26LS</v>
          </cell>
        </row>
        <row r="816">
          <cell r="K816">
            <v>3.9742600000000001</v>
          </cell>
          <cell r="L816">
            <v>116.89</v>
          </cell>
          <cell r="AJ816" t="str">
            <v>1VBBCE3CB07PMKHMFS</v>
          </cell>
        </row>
        <row r="817">
          <cell r="K817">
            <v>1.0846</v>
          </cell>
          <cell r="L817">
            <v>31.9</v>
          </cell>
          <cell r="AJ817" t="str">
            <v>3A946EXYB07W6HKMCN</v>
          </cell>
        </row>
        <row r="818">
          <cell r="K818">
            <v>1.1658599999999999</v>
          </cell>
          <cell r="L818">
            <v>34.29</v>
          </cell>
          <cell r="AJ818" t="str">
            <v>3UDP1VLYB00CJ5FPTA</v>
          </cell>
        </row>
        <row r="819">
          <cell r="K819">
            <v>0.31823999999999997</v>
          </cell>
          <cell r="L819">
            <v>9.36</v>
          </cell>
          <cell r="AJ819" t="str">
            <v>1MDL1DPEB004LAWLPW</v>
          </cell>
        </row>
        <row r="820">
          <cell r="K820">
            <v>0.71740000000000004</v>
          </cell>
          <cell r="L820">
            <v>21.1</v>
          </cell>
          <cell r="AJ820" t="str">
            <v>1LQM129ZB00CJ5FP04</v>
          </cell>
        </row>
        <row r="821">
          <cell r="K821">
            <v>0.79627999999999999</v>
          </cell>
          <cell r="L821">
            <v>23.419999999999998</v>
          </cell>
          <cell r="AJ821" t="str">
            <v>7H9X1Z6SB00779631W</v>
          </cell>
        </row>
        <row r="822">
          <cell r="K822">
            <v>0.55726000000000009</v>
          </cell>
          <cell r="L822">
            <v>16.39</v>
          </cell>
          <cell r="AJ822" t="str">
            <v>24EUBTHXB00EJ3RMDM</v>
          </cell>
        </row>
        <row r="823">
          <cell r="K823">
            <v>1.09514</v>
          </cell>
          <cell r="L823">
            <v>32.21</v>
          </cell>
          <cell r="AJ823" t="str">
            <v>31DJDC7QB013SL2050</v>
          </cell>
        </row>
        <row r="824">
          <cell r="K824">
            <v>1.8734</v>
          </cell>
          <cell r="L824">
            <v>55.1</v>
          </cell>
          <cell r="AJ824" t="str">
            <v>2TMBDXBKB07W7L3HJP</v>
          </cell>
        </row>
        <row r="825">
          <cell r="K825">
            <v>0.98599999999999999</v>
          </cell>
          <cell r="L825">
            <v>29</v>
          </cell>
          <cell r="AJ825" t="str">
            <v>24EUBTHXB07W7LF6F1</v>
          </cell>
        </row>
        <row r="826">
          <cell r="K826">
            <v>1.3450399999999998</v>
          </cell>
          <cell r="L826">
            <v>39.56</v>
          </cell>
          <cell r="AJ826" t="str">
            <v>7H9X1Z6SB00LFBEOUA</v>
          </cell>
        </row>
        <row r="827">
          <cell r="K827">
            <v>5.3638399999999997</v>
          </cell>
          <cell r="L827">
            <v>157.76</v>
          </cell>
          <cell r="AJ827" t="str">
            <v>7SCVG2OTB079Z3DSBK</v>
          </cell>
        </row>
        <row r="828">
          <cell r="K828">
            <v>7.15768</v>
          </cell>
          <cell r="L828">
            <v>210.51999999999998</v>
          </cell>
          <cell r="AJ828" t="str">
            <v>7SCVG2OTB013Y78YY4</v>
          </cell>
        </row>
        <row r="829">
          <cell r="K829">
            <v>2.3667400000000001</v>
          </cell>
          <cell r="L829">
            <v>69.61</v>
          </cell>
          <cell r="AJ829" t="str">
            <v>7RAC5F9EB074W227RK</v>
          </cell>
        </row>
        <row r="830">
          <cell r="K830">
            <v>2.8522599999999998</v>
          </cell>
          <cell r="L830">
            <v>83.89</v>
          </cell>
          <cell r="AJ830" t="str">
            <v>31DJDC7QB07W6G3KBL</v>
          </cell>
        </row>
        <row r="831">
          <cell r="K831">
            <v>0.80715999999999999</v>
          </cell>
          <cell r="L831">
            <v>23.74</v>
          </cell>
          <cell r="AJ831" t="str">
            <v>5MWU8WTDB07W5JKFQC</v>
          </cell>
        </row>
        <row r="832">
          <cell r="K832">
            <v>1.2943799999999999</v>
          </cell>
          <cell r="L832">
            <v>38.07</v>
          </cell>
          <cell r="AJ832" t="str">
            <v>4F3XMHTVB07W7KB8L6</v>
          </cell>
        </row>
        <row r="833">
          <cell r="K833">
            <v>0.55725999999999998</v>
          </cell>
          <cell r="L833">
            <v>16.39</v>
          </cell>
          <cell r="AJ833" t="str">
            <v>56UO2L2IB01K7GEAF2</v>
          </cell>
        </row>
        <row r="834">
          <cell r="K834">
            <v>0.55726000000000009</v>
          </cell>
          <cell r="L834">
            <v>16.39</v>
          </cell>
          <cell r="AJ834" t="str">
            <v>1X4DXX4TB07W7JYP91</v>
          </cell>
        </row>
        <row r="835">
          <cell r="K835">
            <v>0.55726000000000009</v>
          </cell>
          <cell r="L835">
            <v>16.39</v>
          </cell>
          <cell r="AJ835" t="str">
            <v>56UO2L2IB01K7GEAF2</v>
          </cell>
        </row>
        <row r="836">
          <cell r="K836">
            <v>1.3610199999999999</v>
          </cell>
          <cell r="L836">
            <v>40.03</v>
          </cell>
          <cell r="AJ836" t="str">
            <v>3A946EXYB07W4DHXC8</v>
          </cell>
        </row>
        <row r="837">
          <cell r="K837">
            <v>7.5163800000000007</v>
          </cell>
          <cell r="L837">
            <v>221.07000000000002</v>
          </cell>
          <cell r="AJ837" t="str">
            <v>7TFUVBKWB00YUIM2J0</v>
          </cell>
        </row>
        <row r="838">
          <cell r="K838">
            <v>2.5632600000000001</v>
          </cell>
          <cell r="L838">
            <v>75.39</v>
          </cell>
          <cell r="AJ838" t="str">
            <v>2F7Y5WIXB07W7LW3VS</v>
          </cell>
        </row>
        <row r="839">
          <cell r="K839">
            <v>4.1224999999999996</v>
          </cell>
          <cell r="L839">
            <v>121.25</v>
          </cell>
          <cell r="AJ839" t="str">
            <v>13O47WAGB076CNH34R</v>
          </cell>
        </row>
        <row r="840">
          <cell r="K840">
            <v>2.5639399999999997</v>
          </cell>
          <cell r="L840">
            <v>75.41</v>
          </cell>
          <cell r="AJ840" t="str">
            <v>2TMBDXBKB07W5JK1JN</v>
          </cell>
        </row>
        <row r="841">
          <cell r="K841">
            <v>3.94468</v>
          </cell>
          <cell r="L841">
            <v>116.02</v>
          </cell>
          <cell r="AJ841" t="str">
            <v>8BG295LIB07W7M4MZP</v>
          </cell>
        </row>
        <row r="842">
          <cell r="K842" t="e">
            <v>#DIV/0!</v>
          </cell>
          <cell r="L842" t="e">
            <v>#DIV/0!</v>
          </cell>
          <cell r="AJ842" t="str">
            <v>56UO2L2IB01K7GEAF2</v>
          </cell>
        </row>
        <row r="843">
          <cell r="K843">
            <v>3.74918</v>
          </cell>
          <cell r="L843">
            <v>110.27</v>
          </cell>
          <cell r="AJ843" t="str">
            <v>3I9WF8IGB07VTSZ63W</v>
          </cell>
        </row>
        <row r="844">
          <cell r="K844">
            <v>7.5163800000000007</v>
          </cell>
          <cell r="L844">
            <v>221.07000000000002</v>
          </cell>
          <cell r="AJ844" t="str">
            <v>7TFUVBKWB00YUIM2J0</v>
          </cell>
        </row>
        <row r="845">
          <cell r="K845">
            <v>1.19442</v>
          </cell>
          <cell r="L845">
            <v>35.130000000000003</v>
          </cell>
          <cell r="AJ845" t="str">
            <v>2M7QFTCOB07VRLJHFH</v>
          </cell>
        </row>
        <row r="846">
          <cell r="K846">
            <v>2.8220000000000001</v>
          </cell>
          <cell r="L846">
            <v>83</v>
          </cell>
          <cell r="AJ846" t="str">
            <v>4LYATDUXB07DTTGZ7M</v>
          </cell>
        </row>
        <row r="847">
          <cell r="K847">
            <v>3.62066</v>
          </cell>
          <cell r="L847">
            <v>106.49</v>
          </cell>
          <cell r="AJ847" t="str">
            <v>36BT7GGLB07G6LWTG6</v>
          </cell>
        </row>
        <row r="848">
          <cell r="K848">
            <v>1.972</v>
          </cell>
          <cell r="L848">
            <v>58</v>
          </cell>
          <cell r="AJ848" t="str">
            <v>2W68T8TOB07W5JHLCB</v>
          </cell>
        </row>
        <row r="849">
          <cell r="K849">
            <v>2.1498200000000001</v>
          </cell>
          <cell r="L849">
            <v>63.23</v>
          </cell>
          <cell r="AJ849" t="str">
            <v>39TAD6PCB006A2Q81M</v>
          </cell>
        </row>
        <row r="850">
          <cell r="K850">
            <v>1.81934</v>
          </cell>
          <cell r="L850">
            <v>53.510000000000005</v>
          </cell>
          <cell r="AJ850" t="str">
            <v>1X4DXX4TB07W6HLQ35</v>
          </cell>
        </row>
        <row r="851">
          <cell r="K851">
            <v>3.94468</v>
          </cell>
          <cell r="L851">
            <v>116.02000000000001</v>
          </cell>
          <cell r="AJ851" t="str">
            <v>5MWU8WTDB07W6HPP3R</v>
          </cell>
        </row>
        <row r="852">
          <cell r="K852">
            <v>4.46692</v>
          </cell>
          <cell r="L852">
            <v>131.38</v>
          </cell>
          <cell r="AJ852" t="str">
            <v>1X4DXX4TB07W5JKB92</v>
          </cell>
        </row>
        <row r="853">
          <cell r="K853">
            <v>7.5163800000000007</v>
          </cell>
          <cell r="L853">
            <v>221.07</v>
          </cell>
          <cell r="AJ853" t="str">
            <v>7TFUVBKWB00YUIM2J0</v>
          </cell>
        </row>
        <row r="854">
          <cell r="K854">
            <v>0.99551999999999996</v>
          </cell>
          <cell r="L854">
            <v>29.28</v>
          </cell>
          <cell r="AJ854" t="str">
            <v>2M7QFTCOB07W6JHB2P</v>
          </cell>
        </row>
        <row r="855">
          <cell r="K855">
            <v>3.21096</v>
          </cell>
          <cell r="L855">
            <v>94.44</v>
          </cell>
          <cell r="AJ855" t="str">
            <v>5X1OU9ZGB01M9EWQ2W</v>
          </cell>
        </row>
        <row r="856">
          <cell r="K856">
            <v>1.09514</v>
          </cell>
          <cell r="L856">
            <v>32.21</v>
          </cell>
          <cell r="AJ856" t="str">
            <v>2M7QFTCOB013SL1ZU6</v>
          </cell>
        </row>
        <row r="857">
          <cell r="K857">
            <v>3.74918</v>
          </cell>
          <cell r="L857">
            <v>110.27</v>
          </cell>
          <cell r="AJ857" t="str">
            <v>1X4DXX4TB07W4DHYH6</v>
          </cell>
        </row>
        <row r="858">
          <cell r="K858">
            <v>0.80715999999999999</v>
          </cell>
          <cell r="L858">
            <v>23.74</v>
          </cell>
          <cell r="AJ858" t="str">
            <v>5MWU8WTDB07W5JKFQC</v>
          </cell>
        </row>
        <row r="859">
          <cell r="K859">
            <v>2.2664399999999998</v>
          </cell>
          <cell r="L859">
            <v>66.66</v>
          </cell>
          <cell r="AJ859" t="str">
            <v>3KYCEHVHB071ZFMC9Q</v>
          </cell>
        </row>
        <row r="860">
          <cell r="K860">
            <v>2.7679399999999998</v>
          </cell>
          <cell r="L860">
            <v>81.41</v>
          </cell>
          <cell r="AJ860" t="str">
            <v>1X4DXX4TB0105Y2T5Y</v>
          </cell>
        </row>
        <row r="861">
          <cell r="K861">
            <v>0.39439999999999997</v>
          </cell>
          <cell r="L861">
            <v>11.6</v>
          </cell>
          <cell r="AJ861" t="str">
            <v>1LQM129ZB07W7LNTMC</v>
          </cell>
        </row>
        <row r="862">
          <cell r="K862">
            <v>1.5775999999999999</v>
          </cell>
          <cell r="L862">
            <v>46.4</v>
          </cell>
          <cell r="AJ862" t="str">
            <v>5X1OU9ZGB07W8P4PDD</v>
          </cell>
        </row>
        <row r="863">
          <cell r="K863">
            <v>1.09514</v>
          </cell>
          <cell r="L863">
            <v>32.21</v>
          </cell>
          <cell r="AJ863" t="str">
            <v>4LYATDUXB07W5JKKHL</v>
          </cell>
        </row>
        <row r="864">
          <cell r="K864">
            <v>1.09514</v>
          </cell>
          <cell r="L864">
            <v>32.21</v>
          </cell>
          <cell r="AJ864" t="str">
            <v>4LYATDUXB07W5JKKHL</v>
          </cell>
        </row>
        <row r="865">
          <cell r="K865">
            <v>-0.17952000000000001</v>
          </cell>
          <cell r="L865" t="e">
            <v>#VALUE!</v>
          </cell>
          <cell r="AJ865" t="str">
            <v>5X1OU9ZGB07W5JJ1WM</v>
          </cell>
        </row>
        <row r="866">
          <cell r="K866" t="e">
            <v>#DIV/0!</v>
          </cell>
          <cell r="L866" t="e">
            <v>#DIV/0!</v>
          </cell>
          <cell r="AJ866" t="str">
            <v>56UO2L2IB01K7GEAF2</v>
          </cell>
        </row>
        <row r="867">
          <cell r="K867">
            <v>7.6959</v>
          </cell>
          <cell r="L867">
            <v>226.35</v>
          </cell>
          <cell r="AJ867" t="str">
            <v>1PSIXGLTB07W7KFFFF</v>
          </cell>
        </row>
        <row r="868">
          <cell r="K868">
            <v>2.5639400000000001</v>
          </cell>
          <cell r="L868">
            <v>75.41</v>
          </cell>
          <cell r="AJ868" t="str">
            <v>7ILTX3HJB01N6NGNQ8</v>
          </cell>
        </row>
        <row r="869">
          <cell r="K869" t="e">
            <v>#DIV/0!</v>
          </cell>
          <cell r="L869" t="e">
            <v>#DIV/0!</v>
          </cell>
          <cell r="AJ869" t="str">
            <v>56UO2L2IB006T02YRM</v>
          </cell>
        </row>
        <row r="870">
          <cell r="K870">
            <v>2.7611400000000001</v>
          </cell>
          <cell r="L870">
            <v>81.209999999999994</v>
          </cell>
          <cell r="AJ870" t="str">
            <v>3KYCEHVHB07W6JP5N1</v>
          </cell>
        </row>
        <row r="871">
          <cell r="K871">
            <v>0.31824000000000002</v>
          </cell>
          <cell r="L871">
            <v>9.3600000000000012</v>
          </cell>
          <cell r="AJ871" t="str">
            <v>89YFM3QCB01A9HC69G</v>
          </cell>
        </row>
        <row r="872">
          <cell r="K872">
            <v>0.35802</v>
          </cell>
          <cell r="L872">
            <v>10.53</v>
          </cell>
          <cell r="AJ872" t="str">
            <v>7H9X1Z6SB07W6J6W4P</v>
          </cell>
        </row>
        <row r="873">
          <cell r="K873">
            <v>2.8522600000000002</v>
          </cell>
          <cell r="L873">
            <v>83.89</v>
          </cell>
          <cell r="AJ873" t="str">
            <v>36BT7GGLB07W5JJ1WM</v>
          </cell>
        </row>
        <row r="874">
          <cell r="K874">
            <v>2.8522599999999998</v>
          </cell>
          <cell r="L874">
            <v>83.89</v>
          </cell>
          <cell r="AJ874" t="str">
            <v>2TMBDXBKB07W5JJSBK</v>
          </cell>
        </row>
        <row r="875">
          <cell r="K875">
            <v>1.25562</v>
          </cell>
          <cell r="L875">
            <v>36.93</v>
          </cell>
          <cell r="AJ875" t="str">
            <v>36BT7GGLB07CGVGMLD</v>
          </cell>
        </row>
        <row r="876">
          <cell r="K876">
            <v>0.35802</v>
          </cell>
          <cell r="L876">
            <v>10.53</v>
          </cell>
          <cell r="AJ876" t="str">
            <v>2TMBDXBKB00544XFHC</v>
          </cell>
        </row>
        <row r="877">
          <cell r="K877">
            <v>7.5163799999999998</v>
          </cell>
          <cell r="L877">
            <v>221.07</v>
          </cell>
          <cell r="AJ877" t="str">
            <v>4A3KDTEZB011N78DMA</v>
          </cell>
        </row>
        <row r="878">
          <cell r="K878">
            <v>2.5639399999999997</v>
          </cell>
          <cell r="L878">
            <v>75.41</v>
          </cell>
          <cell r="AJ878" t="str">
            <v>3A946EXYB07W7LLFVD</v>
          </cell>
        </row>
        <row r="879">
          <cell r="K879">
            <v>1.09514</v>
          </cell>
          <cell r="L879">
            <v>32.21</v>
          </cell>
          <cell r="AJ879" t="str">
            <v>4LYATDUXB07W4DHT47</v>
          </cell>
        </row>
        <row r="880">
          <cell r="K880">
            <v>1.61432</v>
          </cell>
          <cell r="L880">
            <v>47.48</v>
          </cell>
          <cell r="AJ880" t="str">
            <v>7RAC5F9EB07MTXLFXV</v>
          </cell>
        </row>
        <row r="881">
          <cell r="K881">
            <v>0.71740000000000004</v>
          </cell>
          <cell r="L881">
            <v>21.1</v>
          </cell>
          <cell r="AJ881" t="str">
            <v>2W68T8TOB07W4DHK3P</v>
          </cell>
        </row>
        <row r="882">
          <cell r="K882">
            <v>5.4090600000000002</v>
          </cell>
          <cell r="L882">
            <v>159.09</v>
          </cell>
          <cell r="AJ882" t="str">
            <v>4A3KDTEZB078MHS3SC</v>
          </cell>
        </row>
        <row r="883">
          <cell r="K883">
            <v>8.2079399999999989</v>
          </cell>
          <cell r="L883">
            <v>241.41</v>
          </cell>
          <cell r="AJ883" t="str">
            <v>7H9X1Z6SB07W5JKHPG</v>
          </cell>
        </row>
        <row r="884">
          <cell r="K884">
            <v>8.2079400000000007</v>
          </cell>
          <cell r="L884">
            <v>241.41</v>
          </cell>
          <cell r="AJ884" t="str">
            <v>7H9X1Z6SB07W5JKHPG</v>
          </cell>
        </row>
        <row r="885">
          <cell r="K885">
            <v>2.71082</v>
          </cell>
          <cell r="L885">
            <v>79.72999999999999</v>
          </cell>
          <cell r="AJ885" t="str">
            <v>2NHJ23TZB07G6CQQYG</v>
          </cell>
        </row>
        <row r="886">
          <cell r="K886">
            <v>2.49356</v>
          </cell>
          <cell r="L886">
            <v>73.34</v>
          </cell>
          <cell r="AJ886" t="str">
            <v>5FPQ9KSZB07W6FQ659</v>
          </cell>
        </row>
        <row r="887">
          <cell r="K887">
            <v>0.69699999999999995</v>
          </cell>
          <cell r="L887">
            <v>20.5</v>
          </cell>
          <cell r="AJ887" t="str">
            <v>5FPQ9KSZB002L3TSLQ</v>
          </cell>
        </row>
        <row r="888">
          <cell r="K888">
            <v>0.69699999999999995</v>
          </cell>
          <cell r="L888">
            <v>20.5</v>
          </cell>
          <cell r="AJ888" t="str">
            <v>5FPQ9KSZB002L3TSLQ</v>
          </cell>
        </row>
        <row r="889">
          <cell r="K889">
            <v>2.6730800000000001</v>
          </cell>
          <cell r="L889">
            <v>78.62</v>
          </cell>
          <cell r="AJ889" t="str">
            <v>36BT7GGLB01MYW8COY</v>
          </cell>
        </row>
        <row r="890">
          <cell r="K890">
            <v>25.97906</v>
          </cell>
          <cell r="L890">
            <v>764.09</v>
          </cell>
          <cell r="AJ890" t="str">
            <v>5X1OU9ZGB07W4DGQC1</v>
          </cell>
        </row>
        <row r="891">
          <cell r="K891">
            <v>1.8734</v>
          </cell>
          <cell r="L891">
            <v>55.1</v>
          </cell>
          <cell r="AJ891" t="str">
            <v>4LYATDUXB07W7L3HJP</v>
          </cell>
        </row>
        <row r="892">
          <cell r="K892">
            <v>2.6730800000000001</v>
          </cell>
          <cell r="L892">
            <v>78.62</v>
          </cell>
          <cell r="AJ892" t="str">
            <v>2M7QFTCOB01MYW8COY</v>
          </cell>
        </row>
        <row r="893">
          <cell r="K893">
            <v>3.9249600000000004</v>
          </cell>
          <cell r="L893">
            <v>115.44</v>
          </cell>
          <cell r="AJ893" t="str">
            <v>4A3KDTEZB003UPJXIC</v>
          </cell>
        </row>
        <row r="894">
          <cell r="K894" t="e">
            <v>#DIV/0!</v>
          </cell>
          <cell r="L894" t="e">
            <v>#DIV/0!</v>
          </cell>
          <cell r="AJ894" t="str">
            <v>2NHJ23TZB07G6CQQYG</v>
          </cell>
        </row>
        <row r="895">
          <cell r="K895">
            <v>3.5499399999999999</v>
          </cell>
          <cell r="L895">
            <v>104.41000000000001</v>
          </cell>
          <cell r="AJ895" t="str">
            <v>4F3XMHTVB07W6J3W3B</v>
          </cell>
        </row>
        <row r="896">
          <cell r="K896">
            <v>1.3804000000000001</v>
          </cell>
          <cell r="L896">
            <v>40.6</v>
          </cell>
          <cell r="AJ896" t="str">
            <v>7LA8DZCZB00O8K42LQ</v>
          </cell>
        </row>
        <row r="897">
          <cell r="K897">
            <v>0.99551999999999996</v>
          </cell>
          <cell r="L897">
            <v>29.28</v>
          </cell>
          <cell r="AJ897" t="str">
            <v>31DJDC7QB07W4DG827</v>
          </cell>
        </row>
        <row r="898">
          <cell r="K898">
            <v>0.79627999999999999</v>
          </cell>
          <cell r="L898">
            <v>23.42</v>
          </cell>
          <cell r="AJ898" t="str">
            <v>5X1OU9ZGB006T02YRM</v>
          </cell>
        </row>
        <row r="899">
          <cell r="K899" t="e">
            <v>#DIV/0!</v>
          </cell>
          <cell r="L899" t="e">
            <v>#DIV/0!</v>
          </cell>
          <cell r="AJ899" t="str">
            <v>23FZKHHHB005BFCNYU</v>
          </cell>
        </row>
        <row r="900">
          <cell r="K900">
            <v>1.5245599999999999</v>
          </cell>
          <cell r="L900">
            <v>44.84</v>
          </cell>
          <cell r="AJ900" t="str">
            <v>1PSIXGLTB07W6GVS5C</v>
          </cell>
        </row>
        <row r="901">
          <cell r="K901">
            <v>1.3804000000000001</v>
          </cell>
          <cell r="L901">
            <v>40.6</v>
          </cell>
          <cell r="AJ901" t="str">
            <v>7LA8DZCZB00O8K42LQ</v>
          </cell>
        </row>
        <row r="902">
          <cell r="K902">
            <v>0.27879999999999999</v>
          </cell>
          <cell r="L902">
            <v>8.1999999999999993</v>
          </cell>
          <cell r="AJ902" t="str">
            <v>7H9X1Z6SB00C1CVMSY</v>
          </cell>
        </row>
        <row r="903">
          <cell r="K903">
            <v>0.55726000000000009</v>
          </cell>
          <cell r="L903">
            <v>16.39</v>
          </cell>
          <cell r="AJ903" t="str">
            <v>5X1OU9ZGB07W6GVZFL</v>
          </cell>
        </row>
        <row r="904">
          <cell r="K904">
            <v>2.5639399999999997</v>
          </cell>
          <cell r="L904">
            <v>75.41</v>
          </cell>
          <cell r="AJ904" t="str">
            <v>36BT7GGLB07W6JFPT1</v>
          </cell>
        </row>
        <row r="905">
          <cell r="K905">
            <v>0.31823999999999997</v>
          </cell>
          <cell r="L905">
            <v>9.36</v>
          </cell>
          <cell r="AJ905" t="str">
            <v>6QK5MDWIB003V0QEV0</v>
          </cell>
        </row>
        <row r="906">
          <cell r="K906">
            <v>2.71082</v>
          </cell>
          <cell r="L906">
            <v>79.73</v>
          </cell>
          <cell r="AJ906" t="str">
            <v>3A946EXYB07G6CRZ2Q</v>
          </cell>
        </row>
        <row r="907">
          <cell r="K907">
            <v>2.49356</v>
          </cell>
          <cell r="L907">
            <v>73.34</v>
          </cell>
          <cell r="AJ907" t="str">
            <v>2TMBDXBKB07W5JK221</v>
          </cell>
        </row>
        <row r="908">
          <cell r="K908">
            <v>2.5445600000000002</v>
          </cell>
          <cell r="L908">
            <v>74.84</v>
          </cell>
          <cell r="AJ908" t="str">
            <v>3GBCH66MB07W6JLQCY</v>
          </cell>
        </row>
        <row r="909">
          <cell r="K909">
            <v>0.30226000000000003</v>
          </cell>
          <cell r="L909">
            <v>8.89</v>
          </cell>
          <cell r="AJ909" t="str">
            <v>2W68T8TOB07W5JJVFM</v>
          </cell>
        </row>
        <row r="910">
          <cell r="K910">
            <v>0.71740000000000004</v>
          </cell>
          <cell r="L910">
            <v>21.1</v>
          </cell>
          <cell r="AJ910" t="str">
            <v>2CLMXQWQB07W4DHK3P</v>
          </cell>
        </row>
        <row r="911">
          <cell r="K911">
            <v>0.71740000000000004</v>
          </cell>
          <cell r="L911">
            <v>21.1</v>
          </cell>
          <cell r="AJ911" t="str">
            <v>2CLMXQWQB07W4DHK3P</v>
          </cell>
        </row>
        <row r="912">
          <cell r="K912">
            <v>0.69699999999999995</v>
          </cell>
          <cell r="L912">
            <v>20.5</v>
          </cell>
          <cell r="AJ912" t="str">
            <v>4A3KDTEZB01KPT6UUE</v>
          </cell>
        </row>
        <row r="913">
          <cell r="K913">
            <v>7.15768</v>
          </cell>
          <cell r="L913">
            <v>210.52</v>
          </cell>
          <cell r="AJ913" t="str">
            <v>7SCVG2OTB07W6JB7N7</v>
          </cell>
        </row>
        <row r="914">
          <cell r="K914" t="e">
            <v>#DIV/0!</v>
          </cell>
          <cell r="L914" t="e">
            <v>#DIV/0!</v>
          </cell>
          <cell r="AJ914" t="str">
            <v>36BT7GGLB07W6JFPT1</v>
          </cell>
        </row>
        <row r="915">
          <cell r="K915">
            <v>0.59704000000000002</v>
          </cell>
          <cell r="L915">
            <v>17.559999999999999</v>
          </cell>
          <cell r="AJ915" t="str">
            <v>7SCVG2OTB003UC85CU</v>
          </cell>
        </row>
        <row r="916">
          <cell r="K916">
            <v>0.19889999999999999</v>
          </cell>
          <cell r="L916">
            <v>5.85</v>
          </cell>
          <cell r="AJ916" t="str">
            <v>4GF112AEB003D8ZT0C</v>
          </cell>
        </row>
        <row r="917">
          <cell r="K917">
            <v>0.55725999999999998</v>
          </cell>
          <cell r="L917">
            <v>16.39</v>
          </cell>
          <cell r="AJ917" t="str">
            <v>3GBCH66MB01I252A34</v>
          </cell>
        </row>
        <row r="918">
          <cell r="K918">
            <v>0.69699999999999995</v>
          </cell>
          <cell r="L918">
            <v>20.5</v>
          </cell>
          <cell r="AJ918" t="str">
            <v>5WYKNRTCB01ENKI4D2</v>
          </cell>
        </row>
        <row r="919">
          <cell r="K919">
            <v>7.6959</v>
          </cell>
          <cell r="L919">
            <v>226.35</v>
          </cell>
          <cell r="AJ919" t="str">
            <v>7EMS2FPGB07W7KFFFF</v>
          </cell>
        </row>
        <row r="920">
          <cell r="K920">
            <v>1.61432</v>
          </cell>
          <cell r="L920">
            <v>47.48</v>
          </cell>
          <cell r="AJ920" t="str">
            <v>5MWU8WTDB07W7MQMD9</v>
          </cell>
        </row>
        <row r="921">
          <cell r="K921">
            <v>1.19442</v>
          </cell>
          <cell r="L921">
            <v>35.130000000000003</v>
          </cell>
          <cell r="AJ921" t="str">
            <v>2TMBDXBKB0099P55SY</v>
          </cell>
        </row>
        <row r="922">
          <cell r="K922">
            <v>2.8522599999999998</v>
          </cell>
          <cell r="L922">
            <v>83.89</v>
          </cell>
          <cell r="AJ922" t="str">
            <v>3KYCEHVHB01M8M8G23</v>
          </cell>
        </row>
        <row r="923">
          <cell r="K923">
            <v>2.8522599999999998</v>
          </cell>
          <cell r="L923">
            <v>83.89</v>
          </cell>
          <cell r="AJ923" t="str">
            <v>31DJDC7QB07W4DHKTD</v>
          </cell>
        </row>
        <row r="924">
          <cell r="K924">
            <v>0.89658000000000004</v>
          </cell>
          <cell r="L924">
            <v>26.37</v>
          </cell>
          <cell r="AJ924" t="str">
            <v>4LYATDUXB00Q6MR0UO</v>
          </cell>
        </row>
        <row r="925">
          <cell r="K925">
            <v>1.5283</v>
          </cell>
          <cell r="L925">
            <v>44.95</v>
          </cell>
          <cell r="AJ925" t="str">
            <v>39TAD6PCB07W5JKLRF</v>
          </cell>
        </row>
        <row r="926">
          <cell r="K926">
            <v>2.3140399999999999</v>
          </cell>
          <cell r="L926">
            <v>68.06</v>
          </cell>
          <cell r="AJ926" t="str">
            <v>4F3XMHTVB07W6HJPSW</v>
          </cell>
        </row>
        <row r="927">
          <cell r="K927">
            <v>3.94468</v>
          </cell>
          <cell r="L927">
            <v>116.02</v>
          </cell>
          <cell r="AJ927" t="str">
            <v>2R6FMUZDB07W6HPP3R</v>
          </cell>
        </row>
        <row r="928">
          <cell r="K928">
            <v>4.9153799999999999</v>
          </cell>
          <cell r="L928">
            <v>144.57</v>
          </cell>
          <cell r="AJ928" t="str">
            <v>3KYCEHVHB074379C7Q</v>
          </cell>
        </row>
        <row r="929">
          <cell r="K929">
            <v>2.1498200000000001</v>
          </cell>
          <cell r="L929">
            <v>63.23</v>
          </cell>
          <cell r="AJ929" t="str">
            <v>5X1OU9ZGB07W6J6WYH</v>
          </cell>
        </row>
        <row r="930">
          <cell r="K930">
            <v>2.5639400000000001</v>
          </cell>
          <cell r="L930">
            <v>75.410000000000011</v>
          </cell>
          <cell r="AJ930" t="str">
            <v>4LYATDUXB07W6HXZ5J</v>
          </cell>
        </row>
        <row r="931">
          <cell r="K931" t="e">
            <v>#DIV/0!</v>
          </cell>
          <cell r="L931" t="e">
            <v>#DIV/0!</v>
          </cell>
          <cell r="AJ931" t="str">
            <v>4GF112AEB003D8ZT0C</v>
          </cell>
        </row>
        <row r="932">
          <cell r="K932">
            <v>0.89658000000000004</v>
          </cell>
          <cell r="L932">
            <v>26.37</v>
          </cell>
          <cell r="AJ932" t="str">
            <v>4LYATDUXB00Q6MR0UO</v>
          </cell>
        </row>
        <row r="933">
          <cell r="K933">
            <v>2.3470200000000001</v>
          </cell>
          <cell r="L933">
            <v>69.03</v>
          </cell>
          <cell r="AJ933" t="str">
            <v>8BG295LIB07MM4V7NR</v>
          </cell>
        </row>
        <row r="934">
          <cell r="K934">
            <v>0.89590000000000003</v>
          </cell>
          <cell r="L934">
            <v>26.35</v>
          </cell>
          <cell r="AJ934" t="str">
            <v>2M7QFTCOB07W6J829F</v>
          </cell>
        </row>
        <row r="935">
          <cell r="K935">
            <v>1.3936599999999999</v>
          </cell>
          <cell r="L935">
            <v>40.99</v>
          </cell>
          <cell r="AJ935" t="str">
            <v>56UO2L2IB074N6823V</v>
          </cell>
        </row>
        <row r="936">
          <cell r="K936">
            <v>1.61432</v>
          </cell>
          <cell r="L936">
            <v>47.480000000000004</v>
          </cell>
          <cell r="AJ936" t="str">
            <v>5X1OU9ZGB07W4DHY5F</v>
          </cell>
        </row>
        <row r="937">
          <cell r="K937">
            <v>2.49356</v>
          </cell>
          <cell r="L937">
            <v>73.34</v>
          </cell>
          <cell r="AJ937" t="str">
            <v>74WI6EYDB07W6JNQ82</v>
          </cell>
        </row>
        <row r="938">
          <cell r="K938">
            <v>1.0846</v>
          </cell>
          <cell r="L938">
            <v>31.9</v>
          </cell>
          <cell r="AJ938" t="str">
            <v>2NHJ23TZB07W4DHQJ9</v>
          </cell>
        </row>
        <row r="939">
          <cell r="K939">
            <v>0.69699999999999995</v>
          </cell>
          <cell r="L939">
            <v>20.5</v>
          </cell>
          <cell r="AJ939" t="str">
            <v>4LYATDUXB06W547XN2</v>
          </cell>
        </row>
        <row r="940">
          <cell r="K940" t="e">
            <v>#DIV/0!</v>
          </cell>
          <cell r="L940" t="e">
            <v>#DIV/0!</v>
          </cell>
          <cell r="AJ940" t="str">
            <v>4GF112AEB003D8ZT0C</v>
          </cell>
        </row>
        <row r="941">
          <cell r="K941">
            <v>5.4090600000000002</v>
          </cell>
          <cell r="L941">
            <v>159.09</v>
          </cell>
          <cell r="AJ941" t="str">
            <v>17D6YHERB078MHS3SC</v>
          </cell>
        </row>
        <row r="942">
          <cell r="K942">
            <v>2.8220000000000001</v>
          </cell>
          <cell r="L942">
            <v>83</v>
          </cell>
          <cell r="AJ942" t="str">
            <v>7RAC5F9EB07DTTGZ7M</v>
          </cell>
        </row>
        <row r="943">
          <cell r="K943">
            <v>3.21096</v>
          </cell>
          <cell r="L943">
            <v>94.44</v>
          </cell>
          <cell r="AJ943" t="str">
            <v>4LYATDUXB01M9EWQ2W</v>
          </cell>
        </row>
        <row r="944">
          <cell r="K944">
            <v>2.5639400000000001</v>
          </cell>
          <cell r="L944">
            <v>75.410000000000011</v>
          </cell>
          <cell r="AJ944" t="str">
            <v>7EMS2FPGB01MT5WL4M</v>
          </cell>
        </row>
        <row r="945">
          <cell r="K945" t="e">
            <v>#DIV/0!</v>
          </cell>
          <cell r="L945" t="e">
            <v>#DIV/0!</v>
          </cell>
          <cell r="AJ945" t="str">
            <v>4GF112AEB003D8ZT0C</v>
          </cell>
        </row>
        <row r="946">
          <cell r="K946">
            <v>3.5499399999999999</v>
          </cell>
          <cell r="L946">
            <v>104.41</v>
          </cell>
          <cell r="AJ946" t="str">
            <v>2DDMOF4WB07W7LTX74</v>
          </cell>
        </row>
        <row r="947">
          <cell r="K947">
            <v>1.5283</v>
          </cell>
          <cell r="L947">
            <v>44.95</v>
          </cell>
          <cell r="AJ947" t="str">
            <v>2R6FMUZDB07W5JKLRF</v>
          </cell>
        </row>
        <row r="948">
          <cell r="K948">
            <v>1.3804000000000001</v>
          </cell>
          <cell r="L948">
            <v>40.6</v>
          </cell>
          <cell r="AJ948" t="str">
            <v>4O4TKA6PB00O8K42LQ</v>
          </cell>
        </row>
        <row r="949">
          <cell r="K949">
            <v>1.3804000000000001</v>
          </cell>
          <cell r="L949">
            <v>40.6</v>
          </cell>
          <cell r="AJ949" t="str">
            <v>4O4TKA6PB00O8K42LQ</v>
          </cell>
        </row>
        <row r="950">
          <cell r="K950">
            <v>0.79627999999999999</v>
          </cell>
          <cell r="L950">
            <v>23.419999999999998</v>
          </cell>
          <cell r="AJ950" t="str">
            <v>56UO2L2IB006T02YRM</v>
          </cell>
        </row>
        <row r="951">
          <cell r="K951">
            <v>0.39439999999999997</v>
          </cell>
          <cell r="L951">
            <v>11.6</v>
          </cell>
          <cell r="AJ951" t="str">
            <v>2R6FMUZDB07W7K29YK</v>
          </cell>
        </row>
        <row r="952">
          <cell r="K952">
            <v>0.55726000000000009</v>
          </cell>
          <cell r="L952">
            <v>16.39</v>
          </cell>
          <cell r="AJ952" t="str">
            <v>4A3KDTEZB07W5JJPFH</v>
          </cell>
        </row>
        <row r="953">
          <cell r="K953">
            <v>1.3804000000000001</v>
          </cell>
          <cell r="L953">
            <v>40.6</v>
          </cell>
          <cell r="AJ953" t="str">
            <v>7WSJF8XOB06Y17MS8W</v>
          </cell>
        </row>
        <row r="954">
          <cell r="K954">
            <v>0.69699999999999995</v>
          </cell>
          <cell r="L954">
            <v>20.5</v>
          </cell>
          <cell r="AJ954" t="str">
            <v>88OCIVKFB002L3TSLQ</v>
          </cell>
        </row>
        <row r="955">
          <cell r="K955">
            <v>1.4347999999999999</v>
          </cell>
          <cell r="L955">
            <v>42.199999999999996</v>
          </cell>
          <cell r="AJ955" t="str">
            <v>8FQ2THMTB07W4DH5GL</v>
          </cell>
        </row>
        <row r="956">
          <cell r="K956">
            <v>4.1224999999999996</v>
          </cell>
          <cell r="L956">
            <v>121.25</v>
          </cell>
          <cell r="AJ956" t="str">
            <v>4A3KDTEZB074KMD92K</v>
          </cell>
        </row>
        <row r="957">
          <cell r="K957">
            <v>7.5163799999999998</v>
          </cell>
          <cell r="L957">
            <v>221.07</v>
          </cell>
          <cell r="AJ957" t="str">
            <v>1PSIXGLTB011N78DMA</v>
          </cell>
        </row>
        <row r="958">
          <cell r="K958">
            <v>7.6959</v>
          </cell>
          <cell r="L958">
            <v>226.35</v>
          </cell>
          <cell r="AJ958" t="str">
            <v>74WI6EYDB07W7KFFFF</v>
          </cell>
        </row>
        <row r="959">
          <cell r="K959">
            <v>1.1658599999999999</v>
          </cell>
          <cell r="L959">
            <v>34.29</v>
          </cell>
          <cell r="AJ959" t="str">
            <v>3A946EXYB00CJ5FPTA</v>
          </cell>
        </row>
        <row r="960">
          <cell r="K960">
            <v>0.99551999999999996</v>
          </cell>
          <cell r="L960">
            <v>29.28</v>
          </cell>
          <cell r="AJ960" t="str">
            <v>8SGS6BFXB00IRCDT7Y</v>
          </cell>
        </row>
        <row r="961">
          <cell r="K961">
            <v>0.99552000000000007</v>
          </cell>
          <cell r="L961">
            <v>29.28</v>
          </cell>
          <cell r="AJ961" t="str">
            <v>8SGS6BFXB00IRCDT7Y</v>
          </cell>
        </row>
        <row r="962">
          <cell r="K962">
            <v>0.99551999999999996</v>
          </cell>
          <cell r="L962">
            <v>29.28</v>
          </cell>
          <cell r="AJ962" t="str">
            <v>8SGS6BFXB00IRCDT7Y</v>
          </cell>
        </row>
        <row r="963">
          <cell r="K963">
            <v>0.35802</v>
          </cell>
          <cell r="L963">
            <v>10.53</v>
          </cell>
          <cell r="AJ963" t="str">
            <v>4GF112AEB00544XFHC</v>
          </cell>
        </row>
        <row r="964">
          <cell r="K964">
            <v>0.99551999999999996</v>
          </cell>
          <cell r="L964">
            <v>29.28</v>
          </cell>
          <cell r="AJ964" t="str">
            <v>8SGS6BFXB00IRCDT7Y</v>
          </cell>
        </row>
        <row r="965">
          <cell r="K965">
            <v>0.62763999999999998</v>
          </cell>
          <cell r="L965">
            <v>18.46</v>
          </cell>
          <cell r="AJ965" t="str">
            <v>4F3XMHTVB01DKTP3PY</v>
          </cell>
        </row>
        <row r="966">
          <cell r="K966">
            <v>0.30226000000000003</v>
          </cell>
          <cell r="L966">
            <v>8.89</v>
          </cell>
          <cell r="AJ966" t="str">
            <v>8BG295LIB07W5JK3Z2</v>
          </cell>
        </row>
        <row r="967">
          <cell r="K967">
            <v>1.3804000000000001</v>
          </cell>
          <cell r="L967">
            <v>40.6</v>
          </cell>
          <cell r="AJ967" t="str">
            <v>2TMBDXBKB07W7LNRN6</v>
          </cell>
        </row>
        <row r="968">
          <cell r="K968">
            <v>0.30226000000000003</v>
          </cell>
          <cell r="L968">
            <v>8.8899999999999988</v>
          </cell>
          <cell r="AJ968" t="str">
            <v>8BG295LIB07W5JK3Z2</v>
          </cell>
        </row>
        <row r="969">
          <cell r="K969">
            <v>2.8522599999999998</v>
          </cell>
          <cell r="L969">
            <v>83.89</v>
          </cell>
          <cell r="AJ969" t="str">
            <v>4GF112AEB07W5JJSBK</v>
          </cell>
        </row>
        <row r="970">
          <cell r="K970">
            <v>0.79627999999999999</v>
          </cell>
          <cell r="L970">
            <v>23.42</v>
          </cell>
          <cell r="AJ970" t="str">
            <v>2M7QFTCOB0078M385M</v>
          </cell>
        </row>
        <row r="971">
          <cell r="K971">
            <v>-0.17952000000000001</v>
          </cell>
          <cell r="L971" t="e">
            <v>#VALUE!</v>
          </cell>
          <cell r="AJ971" t="str">
            <v>1X4DXX4TB07W5JJSBK</v>
          </cell>
        </row>
        <row r="972">
          <cell r="K972">
            <v>1.5283</v>
          </cell>
          <cell r="L972">
            <v>44.95</v>
          </cell>
          <cell r="AJ972" t="str">
            <v>5MWU8WTDB07W5JKLRF</v>
          </cell>
        </row>
        <row r="973">
          <cell r="K973">
            <v>2.8522599999999998</v>
          </cell>
          <cell r="L973">
            <v>83.89</v>
          </cell>
          <cell r="AJ973" t="str">
            <v>4GF112AEB07W5JJSBK</v>
          </cell>
        </row>
        <row r="974">
          <cell r="K974">
            <v>2.3470200000000001</v>
          </cell>
          <cell r="L974">
            <v>69.03</v>
          </cell>
          <cell r="AJ974" t="str">
            <v>2M7QFTCOB07W7JYN4P</v>
          </cell>
        </row>
        <row r="975">
          <cell r="K975">
            <v>0.39439999999999997</v>
          </cell>
          <cell r="L975">
            <v>11.6</v>
          </cell>
          <cell r="AJ975" t="str">
            <v>4F3XMHTVB01DIJIDKI</v>
          </cell>
        </row>
        <row r="976">
          <cell r="K976">
            <v>2.19028</v>
          </cell>
          <cell r="L976">
            <v>64.42</v>
          </cell>
          <cell r="AJ976" t="str">
            <v>243WWSUAB0055ZWOZ4</v>
          </cell>
        </row>
        <row r="977">
          <cell r="K977">
            <v>2.49356</v>
          </cell>
          <cell r="L977">
            <v>73.34</v>
          </cell>
          <cell r="AJ977" t="str">
            <v>7RAC5F9EB0728J7D3B</v>
          </cell>
        </row>
        <row r="978">
          <cell r="K978">
            <v>0.55726000000000009</v>
          </cell>
          <cell r="L978">
            <v>16.39</v>
          </cell>
          <cell r="AJ978" t="str">
            <v>1X4DXX4TB01K7GEFWK</v>
          </cell>
        </row>
        <row r="979">
          <cell r="K979">
            <v>0.31823999999999997</v>
          </cell>
          <cell r="L979">
            <v>9.36</v>
          </cell>
          <cell r="AJ979" t="str">
            <v>3OAOBQ1IB01A9HC69G</v>
          </cell>
        </row>
        <row r="980">
          <cell r="K980">
            <v>2.8522599999999998</v>
          </cell>
          <cell r="L980">
            <v>83.89</v>
          </cell>
          <cell r="AJ980" t="str">
            <v>2W68T8TOB01M3TTXMY</v>
          </cell>
        </row>
        <row r="981">
          <cell r="K981" t="e">
            <v>#DIV/0!</v>
          </cell>
          <cell r="L981" t="e">
            <v>#DIV/0!</v>
          </cell>
          <cell r="AJ981" t="str">
            <v>17D6YHERB07VCS1895</v>
          </cell>
        </row>
        <row r="982">
          <cell r="K982" t="e">
            <v>#DIV/0!</v>
          </cell>
          <cell r="L982" t="e">
            <v>#DIV/0!</v>
          </cell>
          <cell r="AJ982" t="str">
            <v>2M7QFTCOB07S69F4HC</v>
          </cell>
        </row>
        <row r="983">
          <cell r="K983">
            <v>1.4348000000000001</v>
          </cell>
          <cell r="L983">
            <v>42.2</v>
          </cell>
          <cell r="AJ983" t="str">
            <v>2FPVCNJHB07W4DH5GL</v>
          </cell>
        </row>
        <row r="984">
          <cell r="K984">
            <v>3.5040399999999998</v>
          </cell>
          <cell r="L984">
            <v>103.06</v>
          </cell>
          <cell r="AJ984" t="str">
            <v>2M7QFTCOB07PPNT9B2</v>
          </cell>
        </row>
        <row r="985">
          <cell r="K985">
            <v>2.49356</v>
          </cell>
          <cell r="L985">
            <v>73.34</v>
          </cell>
          <cell r="AJ985" t="str">
            <v>7RAC5F9EB07TLX61W7</v>
          </cell>
        </row>
        <row r="986">
          <cell r="K986">
            <v>0.39439999999999997</v>
          </cell>
          <cell r="L986">
            <v>11.6</v>
          </cell>
          <cell r="AJ986" t="str">
            <v>2R6FMUZDB07W7LNTMC</v>
          </cell>
        </row>
        <row r="987">
          <cell r="K987">
            <v>1.19442</v>
          </cell>
          <cell r="L987">
            <v>35.130000000000003</v>
          </cell>
          <cell r="AJ987" t="str">
            <v>243WWSUAB009QZ3TO4</v>
          </cell>
        </row>
        <row r="988">
          <cell r="K988">
            <v>2.8522599999999998</v>
          </cell>
          <cell r="L988">
            <v>83.89</v>
          </cell>
          <cell r="AJ988" t="str">
            <v>3KYCEHVHB01M3TTXMY</v>
          </cell>
        </row>
        <row r="989">
          <cell r="K989">
            <v>7.6959</v>
          </cell>
          <cell r="L989">
            <v>226.35000000000002</v>
          </cell>
          <cell r="AJ989" t="str">
            <v>74WI6EYDB07W4DG81W</v>
          </cell>
        </row>
        <row r="990">
          <cell r="K990">
            <v>7.6959</v>
          </cell>
          <cell r="L990">
            <v>226.35</v>
          </cell>
          <cell r="AJ990" t="str">
            <v>5ACDL3WJB07W7KFFFF</v>
          </cell>
        </row>
        <row r="991">
          <cell r="K991">
            <v>8.1691800000000008</v>
          </cell>
          <cell r="L991">
            <v>240.27</v>
          </cell>
          <cell r="AJ991" t="str">
            <v>11Y5DH1JB07W6JPZBL</v>
          </cell>
        </row>
        <row r="992">
          <cell r="K992">
            <v>1.09514</v>
          </cell>
          <cell r="L992">
            <v>32.21</v>
          </cell>
          <cell r="AJ992" t="str">
            <v>2TMBDXBKB07W6JKH1B</v>
          </cell>
        </row>
        <row r="993">
          <cell r="K993">
            <v>1.09514</v>
          </cell>
          <cell r="L993">
            <v>32.21</v>
          </cell>
          <cell r="AJ993" t="str">
            <v>4GF112AEB07W6HY5TH</v>
          </cell>
        </row>
        <row r="994">
          <cell r="K994">
            <v>0.71740000000000004</v>
          </cell>
          <cell r="L994">
            <v>21.099999999999998</v>
          </cell>
          <cell r="AJ994" t="str">
            <v>3KYCEHVHB00CJ5FP04</v>
          </cell>
        </row>
        <row r="995">
          <cell r="K995">
            <v>0.55726000000000009</v>
          </cell>
          <cell r="L995">
            <v>16.39</v>
          </cell>
          <cell r="AJ995" t="str">
            <v>31DJDC7QB07W6GVZFL</v>
          </cell>
        </row>
        <row r="996">
          <cell r="K996">
            <v>1.8734</v>
          </cell>
          <cell r="L996">
            <v>55.1</v>
          </cell>
          <cell r="AJ996" t="str">
            <v>3T2OW47PB07W7L3HJP</v>
          </cell>
        </row>
        <row r="997">
          <cell r="K997">
            <v>2.5639400000000001</v>
          </cell>
          <cell r="L997">
            <v>75.41</v>
          </cell>
          <cell r="AJ997" t="str">
            <v>2F7Y5WIXB07W6H4R4G</v>
          </cell>
        </row>
        <row r="998">
          <cell r="K998">
            <v>1.34504</v>
          </cell>
          <cell r="L998">
            <v>39.56</v>
          </cell>
          <cell r="AJ998" t="str">
            <v>2M7QFTCOB07S69F4HC</v>
          </cell>
        </row>
        <row r="999">
          <cell r="K999">
            <v>1.4932799999999999</v>
          </cell>
          <cell r="L999">
            <v>43.92</v>
          </cell>
          <cell r="AJ999" t="str">
            <v>7SCVG2OTB0797FYB3K</v>
          </cell>
        </row>
        <row r="1000">
          <cell r="K1000">
            <v>2.5639400000000001</v>
          </cell>
          <cell r="L1000">
            <v>75.41</v>
          </cell>
          <cell r="AJ1000" t="str">
            <v>2F7Y5WIXB07W6H4R4G</v>
          </cell>
        </row>
        <row r="1001">
          <cell r="K1001">
            <v>1.09514</v>
          </cell>
          <cell r="L1001">
            <v>32.21</v>
          </cell>
          <cell r="AJ1001" t="str">
            <v>36BT7GGLB07W5JHV5C</v>
          </cell>
        </row>
        <row r="1002">
          <cell r="K1002">
            <v>1.34504</v>
          </cell>
          <cell r="L1002">
            <v>39.56</v>
          </cell>
          <cell r="AJ1002" t="str">
            <v>2M7QFTCOB07S69F4HC</v>
          </cell>
        </row>
        <row r="1003">
          <cell r="K1003">
            <v>7.5163799999999998</v>
          </cell>
          <cell r="L1003">
            <v>221.07</v>
          </cell>
          <cell r="AJ1003" t="str">
            <v>6JWFV3WKB011N78DMA</v>
          </cell>
        </row>
        <row r="1004">
          <cell r="K1004">
            <v>0.9860000000000001</v>
          </cell>
          <cell r="L1004">
            <v>29</v>
          </cell>
          <cell r="AJ1004" t="str">
            <v>17D6YHERB07W7KFLBN</v>
          </cell>
        </row>
        <row r="1005">
          <cell r="K1005">
            <v>2.49356</v>
          </cell>
          <cell r="L1005">
            <v>73.34</v>
          </cell>
          <cell r="AJ1005" t="str">
            <v>74WI6EYDB07TLX61W7</v>
          </cell>
        </row>
        <row r="1006">
          <cell r="K1006">
            <v>0.79627999999999999</v>
          </cell>
          <cell r="L1006">
            <v>23.419999999999998</v>
          </cell>
          <cell r="AJ1006" t="str">
            <v>5UZID3SVB006T02YRM</v>
          </cell>
        </row>
        <row r="1007">
          <cell r="K1007">
            <v>0.39439999999999997</v>
          </cell>
          <cell r="L1007">
            <v>11.6</v>
          </cell>
          <cell r="AJ1007" t="str">
            <v>5MWU8WTDB01DIJIDKI</v>
          </cell>
        </row>
        <row r="1008">
          <cell r="K1008">
            <v>1.19442</v>
          </cell>
          <cell r="L1008">
            <v>35.130000000000003</v>
          </cell>
          <cell r="AJ1008" t="str">
            <v>17D6YHERB07VCS1895</v>
          </cell>
        </row>
        <row r="1009">
          <cell r="K1009">
            <v>2.3470200000000001</v>
          </cell>
          <cell r="L1009">
            <v>69.03</v>
          </cell>
          <cell r="AJ1009" t="str">
            <v>36BT7GGLB07W5JKNB9</v>
          </cell>
        </row>
        <row r="1010">
          <cell r="K1010" t="e">
            <v>#DIV/0!</v>
          </cell>
          <cell r="L1010" t="e">
            <v>#DIV/0!</v>
          </cell>
          <cell r="AJ1010" t="str">
            <v>54JZ1ZVPB07H3HGVDW</v>
          </cell>
        </row>
        <row r="1011">
          <cell r="K1011">
            <v>2.3470200000000001</v>
          </cell>
          <cell r="L1011">
            <v>69.03</v>
          </cell>
          <cell r="AJ1011" t="str">
            <v>2M7QFTCOB07W6HLJJT</v>
          </cell>
        </row>
        <row r="1012">
          <cell r="K1012">
            <v>1.4932799999999999</v>
          </cell>
          <cell r="L1012">
            <v>43.92</v>
          </cell>
          <cell r="AJ1012" t="str">
            <v>17D6YHERB0797LMGXH</v>
          </cell>
        </row>
        <row r="1013">
          <cell r="K1013">
            <v>0.62763999999999998</v>
          </cell>
          <cell r="L1013">
            <v>18.46</v>
          </cell>
          <cell r="AJ1013" t="str">
            <v>4F3XMHTVB01DKTP3PY</v>
          </cell>
        </row>
        <row r="1014">
          <cell r="K1014" t="e">
            <v>#DIV/0!</v>
          </cell>
          <cell r="L1014" t="e">
            <v>#DIV/0!</v>
          </cell>
          <cell r="AJ1014" t="str">
            <v>1LQM129ZB07W6HPP3R</v>
          </cell>
        </row>
        <row r="1015">
          <cell r="K1015">
            <v>1.3450399999999998</v>
          </cell>
          <cell r="L1015">
            <v>39.56</v>
          </cell>
          <cell r="AJ1015" t="str">
            <v>4LYATDUXB07SCMTKGB</v>
          </cell>
        </row>
        <row r="1016">
          <cell r="K1016">
            <v>1.5283</v>
          </cell>
          <cell r="L1016">
            <v>44.95</v>
          </cell>
          <cell r="AJ1016" t="str">
            <v>4F3XMHTVB07W5JKLRF</v>
          </cell>
        </row>
        <row r="1017">
          <cell r="K1017">
            <v>2.8522599999999998</v>
          </cell>
          <cell r="L1017">
            <v>83.89</v>
          </cell>
          <cell r="AJ1017" t="str">
            <v>2CLMXQWQB07QKC4WWD</v>
          </cell>
        </row>
        <row r="1018">
          <cell r="K1018" t="e">
            <v>#DIV/0!</v>
          </cell>
          <cell r="L1018" t="e">
            <v>#DIV/0!</v>
          </cell>
          <cell r="AJ1018" t="str">
            <v>5MWU8WTDB01DIJIDKI</v>
          </cell>
        </row>
        <row r="1019">
          <cell r="K1019">
            <v>1.81934</v>
          </cell>
          <cell r="L1019">
            <v>53.51</v>
          </cell>
          <cell r="AJ1019" t="str">
            <v>6451M4NBB07W5JHF97</v>
          </cell>
        </row>
        <row r="1020">
          <cell r="K1020">
            <v>0.79627999999999999</v>
          </cell>
          <cell r="L1020">
            <v>23.42</v>
          </cell>
          <cell r="AJ1020" t="str">
            <v>7EMS2FPGB007BNE5P0</v>
          </cell>
        </row>
        <row r="1021">
          <cell r="K1021" t="e">
            <v>#DIV/0!</v>
          </cell>
          <cell r="L1021" t="e">
            <v>#DIV/0!</v>
          </cell>
          <cell r="AJ1021" t="str">
            <v>54JZ1ZVPB07H3HGVDW</v>
          </cell>
        </row>
        <row r="1022">
          <cell r="K1022">
            <v>2.8522599999999998</v>
          </cell>
          <cell r="L1022">
            <v>83.89</v>
          </cell>
          <cell r="AJ1022" t="str">
            <v>2CLMXQWQB07QKC4WWD</v>
          </cell>
        </row>
        <row r="1023">
          <cell r="K1023">
            <v>1.4572399999999999</v>
          </cell>
          <cell r="L1023">
            <v>42.86</v>
          </cell>
          <cell r="AJ1023" t="str">
            <v>54JZ1ZVPB07H3HGVDW</v>
          </cell>
        </row>
        <row r="1024">
          <cell r="K1024">
            <v>3.3904800000000002</v>
          </cell>
          <cell r="L1024">
            <v>99.72</v>
          </cell>
          <cell r="AJ1024" t="str">
            <v>4QG6L28MB07DFT9YHV</v>
          </cell>
        </row>
        <row r="1025">
          <cell r="K1025">
            <v>1.09514</v>
          </cell>
          <cell r="L1025">
            <v>32.21</v>
          </cell>
          <cell r="AJ1025" t="str">
            <v>243WWSUAB07W4DGQSX</v>
          </cell>
        </row>
        <row r="1026">
          <cell r="K1026">
            <v>1.4348000000000001</v>
          </cell>
          <cell r="L1026">
            <v>42.2</v>
          </cell>
          <cell r="AJ1026" t="str">
            <v>4LYATDUXB07W7KMK4W</v>
          </cell>
        </row>
        <row r="1027">
          <cell r="K1027">
            <v>1.34504</v>
          </cell>
          <cell r="L1027">
            <v>39.56</v>
          </cell>
          <cell r="AJ1027" t="str">
            <v>36BT7GGLB00L8VNQ88</v>
          </cell>
        </row>
        <row r="1028">
          <cell r="K1028">
            <v>1.4932799999999999</v>
          </cell>
          <cell r="L1028">
            <v>43.92</v>
          </cell>
          <cell r="AJ1028" t="str">
            <v>17D6YHERB0797FYB3K</v>
          </cell>
        </row>
        <row r="1029">
          <cell r="K1029">
            <v>3.21096</v>
          </cell>
          <cell r="L1029">
            <v>94.44</v>
          </cell>
          <cell r="AJ1029" t="str">
            <v>5X1OU9ZGB07W5JK9J9</v>
          </cell>
        </row>
        <row r="1030">
          <cell r="K1030">
            <v>3.21096</v>
          </cell>
          <cell r="L1030">
            <v>94.44</v>
          </cell>
          <cell r="AJ1030" t="str">
            <v>5X1OU9ZGB07W5JK9J9</v>
          </cell>
        </row>
        <row r="1031">
          <cell r="K1031">
            <v>3.3904800000000002</v>
          </cell>
          <cell r="L1031">
            <v>99.72</v>
          </cell>
          <cell r="AJ1031" t="str">
            <v>243WWSUAB07DFWGKZ4</v>
          </cell>
        </row>
        <row r="1032">
          <cell r="K1032">
            <v>0.55725999999999998</v>
          </cell>
          <cell r="L1032">
            <v>16.39</v>
          </cell>
          <cell r="AJ1032" t="str">
            <v>2F7Y5WIXB01K7GEG9W</v>
          </cell>
        </row>
        <row r="1033">
          <cell r="K1033">
            <v>1.5245599999999999</v>
          </cell>
          <cell r="L1033">
            <v>44.84</v>
          </cell>
          <cell r="AJ1033" t="str">
            <v>2SN9AZGVB01L6L46LK</v>
          </cell>
        </row>
        <row r="1034">
          <cell r="K1034">
            <v>2.8522599999999998</v>
          </cell>
          <cell r="L1034">
            <v>83.89</v>
          </cell>
          <cell r="AJ1034" t="str">
            <v>7RAC5F9EB07W4DHKTD</v>
          </cell>
        </row>
        <row r="1035">
          <cell r="K1035">
            <v>0.55725999999999998</v>
          </cell>
          <cell r="L1035">
            <v>16.39</v>
          </cell>
          <cell r="AJ1035" t="str">
            <v>2F7Y5WIXB01K7GEG9W</v>
          </cell>
        </row>
        <row r="1036">
          <cell r="K1036">
            <v>4.1224999999999996</v>
          </cell>
          <cell r="L1036">
            <v>121.25</v>
          </cell>
          <cell r="AJ1036" t="str">
            <v>3BEWVQCYB074KGS5C3</v>
          </cell>
        </row>
        <row r="1037">
          <cell r="K1037">
            <v>1.09514</v>
          </cell>
          <cell r="L1037">
            <v>32.21</v>
          </cell>
          <cell r="AJ1037" t="str">
            <v>31DJDC7QB07W6JKH1B</v>
          </cell>
        </row>
        <row r="1038">
          <cell r="K1038">
            <v>0.89590000000000003</v>
          </cell>
          <cell r="L1038">
            <v>26.35</v>
          </cell>
          <cell r="AJ1038" t="str">
            <v>3OXMGR8FB00BCE30RS</v>
          </cell>
        </row>
        <row r="1039">
          <cell r="K1039">
            <v>3.94468</v>
          </cell>
          <cell r="L1039">
            <v>116.02</v>
          </cell>
          <cell r="AJ1039" t="str">
            <v>1LQM129ZB07W6HPP3R</v>
          </cell>
        </row>
        <row r="1040">
          <cell r="K1040">
            <v>0.62763999999999998</v>
          </cell>
          <cell r="L1040">
            <v>18.46</v>
          </cell>
          <cell r="AJ1040" t="str">
            <v>8BG295LIB07W6H83LD</v>
          </cell>
        </row>
        <row r="1041">
          <cell r="K1041">
            <v>1.4348000000000001</v>
          </cell>
          <cell r="L1041">
            <v>42.2</v>
          </cell>
          <cell r="AJ1041" t="str">
            <v>2FPVCNJHB07W4DH5GL</v>
          </cell>
        </row>
        <row r="1042">
          <cell r="K1042">
            <v>0.79627999999999999</v>
          </cell>
          <cell r="L1042">
            <v>23.42</v>
          </cell>
          <cell r="AJ1042" t="str">
            <v>1X4DXX4TB006T02YRM</v>
          </cell>
        </row>
        <row r="1043">
          <cell r="K1043">
            <v>2.3667400000000001</v>
          </cell>
          <cell r="L1043">
            <v>69.61</v>
          </cell>
          <cell r="AJ1043" t="str">
            <v>5KUAVFPZB0044AFFMK</v>
          </cell>
        </row>
        <row r="1044">
          <cell r="K1044">
            <v>0.79627999999999999</v>
          </cell>
          <cell r="L1044">
            <v>23.419999999999998</v>
          </cell>
          <cell r="AJ1044" t="str">
            <v>1X4DXX4TB006T02YRM</v>
          </cell>
        </row>
        <row r="1045">
          <cell r="K1045" t="e">
            <v>#DIV/0!</v>
          </cell>
          <cell r="L1045" t="e">
            <v>#DIV/0!</v>
          </cell>
          <cell r="AJ1045" t="str">
            <v>6451M4NBB07H3HGS9R</v>
          </cell>
        </row>
        <row r="1046">
          <cell r="K1046">
            <v>25.97906</v>
          </cell>
          <cell r="L1046">
            <v>764.09</v>
          </cell>
          <cell r="AJ1046" t="str">
            <v>2TMBDXBKB07W4DGQC1</v>
          </cell>
        </row>
        <row r="1047">
          <cell r="K1047">
            <v>0.31823999999999997</v>
          </cell>
          <cell r="L1047">
            <v>9.36</v>
          </cell>
          <cell r="AJ1047" t="str">
            <v>4GF112AEB00P7RAI8A</v>
          </cell>
        </row>
        <row r="1048">
          <cell r="K1048">
            <v>1.5245600000000001</v>
          </cell>
          <cell r="L1048">
            <v>44.84</v>
          </cell>
          <cell r="AJ1048" t="str">
            <v>3A946EXYB07W4DHMVB</v>
          </cell>
        </row>
        <row r="1049">
          <cell r="K1049">
            <v>2.5639399999999997</v>
          </cell>
          <cell r="L1049">
            <v>75.41</v>
          </cell>
          <cell r="AJ1049" t="str">
            <v>1X4DXX4TB07W5JK1JN</v>
          </cell>
        </row>
        <row r="1050">
          <cell r="K1050">
            <v>2.8522599999999998</v>
          </cell>
          <cell r="L1050">
            <v>83.89</v>
          </cell>
          <cell r="AJ1050" t="str">
            <v>7H9X1Z6SB07W7MKLNT</v>
          </cell>
        </row>
        <row r="1051">
          <cell r="K1051">
            <v>2.36572</v>
          </cell>
          <cell r="L1051">
            <v>69.58</v>
          </cell>
          <cell r="AJ1051" t="str">
            <v>1X4DXX4TB07W5JKWTH</v>
          </cell>
        </row>
        <row r="1052">
          <cell r="K1052">
            <v>0.23868</v>
          </cell>
          <cell r="L1052">
            <v>7.02</v>
          </cell>
          <cell r="AJ1052" t="str">
            <v>6451M4NBB07H3HGS9R</v>
          </cell>
        </row>
        <row r="1053">
          <cell r="K1053">
            <v>0.55725999999999998</v>
          </cell>
          <cell r="L1053">
            <v>16.39</v>
          </cell>
          <cell r="AJ1053" t="str">
            <v>5X1OU9ZGB01K7GEAF2</v>
          </cell>
        </row>
        <row r="1054">
          <cell r="K1054">
            <v>1.4932799999999999</v>
          </cell>
          <cell r="L1054">
            <v>43.92</v>
          </cell>
          <cell r="AJ1054" t="str">
            <v>69351YNLB0797FYB3K</v>
          </cell>
        </row>
        <row r="1055">
          <cell r="K1055">
            <v>2.5632600000000001</v>
          </cell>
          <cell r="L1055">
            <v>75.39</v>
          </cell>
          <cell r="AJ1055" t="str">
            <v>3IQS66UGB07W6JQ52X</v>
          </cell>
        </row>
        <row r="1056">
          <cell r="K1056">
            <v>0.69699999999999995</v>
          </cell>
          <cell r="L1056">
            <v>20.5</v>
          </cell>
          <cell r="AJ1056" t="str">
            <v>6SZP9P7CB006ZLK9SQ</v>
          </cell>
        </row>
        <row r="1057">
          <cell r="K1057">
            <v>2.5639400000000001</v>
          </cell>
          <cell r="L1057">
            <v>75.41</v>
          </cell>
          <cell r="AJ1057" t="str">
            <v>1X4DXX4TB07W5JK1JN</v>
          </cell>
        </row>
        <row r="1058">
          <cell r="K1058">
            <v>2.3140400000000003</v>
          </cell>
          <cell r="L1058">
            <v>68.06</v>
          </cell>
          <cell r="AJ1058" t="str">
            <v>4GF112AEB07W7L9JXG</v>
          </cell>
        </row>
        <row r="1059">
          <cell r="K1059">
            <v>3.57</v>
          </cell>
          <cell r="L1059">
            <v>105</v>
          </cell>
          <cell r="AJ1059" t="str">
            <v>7SCVG2OTB01GHP1IDY</v>
          </cell>
        </row>
        <row r="1060">
          <cell r="K1060">
            <v>1.5775999999999999</v>
          </cell>
          <cell r="L1060">
            <v>46.4</v>
          </cell>
          <cell r="AJ1060" t="str">
            <v>56UO2L2IB07W8P4PDD</v>
          </cell>
        </row>
        <row r="1061">
          <cell r="K1061">
            <v>0.39406000000000002</v>
          </cell>
          <cell r="L1061">
            <v>11.59</v>
          </cell>
          <cell r="AJ1061" t="str">
            <v>5MWU8WTDB07VWZHCNX</v>
          </cell>
        </row>
        <row r="1062">
          <cell r="K1062">
            <v>0.55726000000000009</v>
          </cell>
          <cell r="L1062">
            <v>16.39</v>
          </cell>
          <cell r="AJ1062" t="str">
            <v>243WWSUAB00EJ3RMDM</v>
          </cell>
        </row>
        <row r="1063">
          <cell r="K1063">
            <v>1.09514</v>
          </cell>
          <cell r="L1063">
            <v>32.21</v>
          </cell>
          <cell r="AJ1063" t="str">
            <v>5KUAVFPZB07W6GNXZG</v>
          </cell>
        </row>
        <row r="1064">
          <cell r="K1064">
            <v>1.4932799999999999</v>
          </cell>
          <cell r="L1064">
            <v>43.92</v>
          </cell>
          <cell r="AJ1064" t="str">
            <v>4A3KDTEZB0797JRLQC</v>
          </cell>
        </row>
        <row r="1065">
          <cell r="K1065">
            <v>2.8522599999999998</v>
          </cell>
          <cell r="L1065">
            <v>83.89</v>
          </cell>
          <cell r="AJ1065" t="str">
            <v>54JZ1ZVPB07W5JKPJX</v>
          </cell>
        </row>
        <row r="1066">
          <cell r="K1066">
            <v>2.8522600000000002</v>
          </cell>
          <cell r="L1066">
            <v>83.89</v>
          </cell>
          <cell r="AJ1066" t="str">
            <v>54JZ1ZVPB07W5JKPJX</v>
          </cell>
        </row>
        <row r="1067">
          <cell r="K1067">
            <v>1.4932799999999999</v>
          </cell>
          <cell r="L1067">
            <v>43.92</v>
          </cell>
          <cell r="AJ1067" t="str">
            <v>4A3KDTEZB0797JRLQC</v>
          </cell>
        </row>
        <row r="1068">
          <cell r="K1068">
            <v>2.3667400000000001</v>
          </cell>
          <cell r="L1068">
            <v>69.61</v>
          </cell>
          <cell r="AJ1068" t="str">
            <v>6MKSEO6MB0044AFFMK</v>
          </cell>
        </row>
        <row r="1069">
          <cell r="K1069">
            <v>3.2922199999999999</v>
          </cell>
          <cell r="L1069">
            <v>96.83</v>
          </cell>
          <cell r="AJ1069" t="str">
            <v>7H9X1Z6SB002VA464S</v>
          </cell>
        </row>
        <row r="1070">
          <cell r="K1070">
            <v>7.5163800000000007</v>
          </cell>
          <cell r="L1070">
            <v>221.07000000000002</v>
          </cell>
          <cell r="AJ1070" t="str">
            <v>44DTI43XB00YUIM2J0</v>
          </cell>
        </row>
        <row r="1071">
          <cell r="K1071">
            <v>2.7417599999999998</v>
          </cell>
          <cell r="L1071">
            <v>80.64</v>
          </cell>
          <cell r="AJ1071" t="str">
            <v>7LA8DZCZB07W7J6RBC</v>
          </cell>
        </row>
        <row r="1072">
          <cell r="K1072">
            <v>2.7611400000000001</v>
          </cell>
          <cell r="L1072">
            <v>81.209999999999994</v>
          </cell>
          <cell r="AJ1072" t="str">
            <v>7H9X1Z6SB07W6GY48B</v>
          </cell>
        </row>
        <row r="1073">
          <cell r="K1073">
            <v>1.9553400000000001</v>
          </cell>
          <cell r="L1073">
            <v>57.51</v>
          </cell>
          <cell r="AJ1073" t="str">
            <v>3GBCH66MB06XQ323B3</v>
          </cell>
        </row>
        <row r="1074">
          <cell r="K1074">
            <v>2.1498200000000001</v>
          </cell>
          <cell r="L1074">
            <v>63.23</v>
          </cell>
          <cell r="AJ1074" t="str">
            <v>3KYCEHVHB006A2Q81M</v>
          </cell>
        </row>
        <row r="1075">
          <cell r="K1075">
            <v>2.3470200000000001</v>
          </cell>
          <cell r="L1075">
            <v>69.03</v>
          </cell>
          <cell r="AJ1075" t="str">
            <v>7H9X1Z6SB07W4DH9QZ</v>
          </cell>
        </row>
        <row r="1076">
          <cell r="K1076">
            <v>1.4932799999999999</v>
          </cell>
          <cell r="L1076">
            <v>43.92</v>
          </cell>
          <cell r="AJ1076" t="str">
            <v>1PSIXGLTB0797JRLQC</v>
          </cell>
        </row>
        <row r="1077">
          <cell r="K1077">
            <v>1.09514</v>
          </cell>
          <cell r="L1077">
            <v>32.21</v>
          </cell>
          <cell r="AJ1077" t="str">
            <v>4LYATDUXB013SL1ZBK</v>
          </cell>
        </row>
        <row r="1078">
          <cell r="K1078">
            <v>0.55725999999999998</v>
          </cell>
          <cell r="L1078">
            <v>16.39</v>
          </cell>
          <cell r="AJ1078" t="str">
            <v>4LYATDUXB07W6G822V</v>
          </cell>
        </row>
        <row r="1079">
          <cell r="K1079">
            <v>2.3470200000000001</v>
          </cell>
          <cell r="L1079">
            <v>69.03</v>
          </cell>
          <cell r="AJ1079" t="str">
            <v>7H9X1Z6SB07W4DH9QZ</v>
          </cell>
        </row>
        <row r="1080">
          <cell r="K1080">
            <v>1.25562</v>
          </cell>
          <cell r="L1080">
            <v>36.93</v>
          </cell>
          <cell r="AJ1080" t="str">
            <v>5MWU8WTDB07CGPZ3ZQ</v>
          </cell>
        </row>
        <row r="1081">
          <cell r="K1081">
            <v>0.79627999999999999</v>
          </cell>
          <cell r="L1081">
            <v>23.419999999999998</v>
          </cell>
          <cell r="AJ1081" t="str">
            <v>1X4DXX4TB07W6JNWP8</v>
          </cell>
        </row>
        <row r="1082">
          <cell r="K1082">
            <v>0.55726000000000009</v>
          </cell>
          <cell r="L1082">
            <v>16.39</v>
          </cell>
          <cell r="AJ1082" t="str">
            <v>2M7QFTCOB07W6GVZFL</v>
          </cell>
        </row>
        <row r="1083">
          <cell r="K1083">
            <v>1.09514</v>
          </cell>
          <cell r="L1083">
            <v>32.21</v>
          </cell>
          <cell r="AJ1083" t="str">
            <v>4LYATDUXB013SL1ZBK</v>
          </cell>
        </row>
        <row r="1084">
          <cell r="K1084">
            <v>0.99551999999999996</v>
          </cell>
          <cell r="L1084">
            <v>29.28</v>
          </cell>
          <cell r="AJ1084" t="str">
            <v>7H9X1Z6SB07W6JHB2P</v>
          </cell>
        </row>
        <row r="1085">
          <cell r="K1085">
            <v>1.34504</v>
          </cell>
          <cell r="L1085">
            <v>39.56</v>
          </cell>
          <cell r="AJ1085" t="str">
            <v>4F3XMHTVB07W6HLSFF</v>
          </cell>
        </row>
        <row r="1086">
          <cell r="K1086">
            <v>2.5639400000000001</v>
          </cell>
          <cell r="L1086">
            <v>75.41</v>
          </cell>
          <cell r="AJ1086" t="str">
            <v>7EMS2FPGB01MT5WMMG</v>
          </cell>
        </row>
        <row r="1087">
          <cell r="K1087">
            <v>0.80715999999999999</v>
          </cell>
          <cell r="L1087">
            <v>23.74</v>
          </cell>
          <cell r="AJ1087" t="str">
            <v>2R6FMUZDB07W6JPVPF</v>
          </cell>
        </row>
        <row r="1088">
          <cell r="K1088">
            <v>2.3140399999999999</v>
          </cell>
          <cell r="L1088">
            <v>68.06</v>
          </cell>
          <cell r="AJ1088" t="str">
            <v>2R6FMUZDB07W6HJPSW</v>
          </cell>
        </row>
        <row r="1089">
          <cell r="K1089">
            <v>1.4667600000000001</v>
          </cell>
          <cell r="L1089">
            <v>43.14</v>
          </cell>
          <cell r="AJ1089" t="str">
            <v>4GF112AEB07W6GFN9S</v>
          </cell>
        </row>
        <row r="1090">
          <cell r="K1090">
            <v>0.31823999999999997</v>
          </cell>
          <cell r="L1090">
            <v>9.36</v>
          </cell>
          <cell r="AJ1090" t="str">
            <v>1KW92RHQB00BT8QIJ4</v>
          </cell>
        </row>
        <row r="1091">
          <cell r="K1091">
            <v>1.19442</v>
          </cell>
          <cell r="L1091">
            <v>35.130000000000003</v>
          </cell>
          <cell r="AJ1091" t="str">
            <v>31DJDC7QB07W4DGLJX</v>
          </cell>
        </row>
        <row r="1092">
          <cell r="K1092">
            <v>3.92496</v>
          </cell>
          <cell r="L1092">
            <v>115.44000000000001</v>
          </cell>
          <cell r="AJ1092" t="str">
            <v>24EUBTHXB003UPJXIC</v>
          </cell>
        </row>
        <row r="1093">
          <cell r="K1093">
            <v>1.09514</v>
          </cell>
          <cell r="L1093">
            <v>32.21</v>
          </cell>
          <cell r="AJ1093" t="str">
            <v>2M7QFTCOB07W6JKH1B</v>
          </cell>
        </row>
        <row r="1094">
          <cell r="K1094">
            <v>0.98599999999999999</v>
          </cell>
          <cell r="L1094">
            <v>29</v>
          </cell>
          <cell r="AJ1094" t="str">
            <v>24EUBTHXB07W7K29YM</v>
          </cell>
        </row>
        <row r="1095">
          <cell r="K1095">
            <v>0.79627999999999999</v>
          </cell>
          <cell r="L1095">
            <v>23.42</v>
          </cell>
          <cell r="AJ1095" t="str">
            <v>7LA8DZCZB00MWR5IQK</v>
          </cell>
        </row>
        <row r="1096">
          <cell r="K1096">
            <v>1.09514</v>
          </cell>
          <cell r="L1096">
            <v>32.21</v>
          </cell>
          <cell r="AJ1096" t="str">
            <v>31DJDC7QB07W4DHT47</v>
          </cell>
        </row>
        <row r="1097">
          <cell r="K1097">
            <v>8.169179999999999</v>
          </cell>
          <cell r="L1097">
            <v>240.26999999999998</v>
          </cell>
          <cell r="AJ1097" t="str">
            <v>1KW92RHQB07W6JPZBL</v>
          </cell>
        </row>
        <row r="1098">
          <cell r="K1098">
            <v>0.98599999999999988</v>
          </cell>
          <cell r="L1098">
            <v>29</v>
          </cell>
          <cell r="AJ1098" t="str">
            <v>243WWSUAB07W7LF6F1</v>
          </cell>
        </row>
        <row r="1099">
          <cell r="K1099">
            <v>3.1361599999999998</v>
          </cell>
          <cell r="L1099">
            <v>92.24</v>
          </cell>
          <cell r="AJ1099" t="str">
            <v>1X4DXX4TB07W4DHNBF</v>
          </cell>
        </row>
        <row r="1100">
          <cell r="K1100">
            <v>2.7611399999999997</v>
          </cell>
          <cell r="L1100">
            <v>81.210000000000008</v>
          </cell>
          <cell r="AJ1100" t="str">
            <v>7H9X1Z6SB07W6GY48B</v>
          </cell>
        </row>
        <row r="1101">
          <cell r="K1101">
            <v>3.74918</v>
          </cell>
          <cell r="L1101">
            <v>110.27</v>
          </cell>
          <cell r="AJ1101" t="str">
            <v>6LL8HOVUB07VWF2HCL</v>
          </cell>
        </row>
        <row r="1102">
          <cell r="K1102">
            <v>1.25562</v>
          </cell>
          <cell r="L1102">
            <v>36.93</v>
          </cell>
          <cell r="AJ1102" t="str">
            <v>5MWU8WTDB07CGPZ3ZQ</v>
          </cell>
        </row>
        <row r="1103">
          <cell r="K1103">
            <v>0.30226000000000003</v>
          </cell>
          <cell r="L1103">
            <v>8.89</v>
          </cell>
          <cell r="AJ1103" t="str">
            <v>4AP423UWB07W5JK3Z2</v>
          </cell>
        </row>
        <row r="1104">
          <cell r="K1104">
            <v>2.5445600000000002</v>
          </cell>
          <cell r="L1104">
            <v>74.84</v>
          </cell>
          <cell r="AJ1104" t="str">
            <v>17D6YHERB07W6JPVP3</v>
          </cell>
        </row>
        <row r="1105">
          <cell r="K1105">
            <v>2.0780799999999999</v>
          </cell>
          <cell r="L1105">
            <v>61.12</v>
          </cell>
          <cell r="AJ1105" t="str">
            <v>4A3KDTEZB07W6JGH91</v>
          </cell>
        </row>
        <row r="1106">
          <cell r="K1106">
            <v>1.25562</v>
          </cell>
          <cell r="L1106">
            <v>36.93</v>
          </cell>
          <cell r="AJ1106" t="str">
            <v>5MWU8WTDB07CGPZ3ZQ</v>
          </cell>
        </row>
        <row r="1107">
          <cell r="K1107">
            <v>1.09514</v>
          </cell>
          <cell r="L1107">
            <v>32.21</v>
          </cell>
          <cell r="AJ1107" t="str">
            <v>2M7QFTCOB07W6JKH1B</v>
          </cell>
        </row>
        <row r="1108">
          <cell r="K1108">
            <v>1.3936599999999999</v>
          </cell>
          <cell r="L1108">
            <v>40.99</v>
          </cell>
          <cell r="AJ1108" t="str">
            <v>4A3KDTEZB009N6WMOY</v>
          </cell>
        </row>
        <row r="1109">
          <cell r="K1109">
            <v>0.80715999999999999</v>
          </cell>
          <cell r="L1109">
            <v>23.74</v>
          </cell>
          <cell r="AJ1109" t="str">
            <v>2W68T8TOB07W6HBBMH</v>
          </cell>
        </row>
        <row r="1110">
          <cell r="K1110" t="e">
            <v>#DIV/0!</v>
          </cell>
          <cell r="L1110" t="e">
            <v>#DIV/0!</v>
          </cell>
          <cell r="AJ1110" t="str">
            <v>2TMBDXBKB07W4DH9CY</v>
          </cell>
        </row>
        <row r="1111">
          <cell r="K1111">
            <v>2.8522600000000002</v>
          </cell>
          <cell r="L1111">
            <v>83.89</v>
          </cell>
          <cell r="AJ1111" t="str">
            <v>2TMBDXBKB07W4DH9CY</v>
          </cell>
        </row>
        <row r="1112">
          <cell r="K1112">
            <v>0.39406000000000002</v>
          </cell>
          <cell r="L1112">
            <v>11.59</v>
          </cell>
          <cell r="AJ1112" t="str">
            <v>4F3XMHTVB07VWZHCNX</v>
          </cell>
        </row>
        <row r="1113">
          <cell r="K1113">
            <v>1.81934</v>
          </cell>
          <cell r="L1113">
            <v>53.51</v>
          </cell>
          <cell r="AJ1113" t="str">
            <v>56UO2L2IB07W6HLQ35</v>
          </cell>
        </row>
        <row r="1114">
          <cell r="K1114">
            <v>1.25562</v>
          </cell>
          <cell r="L1114">
            <v>36.93</v>
          </cell>
          <cell r="AJ1114" t="str">
            <v>3KYCEHVHB07CGNP3RH</v>
          </cell>
        </row>
        <row r="1115">
          <cell r="K1115">
            <v>2.5639400000000001</v>
          </cell>
          <cell r="L1115">
            <v>75.41</v>
          </cell>
          <cell r="AJ1115" t="str">
            <v>4A3KDTEZB01MT5WL4M</v>
          </cell>
        </row>
        <row r="1116">
          <cell r="K1116">
            <v>2.1498200000000001</v>
          </cell>
          <cell r="L1116">
            <v>63.23</v>
          </cell>
          <cell r="AJ1116" t="str">
            <v>2M7QFTCOB07W6J6WYH</v>
          </cell>
        </row>
        <row r="1117">
          <cell r="K1117">
            <v>2.1498200000000001</v>
          </cell>
          <cell r="L1117">
            <v>63.23</v>
          </cell>
          <cell r="AJ1117" t="str">
            <v>2M7QFTCOB07W6J6WYH</v>
          </cell>
        </row>
        <row r="1118">
          <cell r="K1118">
            <v>2.5639400000000001</v>
          </cell>
          <cell r="L1118">
            <v>75.41</v>
          </cell>
          <cell r="AJ1118" t="str">
            <v>1X4DXX4TB01L6L52K4</v>
          </cell>
        </row>
        <row r="1119">
          <cell r="K1119">
            <v>4.5362799999999996</v>
          </cell>
          <cell r="L1119">
            <v>133.41999999999999</v>
          </cell>
          <cell r="AJ1119" t="str">
            <v>36BT7GGLB07W6JNF81</v>
          </cell>
        </row>
        <row r="1120">
          <cell r="K1120">
            <v>2.8522599999999998</v>
          </cell>
          <cell r="L1120">
            <v>83.89</v>
          </cell>
          <cell r="AJ1120" t="str">
            <v>2M7QFTCOB07W4DHKTD</v>
          </cell>
        </row>
        <row r="1121">
          <cell r="K1121">
            <v>1.5864399999999999</v>
          </cell>
          <cell r="L1121">
            <v>46.66</v>
          </cell>
          <cell r="AJ1121" t="str">
            <v>4LYATDUXB00C7INSWU</v>
          </cell>
        </row>
        <row r="1122">
          <cell r="K1122">
            <v>0.43791999999999998</v>
          </cell>
          <cell r="L1122">
            <v>12.879999999999999</v>
          </cell>
          <cell r="AJ1122" t="str">
            <v>5X1OU9ZGB00745IE2K</v>
          </cell>
        </row>
        <row r="1123">
          <cell r="K1123">
            <v>2.49356</v>
          </cell>
          <cell r="L1123">
            <v>73.34</v>
          </cell>
          <cell r="AJ1123" t="str">
            <v>1VBBCE3CB07G5XJLWK</v>
          </cell>
        </row>
        <row r="1124">
          <cell r="K1124">
            <v>2.49356</v>
          </cell>
          <cell r="L1124">
            <v>73.34</v>
          </cell>
          <cell r="AJ1124" t="str">
            <v>1VBBCE3CB07G5XJLWK</v>
          </cell>
        </row>
        <row r="1125">
          <cell r="K1125">
            <v>0.43791999999999998</v>
          </cell>
          <cell r="L1125">
            <v>12.88</v>
          </cell>
          <cell r="AJ1125" t="str">
            <v>5X1OU9ZGB00745IE2K</v>
          </cell>
        </row>
        <row r="1126">
          <cell r="K1126">
            <v>1.7938400000000001</v>
          </cell>
          <cell r="L1126">
            <v>52.76</v>
          </cell>
          <cell r="AJ1126" t="str">
            <v>2W68T8TOB07W6JGH8Z</v>
          </cell>
        </row>
        <row r="1127">
          <cell r="K1127">
            <v>0.99551999999999996</v>
          </cell>
          <cell r="L1127">
            <v>29.28</v>
          </cell>
          <cell r="AJ1127" t="str">
            <v>7H9X1Z6SB07W6J829G</v>
          </cell>
        </row>
        <row r="1128">
          <cell r="K1128">
            <v>0.55725999999999998</v>
          </cell>
          <cell r="L1128">
            <v>16.39</v>
          </cell>
          <cell r="AJ1128" t="str">
            <v>8M8TKVMPB077BT728N</v>
          </cell>
        </row>
        <row r="1129">
          <cell r="K1129">
            <v>2.5639400000000001</v>
          </cell>
          <cell r="L1129">
            <v>75.41</v>
          </cell>
          <cell r="AJ1129" t="str">
            <v>5X1OU9ZGB07W5JK1JN</v>
          </cell>
        </row>
        <row r="1130">
          <cell r="K1130">
            <v>2.5639400000000001</v>
          </cell>
          <cell r="L1130">
            <v>75.41</v>
          </cell>
          <cell r="AJ1130" t="str">
            <v>7H9X1Z6SB07W6HXQ9J</v>
          </cell>
        </row>
        <row r="1131">
          <cell r="K1131">
            <v>0.43791999999999998</v>
          </cell>
          <cell r="L1131">
            <v>12.88</v>
          </cell>
          <cell r="AJ1131" t="str">
            <v>5X1OU9ZGB00745IE0W</v>
          </cell>
        </row>
        <row r="1132">
          <cell r="K1132">
            <v>2.9583400000000002</v>
          </cell>
          <cell r="L1132">
            <v>87.01</v>
          </cell>
          <cell r="AJ1132" t="str">
            <v>64HSRN5OB07W5JK2L1</v>
          </cell>
        </row>
        <row r="1133">
          <cell r="K1133">
            <v>0.62763999999999998</v>
          </cell>
          <cell r="L1133">
            <v>18.46</v>
          </cell>
          <cell r="AJ1133" t="str">
            <v>8BG295LIB07W5JKR75</v>
          </cell>
        </row>
        <row r="1134">
          <cell r="K1134">
            <v>1.19442</v>
          </cell>
          <cell r="L1134">
            <v>35.130000000000003</v>
          </cell>
          <cell r="AJ1134" t="str">
            <v>6451M4NBB07VRLJHFH</v>
          </cell>
        </row>
        <row r="1135">
          <cell r="K1135">
            <v>4.8256199999999998</v>
          </cell>
          <cell r="L1135">
            <v>141.92999999999998</v>
          </cell>
          <cell r="AJ1135" t="str">
            <v>4A3KDTEZB07VTRZLWJ</v>
          </cell>
        </row>
        <row r="1136">
          <cell r="K1136">
            <v>0.99551999999999996</v>
          </cell>
          <cell r="L1136">
            <v>29.28</v>
          </cell>
          <cell r="AJ1136" t="str">
            <v>4GF112AEB07W6J829G</v>
          </cell>
        </row>
        <row r="1137">
          <cell r="K1137">
            <v>2.66526</v>
          </cell>
          <cell r="L1137">
            <v>78.39</v>
          </cell>
          <cell r="AJ1137" t="str">
            <v>3KYCEHVHB07W4DHDCQ</v>
          </cell>
        </row>
        <row r="1138">
          <cell r="K1138">
            <v>1.19442</v>
          </cell>
          <cell r="L1138">
            <v>35.130000000000003</v>
          </cell>
          <cell r="AJ1138" t="str">
            <v>243WWSUAB016QPMN84</v>
          </cell>
        </row>
        <row r="1139">
          <cell r="K1139">
            <v>3.1786599999999998</v>
          </cell>
          <cell r="L1139">
            <v>93.49</v>
          </cell>
          <cell r="AJ1139" t="str">
            <v>4GF112AEB07W6HCFYS</v>
          </cell>
        </row>
        <row r="1140">
          <cell r="K1140">
            <v>1.19442</v>
          </cell>
          <cell r="L1140">
            <v>35.130000000000003</v>
          </cell>
          <cell r="AJ1140" t="str">
            <v>1X4DXX4TB07VL9YHC9</v>
          </cell>
        </row>
        <row r="1141">
          <cell r="K1141">
            <v>1.09514</v>
          </cell>
          <cell r="L1141">
            <v>32.21</v>
          </cell>
          <cell r="AJ1141" t="str">
            <v>1KW92RHQB07W4DGQSX</v>
          </cell>
        </row>
        <row r="1142">
          <cell r="K1142">
            <v>0.55726000000000009</v>
          </cell>
          <cell r="L1142">
            <v>16.39</v>
          </cell>
          <cell r="AJ1142" t="str">
            <v>1UJ41WNCB00EJ3RN7C</v>
          </cell>
        </row>
        <row r="1143">
          <cell r="K1143">
            <v>1.0580799999999999</v>
          </cell>
          <cell r="L1143">
            <v>31.12</v>
          </cell>
          <cell r="AJ1143" t="str">
            <v>5MWU8WTDB07W5JKBMG</v>
          </cell>
        </row>
        <row r="1144">
          <cell r="K1144">
            <v>2.6730800000000001</v>
          </cell>
          <cell r="L1144">
            <v>78.62</v>
          </cell>
          <cell r="AJ1144" t="str">
            <v>7H9X1Z6SB01MYW8COY</v>
          </cell>
        </row>
        <row r="1145">
          <cell r="K1145">
            <v>1.3804000000000001</v>
          </cell>
          <cell r="L1145">
            <v>40.6</v>
          </cell>
          <cell r="AJ1145" t="str">
            <v>31DJDC7QB00OK49SMI</v>
          </cell>
        </row>
        <row r="1146">
          <cell r="K1146">
            <v>7.15768</v>
          </cell>
          <cell r="L1146">
            <v>210.52</v>
          </cell>
          <cell r="AJ1146" t="str">
            <v>7ILTX3HJB07W6JB7N7</v>
          </cell>
        </row>
        <row r="1147">
          <cell r="K1147">
            <v>7.6959</v>
          </cell>
          <cell r="L1147">
            <v>226.35</v>
          </cell>
          <cell r="AJ1147" t="str">
            <v>4A3KDTEZB07W7KFFFF</v>
          </cell>
        </row>
        <row r="1148">
          <cell r="K1148">
            <v>2.6730800000000001</v>
          </cell>
          <cell r="L1148">
            <v>78.62</v>
          </cell>
          <cell r="AJ1148" t="str">
            <v>4GF112AEB01MYW8COY</v>
          </cell>
        </row>
        <row r="1149">
          <cell r="K1149">
            <v>0.89589999999999992</v>
          </cell>
          <cell r="L1149">
            <v>26.35</v>
          </cell>
          <cell r="AJ1149" t="str">
            <v>4GF112AEB07W6J829F</v>
          </cell>
        </row>
        <row r="1150">
          <cell r="K1150">
            <v>2.8522599999999998</v>
          </cell>
          <cell r="L1150">
            <v>83.89</v>
          </cell>
          <cell r="AJ1150" t="str">
            <v>8BG295LIB07QKC4WWD</v>
          </cell>
        </row>
        <row r="1151">
          <cell r="K1151">
            <v>1.61432</v>
          </cell>
          <cell r="L1151">
            <v>47.48</v>
          </cell>
          <cell r="AJ1151" t="str">
            <v>7CQW3EPPB07W7MQMD9</v>
          </cell>
        </row>
        <row r="1152">
          <cell r="K1152">
            <v>2.5639400000000001</v>
          </cell>
          <cell r="L1152">
            <v>75.41</v>
          </cell>
          <cell r="AJ1152" t="str">
            <v>3A946EXYB07W4DGFSM</v>
          </cell>
        </row>
        <row r="1153">
          <cell r="K1153">
            <v>1.09514</v>
          </cell>
          <cell r="L1153">
            <v>32.21</v>
          </cell>
          <cell r="AJ1153" t="str">
            <v>4LYATDUXB013SL1ZBK</v>
          </cell>
        </row>
        <row r="1154">
          <cell r="K1154">
            <v>2.3140399999999999</v>
          </cell>
          <cell r="L1154">
            <v>68.06</v>
          </cell>
          <cell r="AJ1154" t="str">
            <v>1PSIXGLTB07W5JHLZK</v>
          </cell>
        </row>
        <row r="1155">
          <cell r="K1155">
            <v>2.8522600000000002</v>
          </cell>
          <cell r="L1155">
            <v>83.89</v>
          </cell>
          <cell r="AJ1155" t="str">
            <v>8BG295LIB07QKC4WWD</v>
          </cell>
        </row>
        <row r="1156">
          <cell r="K1156">
            <v>1.09514</v>
          </cell>
          <cell r="L1156">
            <v>32.21</v>
          </cell>
          <cell r="AJ1156" t="str">
            <v>56UO2L2IB07W5JKPFG</v>
          </cell>
        </row>
        <row r="1157">
          <cell r="K1157">
            <v>0.62763999999999998</v>
          </cell>
          <cell r="L1157">
            <v>18.46</v>
          </cell>
          <cell r="AJ1157" t="str">
            <v>8BG295LIB07W5JKR75</v>
          </cell>
        </row>
        <row r="1158">
          <cell r="K1158">
            <v>7.5163800000000007</v>
          </cell>
          <cell r="L1158">
            <v>221.07000000000002</v>
          </cell>
          <cell r="AJ1158" t="str">
            <v>17D6YHERB011N78DMA</v>
          </cell>
        </row>
        <row r="1159">
          <cell r="K1159">
            <v>0.31823999999999997</v>
          </cell>
          <cell r="L1159">
            <v>9.36</v>
          </cell>
          <cell r="AJ1159" t="str">
            <v>3PHD2T1GB004LAWLPW</v>
          </cell>
        </row>
        <row r="1160">
          <cell r="K1160">
            <v>2.49356</v>
          </cell>
          <cell r="L1160">
            <v>73.34</v>
          </cell>
          <cell r="AJ1160" t="str">
            <v>2TMBDXBKB07W6JLFZ2</v>
          </cell>
        </row>
        <row r="1161">
          <cell r="K1161">
            <v>5.0051399999999999</v>
          </cell>
          <cell r="L1161">
            <v>147.21</v>
          </cell>
          <cell r="AJ1161" t="str">
            <v>6ENZZ2HCB07JGCM9QM</v>
          </cell>
        </row>
        <row r="1162">
          <cell r="K1162">
            <v>0.69700000000000006</v>
          </cell>
          <cell r="L1162">
            <v>20.5</v>
          </cell>
          <cell r="AJ1162" t="str">
            <v>1X4DXX4TB006ZLK9SQ</v>
          </cell>
        </row>
        <row r="1163">
          <cell r="K1163" t="e">
            <v>#DIV/0!</v>
          </cell>
          <cell r="L1163" t="e">
            <v>#DIV/0!</v>
          </cell>
          <cell r="AJ1163" t="str">
            <v>5X1OU9ZGB01A9GXMW2</v>
          </cell>
        </row>
        <row r="1164">
          <cell r="K1164" t="e">
            <v>#DIV/0!</v>
          </cell>
          <cell r="L1164" t="e">
            <v>#DIV/0!</v>
          </cell>
          <cell r="AJ1164" t="str">
            <v>3KYCEHVHB01K7GEAFC</v>
          </cell>
        </row>
        <row r="1165">
          <cell r="K1165">
            <v>0.89589999999999992</v>
          </cell>
          <cell r="L1165">
            <v>26.35</v>
          </cell>
          <cell r="AJ1165" t="str">
            <v>3KYCEHVHB01K7GEAFC</v>
          </cell>
        </row>
        <row r="1166">
          <cell r="K1166">
            <v>3.74918</v>
          </cell>
          <cell r="L1166">
            <v>110.27</v>
          </cell>
          <cell r="AJ1166" t="str">
            <v>4A3KDTEZB07W6JPFH1</v>
          </cell>
        </row>
        <row r="1167">
          <cell r="K1167">
            <v>3.21096</v>
          </cell>
          <cell r="L1167">
            <v>94.44</v>
          </cell>
          <cell r="AJ1167" t="str">
            <v>3KYCEHVHB07W5JK9J9</v>
          </cell>
        </row>
        <row r="1168">
          <cell r="K1168">
            <v>3.74918</v>
          </cell>
          <cell r="L1168">
            <v>110.27</v>
          </cell>
          <cell r="AJ1168" t="str">
            <v>4A3KDTEZB07W6JPFH1</v>
          </cell>
        </row>
        <row r="1169">
          <cell r="K1169">
            <v>1.5245599999999999</v>
          </cell>
          <cell r="L1169">
            <v>44.839999999999996</v>
          </cell>
          <cell r="AJ1169" t="str">
            <v>17D6YHERB07W6GVS5C</v>
          </cell>
        </row>
        <row r="1170">
          <cell r="K1170">
            <v>0.69699999999999995</v>
          </cell>
          <cell r="L1170">
            <v>20.5</v>
          </cell>
          <cell r="AJ1170" t="str">
            <v>7LA8DZCZB0013N474I</v>
          </cell>
        </row>
        <row r="1171">
          <cell r="K1171">
            <v>0.69699999999999995</v>
          </cell>
          <cell r="L1171">
            <v>20.5</v>
          </cell>
          <cell r="AJ1171" t="str">
            <v>7H9X1Z6SB006YYNGNY</v>
          </cell>
        </row>
        <row r="1172">
          <cell r="K1172">
            <v>0.31824000000000002</v>
          </cell>
          <cell r="L1172">
            <v>9.36</v>
          </cell>
          <cell r="AJ1172" t="str">
            <v>5FPQ9KSZB01A9GXEOI</v>
          </cell>
        </row>
        <row r="1173">
          <cell r="K1173">
            <v>1.09514</v>
          </cell>
          <cell r="L1173">
            <v>32.21</v>
          </cell>
          <cell r="AJ1173" t="str">
            <v>7LA8DZCZB013SL26LS</v>
          </cell>
        </row>
        <row r="1174">
          <cell r="K1174">
            <v>1.4572400000000001</v>
          </cell>
          <cell r="L1174">
            <v>42.86</v>
          </cell>
          <cell r="AJ1174" t="str">
            <v>7H9X1Z6SB07H3HGVDW</v>
          </cell>
        </row>
        <row r="1175">
          <cell r="K1175">
            <v>7.5163799999999998</v>
          </cell>
          <cell r="L1175">
            <v>221.07</v>
          </cell>
          <cell r="AJ1175" t="str">
            <v>7ILTX3HJB011N78DMA</v>
          </cell>
        </row>
        <row r="1176">
          <cell r="K1176">
            <v>1.0761000000000001</v>
          </cell>
          <cell r="L1176">
            <v>31.65</v>
          </cell>
          <cell r="AJ1176" t="str">
            <v>7H9X1Z6SB07W5JHZKS</v>
          </cell>
        </row>
        <row r="1177">
          <cell r="K1177">
            <v>1.0580800000000001</v>
          </cell>
          <cell r="L1177">
            <v>31.12</v>
          </cell>
          <cell r="AJ1177" t="str">
            <v>3KYCEHVHB07W5JKBMG</v>
          </cell>
        </row>
        <row r="1178">
          <cell r="K1178">
            <v>1.19442</v>
          </cell>
          <cell r="L1178">
            <v>35.130000000000003</v>
          </cell>
          <cell r="AJ1178" t="str">
            <v>2TMBDXBKB07VL9YHC9</v>
          </cell>
        </row>
        <row r="1179">
          <cell r="K1179" t="e">
            <v>#DIV/0!</v>
          </cell>
          <cell r="L1179" t="e">
            <v>#DIV/0!</v>
          </cell>
          <cell r="AJ1179" t="str">
            <v>17D6YHERB013Y78YY4</v>
          </cell>
        </row>
        <row r="1180">
          <cell r="K1180">
            <v>7.15768</v>
          </cell>
          <cell r="L1180">
            <v>210.52</v>
          </cell>
          <cell r="AJ1180" t="str">
            <v>17D6YHERB013Y78YY4</v>
          </cell>
        </row>
        <row r="1181">
          <cell r="K1181">
            <v>5.6440000000000001</v>
          </cell>
          <cell r="L1181">
            <v>166</v>
          </cell>
          <cell r="AJ1181" t="str">
            <v>31DJDC7QB072R4BL6S</v>
          </cell>
        </row>
        <row r="1182">
          <cell r="K1182">
            <v>1.19442</v>
          </cell>
          <cell r="L1182">
            <v>35.130000000000003</v>
          </cell>
          <cell r="AJ1182" t="str">
            <v>2TMBDXBKB07VL9YHC9</v>
          </cell>
        </row>
        <row r="1183">
          <cell r="K1183">
            <v>0.31824000000000002</v>
          </cell>
          <cell r="L1183">
            <v>9.3600000000000012</v>
          </cell>
          <cell r="AJ1183" t="str">
            <v>7H9X1Z6SB019RPQML4</v>
          </cell>
        </row>
        <row r="1184">
          <cell r="K1184">
            <v>2.7611400000000001</v>
          </cell>
          <cell r="L1184">
            <v>81.210000000000008</v>
          </cell>
          <cell r="AJ1184" t="str">
            <v>2M7QFTCOB07W6HJ5L5</v>
          </cell>
        </row>
        <row r="1185">
          <cell r="K1185">
            <v>0.69700000000000006</v>
          </cell>
          <cell r="L1185">
            <v>20.5</v>
          </cell>
          <cell r="AJ1185" t="str">
            <v>1X4DXX4TB006ZLK9SQ</v>
          </cell>
        </row>
        <row r="1186">
          <cell r="K1186">
            <v>0.89590000000000003</v>
          </cell>
          <cell r="L1186">
            <v>26.349999999999998</v>
          </cell>
          <cell r="AJ1186" t="str">
            <v>26N6PTLNB00NP797AE</v>
          </cell>
        </row>
        <row r="1187">
          <cell r="K1187">
            <v>0.17884</v>
          </cell>
          <cell r="L1187">
            <v>5.26</v>
          </cell>
          <cell r="AJ1187" t="str">
            <v>3J421ZZBB07W7LTQ4B</v>
          </cell>
        </row>
        <row r="1188">
          <cell r="K1188">
            <v>3.21096</v>
          </cell>
          <cell r="L1188">
            <v>94.44</v>
          </cell>
          <cell r="AJ1188" t="str">
            <v>1X4DXX4TB01M9EWQ2W</v>
          </cell>
        </row>
        <row r="1189">
          <cell r="K1189">
            <v>2.2664399999999998</v>
          </cell>
          <cell r="L1189">
            <v>66.66</v>
          </cell>
          <cell r="AJ1189" t="str">
            <v>2CLMXQWQB071ZFMC9Q</v>
          </cell>
        </row>
        <row r="1190">
          <cell r="K1190">
            <v>5.8707799999999999</v>
          </cell>
          <cell r="L1190">
            <v>172.67</v>
          </cell>
          <cell r="AJ1190" t="str">
            <v>4GF112AEB01N5NYRES</v>
          </cell>
        </row>
        <row r="1191">
          <cell r="K1191">
            <v>3.62066</v>
          </cell>
          <cell r="L1191">
            <v>106.49</v>
          </cell>
          <cell r="AJ1191" t="str">
            <v>5MU5OCUSB07G6LWTG6</v>
          </cell>
        </row>
        <row r="1192">
          <cell r="K1192">
            <v>2.5639400000000001</v>
          </cell>
          <cell r="L1192">
            <v>75.41</v>
          </cell>
          <cell r="AJ1192" t="str">
            <v>17D6YHERB01MT5WLHY</v>
          </cell>
        </row>
        <row r="1193">
          <cell r="K1193" t="e">
            <v>#DIV/0!</v>
          </cell>
          <cell r="L1193" t="e">
            <v>#DIV/0!</v>
          </cell>
          <cell r="AJ1193" t="str">
            <v>39TAD6PCB00ZWOUH4S</v>
          </cell>
        </row>
        <row r="1194">
          <cell r="K1194">
            <v>1.19442</v>
          </cell>
          <cell r="L1194">
            <v>35.130000000000003</v>
          </cell>
          <cell r="AJ1194" t="str">
            <v>2TMBDXBKB07VL9YHC9</v>
          </cell>
        </row>
        <row r="1195">
          <cell r="K1195">
            <v>2.2664399999999998</v>
          </cell>
          <cell r="L1195">
            <v>66.66</v>
          </cell>
          <cell r="AJ1195" t="str">
            <v>2CLMXQWQB071ZFMC9Q</v>
          </cell>
        </row>
        <row r="1196">
          <cell r="K1196">
            <v>5.8707799999999999</v>
          </cell>
          <cell r="L1196">
            <v>172.67</v>
          </cell>
          <cell r="AJ1196" t="str">
            <v>4GF112AEB01N5NYRES</v>
          </cell>
        </row>
        <row r="1197">
          <cell r="K1197" t="e">
            <v>#DIV/0!</v>
          </cell>
          <cell r="L1197" t="e">
            <v>#DIV/0!</v>
          </cell>
          <cell r="AJ1197" t="str">
            <v>39TAD6PCB00ZWOUH4S</v>
          </cell>
        </row>
        <row r="1198">
          <cell r="K1198">
            <v>1.0761000000000001</v>
          </cell>
          <cell r="L1198">
            <v>31.65</v>
          </cell>
          <cell r="AJ1198" t="str">
            <v>7H9X1Z6SB07W5JHZKS</v>
          </cell>
        </row>
        <row r="1199">
          <cell r="K1199">
            <v>1.09514</v>
          </cell>
          <cell r="L1199">
            <v>32.21</v>
          </cell>
          <cell r="AJ1199" t="str">
            <v>4GF112AEB07W7KV7TQ</v>
          </cell>
        </row>
        <row r="1200">
          <cell r="K1200">
            <v>0.99551999999999996</v>
          </cell>
          <cell r="L1200">
            <v>29.28</v>
          </cell>
          <cell r="AJ1200" t="str">
            <v>5X1OU9ZGB07W6JHB2P</v>
          </cell>
        </row>
        <row r="1201">
          <cell r="K1201" t="e">
            <v>#DIV/0!</v>
          </cell>
          <cell r="L1201" t="e">
            <v>#DIV/0!</v>
          </cell>
          <cell r="AJ1201" t="str">
            <v>39TAD6PCB07W5JKFQC</v>
          </cell>
        </row>
        <row r="1202">
          <cell r="K1202">
            <v>0.31823999999999997</v>
          </cell>
          <cell r="L1202">
            <v>9.36</v>
          </cell>
          <cell r="AJ1202" t="str">
            <v>1KW92RHQB0094QSF8U</v>
          </cell>
        </row>
        <row r="1203">
          <cell r="K1203">
            <v>2.5639400000000001</v>
          </cell>
          <cell r="L1203">
            <v>75.41</v>
          </cell>
          <cell r="AJ1203" t="str">
            <v>31DJDC7QB07W5JJ1WH</v>
          </cell>
        </row>
        <row r="1204">
          <cell r="K1204">
            <v>0.43791999999999998</v>
          </cell>
          <cell r="L1204">
            <v>12.88</v>
          </cell>
          <cell r="AJ1204" t="str">
            <v>5X1OU9ZGB00745IE1Q</v>
          </cell>
        </row>
        <row r="1205">
          <cell r="K1205">
            <v>2.5445600000000002</v>
          </cell>
          <cell r="L1205">
            <v>74.84</v>
          </cell>
          <cell r="AJ1205" t="str">
            <v>4QG6L28MB07W7LB4T7</v>
          </cell>
        </row>
        <row r="1206">
          <cell r="K1206">
            <v>2.71082</v>
          </cell>
          <cell r="L1206">
            <v>79.73</v>
          </cell>
          <cell r="AJ1206" t="str">
            <v>6MCHCTQEB07G6MBCG3</v>
          </cell>
        </row>
        <row r="1207">
          <cell r="K1207">
            <v>2.3470200000000001</v>
          </cell>
          <cell r="L1207">
            <v>69.03</v>
          </cell>
          <cell r="AJ1207" t="str">
            <v>7H9X1Z6SB07W7L9JXH</v>
          </cell>
        </row>
        <row r="1208">
          <cell r="K1208">
            <v>1.9553400000000001</v>
          </cell>
          <cell r="L1208">
            <v>57.51</v>
          </cell>
          <cell r="AJ1208" t="str">
            <v>4O4TKA6PB07S7CKTBR</v>
          </cell>
        </row>
        <row r="1209">
          <cell r="K1209">
            <v>0.35802</v>
          </cell>
          <cell r="L1209">
            <v>10.53</v>
          </cell>
          <cell r="AJ1209" t="str">
            <v>1X4DXX4TB00544XFHC</v>
          </cell>
        </row>
        <row r="1210">
          <cell r="K1210">
            <v>0.39405999999999997</v>
          </cell>
          <cell r="L1210">
            <v>11.59</v>
          </cell>
          <cell r="AJ1210" t="str">
            <v>2W68T8TOB07VWZHCNX</v>
          </cell>
        </row>
        <row r="1211">
          <cell r="K1211">
            <v>0.79627999999999999</v>
          </cell>
          <cell r="L1211">
            <v>23.42</v>
          </cell>
          <cell r="AJ1211" t="str">
            <v>1KW92RHQB01D1Z00UK</v>
          </cell>
        </row>
        <row r="1212">
          <cell r="K1212" t="e">
            <v>#DIV/0!</v>
          </cell>
          <cell r="L1212" t="e">
            <v>#DIV/0!</v>
          </cell>
          <cell r="AJ1212" t="str">
            <v>39TAD6PCB00ZWOUH4S</v>
          </cell>
        </row>
        <row r="1213">
          <cell r="K1213">
            <v>0.35802</v>
          </cell>
          <cell r="L1213">
            <v>10.53</v>
          </cell>
          <cell r="AJ1213" t="str">
            <v>3A946EXYB0118K7K4O</v>
          </cell>
        </row>
        <row r="1214">
          <cell r="K1214">
            <v>3.62066</v>
          </cell>
          <cell r="L1214">
            <v>106.49</v>
          </cell>
          <cell r="AJ1214" t="str">
            <v>5X1OU9ZGB07G6LWTG6</v>
          </cell>
        </row>
        <row r="1215">
          <cell r="K1215">
            <v>3.1361600000000003</v>
          </cell>
          <cell r="L1215">
            <v>92.24</v>
          </cell>
          <cell r="AJ1215" t="str">
            <v>2TMBDXBKB07W6H4R4D</v>
          </cell>
        </row>
        <row r="1216">
          <cell r="K1216">
            <v>0.31824000000000002</v>
          </cell>
          <cell r="L1216">
            <v>9.3600000000000012</v>
          </cell>
          <cell r="AJ1216" t="str">
            <v>5X1OU9ZGB01A9GXMW2</v>
          </cell>
        </row>
        <row r="1217">
          <cell r="K1217">
            <v>3.62066</v>
          </cell>
          <cell r="L1217">
            <v>106.49</v>
          </cell>
          <cell r="AJ1217" t="str">
            <v>5X1OU9ZGB07G6LWTG6</v>
          </cell>
        </row>
        <row r="1218">
          <cell r="K1218">
            <v>2.8522599999999998</v>
          </cell>
          <cell r="L1218">
            <v>83.89</v>
          </cell>
          <cell r="AJ1218" t="str">
            <v>2F7Y5WIXB07W7JYP9B</v>
          </cell>
        </row>
        <row r="1219">
          <cell r="K1219">
            <v>0.31823999999999997</v>
          </cell>
          <cell r="L1219">
            <v>9.36</v>
          </cell>
          <cell r="AJ1219" t="str">
            <v>5X1OU9ZGB01A9GXMW2</v>
          </cell>
        </row>
        <row r="1220">
          <cell r="K1220">
            <v>1.61432</v>
          </cell>
          <cell r="L1220">
            <v>47.480000000000004</v>
          </cell>
          <cell r="AJ1220" t="str">
            <v>8BG295LIB07W7MQMD9</v>
          </cell>
        </row>
        <row r="1221">
          <cell r="K1221">
            <v>0.31824000000000002</v>
          </cell>
          <cell r="L1221">
            <v>9.3600000000000012</v>
          </cell>
          <cell r="AJ1221" t="str">
            <v>5X1OU9ZGB01A9GXMW2</v>
          </cell>
        </row>
        <row r="1222">
          <cell r="K1222">
            <v>1.25562</v>
          </cell>
          <cell r="L1222">
            <v>36.93</v>
          </cell>
          <cell r="AJ1222" t="str">
            <v>1LQM129ZB07CGNP3RH</v>
          </cell>
        </row>
        <row r="1223">
          <cell r="K1223">
            <v>1.25562</v>
          </cell>
          <cell r="L1223">
            <v>36.93</v>
          </cell>
          <cell r="AJ1223" t="str">
            <v>5IOQE4AWB07CGPZ3ZQ</v>
          </cell>
        </row>
        <row r="1224">
          <cell r="K1224">
            <v>0.79627999999999999</v>
          </cell>
          <cell r="L1224">
            <v>23.419999999999998</v>
          </cell>
          <cell r="AJ1224" t="str">
            <v>5KUAVFPZB007BNE3QQ</v>
          </cell>
        </row>
        <row r="1225">
          <cell r="K1225">
            <v>2.5639400000000001</v>
          </cell>
          <cell r="L1225">
            <v>75.41</v>
          </cell>
          <cell r="AJ1225" t="str">
            <v>6JWFV3WKB01MT5WMMG</v>
          </cell>
        </row>
        <row r="1226">
          <cell r="K1226">
            <v>3.1361599999999998</v>
          </cell>
          <cell r="L1226">
            <v>92.24</v>
          </cell>
          <cell r="AJ1226" t="str">
            <v>2TMBDXBKB07W6H4R4D</v>
          </cell>
        </row>
        <row r="1227">
          <cell r="K1227">
            <v>0.89590000000000003</v>
          </cell>
          <cell r="L1227">
            <v>26.35</v>
          </cell>
          <cell r="AJ1227" t="str">
            <v>6U12NWLGB00BCE30RS</v>
          </cell>
        </row>
        <row r="1228">
          <cell r="K1228" t="e">
            <v>#DIV/0!</v>
          </cell>
          <cell r="L1228" t="e">
            <v>#DIV/0!</v>
          </cell>
          <cell r="AJ1228" t="str">
            <v>39TAD6PCB00ZWOUH4S</v>
          </cell>
        </row>
        <row r="1229">
          <cell r="K1229">
            <v>4.5362799999999996</v>
          </cell>
          <cell r="L1229">
            <v>133.41999999999999</v>
          </cell>
          <cell r="AJ1229" t="str">
            <v>4LYATDUXB07W7L62FX</v>
          </cell>
        </row>
        <row r="1230">
          <cell r="K1230">
            <v>0.30226000000000003</v>
          </cell>
          <cell r="L1230">
            <v>8.89</v>
          </cell>
          <cell r="AJ1230" t="str">
            <v>8BG295LIB07W5JJVFM</v>
          </cell>
        </row>
        <row r="1231">
          <cell r="K1231">
            <v>2.3667400000000001</v>
          </cell>
          <cell r="L1231">
            <v>69.61</v>
          </cell>
          <cell r="AJ1231" t="str">
            <v>8BG295LIB07W7L32NJ</v>
          </cell>
        </row>
        <row r="1232">
          <cell r="K1232">
            <v>2.1498200000000001</v>
          </cell>
          <cell r="L1232">
            <v>63.23</v>
          </cell>
          <cell r="AJ1232" t="str">
            <v>3KYCEHVHB07W4DGVQF</v>
          </cell>
        </row>
        <row r="1233">
          <cell r="K1233">
            <v>1.0846</v>
          </cell>
          <cell r="L1233">
            <v>31.9</v>
          </cell>
          <cell r="AJ1233" t="str">
            <v>3IQS66UGB07W4DHQJ9</v>
          </cell>
        </row>
        <row r="1234">
          <cell r="K1234">
            <v>2.49356</v>
          </cell>
          <cell r="L1234">
            <v>73.34</v>
          </cell>
          <cell r="AJ1234" t="str">
            <v>36BT7GGLB07TLX61W7</v>
          </cell>
        </row>
        <row r="1235">
          <cell r="K1235">
            <v>1.1658599999999999</v>
          </cell>
          <cell r="L1235">
            <v>34.29</v>
          </cell>
          <cell r="AJ1235" t="str">
            <v>39TAD6PCB00ZWOUH4S</v>
          </cell>
        </row>
        <row r="1236">
          <cell r="K1236">
            <v>1.1658600000000001</v>
          </cell>
          <cell r="L1236">
            <v>34.29</v>
          </cell>
          <cell r="AJ1236" t="str">
            <v>39TAD6PCB00ZWOUH4S</v>
          </cell>
        </row>
        <row r="1237">
          <cell r="K1237" t="e">
            <v>#DIV/0!</v>
          </cell>
          <cell r="L1237" t="e">
            <v>#DIV/0!</v>
          </cell>
          <cell r="AJ1237" t="str">
            <v>39TAD6PCB00ZWOUH4S</v>
          </cell>
        </row>
        <row r="1238">
          <cell r="K1238">
            <v>2.5639400000000001</v>
          </cell>
          <cell r="L1238">
            <v>75.41</v>
          </cell>
          <cell r="AJ1238" t="str">
            <v>5X1OU9ZGB07W6HXQ9J</v>
          </cell>
        </row>
        <row r="1239">
          <cell r="K1239">
            <v>7.6959000000000009</v>
          </cell>
          <cell r="L1239">
            <v>226.35</v>
          </cell>
          <cell r="AJ1239" t="str">
            <v>243WWSUAB07W7KFFFF</v>
          </cell>
        </row>
        <row r="1240">
          <cell r="K1240">
            <v>0.79627999999999999</v>
          </cell>
          <cell r="L1240">
            <v>23.42</v>
          </cell>
          <cell r="AJ1240" t="str">
            <v>5KUAVFPZB01AUGT964</v>
          </cell>
        </row>
        <row r="1241">
          <cell r="K1241">
            <v>2.5639400000000001</v>
          </cell>
          <cell r="L1241">
            <v>75.41</v>
          </cell>
          <cell r="AJ1241" t="str">
            <v>5X1OU9ZGB07W6HXQ9J</v>
          </cell>
        </row>
        <row r="1242">
          <cell r="K1242">
            <v>1.09514</v>
          </cell>
          <cell r="L1242">
            <v>32.21</v>
          </cell>
          <cell r="AJ1242" t="str">
            <v>7LA8DZCZB07W7LHVBM</v>
          </cell>
        </row>
        <row r="1243">
          <cell r="K1243">
            <v>3.9742600000000001</v>
          </cell>
          <cell r="L1243">
            <v>116.89000000000001</v>
          </cell>
          <cell r="AJ1243" t="str">
            <v>39TAD6PCB07HR4KVSN</v>
          </cell>
        </row>
        <row r="1244">
          <cell r="K1244">
            <v>0.80715999999999999</v>
          </cell>
          <cell r="L1244">
            <v>23.74</v>
          </cell>
          <cell r="AJ1244" t="str">
            <v>3KYCEHVHB07W6HBBMH</v>
          </cell>
        </row>
        <row r="1245">
          <cell r="K1245">
            <v>1.34504</v>
          </cell>
          <cell r="L1245">
            <v>39.56</v>
          </cell>
          <cell r="AJ1245" t="str">
            <v>5MWU8WTDB07W6HLSFF</v>
          </cell>
        </row>
        <row r="1246">
          <cell r="K1246">
            <v>0.79627999999999999</v>
          </cell>
          <cell r="L1246">
            <v>23.419999999999998</v>
          </cell>
          <cell r="AJ1246" t="str">
            <v>56UO2L2IB07W6JNWP8</v>
          </cell>
        </row>
        <row r="1247">
          <cell r="K1247">
            <v>0.35802</v>
          </cell>
          <cell r="L1247">
            <v>10.530000000000001</v>
          </cell>
          <cell r="AJ1247" t="str">
            <v>2F7Y5WIXB00552K0GM</v>
          </cell>
        </row>
        <row r="1248">
          <cell r="K1248">
            <v>5.3638399999999997</v>
          </cell>
          <cell r="L1248">
            <v>157.76</v>
          </cell>
          <cell r="AJ1248" t="str">
            <v>5X1OU9ZGB079Z3DSBK</v>
          </cell>
        </row>
        <row r="1249">
          <cell r="K1249" t="e">
            <v>#DIV/0!</v>
          </cell>
          <cell r="L1249" t="e">
            <v>#DIV/0!</v>
          </cell>
          <cell r="AJ1249" t="str">
            <v>7RAC5F9EB013SL2050</v>
          </cell>
        </row>
        <row r="1250">
          <cell r="K1250">
            <v>0.35802</v>
          </cell>
          <cell r="L1250">
            <v>10.53</v>
          </cell>
          <cell r="AJ1250" t="str">
            <v>2F7Y5WIXB00552K0GM</v>
          </cell>
        </row>
        <row r="1251">
          <cell r="K1251">
            <v>5.3638399999999997</v>
          </cell>
          <cell r="L1251">
            <v>157.76</v>
          </cell>
          <cell r="AJ1251" t="str">
            <v>5X1OU9ZGB079Z3DSBK</v>
          </cell>
        </row>
        <row r="1252">
          <cell r="K1252">
            <v>3.0317799999999999</v>
          </cell>
          <cell r="L1252">
            <v>89.17</v>
          </cell>
          <cell r="AJ1252" t="str">
            <v>1X4DXX4TB07W5JJSBK</v>
          </cell>
        </row>
        <row r="1253">
          <cell r="K1253">
            <v>0.89657999999999993</v>
          </cell>
          <cell r="L1253">
            <v>26.369999999999997</v>
          </cell>
          <cell r="AJ1253" t="str">
            <v>36BT7GGLB07W4DHKTB</v>
          </cell>
        </row>
        <row r="1254">
          <cell r="K1254">
            <v>0.99551999999999996</v>
          </cell>
          <cell r="L1254">
            <v>29.28</v>
          </cell>
          <cell r="AJ1254" t="str">
            <v>2M7QFTCOB005KSYPGW</v>
          </cell>
        </row>
        <row r="1255">
          <cell r="K1255">
            <v>2.49356</v>
          </cell>
          <cell r="L1255">
            <v>73.34</v>
          </cell>
          <cell r="AJ1255" t="str">
            <v>31DJDC7QB0728J7D3B</v>
          </cell>
        </row>
        <row r="1256">
          <cell r="K1256">
            <v>2.49356</v>
          </cell>
          <cell r="L1256">
            <v>73.34</v>
          </cell>
          <cell r="AJ1256" t="str">
            <v>31DJDC7QB0728J7D3B</v>
          </cell>
        </row>
        <row r="1257">
          <cell r="K1257" t="e">
            <v>#DIV/0!</v>
          </cell>
          <cell r="L1257" t="e">
            <v>#DIV/0!</v>
          </cell>
          <cell r="AJ1257" t="str">
            <v>39TAD6PCB07HR4KVSN</v>
          </cell>
        </row>
        <row r="1258">
          <cell r="K1258">
            <v>2.1498200000000001</v>
          </cell>
          <cell r="L1258">
            <v>63.23</v>
          </cell>
          <cell r="AJ1258" t="str">
            <v>3KYCEHVHB07W4DGVQF</v>
          </cell>
        </row>
        <row r="1259">
          <cell r="K1259">
            <v>2.1498200000000001</v>
          </cell>
          <cell r="L1259">
            <v>63.23</v>
          </cell>
          <cell r="AJ1259" t="str">
            <v>3KYCEHVHB07W4DGVQF</v>
          </cell>
        </row>
        <row r="1260">
          <cell r="K1260">
            <v>2.1498200000000001</v>
          </cell>
          <cell r="L1260">
            <v>63.23</v>
          </cell>
          <cell r="AJ1260" t="str">
            <v>3KYCEHVHB07W4DGVQF</v>
          </cell>
        </row>
        <row r="1261">
          <cell r="K1261" t="e">
            <v>#DIV/0!</v>
          </cell>
          <cell r="L1261" t="e">
            <v>#DIV/0!</v>
          </cell>
          <cell r="AJ1261" t="str">
            <v>31DJDC7QB0728J7D3B</v>
          </cell>
        </row>
        <row r="1262">
          <cell r="K1262">
            <v>3.74918</v>
          </cell>
          <cell r="L1262">
            <v>110.27</v>
          </cell>
          <cell r="AJ1262" t="str">
            <v>24EUBTHXB07VTRX1LD</v>
          </cell>
        </row>
        <row r="1263">
          <cell r="K1263">
            <v>2.3667400000000001</v>
          </cell>
          <cell r="L1263">
            <v>69.61</v>
          </cell>
          <cell r="AJ1263" t="str">
            <v>31DJDC7QB01GNP4Y70</v>
          </cell>
        </row>
        <row r="1264">
          <cell r="K1264">
            <v>2.3470200000000001</v>
          </cell>
          <cell r="L1264">
            <v>69.03</v>
          </cell>
          <cell r="AJ1264" t="str">
            <v>56UO2L2IB07W7KMK4Y</v>
          </cell>
        </row>
        <row r="1265">
          <cell r="K1265">
            <v>2.3470200000000001</v>
          </cell>
          <cell r="L1265">
            <v>69.03</v>
          </cell>
          <cell r="AJ1265" t="str">
            <v>7H9X1Z6SB07W6HJVDM</v>
          </cell>
        </row>
        <row r="1266">
          <cell r="K1266">
            <v>1.5245600000000001</v>
          </cell>
          <cell r="L1266">
            <v>44.839999999999996</v>
          </cell>
          <cell r="AJ1266" t="str">
            <v>7ILTX3HJB07W6GVS5C</v>
          </cell>
        </row>
        <row r="1267">
          <cell r="K1267" t="e">
            <v>#DIV/0!</v>
          </cell>
          <cell r="L1267" t="e">
            <v>#DIV/0!</v>
          </cell>
          <cell r="AJ1267" t="str">
            <v>7RAC5F9EB013SL2050</v>
          </cell>
        </row>
        <row r="1268">
          <cell r="K1268" t="e">
            <v>#DIV/0!</v>
          </cell>
          <cell r="L1268" t="e">
            <v>#DIV/0!</v>
          </cell>
          <cell r="AJ1268" t="str">
            <v>2CLMXQWQB07CGPZ3ZQ</v>
          </cell>
        </row>
        <row r="1269">
          <cell r="K1269">
            <v>3.5499399999999999</v>
          </cell>
          <cell r="L1269">
            <v>104.41</v>
          </cell>
          <cell r="AJ1269" t="str">
            <v>8BG295LIB07W4DGKZ5</v>
          </cell>
        </row>
        <row r="1270">
          <cell r="K1270">
            <v>1.5283</v>
          </cell>
          <cell r="L1270">
            <v>44.95</v>
          </cell>
          <cell r="AJ1270" t="str">
            <v>4F3XMHTVB01G3WBH9G</v>
          </cell>
        </row>
        <row r="1271">
          <cell r="K1271">
            <v>7.5163799999999998</v>
          </cell>
          <cell r="L1271">
            <v>221.07000000000002</v>
          </cell>
          <cell r="AJ1271" t="str">
            <v>6UZZHR2WB00YUIM2J0</v>
          </cell>
        </row>
        <row r="1272">
          <cell r="K1272">
            <v>0.71740000000000004</v>
          </cell>
          <cell r="L1272">
            <v>21.1</v>
          </cell>
          <cell r="AJ1272" t="str">
            <v>8BG295LIB07W4DHK3P</v>
          </cell>
        </row>
        <row r="1273">
          <cell r="K1273">
            <v>1.09514</v>
          </cell>
          <cell r="L1273">
            <v>32.21</v>
          </cell>
          <cell r="AJ1273" t="str">
            <v>4O4TKA6PB07W6JKH1B</v>
          </cell>
        </row>
        <row r="1274">
          <cell r="K1274">
            <v>2.1498200000000001</v>
          </cell>
          <cell r="L1274">
            <v>63.230000000000004</v>
          </cell>
          <cell r="AJ1274" t="str">
            <v>7MIJ7O3BB07W4DGVQF</v>
          </cell>
        </row>
        <row r="1275">
          <cell r="K1275">
            <v>2.7679399999999998</v>
          </cell>
          <cell r="L1275">
            <v>81.41</v>
          </cell>
          <cell r="AJ1275" t="str">
            <v>2TMBDXBKB0105Y2T5Y</v>
          </cell>
        </row>
        <row r="1276">
          <cell r="K1276">
            <v>2.1498200000000001</v>
          </cell>
          <cell r="L1276">
            <v>63.23</v>
          </cell>
          <cell r="AJ1276" t="str">
            <v>7MIJ7O3BB07W4DGVQF</v>
          </cell>
        </row>
        <row r="1277">
          <cell r="K1277">
            <v>0.99551999999999996</v>
          </cell>
          <cell r="L1277">
            <v>29.28</v>
          </cell>
          <cell r="AJ1277" t="str">
            <v>7SCVG2OTB07W5JK4VX</v>
          </cell>
        </row>
        <row r="1278">
          <cell r="K1278">
            <v>7.15768</v>
          </cell>
          <cell r="L1278">
            <v>210.52</v>
          </cell>
          <cell r="AJ1278" t="str">
            <v>17D6YHERB013Y78YY4</v>
          </cell>
        </row>
        <row r="1279">
          <cell r="K1279">
            <v>2.7417600000000002</v>
          </cell>
          <cell r="L1279">
            <v>80.64</v>
          </cell>
          <cell r="AJ1279" t="str">
            <v>56UO2L2IB07W7J6RBC</v>
          </cell>
        </row>
        <row r="1280">
          <cell r="K1280">
            <v>0.62763999999999998</v>
          </cell>
          <cell r="L1280">
            <v>18.46</v>
          </cell>
          <cell r="AJ1280" t="str">
            <v>4F3XMHTVB07W6H83LD</v>
          </cell>
        </row>
        <row r="1281">
          <cell r="K1281">
            <v>2.3470199999999997</v>
          </cell>
          <cell r="L1281">
            <v>69.03</v>
          </cell>
          <cell r="AJ1281" t="str">
            <v>7H9X1Z6SB07W5JJMVJ</v>
          </cell>
        </row>
        <row r="1282">
          <cell r="K1282">
            <v>1.09514</v>
          </cell>
          <cell r="L1282">
            <v>32.21</v>
          </cell>
          <cell r="AJ1282" t="str">
            <v>2M7QFTCOB013SL2050</v>
          </cell>
        </row>
        <row r="1283">
          <cell r="K1283">
            <v>3.0317799999999999</v>
          </cell>
          <cell r="L1283">
            <v>89.17</v>
          </cell>
          <cell r="AJ1283" t="str">
            <v>2TEPPOLQB01MCXJWD1</v>
          </cell>
        </row>
        <row r="1284">
          <cell r="K1284">
            <v>2.49356</v>
          </cell>
          <cell r="L1284">
            <v>73.34</v>
          </cell>
          <cell r="AJ1284" t="str">
            <v>2TMBDXBKB0728J7D3B</v>
          </cell>
        </row>
        <row r="1285">
          <cell r="K1285">
            <v>2.5639399999999997</v>
          </cell>
          <cell r="L1285">
            <v>75.41</v>
          </cell>
          <cell r="AJ1285" t="str">
            <v>7H9X1Z6SB07W5JKHFZ</v>
          </cell>
        </row>
        <row r="1286">
          <cell r="K1286">
            <v>0.79627999999999999</v>
          </cell>
          <cell r="L1286">
            <v>23.42</v>
          </cell>
          <cell r="AJ1286" t="str">
            <v>1KYIVKWCB01DKGAQNG</v>
          </cell>
        </row>
        <row r="1287">
          <cell r="K1287">
            <v>3.9742600000000001</v>
          </cell>
          <cell r="L1287">
            <v>116.89</v>
          </cell>
          <cell r="AJ1287" t="str">
            <v>2W68T8TOB07PMKHMFS</v>
          </cell>
        </row>
        <row r="1288">
          <cell r="K1288">
            <v>0.71740000000000004</v>
          </cell>
          <cell r="L1288">
            <v>21.099999999999998</v>
          </cell>
          <cell r="AJ1288" t="str">
            <v>7H9X1Z6SB00CJAF3ME</v>
          </cell>
        </row>
        <row r="1289">
          <cell r="K1289" t="e">
            <v>#DIV/0!</v>
          </cell>
          <cell r="L1289" t="e">
            <v>#DIV/0!</v>
          </cell>
          <cell r="AJ1289" t="str">
            <v>31DJDC7QB07W6JM35X</v>
          </cell>
        </row>
        <row r="1290">
          <cell r="K1290">
            <v>1.19442</v>
          </cell>
          <cell r="L1290">
            <v>35.130000000000003</v>
          </cell>
          <cell r="AJ1290" t="str">
            <v>17D6YHERB00S67M430</v>
          </cell>
        </row>
        <row r="1291">
          <cell r="K1291">
            <v>0.55725999999999998</v>
          </cell>
          <cell r="L1291">
            <v>16.39</v>
          </cell>
          <cell r="AJ1291" t="str">
            <v>5PBSTBMJB01K7GEG9W</v>
          </cell>
        </row>
        <row r="1292">
          <cell r="K1292">
            <v>0.39440000000000003</v>
          </cell>
          <cell r="L1292">
            <v>11.6</v>
          </cell>
          <cell r="AJ1292" t="str">
            <v>8BG295LIB07W7K29YK</v>
          </cell>
        </row>
        <row r="1293">
          <cell r="K1293">
            <v>1.5245600000000001</v>
          </cell>
          <cell r="L1293">
            <v>44.84</v>
          </cell>
          <cell r="AJ1293" t="str">
            <v>31DJDC7QB07W6JM35X</v>
          </cell>
        </row>
        <row r="1294">
          <cell r="K1294">
            <v>1.5245599999999999</v>
          </cell>
          <cell r="L1294">
            <v>44.84</v>
          </cell>
          <cell r="AJ1294" t="str">
            <v>31DJDC7QB07W6JM35X</v>
          </cell>
        </row>
        <row r="1295">
          <cell r="K1295">
            <v>2.19028</v>
          </cell>
          <cell r="L1295">
            <v>64.42</v>
          </cell>
          <cell r="AJ1295" t="str">
            <v>4A3KDTEZB0055ZWOZ4</v>
          </cell>
        </row>
        <row r="1296">
          <cell r="K1296">
            <v>3.2922199999999999</v>
          </cell>
          <cell r="L1296">
            <v>96.83</v>
          </cell>
          <cell r="AJ1296" t="str">
            <v>1PEKEP8IB014PYGYRE</v>
          </cell>
        </row>
        <row r="1297">
          <cell r="K1297">
            <v>0.89658000000000004</v>
          </cell>
          <cell r="L1297">
            <v>26.37</v>
          </cell>
          <cell r="AJ1297" t="str">
            <v>8BG295LIB07W4DHG24</v>
          </cell>
        </row>
        <row r="1298">
          <cell r="K1298">
            <v>5.8558199999999996</v>
          </cell>
          <cell r="L1298">
            <v>172.23</v>
          </cell>
          <cell r="AJ1298" t="str">
            <v>8IGCODXQB07W6FW84S</v>
          </cell>
        </row>
        <row r="1299">
          <cell r="K1299">
            <v>1.5245599999999999</v>
          </cell>
          <cell r="L1299">
            <v>44.84</v>
          </cell>
          <cell r="AJ1299" t="str">
            <v>31DJDC7QB07W6JM35X</v>
          </cell>
        </row>
        <row r="1300">
          <cell r="K1300">
            <v>3.94468</v>
          </cell>
          <cell r="L1300">
            <v>116.02</v>
          </cell>
          <cell r="AJ1300" t="str">
            <v>8BG295LIB07W6HPP3R</v>
          </cell>
        </row>
        <row r="1301">
          <cell r="K1301">
            <v>3.57</v>
          </cell>
          <cell r="L1301">
            <v>105</v>
          </cell>
          <cell r="AJ1301" t="str">
            <v>74WI6EYDB01G7AWZEA</v>
          </cell>
        </row>
        <row r="1302">
          <cell r="K1302">
            <v>2.1498200000000001</v>
          </cell>
          <cell r="L1302">
            <v>63.23</v>
          </cell>
          <cell r="AJ1302" t="str">
            <v>11FTNKDSB07W7LXYTR</v>
          </cell>
        </row>
        <row r="1303">
          <cell r="K1303">
            <v>0.39439999999999997</v>
          </cell>
          <cell r="L1303">
            <v>11.6</v>
          </cell>
          <cell r="AJ1303" t="str">
            <v>4F3XMHTVB07W7LNTMC</v>
          </cell>
        </row>
        <row r="1304">
          <cell r="K1304">
            <v>0.89590000000000003</v>
          </cell>
          <cell r="L1304">
            <v>26.35</v>
          </cell>
          <cell r="AJ1304" t="str">
            <v>39TAD6PCB01K7GEAFC</v>
          </cell>
        </row>
        <row r="1305">
          <cell r="K1305">
            <v>0.99551999999999996</v>
          </cell>
          <cell r="L1305">
            <v>29.28</v>
          </cell>
          <cell r="AJ1305" t="str">
            <v>8JGSI6BMB00FSF2OSS</v>
          </cell>
        </row>
        <row r="1306">
          <cell r="K1306">
            <v>3.74918</v>
          </cell>
          <cell r="L1306">
            <v>110.27</v>
          </cell>
          <cell r="AJ1306" t="str">
            <v>5X1OU9ZGB07W4DHYH6</v>
          </cell>
        </row>
        <row r="1307">
          <cell r="K1307">
            <v>1.8734</v>
          </cell>
          <cell r="L1307">
            <v>55.1</v>
          </cell>
          <cell r="AJ1307" t="str">
            <v>2M7QFTCOB07W7L3HJP</v>
          </cell>
        </row>
        <row r="1308">
          <cell r="K1308">
            <v>2.0780799999999999</v>
          </cell>
          <cell r="L1308">
            <v>61.12</v>
          </cell>
          <cell r="AJ1308" t="str">
            <v>1PSIXGLTB07W6JGH91</v>
          </cell>
        </row>
        <row r="1309">
          <cell r="K1309">
            <v>1.9910399999999999</v>
          </cell>
          <cell r="L1309">
            <v>58.56</v>
          </cell>
          <cell r="AJ1309" t="str">
            <v>2M7QFTCOB014KH8BRW</v>
          </cell>
        </row>
        <row r="1310">
          <cell r="K1310">
            <v>1.3610200000000001</v>
          </cell>
          <cell r="L1310">
            <v>40.03</v>
          </cell>
          <cell r="AJ1310" t="str">
            <v>1X4DXX4TB07W4DHXC8</v>
          </cell>
        </row>
        <row r="1311">
          <cell r="K1311">
            <v>2.3667400000000001</v>
          </cell>
          <cell r="L1311">
            <v>69.61</v>
          </cell>
          <cell r="AJ1311" t="str">
            <v>3KYCEHVHB07W6H31VJ</v>
          </cell>
        </row>
        <row r="1312">
          <cell r="K1312">
            <v>1.9553400000000001</v>
          </cell>
          <cell r="L1312">
            <v>57.51</v>
          </cell>
          <cell r="AJ1312" t="str">
            <v>2M7QFTCOB07TQ6G276</v>
          </cell>
        </row>
        <row r="1313">
          <cell r="K1313">
            <v>2.3667400000000001</v>
          </cell>
          <cell r="L1313">
            <v>69.61</v>
          </cell>
          <cell r="AJ1313" t="str">
            <v>3KYCEHVHB07W6H31VJ</v>
          </cell>
        </row>
        <row r="1314">
          <cell r="K1314">
            <v>2.3470200000000001</v>
          </cell>
          <cell r="L1314">
            <v>69.03</v>
          </cell>
          <cell r="AJ1314" t="str">
            <v>7LA8DZCZB07W7JHZKR</v>
          </cell>
        </row>
        <row r="1315">
          <cell r="K1315" t="e">
            <v>#DIV/0!</v>
          </cell>
          <cell r="L1315" t="e">
            <v>#DIV/0!</v>
          </cell>
          <cell r="AJ1315" t="str">
            <v>1VBBCE3CB07W5JKBMG</v>
          </cell>
        </row>
        <row r="1316">
          <cell r="K1316">
            <v>1.0845999999999998</v>
          </cell>
          <cell r="L1316">
            <v>31.9</v>
          </cell>
          <cell r="AJ1316" t="str">
            <v>2M7QFTCOB07W6HKMCN</v>
          </cell>
        </row>
        <row r="1317">
          <cell r="K1317">
            <v>1.5283</v>
          </cell>
          <cell r="L1317">
            <v>44.95</v>
          </cell>
          <cell r="AJ1317" t="str">
            <v>1VBBCE3CB07W5JKBMG</v>
          </cell>
        </row>
        <row r="1318">
          <cell r="K1318">
            <v>1.5283</v>
          </cell>
          <cell r="L1318">
            <v>44.95</v>
          </cell>
          <cell r="AJ1318" t="str">
            <v>1VBBCE3CB07W5JKBMG</v>
          </cell>
        </row>
        <row r="1319">
          <cell r="K1319">
            <v>1.4932799999999999</v>
          </cell>
          <cell r="L1319">
            <v>43.92</v>
          </cell>
          <cell r="AJ1319" t="str">
            <v>3IQS66UGB01KZVQB42</v>
          </cell>
        </row>
        <row r="1320">
          <cell r="K1320">
            <v>1.25562</v>
          </cell>
          <cell r="L1320">
            <v>36.93</v>
          </cell>
          <cell r="AJ1320" t="str">
            <v>7CQW3EPPB07CGPZ3ZQ</v>
          </cell>
        </row>
        <row r="1321">
          <cell r="K1321">
            <v>2.1498200000000001</v>
          </cell>
          <cell r="L1321">
            <v>63.23</v>
          </cell>
          <cell r="AJ1321" t="str">
            <v>2W68T8TOB006A2Q81M</v>
          </cell>
        </row>
        <row r="1322">
          <cell r="K1322">
            <v>1.25562</v>
          </cell>
          <cell r="L1322">
            <v>36.93</v>
          </cell>
          <cell r="AJ1322" t="str">
            <v>7CQW3EPPB07CGPZ3ZQ</v>
          </cell>
        </row>
        <row r="1323">
          <cell r="K1323">
            <v>0.55726000000000009</v>
          </cell>
          <cell r="L1323">
            <v>16.39</v>
          </cell>
          <cell r="AJ1323" t="str">
            <v>1X4DXX4TB004QTBPWI</v>
          </cell>
        </row>
        <row r="1324">
          <cell r="K1324">
            <v>2.3667400000000001</v>
          </cell>
          <cell r="L1324">
            <v>69.61</v>
          </cell>
          <cell r="AJ1324" t="str">
            <v>8BG295LIB07W7L32NJ</v>
          </cell>
        </row>
        <row r="1325">
          <cell r="K1325">
            <v>1.19442</v>
          </cell>
          <cell r="L1325">
            <v>35.130000000000003</v>
          </cell>
          <cell r="AJ1325" t="str">
            <v>5X1OU9ZGB07VRLJHFH</v>
          </cell>
        </row>
        <row r="1326">
          <cell r="K1326">
            <v>1.9910399999999999</v>
          </cell>
          <cell r="L1326">
            <v>58.56</v>
          </cell>
          <cell r="AJ1326" t="str">
            <v>2M7QFTCOB014KH8BRW</v>
          </cell>
        </row>
        <row r="1327">
          <cell r="K1327">
            <v>4.9306799999999997</v>
          </cell>
          <cell r="L1327">
            <v>145.02000000000001</v>
          </cell>
          <cell r="AJ1327" t="str">
            <v>7RAC5F9EB07W6HBPSX</v>
          </cell>
        </row>
        <row r="1328">
          <cell r="K1328">
            <v>0.21487999999999999</v>
          </cell>
          <cell r="L1328">
            <v>6.32</v>
          </cell>
          <cell r="AJ1328" t="str">
            <v>5MWU8WTDB07W6GVZFJ</v>
          </cell>
        </row>
        <row r="1329">
          <cell r="K1329">
            <v>1.8734</v>
          </cell>
          <cell r="L1329">
            <v>55.1</v>
          </cell>
          <cell r="AJ1329" t="str">
            <v>2DDMOF4WB07W7L3HJP</v>
          </cell>
        </row>
        <row r="1330">
          <cell r="K1330">
            <v>2.1498200000000001</v>
          </cell>
          <cell r="L1330">
            <v>63.23</v>
          </cell>
          <cell r="AJ1330" t="str">
            <v>2W68T8TOB006A2Q81M</v>
          </cell>
        </row>
        <row r="1331">
          <cell r="K1331">
            <v>4.8256200000000007</v>
          </cell>
          <cell r="L1331">
            <v>141.93</v>
          </cell>
          <cell r="AJ1331" t="str">
            <v>4TPDM63YB07VZLMQN7</v>
          </cell>
        </row>
        <row r="1332">
          <cell r="K1332">
            <v>2.3667400000000001</v>
          </cell>
          <cell r="L1332">
            <v>69.61</v>
          </cell>
          <cell r="AJ1332" t="str">
            <v>8BG295LIB07W4DH65R</v>
          </cell>
        </row>
        <row r="1333">
          <cell r="K1333">
            <v>4.8256199999999998</v>
          </cell>
          <cell r="L1333">
            <v>141.93</v>
          </cell>
          <cell r="AJ1333" t="str">
            <v>4TPDM63YB07VZLMQN7</v>
          </cell>
        </row>
        <row r="1334">
          <cell r="K1334">
            <v>2.2664399999999998</v>
          </cell>
          <cell r="L1334">
            <v>66.66</v>
          </cell>
          <cell r="AJ1334" t="str">
            <v>5MWU8WTDB071ZFMC9Q</v>
          </cell>
        </row>
        <row r="1335">
          <cell r="K1335">
            <v>1.7938400000000001</v>
          </cell>
          <cell r="L1335">
            <v>52.76</v>
          </cell>
          <cell r="AJ1335" t="str">
            <v>3KYCEHVHB07W6JGH8Z</v>
          </cell>
        </row>
        <row r="1336">
          <cell r="K1336">
            <v>2.7611400000000001</v>
          </cell>
          <cell r="L1336">
            <v>81.210000000000008</v>
          </cell>
          <cell r="AJ1336" t="str">
            <v>4LYATDUXB07W6HVXXN</v>
          </cell>
        </row>
        <row r="1337">
          <cell r="K1337">
            <v>3.21096</v>
          </cell>
          <cell r="L1337">
            <v>94.44</v>
          </cell>
          <cell r="AJ1337" t="str">
            <v>2C2WXZKYB07W5JKPJN</v>
          </cell>
        </row>
        <row r="1338">
          <cell r="K1338">
            <v>2.1498200000000001</v>
          </cell>
          <cell r="L1338">
            <v>63.23</v>
          </cell>
          <cell r="AJ1338" t="str">
            <v>7H9X1Z6SB07W6J6WYH</v>
          </cell>
        </row>
        <row r="1339">
          <cell r="K1339">
            <v>3.74918</v>
          </cell>
          <cell r="L1339">
            <v>110.27</v>
          </cell>
          <cell r="AJ1339" t="str">
            <v>4A3KDTEZB07W7MSGPL</v>
          </cell>
        </row>
        <row r="1340">
          <cell r="K1340">
            <v>1.5245599999999999</v>
          </cell>
          <cell r="L1340">
            <v>44.84</v>
          </cell>
          <cell r="AJ1340" t="str">
            <v>2F7Y5WIXB07W7LNTM5</v>
          </cell>
        </row>
        <row r="1341">
          <cell r="K1341">
            <v>1.1658599999999999</v>
          </cell>
          <cell r="L1341">
            <v>34.29</v>
          </cell>
          <cell r="AJ1341" t="str">
            <v>3KYCEHVHB00ZWOUH4S</v>
          </cell>
        </row>
        <row r="1342">
          <cell r="K1342" t="e">
            <v>#DIV/0!</v>
          </cell>
          <cell r="L1342" t="e">
            <v>#DIV/0!</v>
          </cell>
          <cell r="AJ1342" t="str">
            <v>3KYCEHVHB00ZWOUH4S</v>
          </cell>
        </row>
        <row r="1343">
          <cell r="K1343">
            <v>1.5245599999999999</v>
          </cell>
          <cell r="L1343">
            <v>44.84</v>
          </cell>
          <cell r="AJ1343" t="str">
            <v>2F7Y5WIXB07W7LNTM5</v>
          </cell>
        </row>
        <row r="1344">
          <cell r="K1344">
            <v>1.1658599999999999</v>
          </cell>
          <cell r="L1344">
            <v>34.29</v>
          </cell>
          <cell r="AJ1344" t="str">
            <v>3KYCEHVHB00ZWOUH4S</v>
          </cell>
        </row>
        <row r="1345">
          <cell r="K1345">
            <v>1.09514</v>
          </cell>
          <cell r="L1345">
            <v>32.21</v>
          </cell>
          <cell r="AJ1345" t="str">
            <v>2M7QFTCOB07W4DHT47</v>
          </cell>
        </row>
        <row r="1346">
          <cell r="K1346">
            <v>1.09514</v>
          </cell>
          <cell r="L1346">
            <v>32.21</v>
          </cell>
          <cell r="AJ1346" t="str">
            <v>2M7QFTCOB07W6JM289</v>
          </cell>
        </row>
        <row r="1347">
          <cell r="K1347">
            <v>1.1658599999999999</v>
          </cell>
          <cell r="L1347">
            <v>34.29</v>
          </cell>
          <cell r="AJ1347" t="str">
            <v>56UO2L2IB00CJ5FPTA</v>
          </cell>
        </row>
        <row r="1348">
          <cell r="K1348">
            <v>2.5639400000000001</v>
          </cell>
          <cell r="L1348">
            <v>75.41</v>
          </cell>
          <cell r="AJ1348" t="str">
            <v>4O4TKA6PB07W7LMCF9</v>
          </cell>
        </row>
        <row r="1349">
          <cell r="K1349">
            <v>0.55725999999999998</v>
          </cell>
          <cell r="L1349">
            <v>16.39</v>
          </cell>
          <cell r="AJ1349" t="str">
            <v>31DJDC7QB07W4DJ16Z</v>
          </cell>
        </row>
        <row r="1350">
          <cell r="K1350">
            <v>0.71739999999999993</v>
          </cell>
          <cell r="L1350">
            <v>21.099999999999998</v>
          </cell>
          <cell r="AJ1350" t="str">
            <v>4F3XMHTVB00CJ5FP04</v>
          </cell>
        </row>
        <row r="1351">
          <cell r="K1351">
            <v>25.97906</v>
          </cell>
          <cell r="L1351">
            <v>764.09</v>
          </cell>
          <cell r="AJ1351" t="str">
            <v>56UO2L2IB07W4DGQC1</v>
          </cell>
        </row>
        <row r="1352">
          <cell r="K1352">
            <v>2.5639400000000001</v>
          </cell>
          <cell r="L1352">
            <v>75.41</v>
          </cell>
          <cell r="AJ1352" t="str">
            <v>2F7Y5WIXB07W5JJ1WH</v>
          </cell>
        </row>
        <row r="1353">
          <cell r="K1353">
            <v>0.31823999999999997</v>
          </cell>
          <cell r="L1353">
            <v>9.36</v>
          </cell>
          <cell r="AJ1353" t="str">
            <v>1VBBCE3CB01A9HC69G</v>
          </cell>
        </row>
        <row r="1354">
          <cell r="K1354">
            <v>1.25562</v>
          </cell>
          <cell r="L1354">
            <v>36.93</v>
          </cell>
          <cell r="AJ1354" t="str">
            <v>8BG295LIB07CGPZ3ZQ</v>
          </cell>
        </row>
        <row r="1355">
          <cell r="K1355">
            <v>1.25562</v>
          </cell>
          <cell r="L1355">
            <v>36.93</v>
          </cell>
          <cell r="AJ1355" t="str">
            <v>8BG295LIB07CGPZ3ZQ</v>
          </cell>
        </row>
        <row r="1356">
          <cell r="K1356">
            <v>2.5639400000000001</v>
          </cell>
          <cell r="L1356">
            <v>75.41</v>
          </cell>
          <cell r="AJ1356" t="str">
            <v>2F7Y5WIXB07W5JJ1WH</v>
          </cell>
        </row>
        <row r="1357">
          <cell r="K1357" t="e">
            <v>#DIV/0!</v>
          </cell>
          <cell r="L1357" t="e">
            <v>#DIV/0!</v>
          </cell>
          <cell r="AJ1357" t="str">
            <v>1VBBCE3CB01A9HC69G</v>
          </cell>
        </row>
        <row r="1358">
          <cell r="K1358" t="e">
            <v>#DIV/0!</v>
          </cell>
          <cell r="L1358" t="e">
            <v>#DIV/0!</v>
          </cell>
          <cell r="AJ1358" t="str">
            <v>3KYCEHVHB00ZWOUH4S</v>
          </cell>
        </row>
        <row r="1359">
          <cell r="K1359">
            <v>1.3804000000000001</v>
          </cell>
          <cell r="L1359">
            <v>40.6</v>
          </cell>
          <cell r="AJ1359" t="str">
            <v>31DJDC7QB07W7LNRN6</v>
          </cell>
        </row>
        <row r="1360">
          <cell r="K1360">
            <v>0.17884</v>
          </cell>
          <cell r="L1360">
            <v>5.26</v>
          </cell>
          <cell r="AJ1360" t="str">
            <v>48JXYHTNB07W7LTQ4B</v>
          </cell>
        </row>
        <row r="1361">
          <cell r="K1361">
            <v>0.35802</v>
          </cell>
          <cell r="L1361">
            <v>10.53</v>
          </cell>
          <cell r="AJ1361" t="str">
            <v>1KW92RHQB0041U9CYU</v>
          </cell>
        </row>
        <row r="1362">
          <cell r="K1362">
            <v>2.5445600000000002</v>
          </cell>
          <cell r="L1362">
            <v>74.84</v>
          </cell>
          <cell r="AJ1362" t="str">
            <v>7EMS2FPGB07W6JPVP3</v>
          </cell>
        </row>
        <row r="1363">
          <cell r="K1363">
            <v>2.19028</v>
          </cell>
          <cell r="L1363">
            <v>64.42</v>
          </cell>
          <cell r="AJ1363" t="str">
            <v>1PSIXGLTB0055ZWOZ4</v>
          </cell>
        </row>
        <row r="1364">
          <cell r="K1364">
            <v>2.3667400000000001</v>
          </cell>
          <cell r="L1364">
            <v>69.61</v>
          </cell>
          <cell r="AJ1364" t="str">
            <v>4PYL6E1EB0044AFFMK</v>
          </cell>
        </row>
        <row r="1365">
          <cell r="K1365" t="e">
            <v>#DIV/0!</v>
          </cell>
          <cell r="L1365" t="e">
            <v>#DIV/0!</v>
          </cell>
          <cell r="AJ1365" t="str">
            <v>8BG295LIB07CGPZ3ZQ</v>
          </cell>
        </row>
        <row r="1366">
          <cell r="K1366" t="e">
            <v>#DIV/0!</v>
          </cell>
          <cell r="L1366" t="e">
            <v>#DIV/0!</v>
          </cell>
          <cell r="AJ1366" t="str">
            <v>2F7Y5WIXB01K7GEAEI</v>
          </cell>
        </row>
        <row r="1367">
          <cell r="K1367">
            <v>7.6959</v>
          </cell>
          <cell r="L1367">
            <v>226.35</v>
          </cell>
          <cell r="AJ1367" t="str">
            <v>3GBCH66MB07W7KFFFF</v>
          </cell>
        </row>
        <row r="1368">
          <cell r="K1368">
            <v>0.99552000000000007</v>
          </cell>
          <cell r="L1368">
            <v>29.28</v>
          </cell>
          <cell r="AJ1368" t="str">
            <v>7H9X1Z6SB004ZH0RHK</v>
          </cell>
        </row>
        <row r="1369">
          <cell r="K1369" t="e">
            <v>#DIV/0!</v>
          </cell>
          <cell r="L1369" t="e">
            <v>#DIV/0!</v>
          </cell>
          <cell r="AJ1369" t="str">
            <v>5MU5OCUSB01K7GEFWK</v>
          </cell>
        </row>
        <row r="1370">
          <cell r="K1370">
            <v>0.89589999999999992</v>
          </cell>
          <cell r="L1370">
            <v>26.35</v>
          </cell>
          <cell r="AJ1370" t="str">
            <v>2F7Y5WIXB01K7GEAEI</v>
          </cell>
        </row>
        <row r="1371">
          <cell r="K1371">
            <v>0.55725999999999998</v>
          </cell>
          <cell r="L1371">
            <v>16.39</v>
          </cell>
          <cell r="AJ1371" t="str">
            <v>5MU5OCUSB01K7GEFWK</v>
          </cell>
        </row>
        <row r="1372">
          <cell r="K1372">
            <v>0.55726000000000009</v>
          </cell>
          <cell r="L1372">
            <v>16.39</v>
          </cell>
          <cell r="AJ1372" t="str">
            <v>24EUBTHXB01I252A34</v>
          </cell>
        </row>
        <row r="1373">
          <cell r="K1373">
            <v>1.19442</v>
          </cell>
          <cell r="L1373">
            <v>35.130000000000003</v>
          </cell>
          <cell r="AJ1373" t="str">
            <v>2FPVCNJHB003L92O5Q</v>
          </cell>
        </row>
        <row r="1374">
          <cell r="K1374">
            <v>2.3140399999999999</v>
          </cell>
          <cell r="L1374">
            <v>68.06</v>
          </cell>
          <cell r="AJ1374" t="str">
            <v>3I9WF8IGB07W5JJP7D</v>
          </cell>
        </row>
        <row r="1375">
          <cell r="K1375">
            <v>3.94468</v>
          </cell>
          <cell r="L1375">
            <v>116.02</v>
          </cell>
          <cell r="AJ1375" t="str">
            <v>8BG295LIB07W6HPP3R</v>
          </cell>
        </row>
        <row r="1376">
          <cell r="K1376">
            <v>4.1755399999999998</v>
          </cell>
          <cell r="L1376">
            <v>122.81</v>
          </cell>
          <cell r="AJ1376" t="str">
            <v>39TAD6PCB07W7MKLNS</v>
          </cell>
        </row>
        <row r="1377">
          <cell r="K1377">
            <v>0.9860000000000001</v>
          </cell>
          <cell r="L1377">
            <v>29</v>
          </cell>
          <cell r="AJ1377" t="str">
            <v>4A3KDTEZB07W7KFLBN</v>
          </cell>
        </row>
        <row r="1378">
          <cell r="K1378">
            <v>1.09514</v>
          </cell>
          <cell r="L1378">
            <v>32.21</v>
          </cell>
          <cell r="AJ1378" t="str">
            <v>2TMBDXBKB00VHHWNMI</v>
          </cell>
        </row>
        <row r="1379">
          <cell r="K1379">
            <v>3.62066</v>
          </cell>
          <cell r="L1379">
            <v>106.49</v>
          </cell>
          <cell r="AJ1379" t="str">
            <v>2TMBDXBKB07G6MYMKD</v>
          </cell>
        </row>
        <row r="1380">
          <cell r="K1380">
            <v>1.09514</v>
          </cell>
          <cell r="L1380">
            <v>32.21</v>
          </cell>
          <cell r="AJ1380" t="str">
            <v>2TMBDXBKB00VHHWNMI</v>
          </cell>
        </row>
        <row r="1381">
          <cell r="K1381">
            <v>3.94468</v>
          </cell>
          <cell r="L1381">
            <v>116.02</v>
          </cell>
          <cell r="AJ1381" t="str">
            <v>5MWU8WTDB07W7M4MZP</v>
          </cell>
        </row>
        <row r="1382">
          <cell r="K1382" t="e">
            <v>#DIV/0!</v>
          </cell>
          <cell r="L1382" t="e">
            <v>#DIV/0!</v>
          </cell>
          <cell r="AJ1382" t="str">
            <v>2F7Y5WIXB01K7GEAEI</v>
          </cell>
        </row>
        <row r="1383">
          <cell r="K1383">
            <v>7.5163799999999998</v>
          </cell>
          <cell r="L1383">
            <v>221.07</v>
          </cell>
          <cell r="AJ1383" t="str">
            <v>4A3KDTEZB00YUIM2J0</v>
          </cell>
        </row>
        <row r="1384">
          <cell r="K1384">
            <v>0.35802</v>
          </cell>
          <cell r="L1384">
            <v>10.53</v>
          </cell>
          <cell r="AJ1384" t="str">
            <v>4LYATDUXB07W4DH9CW</v>
          </cell>
        </row>
        <row r="1385">
          <cell r="K1385">
            <v>0.35802</v>
          </cell>
          <cell r="L1385">
            <v>10.53</v>
          </cell>
          <cell r="AJ1385" t="str">
            <v>4LYATDUXB07W4DH9CW</v>
          </cell>
        </row>
        <row r="1386">
          <cell r="K1386">
            <v>1.25562</v>
          </cell>
          <cell r="L1386">
            <v>36.93</v>
          </cell>
          <cell r="AJ1386" t="str">
            <v>8BG295LIB07CGPZ3ZQ</v>
          </cell>
        </row>
        <row r="1387">
          <cell r="K1387">
            <v>0.55725999999999998</v>
          </cell>
          <cell r="L1387">
            <v>16.39</v>
          </cell>
          <cell r="AJ1387" t="str">
            <v>31DJDC7QB07W4DJ16Z</v>
          </cell>
        </row>
        <row r="1388">
          <cell r="K1388">
            <v>1.25562</v>
          </cell>
          <cell r="L1388">
            <v>36.93</v>
          </cell>
          <cell r="AJ1388" t="str">
            <v>8BG295LIB07CGPZ3ZQ</v>
          </cell>
        </row>
        <row r="1389">
          <cell r="K1389">
            <v>1.1658599999999999</v>
          </cell>
          <cell r="L1389">
            <v>34.29</v>
          </cell>
          <cell r="AJ1389" t="str">
            <v>3KYCEHVHB00ZWOUH4S</v>
          </cell>
        </row>
        <row r="1390">
          <cell r="K1390">
            <v>0.55726000000000009</v>
          </cell>
          <cell r="L1390">
            <v>16.39</v>
          </cell>
          <cell r="AJ1390" t="str">
            <v>5PBSTBMJB01K7GEG9W</v>
          </cell>
        </row>
        <row r="1391">
          <cell r="K1391">
            <v>1.9553400000000001</v>
          </cell>
          <cell r="L1391">
            <v>57.51</v>
          </cell>
          <cell r="AJ1391" t="str">
            <v>2W68T8TOB01MFBNN9J</v>
          </cell>
        </row>
        <row r="1392">
          <cell r="K1392">
            <v>6.0914400000000004</v>
          </cell>
          <cell r="L1392">
            <v>179.16</v>
          </cell>
          <cell r="AJ1392" t="str">
            <v>36BT7GGLB07W6HKDNR</v>
          </cell>
        </row>
        <row r="1393">
          <cell r="K1393" t="e">
            <v>#DIV/0!</v>
          </cell>
          <cell r="L1393" t="e">
            <v>#DIV/0!</v>
          </cell>
          <cell r="AJ1393" t="str">
            <v>5PBSTBMJB01K7GEG9W</v>
          </cell>
        </row>
        <row r="1394">
          <cell r="K1394">
            <v>0.89658000000000004</v>
          </cell>
          <cell r="L1394">
            <v>26.37</v>
          </cell>
          <cell r="AJ1394" t="str">
            <v>39TAD6PCB07W5JKT4S</v>
          </cell>
        </row>
        <row r="1395">
          <cell r="K1395">
            <v>3.9742600000000001</v>
          </cell>
          <cell r="L1395">
            <v>116.89</v>
          </cell>
          <cell r="AJ1395" t="str">
            <v>1VBBCE3CB07HR4KVSN</v>
          </cell>
        </row>
        <row r="1396">
          <cell r="K1396">
            <v>0.98633999999999999</v>
          </cell>
          <cell r="L1396">
            <v>29.01</v>
          </cell>
          <cell r="AJ1396" t="str">
            <v>56UO2L2IB00CJAEX5M</v>
          </cell>
        </row>
        <row r="1397">
          <cell r="K1397">
            <v>1.81934</v>
          </cell>
          <cell r="L1397">
            <v>53.51</v>
          </cell>
          <cell r="AJ1397" t="str">
            <v>31DJDC7QB07W5JHF97</v>
          </cell>
        </row>
        <row r="1398">
          <cell r="K1398">
            <v>3.9742600000000001</v>
          </cell>
          <cell r="L1398">
            <v>116.89</v>
          </cell>
          <cell r="AJ1398" t="str">
            <v>1VBBCE3CB07HR4KVSN</v>
          </cell>
        </row>
        <row r="1399">
          <cell r="K1399">
            <v>3.92496</v>
          </cell>
          <cell r="L1399">
            <v>115.44000000000001</v>
          </cell>
          <cell r="AJ1399" t="str">
            <v>7ILTX3HJB003UPJXIC</v>
          </cell>
        </row>
        <row r="1400">
          <cell r="K1400">
            <v>2.9239999999999999</v>
          </cell>
          <cell r="L1400">
            <v>86</v>
          </cell>
          <cell r="AJ1400" t="str">
            <v>31DJDC7QB00G2Y44ZK</v>
          </cell>
        </row>
        <row r="1401">
          <cell r="K1401">
            <v>1.09514</v>
          </cell>
          <cell r="L1401">
            <v>32.21</v>
          </cell>
          <cell r="AJ1401" t="str">
            <v>5MWU8WTDB00XJ3LVPI</v>
          </cell>
        </row>
        <row r="1402">
          <cell r="K1402">
            <v>2.3470200000000001</v>
          </cell>
          <cell r="L1402">
            <v>69.03</v>
          </cell>
          <cell r="AJ1402" t="str">
            <v>1X4DXX4TB07W5JKNB9</v>
          </cell>
        </row>
        <row r="1403">
          <cell r="K1403">
            <v>2.3470200000000001</v>
          </cell>
          <cell r="L1403">
            <v>69.03</v>
          </cell>
          <cell r="AJ1403" t="str">
            <v>1X4DXX4TB07W5JKNB9</v>
          </cell>
        </row>
        <row r="1404">
          <cell r="K1404">
            <v>1.5283</v>
          </cell>
          <cell r="L1404">
            <v>44.95</v>
          </cell>
          <cell r="AJ1404" t="str">
            <v>8BG295LIB01G3WBH9G</v>
          </cell>
        </row>
        <row r="1405">
          <cell r="K1405">
            <v>2.5632600000000001</v>
          </cell>
          <cell r="L1405">
            <v>75.39</v>
          </cell>
          <cell r="AJ1405" t="str">
            <v>2TMBDXBKB07W7LW3VS</v>
          </cell>
        </row>
        <row r="1406">
          <cell r="K1406">
            <v>1.4932800000000002</v>
          </cell>
          <cell r="L1406">
            <v>43.919999999999995</v>
          </cell>
          <cell r="AJ1406" t="str">
            <v>1PSIXGLTB0797G6W5K</v>
          </cell>
        </row>
        <row r="1407">
          <cell r="K1407">
            <v>0.39440000000000003</v>
          </cell>
          <cell r="L1407">
            <v>11.6</v>
          </cell>
          <cell r="AJ1407" t="str">
            <v>2CLMXQWQB07W7LNTMC</v>
          </cell>
        </row>
        <row r="1408">
          <cell r="K1408">
            <v>1.5283</v>
          </cell>
          <cell r="L1408">
            <v>44.95</v>
          </cell>
          <cell r="AJ1408" t="str">
            <v>1VBBCE3CB07W5JKLRF</v>
          </cell>
        </row>
        <row r="1409">
          <cell r="K1409">
            <v>2.3667400000000001</v>
          </cell>
          <cell r="L1409">
            <v>69.61</v>
          </cell>
          <cell r="AJ1409" t="str">
            <v>5MWU8WTDB07FNHV4MW</v>
          </cell>
        </row>
        <row r="1410">
          <cell r="K1410" t="e">
            <v>#DIV/0!</v>
          </cell>
          <cell r="L1410" t="e">
            <v>#DIV/0!</v>
          </cell>
          <cell r="AJ1410" t="str">
            <v>56UO2L2IB0013N474I</v>
          </cell>
        </row>
        <row r="1411">
          <cell r="K1411">
            <v>2.3470200000000001</v>
          </cell>
          <cell r="L1411">
            <v>69.03</v>
          </cell>
          <cell r="AJ1411" t="str">
            <v>5X1OU9ZGB07W7JYN4P</v>
          </cell>
        </row>
        <row r="1412">
          <cell r="K1412">
            <v>0.55726000000000009</v>
          </cell>
          <cell r="L1412">
            <v>16.39</v>
          </cell>
          <cell r="AJ1412" t="str">
            <v>7SCVG2OTB00EJ3RMDM</v>
          </cell>
        </row>
        <row r="1413">
          <cell r="K1413">
            <v>0.43791999999999998</v>
          </cell>
          <cell r="L1413">
            <v>12.88</v>
          </cell>
          <cell r="AJ1413" t="str">
            <v>56UO2L2IB00745IE1Q</v>
          </cell>
        </row>
        <row r="1414">
          <cell r="K1414">
            <v>2.5639400000000001</v>
          </cell>
          <cell r="L1414">
            <v>75.41</v>
          </cell>
          <cell r="AJ1414" t="str">
            <v>4YV2PIQLB01MT5WLHY</v>
          </cell>
        </row>
        <row r="1415">
          <cell r="K1415">
            <v>0.31823999999999997</v>
          </cell>
          <cell r="L1415">
            <v>9.36</v>
          </cell>
          <cell r="AJ1415" t="str">
            <v>34SEC9UDB0056C69DO</v>
          </cell>
        </row>
        <row r="1416">
          <cell r="K1416">
            <v>2.5639400000000001</v>
          </cell>
          <cell r="L1416">
            <v>75.41</v>
          </cell>
          <cell r="AJ1416" t="str">
            <v>4GF112AEB07W5JKHFZ</v>
          </cell>
        </row>
        <row r="1417">
          <cell r="K1417">
            <v>1.4932799999999999</v>
          </cell>
          <cell r="L1417">
            <v>43.92</v>
          </cell>
          <cell r="AJ1417" t="str">
            <v>4A3KDTEZB0797G6W5K</v>
          </cell>
        </row>
        <row r="1418">
          <cell r="K1418">
            <v>0.98599999999999988</v>
          </cell>
          <cell r="L1418">
            <v>29</v>
          </cell>
          <cell r="AJ1418" t="str">
            <v>7SCVG2OTB07W7LF6F1</v>
          </cell>
        </row>
        <row r="1419">
          <cell r="K1419">
            <v>2.8522599999999998</v>
          </cell>
          <cell r="L1419">
            <v>83.89</v>
          </cell>
          <cell r="AJ1419" t="str">
            <v>7CQW3EPPB07QKC4WWD</v>
          </cell>
        </row>
        <row r="1420">
          <cell r="K1420">
            <v>8.4615799999999997</v>
          </cell>
          <cell r="L1420">
            <v>248.87000000000003</v>
          </cell>
          <cell r="AJ1420" t="str">
            <v>1KYIVKWCB004PGM9KY</v>
          </cell>
        </row>
        <row r="1421">
          <cell r="K1421">
            <v>3.5040399999999998</v>
          </cell>
          <cell r="L1421">
            <v>103.06</v>
          </cell>
          <cell r="AJ1421" t="str">
            <v>7LA8DZCZB07PPNT9B2</v>
          </cell>
        </row>
        <row r="1422">
          <cell r="K1422">
            <v>2.8522599999999998</v>
          </cell>
          <cell r="L1422">
            <v>83.89</v>
          </cell>
          <cell r="AJ1422" t="str">
            <v>7CQW3EPPB07QKC4WWD</v>
          </cell>
        </row>
        <row r="1423">
          <cell r="K1423">
            <v>3.5499399999999999</v>
          </cell>
          <cell r="L1423">
            <v>104.41</v>
          </cell>
          <cell r="AJ1423" t="str">
            <v>5MWU8WTDB07W4DGKZ5</v>
          </cell>
        </row>
        <row r="1424">
          <cell r="K1424">
            <v>1.19442</v>
          </cell>
          <cell r="L1424">
            <v>35.130000000000003</v>
          </cell>
          <cell r="AJ1424" t="str">
            <v>56UO2L2IB07VK1S68S</v>
          </cell>
        </row>
        <row r="1425">
          <cell r="K1425">
            <v>0.71740000000000004</v>
          </cell>
          <cell r="L1425">
            <v>21.1</v>
          </cell>
          <cell r="AJ1425" t="str">
            <v>2W68T8TOB00CJ5FP04</v>
          </cell>
        </row>
        <row r="1426">
          <cell r="K1426">
            <v>1.09514</v>
          </cell>
          <cell r="L1426">
            <v>32.21</v>
          </cell>
          <cell r="AJ1426" t="str">
            <v>5X1OU9ZGB07W5JKPFG</v>
          </cell>
        </row>
        <row r="1427">
          <cell r="K1427">
            <v>0.69699999999999995</v>
          </cell>
          <cell r="L1427">
            <v>20.5</v>
          </cell>
          <cell r="AJ1427" t="str">
            <v>56UO2L2IB0013N474I</v>
          </cell>
        </row>
        <row r="1428">
          <cell r="K1428">
            <v>1.3936600000000001</v>
          </cell>
          <cell r="L1428">
            <v>40.99</v>
          </cell>
          <cell r="AJ1428" t="str">
            <v>3A946EXYB074N6823V</v>
          </cell>
        </row>
        <row r="1429">
          <cell r="K1429">
            <v>0.69700000000000006</v>
          </cell>
          <cell r="L1429">
            <v>20.5</v>
          </cell>
          <cell r="AJ1429" t="str">
            <v>56UO2L2IB0013N474I</v>
          </cell>
        </row>
        <row r="1430">
          <cell r="K1430" t="e">
            <v>#DIV/0!</v>
          </cell>
          <cell r="L1430" t="e">
            <v>#DIV/0!</v>
          </cell>
          <cell r="AJ1430" t="str">
            <v>56UO2L2IB0013N474I</v>
          </cell>
        </row>
        <row r="1431">
          <cell r="K1431">
            <v>1.3936599999999999</v>
          </cell>
          <cell r="L1431">
            <v>40.99</v>
          </cell>
          <cell r="AJ1431" t="str">
            <v>3A946EXYB074N6823V</v>
          </cell>
        </row>
        <row r="1432">
          <cell r="K1432">
            <v>1.19442</v>
          </cell>
          <cell r="L1432">
            <v>35.130000000000003</v>
          </cell>
          <cell r="AJ1432" t="str">
            <v>31QWZ6KBB003LNXT7Y</v>
          </cell>
        </row>
        <row r="1433">
          <cell r="K1433">
            <v>1.1658599999999999</v>
          </cell>
          <cell r="L1433">
            <v>34.29</v>
          </cell>
          <cell r="AJ1433" t="str">
            <v>3KYCEHVHB00ZWOUH4S</v>
          </cell>
        </row>
        <row r="1434">
          <cell r="K1434">
            <v>1.9553400000000001</v>
          </cell>
          <cell r="L1434">
            <v>57.51</v>
          </cell>
          <cell r="AJ1434" t="str">
            <v>24EUBTHXB06XPHQW6G</v>
          </cell>
        </row>
        <row r="1435">
          <cell r="K1435" t="e">
            <v>#DIV/0!</v>
          </cell>
          <cell r="L1435" t="e">
            <v>#DIV/0!</v>
          </cell>
          <cell r="AJ1435" t="str">
            <v>4GF112AEB07W5JKHFZ</v>
          </cell>
        </row>
        <row r="1436">
          <cell r="K1436">
            <v>4.46692</v>
          </cell>
          <cell r="L1436">
            <v>131.38</v>
          </cell>
          <cell r="AJ1436" t="str">
            <v>24EUBTHXB079VVQS1R</v>
          </cell>
        </row>
        <row r="1437">
          <cell r="K1437">
            <v>1.5283</v>
          </cell>
          <cell r="L1437">
            <v>44.95</v>
          </cell>
          <cell r="AJ1437" t="str">
            <v>5X1OU9ZGB01G3WBMZU</v>
          </cell>
        </row>
        <row r="1438">
          <cell r="K1438">
            <v>2.8522599999999998</v>
          </cell>
          <cell r="L1438">
            <v>83.89</v>
          </cell>
          <cell r="AJ1438" t="str">
            <v>4GF112AEB07SF1RCYF</v>
          </cell>
        </row>
        <row r="1439">
          <cell r="K1439">
            <v>2.71082</v>
          </cell>
          <cell r="L1439">
            <v>79.73</v>
          </cell>
          <cell r="AJ1439" t="str">
            <v>5X1OU9ZGB07G6DKDY8</v>
          </cell>
        </row>
        <row r="1440">
          <cell r="K1440">
            <v>0.31823999999999997</v>
          </cell>
          <cell r="L1440">
            <v>9.36</v>
          </cell>
          <cell r="AJ1440" t="str">
            <v>243WWSUAB0094QSF8U</v>
          </cell>
        </row>
        <row r="1441">
          <cell r="K1441">
            <v>2.5639400000000001</v>
          </cell>
          <cell r="L1441">
            <v>75.41</v>
          </cell>
          <cell r="AJ1441" t="str">
            <v>4O4TKA6PB07W7LMCF9</v>
          </cell>
        </row>
        <row r="1442">
          <cell r="K1442">
            <v>2.8522599999999998</v>
          </cell>
          <cell r="L1442">
            <v>83.89</v>
          </cell>
          <cell r="AJ1442" t="str">
            <v>2R6FMUZDB07QKC4WWD</v>
          </cell>
        </row>
        <row r="1443">
          <cell r="K1443">
            <v>2.3140399999999999</v>
          </cell>
          <cell r="L1443">
            <v>68.06</v>
          </cell>
          <cell r="AJ1443" t="str">
            <v>5MWU8WTDB07W6HJPSW</v>
          </cell>
        </row>
        <row r="1444">
          <cell r="K1444">
            <v>2.3140399999999999</v>
          </cell>
          <cell r="L1444">
            <v>68.06</v>
          </cell>
          <cell r="AJ1444" t="str">
            <v>27JB88GQB07W7KMLQ9</v>
          </cell>
        </row>
        <row r="1445">
          <cell r="K1445">
            <v>2.8220000000000001</v>
          </cell>
          <cell r="L1445">
            <v>83</v>
          </cell>
          <cell r="AJ1445" t="str">
            <v>5X1OU9ZGB07W5JK3M6</v>
          </cell>
        </row>
        <row r="1446">
          <cell r="K1446" t="e">
            <v>#DIV/0!</v>
          </cell>
          <cell r="L1446" t="e">
            <v>#DIV/0!</v>
          </cell>
          <cell r="AJ1446" t="str">
            <v>2M7QFTCOB07CGNDZR3</v>
          </cell>
        </row>
        <row r="1447">
          <cell r="K1447" t="e">
            <v>#DIV/0!</v>
          </cell>
          <cell r="L1447" t="e">
            <v>#DIV/0!</v>
          </cell>
          <cell r="AJ1447" t="str">
            <v>2M7QFTCOB07CGNDZR3</v>
          </cell>
        </row>
        <row r="1448">
          <cell r="K1448">
            <v>4.5362799999999996</v>
          </cell>
          <cell r="L1448">
            <v>133.41999999999999</v>
          </cell>
          <cell r="AJ1448" t="str">
            <v>2M7QFTCOB07W6JNF81</v>
          </cell>
        </row>
        <row r="1449">
          <cell r="K1449">
            <v>2.8522599999999998</v>
          </cell>
          <cell r="L1449">
            <v>83.89</v>
          </cell>
          <cell r="AJ1449" t="str">
            <v>2CLMXQWQB01M3TTXMY</v>
          </cell>
        </row>
        <row r="1450">
          <cell r="K1450">
            <v>1.19442</v>
          </cell>
          <cell r="L1450">
            <v>35.130000000000003</v>
          </cell>
          <cell r="AJ1450" t="str">
            <v>31QWZ6KBB003LNXT7Y</v>
          </cell>
        </row>
        <row r="1451">
          <cell r="K1451">
            <v>0.82279999999999998</v>
          </cell>
          <cell r="L1451">
            <v>24.2</v>
          </cell>
          <cell r="AJ1451" t="str">
            <v>8BG295LIB07J9Q68CK</v>
          </cell>
        </row>
        <row r="1452">
          <cell r="K1452">
            <v>0.62763999999999998</v>
          </cell>
          <cell r="L1452">
            <v>18.46</v>
          </cell>
          <cell r="AJ1452" t="str">
            <v>2R6FMUZDB07W5JKR75</v>
          </cell>
        </row>
        <row r="1453">
          <cell r="K1453">
            <v>3.21096</v>
          </cell>
          <cell r="L1453">
            <v>94.44</v>
          </cell>
          <cell r="AJ1453" t="str">
            <v>7EMS2FPGB07W6JMQW4</v>
          </cell>
        </row>
        <row r="1454">
          <cell r="K1454">
            <v>2.8522599999999998</v>
          </cell>
          <cell r="L1454">
            <v>83.89</v>
          </cell>
          <cell r="AJ1454" t="str">
            <v>1AKO6RJKB07W4DHKTD</v>
          </cell>
        </row>
        <row r="1455">
          <cell r="K1455">
            <v>1.8734</v>
          </cell>
          <cell r="L1455">
            <v>55.1</v>
          </cell>
          <cell r="AJ1455" t="str">
            <v>36BT7GGLB07W7L3HJP</v>
          </cell>
        </row>
        <row r="1456">
          <cell r="K1456" t="e">
            <v>#DIV/0!</v>
          </cell>
          <cell r="L1456" t="e">
            <v>#DIV/0!</v>
          </cell>
          <cell r="AJ1456" t="str">
            <v>2M7QFTCOB07CGNDZR3</v>
          </cell>
        </row>
        <row r="1457">
          <cell r="K1457">
            <v>4.5362799999999996</v>
          </cell>
          <cell r="L1457">
            <v>133.41999999999999</v>
          </cell>
          <cell r="AJ1457" t="str">
            <v>5X1OU9ZGB07W6JNF81</v>
          </cell>
        </row>
        <row r="1458">
          <cell r="K1458">
            <v>0.9860000000000001</v>
          </cell>
          <cell r="L1458">
            <v>29</v>
          </cell>
          <cell r="AJ1458" t="str">
            <v>6JWFV3WKB07W7KJC28</v>
          </cell>
        </row>
        <row r="1459">
          <cell r="K1459">
            <v>2.3470199999999997</v>
          </cell>
          <cell r="L1459">
            <v>69.03</v>
          </cell>
          <cell r="AJ1459" t="str">
            <v>4LYATDUXB07W6HLJJT</v>
          </cell>
        </row>
        <row r="1460">
          <cell r="K1460">
            <v>3.21096</v>
          </cell>
          <cell r="L1460">
            <v>94.44</v>
          </cell>
          <cell r="AJ1460" t="str">
            <v>56UO2L2IB01M9EWQ2W</v>
          </cell>
        </row>
        <row r="1461">
          <cell r="K1461">
            <v>2.5639400000000001</v>
          </cell>
          <cell r="L1461">
            <v>75.41</v>
          </cell>
          <cell r="AJ1461" t="str">
            <v>4JN5J65ZB07W7LMCF9</v>
          </cell>
        </row>
        <row r="1462">
          <cell r="K1462" t="e">
            <v>#DIV/0!</v>
          </cell>
          <cell r="L1462" t="e">
            <v>#DIV/0!</v>
          </cell>
          <cell r="AJ1462" t="str">
            <v>7RAC5F9EB00EUUXBDE</v>
          </cell>
        </row>
        <row r="1463">
          <cell r="K1463">
            <v>1.0580799999999999</v>
          </cell>
          <cell r="L1463">
            <v>31.12</v>
          </cell>
          <cell r="AJ1463" t="str">
            <v>7RAC5F9EB07W7KBRHZ</v>
          </cell>
        </row>
        <row r="1464">
          <cell r="K1464">
            <v>1.2556200000000002</v>
          </cell>
          <cell r="L1464">
            <v>36.93</v>
          </cell>
          <cell r="AJ1464" t="str">
            <v>2CLMXQWQB07CGNP3RH</v>
          </cell>
        </row>
        <row r="1465">
          <cell r="K1465">
            <v>3.5499400000000003</v>
          </cell>
          <cell r="L1465">
            <v>104.41</v>
          </cell>
          <cell r="AJ1465" t="str">
            <v>4F3XMHTVB07W4DGKZ5</v>
          </cell>
        </row>
        <row r="1466">
          <cell r="K1466">
            <v>0.80715999999999999</v>
          </cell>
          <cell r="L1466">
            <v>23.74</v>
          </cell>
          <cell r="AJ1466" t="str">
            <v>8BG295LIB07W6JPVPF</v>
          </cell>
        </row>
        <row r="1467">
          <cell r="K1467">
            <v>0.80715999999999999</v>
          </cell>
          <cell r="L1467">
            <v>23.74</v>
          </cell>
          <cell r="AJ1467" t="str">
            <v>8BG295LIB07W6JPVPF</v>
          </cell>
        </row>
        <row r="1468">
          <cell r="K1468">
            <v>1.2556200000000002</v>
          </cell>
          <cell r="L1468">
            <v>36.93</v>
          </cell>
          <cell r="AJ1468" t="str">
            <v>2M7QFTCOB07W5JHX84</v>
          </cell>
        </row>
        <row r="1469">
          <cell r="K1469">
            <v>2.49356</v>
          </cell>
          <cell r="L1469">
            <v>73.34</v>
          </cell>
          <cell r="AJ1469" t="str">
            <v>4939TJ5GB073399S1L</v>
          </cell>
        </row>
        <row r="1470">
          <cell r="K1470">
            <v>0.55726000000000009</v>
          </cell>
          <cell r="L1470">
            <v>16.39</v>
          </cell>
          <cell r="AJ1470" t="str">
            <v>17D6YHERB077BT728N</v>
          </cell>
        </row>
        <row r="1471">
          <cell r="K1471">
            <v>2.5639400000000001</v>
          </cell>
          <cell r="L1471">
            <v>75.410000000000011</v>
          </cell>
          <cell r="AJ1471" t="str">
            <v>31DJDC7QB07W6HXQ9J</v>
          </cell>
        </row>
        <row r="1472">
          <cell r="K1472">
            <v>1.25562</v>
          </cell>
          <cell r="L1472">
            <v>36.93</v>
          </cell>
          <cell r="AJ1472" t="str">
            <v>56UO2L2IB07CGVGMLD</v>
          </cell>
        </row>
        <row r="1473">
          <cell r="K1473">
            <v>0.55726000000000009</v>
          </cell>
          <cell r="L1473">
            <v>16.39</v>
          </cell>
          <cell r="AJ1473" t="str">
            <v>7H9X1Z6SB07W6GVZFL</v>
          </cell>
        </row>
        <row r="1474">
          <cell r="K1474">
            <v>0.89658000000000004</v>
          </cell>
          <cell r="L1474">
            <v>26.37</v>
          </cell>
          <cell r="AJ1474" t="str">
            <v>4F3XMHTVB07W5JKT4S</v>
          </cell>
        </row>
        <row r="1475">
          <cell r="K1475">
            <v>0.99551999999999996</v>
          </cell>
          <cell r="L1475">
            <v>29.28</v>
          </cell>
          <cell r="AJ1475" t="str">
            <v>7RAC5F9EB00EUUXBDE</v>
          </cell>
        </row>
        <row r="1476">
          <cell r="K1476">
            <v>1.3804000000000001</v>
          </cell>
          <cell r="L1476">
            <v>40.6</v>
          </cell>
          <cell r="AJ1476" t="str">
            <v>2F7Y5WIXB07W4DHZLS</v>
          </cell>
        </row>
        <row r="1477">
          <cell r="K1477">
            <v>0.99551999999999996</v>
          </cell>
          <cell r="L1477">
            <v>29.28</v>
          </cell>
          <cell r="AJ1477" t="str">
            <v>3IQS66UGB07W5JJ85Z</v>
          </cell>
        </row>
        <row r="1478">
          <cell r="K1478">
            <v>1.25562</v>
          </cell>
          <cell r="L1478">
            <v>36.93</v>
          </cell>
          <cell r="AJ1478" t="str">
            <v>2CLMXQWQB07CGNP3RH</v>
          </cell>
        </row>
        <row r="1479">
          <cell r="K1479">
            <v>0.89589999999999992</v>
          </cell>
          <cell r="L1479">
            <v>26.35</v>
          </cell>
          <cell r="AJ1479" t="str">
            <v>7SCVG2OTB00BF5QDZU</v>
          </cell>
        </row>
        <row r="1480">
          <cell r="K1480">
            <v>0.89658000000000004</v>
          </cell>
          <cell r="L1480">
            <v>26.37</v>
          </cell>
          <cell r="AJ1480" t="str">
            <v>4F3XMHTVB07W5JKT4S</v>
          </cell>
        </row>
        <row r="1481">
          <cell r="K1481">
            <v>1.4932799999999999</v>
          </cell>
          <cell r="L1481">
            <v>43.92</v>
          </cell>
          <cell r="AJ1481" t="str">
            <v>7RAC5F9EB01KZVQB42</v>
          </cell>
        </row>
        <row r="1482">
          <cell r="K1482">
            <v>1.4932799999999999</v>
          </cell>
          <cell r="L1482">
            <v>43.919999999999995</v>
          </cell>
          <cell r="AJ1482" t="str">
            <v>7RAC5F9EB01KZVQB42</v>
          </cell>
        </row>
        <row r="1483">
          <cell r="K1483">
            <v>1.34504</v>
          </cell>
          <cell r="L1483">
            <v>39.56</v>
          </cell>
          <cell r="AJ1483" t="str">
            <v>7LA8DZCZB07S69F4HC</v>
          </cell>
        </row>
        <row r="1484">
          <cell r="K1484">
            <v>0.55726000000000009</v>
          </cell>
          <cell r="L1484">
            <v>16.39</v>
          </cell>
          <cell r="AJ1484" t="str">
            <v>4A3KDTEZB00EJ3RMDM</v>
          </cell>
        </row>
        <row r="1485">
          <cell r="K1485">
            <v>4.46692</v>
          </cell>
          <cell r="L1485">
            <v>131.38</v>
          </cell>
          <cell r="AJ1485" t="str">
            <v>1X4DXX4TB07W6HYLB3</v>
          </cell>
        </row>
        <row r="1486">
          <cell r="K1486">
            <v>2.3667400000000001</v>
          </cell>
          <cell r="L1486">
            <v>69.61</v>
          </cell>
          <cell r="AJ1486" t="str">
            <v>8BG295LIB07W6H29GS</v>
          </cell>
        </row>
        <row r="1487">
          <cell r="K1487">
            <v>2.3470200000000001</v>
          </cell>
          <cell r="L1487">
            <v>69.03</v>
          </cell>
          <cell r="AJ1487" t="str">
            <v>6451M4NBB07W7JYN4P</v>
          </cell>
        </row>
        <row r="1488">
          <cell r="K1488">
            <v>0.99551999999999996</v>
          </cell>
          <cell r="L1488">
            <v>29.28</v>
          </cell>
          <cell r="AJ1488" t="str">
            <v>5X1OU9ZGB07W7JR6BZ</v>
          </cell>
        </row>
        <row r="1489">
          <cell r="K1489">
            <v>2.3667400000000001</v>
          </cell>
          <cell r="L1489">
            <v>69.61</v>
          </cell>
          <cell r="AJ1489" t="str">
            <v>5MWU8WTDB07FNHV4MW</v>
          </cell>
        </row>
        <row r="1490">
          <cell r="K1490">
            <v>1.61432</v>
          </cell>
          <cell r="L1490">
            <v>47.480000000000004</v>
          </cell>
          <cell r="AJ1490" t="str">
            <v>2M7QFTCOB07GS6ZS8J</v>
          </cell>
        </row>
        <row r="1491">
          <cell r="K1491">
            <v>1.19442</v>
          </cell>
          <cell r="L1491">
            <v>35.130000000000003</v>
          </cell>
          <cell r="AJ1491" t="str">
            <v>56UO2L2IB07VL9YHC9</v>
          </cell>
        </row>
        <row r="1492">
          <cell r="K1492">
            <v>1.09514</v>
          </cell>
          <cell r="L1492">
            <v>32.21</v>
          </cell>
          <cell r="AJ1492" t="str">
            <v>5P193OUGB07W4DHT47</v>
          </cell>
        </row>
        <row r="1493">
          <cell r="K1493">
            <v>2.3667400000000001</v>
          </cell>
          <cell r="L1493">
            <v>69.61</v>
          </cell>
          <cell r="AJ1493" t="str">
            <v>5MWU8WTDB07W4DH65R</v>
          </cell>
        </row>
        <row r="1494">
          <cell r="K1494">
            <v>1.09514</v>
          </cell>
          <cell r="L1494">
            <v>32.21</v>
          </cell>
          <cell r="AJ1494" t="str">
            <v>36BT7GGLB013SL2050</v>
          </cell>
        </row>
        <row r="1495">
          <cell r="K1495">
            <v>7.9723199999999999</v>
          </cell>
          <cell r="L1495">
            <v>234.48000000000002</v>
          </cell>
          <cell r="AJ1495" t="str">
            <v>1X4DXX4TB07TTB3SR2</v>
          </cell>
        </row>
        <row r="1496">
          <cell r="K1496">
            <v>7.5163799999999998</v>
          </cell>
          <cell r="L1496">
            <v>221.07</v>
          </cell>
          <cell r="AJ1496" t="str">
            <v>2LZI7R4TB00YUIM2J0</v>
          </cell>
        </row>
        <row r="1497">
          <cell r="K1497">
            <v>2.2664399999999998</v>
          </cell>
          <cell r="L1497">
            <v>66.66</v>
          </cell>
          <cell r="AJ1497" t="str">
            <v>8BG295LIB071ZFMC9Q</v>
          </cell>
        </row>
        <row r="1498">
          <cell r="K1498">
            <v>3.1555399999999998</v>
          </cell>
          <cell r="L1498">
            <v>92.81</v>
          </cell>
          <cell r="AJ1498" t="str">
            <v>56UO2L2IB07W7KV4GH</v>
          </cell>
        </row>
        <row r="1499">
          <cell r="K1499">
            <v>0.31824000000000002</v>
          </cell>
          <cell r="L1499">
            <v>9.36</v>
          </cell>
          <cell r="AJ1499" t="str">
            <v>4LYATDUXB01A9GXMW2</v>
          </cell>
        </row>
        <row r="1500">
          <cell r="K1500">
            <v>1.09514</v>
          </cell>
          <cell r="L1500">
            <v>32.21</v>
          </cell>
          <cell r="AJ1500" t="str">
            <v>7RAC5F9EB013SL2050</v>
          </cell>
        </row>
        <row r="1501">
          <cell r="K1501" t="e">
            <v>#DIV/0!</v>
          </cell>
          <cell r="L1501" t="e">
            <v>#DIV/0!</v>
          </cell>
          <cell r="AJ1501" t="str">
            <v>4LYATDUXB01A9GXMW2</v>
          </cell>
        </row>
        <row r="1502">
          <cell r="K1502" t="e">
            <v>#DIV/0!</v>
          </cell>
          <cell r="L1502" t="e">
            <v>#DIV/0!</v>
          </cell>
          <cell r="AJ1502" t="str">
            <v>2TMBDXBKB07W7LFHH9</v>
          </cell>
        </row>
        <row r="1503">
          <cell r="K1503">
            <v>1.0580800000000001</v>
          </cell>
          <cell r="L1503">
            <v>31.119999999999997</v>
          </cell>
          <cell r="AJ1503" t="str">
            <v>39TAD6PCB07W5JKBMG</v>
          </cell>
        </row>
        <row r="1504">
          <cell r="K1504">
            <v>0.62763999999999998</v>
          </cell>
          <cell r="L1504">
            <v>18.46</v>
          </cell>
          <cell r="AJ1504" t="str">
            <v>1LQM129ZB07W6H83LD</v>
          </cell>
        </row>
        <row r="1505">
          <cell r="K1505">
            <v>2.49356</v>
          </cell>
          <cell r="L1505">
            <v>73.34</v>
          </cell>
          <cell r="AJ1505" t="str">
            <v>548AEZALB073399S1L</v>
          </cell>
        </row>
        <row r="1506">
          <cell r="K1506">
            <v>2.71082</v>
          </cell>
          <cell r="L1506">
            <v>79.72999999999999</v>
          </cell>
          <cell r="AJ1506" t="str">
            <v>6451M4NBB07G6DKDY8</v>
          </cell>
        </row>
        <row r="1507">
          <cell r="K1507">
            <v>0.99552000000000007</v>
          </cell>
          <cell r="L1507">
            <v>29.279999999999998</v>
          </cell>
          <cell r="AJ1507" t="str">
            <v>3IQS66UGB07W5JJ85Z</v>
          </cell>
        </row>
        <row r="1508">
          <cell r="K1508">
            <v>6.0914400000000004</v>
          </cell>
          <cell r="L1508">
            <v>179.16</v>
          </cell>
          <cell r="AJ1508" t="str">
            <v>7H9X1Z6SB07W6HKDNR</v>
          </cell>
        </row>
        <row r="1509">
          <cell r="K1509">
            <v>1.972</v>
          </cell>
          <cell r="L1509">
            <v>58</v>
          </cell>
          <cell r="AJ1509" t="str">
            <v>5X1OU9ZGB07W7KCF3W</v>
          </cell>
        </row>
        <row r="1510">
          <cell r="K1510">
            <v>2.5632600000000001</v>
          </cell>
          <cell r="L1510">
            <v>75.39</v>
          </cell>
          <cell r="AJ1510" t="str">
            <v>56UO2L2IB07W6JQ52X</v>
          </cell>
        </row>
        <row r="1511">
          <cell r="K1511">
            <v>1.09514</v>
          </cell>
          <cell r="L1511">
            <v>32.21</v>
          </cell>
          <cell r="AJ1511" t="str">
            <v>7RAC5F9EB013SL2050</v>
          </cell>
        </row>
        <row r="1512">
          <cell r="K1512" t="e">
            <v>#DIV/0!</v>
          </cell>
          <cell r="L1512" t="e">
            <v>#DIV/0!</v>
          </cell>
          <cell r="AJ1512" t="str">
            <v>4LYATDUXB01A9GXMW2</v>
          </cell>
        </row>
        <row r="1513">
          <cell r="K1513" t="e">
            <v>#DIV/0!</v>
          </cell>
          <cell r="L1513" t="e">
            <v>#DIV/0!</v>
          </cell>
          <cell r="AJ1513" t="str">
            <v>2F7Y5WIXB07TTB3SR2</v>
          </cell>
        </row>
        <row r="1514">
          <cell r="K1514">
            <v>3.21096</v>
          </cell>
          <cell r="L1514">
            <v>94.44</v>
          </cell>
          <cell r="AJ1514" t="str">
            <v>17D6YHERB07W7KNWK5</v>
          </cell>
        </row>
        <row r="1515">
          <cell r="K1515">
            <v>1.0846</v>
          </cell>
          <cell r="L1515">
            <v>31.9</v>
          </cell>
          <cell r="AJ1515" t="str">
            <v>2M7QFTCOB07W4DHQJ9</v>
          </cell>
        </row>
        <row r="1516">
          <cell r="K1516">
            <v>1.81934</v>
          </cell>
          <cell r="L1516">
            <v>53.51</v>
          </cell>
          <cell r="AJ1516" t="str">
            <v>4JN5J65ZB07W5JHF97</v>
          </cell>
        </row>
        <row r="1517">
          <cell r="K1517">
            <v>0.79627999999999999</v>
          </cell>
          <cell r="L1517">
            <v>23.42</v>
          </cell>
          <cell r="AJ1517" t="str">
            <v>4A3KDTEZB0074486GA</v>
          </cell>
        </row>
        <row r="1518">
          <cell r="K1518">
            <v>0.80715999999999999</v>
          </cell>
          <cell r="L1518">
            <v>23.74</v>
          </cell>
          <cell r="AJ1518" t="str">
            <v>2CLMXQWQB07W6JPVPF</v>
          </cell>
        </row>
        <row r="1519">
          <cell r="K1519">
            <v>4.1082200000000002</v>
          </cell>
          <cell r="L1519">
            <v>120.83</v>
          </cell>
          <cell r="AJ1519" t="str">
            <v>31DJDC7QB07W4DJF29</v>
          </cell>
        </row>
        <row r="1520">
          <cell r="K1520">
            <v>0.89658000000000004</v>
          </cell>
          <cell r="L1520">
            <v>26.37</v>
          </cell>
          <cell r="AJ1520" t="str">
            <v>4F3XMHTVB07W4DHG24</v>
          </cell>
        </row>
        <row r="1521">
          <cell r="K1521">
            <v>1.09514</v>
          </cell>
          <cell r="L1521">
            <v>32.21</v>
          </cell>
          <cell r="AJ1521" t="str">
            <v>8BG295LIB003STDR1E</v>
          </cell>
        </row>
        <row r="1522">
          <cell r="K1522">
            <v>2.6730800000000001</v>
          </cell>
          <cell r="L1522">
            <v>78.62</v>
          </cell>
          <cell r="AJ1522" t="str">
            <v>24EUBTHXB074C9LZVX</v>
          </cell>
        </row>
        <row r="1523">
          <cell r="K1523">
            <v>0.98599999999999999</v>
          </cell>
          <cell r="L1523">
            <v>29</v>
          </cell>
          <cell r="AJ1523" t="str">
            <v>4YV2PIQLB07W4DGZ54</v>
          </cell>
        </row>
        <row r="1524">
          <cell r="K1524" t="e">
            <v>#DIV/0!</v>
          </cell>
          <cell r="L1524" t="e">
            <v>#DIV/0!</v>
          </cell>
          <cell r="AJ1524" t="str">
            <v>7CQW3EPPB07G5XJLWK</v>
          </cell>
        </row>
        <row r="1525">
          <cell r="K1525">
            <v>0.25873999999999997</v>
          </cell>
          <cell r="L1525">
            <v>7.61</v>
          </cell>
          <cell r="AJ1525" t="str">
            <v>7H9X1Z6SB07W7L6HHN</v>
          </cell>
        </row>
        <row r="1526">
          <cell r="K1526">
            <v>2.8220000000000001</v>
          </cell>
          <cell r="L1526">
            <v>83</v>
          </cell>
          <cell r="AJ1526" t="str">
            <v>2TMBDXBKB07DTTGZ7M</v>
          </cell>
        </row>
        <row r="1527">
          <cell r="K1527">
            <v>0.55725999999999998</v>
          </cell>
          <cell r="L1527">
            <v>16.389999999999997</v>
          </cell>
          <cell r="AJ1527" t="str">
            <v>1KYIVKWCB01I252A34</v>
          </cell>
        </row>
        <row r="1528">
          <cell r="K1528">
            <v>1.5245599999999999</v>
          </cell>
          <cell r="L1528">
            <v>44.839999999999996</v>
          </cell>
          <cell r="AJ1528" t="str">
            <v>5KUAVFPZB07W6GVS5C</v>
          </cell>
        </row>
        <row r="1529">
          <cell r="K1529">
            <v>2.49356</v>
          </cell>
          <cell r="L1529">
            <v>73.34</v>
          </cell>
          <cell r="AJ1529" t="str">
            <v>4GF112AEB07W6JNQ82</v>
          </cell>
        </row>
        <row r="1530">
          <cell r="K1530">
            <v>1.09514</v>
          </cell>
          <cell r="L1530">
            <v>32.21</v>
          </cell>
          <cell r="AJ1530" t="str">
            <v>31DJDC7QB0166J6EFS</v>
          </cell>
        </row>
        <row r="1531">
          <cell r="K1531">
            <v>2.5639400000000001</v>
          </cell>
          <cell r="L1531">
            <v>75.41</v>
          </cell>
          <cell r="AJ1531" t="str">
            <v>7SCVG2OTB01N6NGNQ8</v>
          </cell>
        </row>
        <row r="1532">
          <cell r="K1532">
            <v>1.3936599999999999</v>
          </cell>
          <cell r="L1532">
            <v>40.99</v>
          </cell>
          <cell r="AJ1532" t="str">
            <v>3MGBDEKKB009N6WMOY</v>
          </cell>
        </row>
        <row r="1533">
          <cell r="K1533">
            <v>0.89658000000000004</v>
          </cell>
          <cell r="L1533">
            <v>26.37</v>
          </cell>
          <cell r="AJ1533" t="str">
            <v>1X4DXX4TB00PVWZH78</v>
          </cell>
        </row>
        <row r="1534">
          <cell r="K1534">
            <v>2.49356</v>
          </cell>
          <cell r="L1534">
            <v>73.34</v>
          </cell>
          <cell r="AJ1534" t="str">
            <v>2R6FMUZDB07G5XJLWK</v>
          </cell>
        </row>
        <row r="1535">
          <cell r="K1535">
            <v>7.9723199999999999</v>
          </cell>
          <cell r="L1535">
            <v>234.48</v>
          </cell>
          <cell r="AJ1535" t="str">
            <v>1X4DXX4TB07TTB3SRB</v>
          </cell>
        </row>
        <row r="1536">
          <cell r="K1536">
            <v>4.46692</v>
          </cell>
          <cell r="L1536">
            <v>131.38</v>
          </cell>
          <cell r="AJ1536" t="str">
            <v>4GF112AEB07W5JJP7Q</v>
          </cell>
        </row>
        <row r="1537">
          <cell r="K1537">
            <v>1.5283</v>
          </cell>
          <cell r="L1537">
            <v>44.949999999999996</v>
          </cell>
          <cell r="AJ1537" t="str">
            <v>4F3XMHTVB07W6HDNPG</v>
          </cell>
        </row>
        <row r="1538">
          <cell r="K1538">
            <v>1.5283</v>
          </cell>
          <cell r="L1538">
            <v>44.95</v>
          </cell>
          <cell r="AJ1538" t="str">
            <v>4F3XMHTVB07W6HDNPF</v>
          </cell>
        </row>
        <row r="1539">
          <cell r="K1539">
            <v>1.09514</v>
          </cell>
          <cell r="L1539">
            <v>32.21</v>
          </cell>
          <cell r="AJ1539" t="str">
            <v>5X1OU9ZGB010EPT2X6</v>
          </cell>
        </row>
        <row r="1540">
          <cell r="K1540" t="e">
            <v>#DIV/0!</v>
          </cell>
          <cell r="L1540" t="e">
            <v>#DIV/0!</v>
          </cell>
          <cell r="AJ1540" t="str">
            <v>5FPQ9KSZB07W5JK221</v>
          </cell>
        </row>
        <row r="1541">
          <cell r="K1541">
            <v>0.80715999999999999</v>
          </cell>
          <cell r="L1541">
            <v>23.74</v>
          </cell>
          <cell r="AJ1541" t="str">
            <v>39TAD6PCB07W5JKFQC</v>
          </cell>
        </row>
        <row r="1542">
          <cell r="K1542">
            <v>2.5639400000000001</v>
          </cell>
          <cell r="L1542">
            <v>75.41</v>
          </cell>
          <cell r="AJ1542" t="str">
            <v>7LA8DZCZB07W5JK5MW</v>
          </cell>
        </row>
        <row r="1543">
          <cell r="K1543" t="e">
            <v>#DIV/0!</v>
          </cell>
          <cell r="L1543" t="e">
            <v>#DIV/0!</v>
          </cell>
          <cell r="AJ1543" t="str">
            <v>39TAD6PCB07W5JKFQC</v>
          </cell>
        </row>
        <row r="1544">
          <cell r="K1544">
            <v>1.25562</v>
          </cell>
          <cell r="L1544">
            <v>36.93</v>
          </cell>
          <cell r="AJ1544" t="str">
            <v>3IQS66UGB07W5JHX84</v>
          </cell>
        </row>
        <row r="1545">
          <cell r="K1545">
            <v>2.5639400000000001</v>
          </cell>
          <cell r="L1545">
            <v>75.41</v>
          </cell>
          <cell r="AJ1545" t="str">
            <v>7LA8DZCZB07W5JK5MW</v>
          </cell>
        </row>
        <row r="1546">
          <cell r="K1546">
            <v>0.21487999999999999</v>
          </cell>
          <cell r="L1546">
            <v>6.32</v>
          </cell>
          <cell r="AJ1546" t="str">
            <v>3KYCEHVHB07W6JPM9P</v>
          </cell>
        </row>
        <row r="1547">
          <cell r="K1547">
            <v>3.5700000000000003</v>
          </cell>
          <cell r="L1547">
            <v>105</v>
          </cell>
          <cell r="AJ1547" t="str">
            <v>1X4DXX4TB07MTY7N22</v>
          </cell>
        </row>
        <row r="1548">
          <cell r="K1548">
            <v>0.21487999999999999</v>
          </cell>
          <cell r="L1548">
            <v>6.3199999999999994</v>
          </cell>
          <cell r="AJ1548" t="str">
            <v>3KYCEHVHB07W6JPM9P</v>
          </cell>
        </row>
        <row r="1549">
          <cell r="K1549">
            <v>1.25562</v>
          </cell>
          <cell r="L1549">
            <v>36.93</v>
          </cell>
          <cell r="AJ1549" t="str">
            <v>3IQS66UGB07W5JHX84</v>
          </cell>
        </row>
        <row r="1550">
          <cell r="K1550">
            <v>1.5283</v>
          </cell>
          <cell r="L1550">
            <v>44.95</v>
          </cell>
          <cell r="AJ1550" t="str">
            <v>4F3XMHTVB07W6HLN9H</v>
          </cell>
        </row>
        <row r="1551">
          <cell r="K1551">
            <v>7.9723200000000007</v>
          </cell>
          <cell r="L1551">
            <v>234.48000000000002</v>
          </cell>
          <cell r="AJ1551" t="str">
            <v>2TMBDXBKB07TTB3SR2</v>
          </cell>
        </row>
        <row r="1552">
          <cell r="K1552">
            <v>7.5163800000000007</v>
          </cell>
          <cell r="L1552">
            <v>221.07000000000002</v>
          </cell>
          <cell r="AJ1552" t="str">
            <v>7EMS2FPGB00YUIM2J0</v>
          </cell>
        </row>
        <row r="1553">
          <cell r="K1553">
            <v>1.9553400000000001</v>
          </cell>
          <cell r="L1553">
            <v>57.51</v>
          </cell>
          <cell r="AJ1553" t="str">
            <v>3KYCEHVHB01MFBNN9J</v>
          </cell>
        </row>
        <row r="1554">
          <cell r="K1554">
            <v>7.5163799999999998</v>
          </cell>
          <cell r="L1554">
            <v>221.07000000000002</v>
          </cell>
          <cell r="AJ1554" t="str">
            <v>7EMS2FPGB00YUIM2J0</v>
          </cell>
        </row>
        <row r="1555">
          <cell r="K1555">
            <v>0.80715999999999999</v>
          </cell>
          <cell r="L1555">
            <v>23.740000000000002</v>
          </cell>
          <cell r="AJ1555" t="str">
            <v>39TAD6PCB07W5JKFQC</v>
          </cell>
        </row>
        <row r="1556">
          <cell r="K1556">
            <v>0.80715999999999999</v>
          </cell>
          <cell r="L1556">
            <v>23.74</v>
          </cell>
          <cell r="AJ1556" t="str">
            <v>39TAD6PCB07W5JKFQC</v>
          </cell>
        </row>
        <row r="1557">
          <cell r="K1557">
            <v>1.972</v>
          </cell>
          <cell r="L1557">
            <v>58</v>
          </cell>
          <cell r="AJ1557" t="str">
            <v>4LYATDUXB07W7KCF3W</v>
          </cell>
        </row>
        <row r="1558">
          <cell r="K1558">
            <v>0.79627999999999999</v>
          </cell>
          <cell r="L1558">
            <v>23.42</v>
          </cell>
          <cell r="AJ1558" t="str">
            <v>74WI6EYDB01DKGAQNG</v>
          </cell>
        </row>
        <row r="1559">
          <cell r="K1559">
            <v>1.09514</v>
          </cell>
          <cell r="L1559">
            <v>32.21</v>
          </cell>
          <cell r="AJ1559" t="str">
            <v>4F3XMHTVB00XJ3LVPI</v>
          </cell>
        </row>
        <row r="1560">
          <cell r="K1560">
            <v>2.5445600000000002</v>
          </cell>
          <cell r="L1560">
            <v>74.84</v>
          </cell>
          <cell r="AJ1560" t="str">
            <v>3OB2IUIKB07W7LB4T7</v>
          </cell>
        </row>
        <row r="1561">
          <cell r="K1561">
            <v>1.5245599999999999</v>
          </cell>
          <cell r="L1561">
            <v>44.84</v>
          </cell>
          <cell r="AJ1561" t="str">
            <v>6JWFV3WKB01L6L46LK</v>
          </cell>
        </row>
        <row r="1562">
          <cell r="K1562">
            <v>2.3470200000000001</v>
          </cell>
          <cell r="L1562">
            <v>69.03</v>
          </cell>
          <cell r="AJ1562" t="str">
            <v>4GF112AEB07W7L9JXH</v>
          </cell>
        </row>
        <row r="1563">
          <cell r="K1563">
            <v>1.5283</v>
          </cell>
          <cell r="L1563">
            <v>44.95</v>
          </cell>
          <cell r="AJ1563" t="str">
            <v>2TMBDXBKB014S0DVDK</v>
          </cell>
        </row>
        <row r="1564">
          <cell r="K1564">
            <v>7.5163799999999998</v>
          </cell>
          <cell r="L1564">
            <v>221.07</v>
          </cell>
          <cell r="AJ1564" t="str">
            <v>7EMS2FPGB00YUIM2J0</v>
          </cell>
        </row>
        <row r="1565">
          <cell r="K1565">
            <v>2.3470200000000001</v>
          </cell>
          <cell r="L1565">
            <v>69.03</v>
          </cell>
          <cell r="AJ1565" t="str">
            <v>7H9X1Z6SB07W7L9JXH</v>
          </cell>
        </row>
        <row r="1566">
          <cell r="K1566">
            <v>0.79627999999999999</v>
          </cell>
          <cell r="L1566">
            <v>23.42</v>
          </cell>
          <cell r="AJ1566" t="str">
            <v>7LA8DZCZB07W6JNWP8</v>
          </cell>
        </row>
        <row r="1567">
          <cell r="K1567">
            <v>0.79627999999999999</v>
          </cell>
          <cell r="L1567">
            <v>23.42</v>
          </cell>
          <cell r="AJ1567" t="str">
            <v>7ILTX3HJB01AUGT964</v>
          </cell>
        </row>
        <row r="1568">
          <cell r="K1568">
            <v>4.1224999999999996</v>
          </cell>
          <cell r="L1568">
            <v>121.25</v>
          </cell>
          <cell r="AJ1568" t="str">
            <v>8949MU8ZB074KMD92K</v>
          </cell>
        </row>
        <row r="1569">
          <cell r="K1569">
            <v>2.8522599999999998</v>
          </cell>
          <cell r="L1569">
            <v>83.89</v>
          </cell>
          <cell r="AJ1569" t="str">
            <v>2TMBDXBKB07W6J51XR</v>
          </cell>
        </row>
        <row r="1570">
          <cell r="K1570">
            <v>0.35802</v>
          </cell>
          <cell r="L1570">
            <v>10.53</v>
          </cell>
          <cell r="AJ1570" t="str">
            <v>5X1OU9ZGB0056I3IDW</v>
          </cell>
        </row>
        <row r="1571">
          <cell r="K1571">
            <v>0.31823999999999997</v>
          </cell>
          <cell r="L1571">
            <v>9.36</v>
          </cell>
          <cell r="AJ1571" t="str">
            <v>2M7QFTCOB00P7RAI8A</v>
          </cell>
        </row>
        <row r="1572">
          <cell r="K1572">
            <v>1.4572399999999999</v>
          </cell>
          <cell r="L1572">
            <v>42.86</v>
          </cell>
          <cell r="AJ1572" t="str">
            <v>3IQS66UGB07L8QV1XC</v>
          </cell>
        </row>
        <row r="1573">
          <cell r="K1573">
            <v>1.09514</v>
          </cell>
          <cell r="L1573">
            <v>32.21</v>
          </cell>
          <cell r="AJ1573" t="str">
            <v>4LYATDUXB07W4DGZ53</v>
          </cell>
        </row>
        <row r="1574">
          <cell r="K1574">
            <v>2.5639399999999997</v>
          </cell>
          <cell r="L1574">
            <v>75.41</v>
          </cell>
          <cell r="AJ1574" t="str">
            <v>56UO2L2IB07W5JK1JN</v>
          </cell>
        </row>
        <row r="1575">
          <cell r="K1575">
            <v>2.1498200000000001</v>
          </cell>
          <cell r="L1575">
            <v>63.230000000000004</v>
          </cell>
          <cell r="AJ1575" t="str">
            <v>2TMBDXBKB07W7LFHH9</v>
          </cell>
        </row>
        <row r="1576">
          <cell r="K1576">
            <v>2.3470200000000001</v>
          </cell>
          <cell r="L1576">
            <v>69.03</v>
          </cell>
          <cell r="AJ1576" t="str">
            <v>4GF112AEB07W4DH1XZ</v>
          </cell>
        </row>
        <row r="1577">
          <cell r="K1577">
            <v>1.09514</v>
          </cell>
          <cell r="L1577">
            <v>32.21</v>
          </cell>
          <cell r="AJ1577" t="str">
            <v>7H9X1Z6SB07W6JP4SQ</v>
          </cell>
        </row>
        <row r="1578">
          <cell r="K1578">
            <v>3.57</v>
          </cell>
          <cell r="L1578">
            <v>105</v>
          </cell>
          <cell r="AJ1578" t="str">
            <v>2TMBDXBKB07MTY7N22</v>
          </cell>
        </row>
        <row r="1579">
          <cell r="K1579">
            <v>3.5700000000000003</v>
          </cell>
          <cell r="L1579">
            <v>105</v>
          </cell>
          <cell r="AJ1579" t="str">
            <v>2TMBDXBKB07MTY7N22</v>
          </cell>
        </row>
        <row r="1580">
          <cell r="K1580">
            <v>7.9723199999999999</v>
          </cell>
          <cell r="L1580">
            <v>234.48000000000002</v>
          </cell>
          <cell r="AJ1580" t="str">
            <v>2F7Y5WIXB07TTB3SR2</v>
          </cell>
        </row>
        <row r="1581">
          <cell r="K1581">
            <v>3.1361599999999998</v>
          </cell>
          <cell r="L1581">
            <v>92.24</v>
          </cell>
          <cell r="AJ1581" t="str">
            <v>54JZ1ZVPB07W4DHNBF</v>
          </cell>
        </row>
        <row r="1582">
          <cell r="K1582">
            <v>0.99551999999999996</v>
          </cell>
          <cell r="L1582">
            <v>29.28</v>
          </cell>
          <cell r="AJ1582" t="str">
            <v>4GF112AEB07W6JM8BJ</v>
          </cell>
        </row>
        <row r="1583">
          <cell r="K1583">
            <v>1.5283</v>
          </cell>
          <cell r="L1583">
            <v>44.95</v>
          </cell>
          <cell r="AJ1583" t="str">
            <v>3KYCEHVHB07W5JKLRF</v>
          </cell>
        </row>
        <row r="1584">
          <cell r="K1584">
            <v>1.7635799999999999</v>
          </cell>
          <cell r="L1584">
            <v>51.870000000000005</v>
          </cell>
          <cell r="AJ1584" t="str">
            <v>48JXYHTNB078MGXLVS</v>
          </cell>
        </row>
        <row r="1585">
          <cell r="K1585">
            <v>2.49356</v>
          </cell>
          <cell r="L1585">
            <v>73.34</v>
          </cell>
          <cell r="AJ1585" t="str">
            <v>4P7SEHJSB073399S1L</v>
          </cell>
        </row>
        <row r="1586">
          <cell r="K1586" t="e">
            <v>#DIV/0!</v>
          </cell>
          <cell r="L1586" t="e">
            <v>#DIV/0!</v>
          </cell>
          <cell r="AJ1586" t="str">
            <v>56UO2L2IB0013N474I</v>
          </cell>
        </row>
        <row r="1587">
          <cell r="K1587">
            <v>0.39439999999999997</v>
          </cell>
          <cell r="L1587">
            <v>11.6</v>
          </cell>
          <cell r="AJ1587" t="str">
            <v>8BG295LIB07W7LNTMC</v>
          </cell>
        </row>
        <row r="1588">
          <cell r="K1588">
            <v>7.15768</v>
          </cell>
          <cell r="L1588">
            <v>210.52</v>
          </cell>
          <cell r="AJ1588" t="str">
            <v>69351YNLB07W6JB7N7</v>
          </cell>
        </row>
        <row r="1589">
          <cell r="K1589">
            <v>3.57</v>
          </cell>
          <cell r="L1589">
            <v>105</v>
          </cell>
          <cell r="AJ1589" t="str">
            <v>24EUBTHXB01GHP1IDY</v>
          </cell>
        </row>
      </sheetData>
      <sheetData sheetId="7"/>
      <sheetData sheetId="8"/>
      <sheetData sheetId="9">
        <row r="1">
          <cell r="A1" t="str">
            <v>Concat</v>
          </cell>
          <cell r="B1" t="str">
            <v>Fiscal Period</v>
          </cell>
          <cell r="C1" t="str">
            <v>Operating Unit Name</v>
          </cell>
          <cell r="D1" t="str">
            <v>Customer Number</v>
          </cell>
          <cell r="E1" t="str">
            <v>Customer</v>
          </cell>
          <cell r="F1" t="str">
            <v>Purchase Order</v>
          </cell>
          <cell r="G1" t="str">
            <v>Customer Sku Number</v>
          </cell>
          <cell r="H1" t="str">
            <v>Item$SV$Logi System Items</v>
          </cell>
          <cell r="I1" t="str">
            <v>Batch Source</v>
          </cell>
          <cell r="J1" t="str">
            <v>Transaction Number</v>
          </cell>
          <cell r="K1" t="str">
            <v>Transaction Date</v>
          </cell>
          <cell r="L1" t="str">
            <v>Transaction Line Number</v>
          </cell>
          <cell r="M1" t="str">
            <v>Currency Code</v>
          </cell>
          <cell r="N1" t="str">
            <v>Transaction Line Amount</v>
          </cell>
          <cell r="O1" t="str">
            <v>Unit Selling Price</v>
          </cell>
          <cell r="P1" t="str">
            <v>Quantity Ordered</v>
          </cell>
          <cell r="Q1" t="str">
            <v>Quantity Invoiced</v>
          </cell>
          <cell r="R1" t="str">
            <v>Quantity Credited</v>
          </cell>
        </row>
        <row r="2">
          <cell r="A2" t="str">
            <v>11FTNKDSB07W7LXYTR</v>
          </cell>
          <cell r="B2" t="str">
            <v>Q3-23</v>
          </cell>
          <cell r="C2" t="str">
            <v>Europe Operations OU</v>
          </cell>
          <cell r="D2">
            <v>2674345</v>
          </cell>
          <cell r="E2" t="str">
            <v>Amazon EU SARL, succursale Italiana</v>
          </cell>
          <cell r="F2" t="str">
            <v>11FTNKDS</v>
          </cell>
          <cell r="G2" t="str">
            <v>B07W7LXYTR</v>
          </cell>
          <cell r="H2" t="str">
            <v>920-010726</v>
          </cell>
          <cell r="I2" t="str">
            <v>OE INVOICES</v>
          </cell>
          <cell r="J2">
            <v>44422157097</v>
          </cell>
          <cell r="K2">
            <v>44904</v>
          </cell>
          <cell r="L2">
            <v>1</v>
          </cell>
          <cell r="M2" t="str">
            <v>EUR</v>
          </cell>
          <cell r="N2">
            <v>505.84</v>
          </cell>
          <cell r="O2">
            <v>63.23</v>
          </cell>
          <cell r="P2">
            <v>8</v>
          </cell>
          <cell r="Q2">
            <v>8</v>
          </cell>
          <cell r="R2">
            <v>0</v>
          </cell>
        </row>
        <row r="3">
          <cell r="A3" t="str">
            <v>11Y5DH1JB003UPJXIC</v>
          </cell>
          <cell r="B3" t="str">
            <v>Q3-23</v>
          </cell>
          <cell r="C3" t="str">
            <v>Europe Operations OU</v>
          </cell>
          <cell r="D3">
            <v>2674345</v>
          </cell>
          <cell r="E3" t="str">
            <v>Amazon EU SARL, succursale Italiana</v>
          </cell>
          <cell r="F3" t="str">
            <v>11Y5DH1J</v>
          </cell>
          <cell r="G3" t="str">
            <v>B003UPJXIC</v>
          </cell>
          <cell r="H3" t="str">
            <v>980-000403</v>
          </cell>
          <cell r="I3" t="str">
            <v>OE INVOICES</v>
          </cell>
          <cell r="J3">
            <v>44422134744</v>
          </cell>
          <cell r="K3">
            <v>44893</v>
          </cell>
          <cell r="L3">
            <v>1</v>
          </cell>
          <cell r="M3" t="str">
            <v>EUR</v>
          </cell>
          <cell r="N3">
            <v>346.32</v>
          </cell>
          <cell r="O3">
            <v>115.44</v>
          </cell>
          <cell r="P3">
            <v>3</v>
          </cell>
          <cell r="Q3">
            <v>3</v>
          </cell>
          <cell r="R3">
            <v>0</v>
          </cell>
        </row>
        <row r="4">
          <cell r="A4" t="str">
            <v>11Y5DH1JB005IDE064</v>
          </cell>
          <cell r="B4" t="str">
            <v>Q3-23</v>
          </cell>
          <cell r="C4" t="str">
            <v>Europe Operations OU</v>
          </cell>
          <cell r="D4">
            <v>2674345</v>
          </cell>
          <cell r="E4" t="str">
            <v>Amazon EU SARL, succursale Italiana</v>
          </cell>
          <cell r="F4" t="str">
            <v>11Y5DH1J</v>
          </cell>
          <cell r="G4" t="str">
            <v>B005IDE064</v>
          </cell>
          <cell r="H4" t="str">
            <v>920-002440</v>
          </cell>
          <cell r="I4" t="str">
            <v>OE INVOICES</v>
          </cell>
          <cell r="J4">
            <v>44422134744</v>
          </cell>
          <cell r="K4">
            <v>44893</v>
          </cell>
          <cell r="L4">
            <v>2</v>
          </cell>
          <cell r="M4" t="str">
            <v>EUR</v>
          </cell>
          <cell r="N4">
            <v>278.44</v>
          </cell>
          <cell r="O4">
            <v>69.61</v>
          </cell>
          <cell r="P4">
            <v>4</v>
          </cell>
          <cell r="Q4">
            <v>4</v>
          </cell>
          <cell r="R4">
            <v>0</v>
          </cell>
        </row>
        <row r="5">
          <cell r="A5" t="str">
            <v>11Y5DH1JB0074486GA</v>
          </cell>
          <cell r="B5" t="str">
            <v>Q3-23</v>
          </cell>
          <cell r="C5" t="str">
            <v>Europe Operations OU</v>
          </cell>
          <cell r="D5">
            <v>2674345</v>
          </cell>
          <cell r="E5" t="str">
            <v>Amazon EU SARL, succursale Italiana</v>
          </cell>
          <cell r="F5" t="str">
            <v>11Y5DH1J</v>
          </cell>
          <cell r="G5" t="str">
            <v>B0074486GA</v>
          </cell>
          <cell r="H5" t="str">
            <v>920-003745</v>
          </cell>
          <cell r="I5" t="str">
            <v>OE INVOICES</v>
          </cell>
          <cell r="J5">
            <v>44422134744</v>
          </cell>
          <cell r="K5">
            <v>44893</v>
          </cell>
          <cell r="L5">
            <v>3</v>
          </cell>
          <cell r="M5" t="str">
            <v>EUR</v>
          </cell>
          <cell r="N5">
            <v>93.68</v>
          </cell>
          <cell r="O5">
            <v>23.42</v>
          </cell>
          <cell r="P5">
            <v>4</v>
          </cell>
          <cell r="Q5">
            <v>4</v>
          </cell>
          <cell r="R5">
            <v>0</v>
          </cell>
        </row>
        <row r="6">
          <cell r="A6" t="str">
            <v>11Y5DH1JB00BT8QIJ4</v>
          </cell>
          <cell r="B6" t="str">
            <v>Q3-23</v>
          </cell>
          <cell r="C6" t="str">
            <v>Europe Operations OU</v>
          </cell>
          <cell r="D6">
            <v>2674345</v>
          </cell>
          <cell r="E6" t="str">
            <v>Amazon EU SARL, succursale Italiana</v>
          </cell>
          <cell r="F6" t="str">
            <v>11Y5DH1J</v>
          </cell>
          <cell r="G6" t="str">
            <v>B00BT8QIJ4</v>
          </cell>
          <cell r="H6" t="str">
            <v>920-002522</v>
          </cell>
          <cell r="I6" t="str">
            <v>OE INVOICES</v>
          </cell>
          <cell r="J6">
            <v>44422134744</v>
          </cell>
          <cell r="K6">
            <v>44893</v>
          </cell>
          <cell r="L6">
            <v>4</v>
          </cell>
          <cell r="M6" t="str">
            <v>EUR</v>
          </cell>
          <cell r="N6">
            <v>93.6</v>
          </cell>
          <cell r="O6">
            <v>9.36</v>
          </cell>
          <cell r="P6">
            <v>10</v>
          </cell>
          <cell r="Q6">
            <v>10</v>
          </cell>
          <cell r="R6">
            <v>0</v>
          </cell>
        </row>
        <row r="7">
          <cell r="A7" t="str">
            <v>11Y5DH1JB00D2PX8C2</v>
          </cell>
          <cell r="B7" t="str">
            <v>Q3-23</v>
          </cell>
          <cell r="C7" t="str">
            <v>Europe Operations OU</v>
          </cell>
          <cell r="D7">
            <v>2674345</v>
          </cell>
          <cell r="E7" t="str">
            <v>Amazon EU SARL, succursale Italiana</v>
          </cell>
          <cell r="F7" t="str">
            <v>11Y5DH1J</v>
          </cell>
          <cell r="G7" t="str">
            <v>B00D2PX8C2</v>
          </cell>
          <cell r="H7" t="str">
            <v>920-004512</v>
          </cell>
          <cell r="I7" t="str">
            <v>OE INVOICES</v>
          </cell>
          <cell r="J7">
            <v>44422134744</v>
          </cell>
          <cell r="K7">
            <v>44893</v>
          </cell>
          <cell r="L7">
            <v>5</v>
          </cell>
          <cell r="M7" t="str">
            <v>EUR</v>
          </cell>
          <cell r="N7">
            <v>948.6</v>
          </cell>
          <cell r="O7">
            <v>26.35</v>
          </cell>
          <cell r="P7">
            <v>36</v>
          </cell>
          <cell r="Q7">
            <v>36</v>
          </cell>
          <cell r="R7">
            <v>0</v>
          </cell>
        </row>
        <row r="8">
          <cell r="A8" t="str">
            <v>11Y5DH1JB00EJ3RMDM</v>
          </cell>
          <cell r="B8" t="str">
            <v>Q3-23</v>
          </cell>
          <cell r="C8" t="str">
            <v>Europe Operations OU</v>
          </cell>
          <cell r="D8">
            <v>2674345</v>
          </cell>
          <cell r="E8" t="str">
            <v>Amazon EU SARL, succursale Italiana</v>
          </cell>
          <cell r="F8" t="str">
            <v>11Y5DH1J</v>
          </cell>
          <cell r="G8" t="str">
            <v>B00EJ3RMDM</v>
          </cell>
          <cell r="H8" t="str">
            <v>920-005210</v>
          </cell>
          <cell r="I8" t="str">
            <v>OE INVOICES</v>
          </cell>
          <cell r="J8">
            <v>44422134744</v>
          </cell>
          <cell r="K8">
            <v>44893</v>
          </cell>
          <cell r="L8">
            <v>6</v>
          </cell>
          <cell r="M8" t="str">
            <v>EUR</v>
          </cell>
          <cell r="N8">
            <v>163.9</v>
          </cell>
          <cell r="O8">
            <v>16.39</v>
          </cell>
          <cell r="P8">
            <v>10</v>
          </cell>
          <cell r="Q8">
            <v>10</v>
          </cell>
          <cell r="R8">
            <v>0</v>
          </cell>
        </row>
        <row r="9">
          <cell r="A9" t="str">
            <v>11Y5DH1JB00EJ3RMRS</v>
          </cell>
          <cell r="B9" t="str">
            <v>Q3-23</v>
          </cell>
          <cell r="C9" t="str">
            <v>Europe Operations OU</v>
          </cell>
          <cell r="D9">
            <v>2674345</v>
          </cell>
          <cell r="E9" t="str">
            <v>Amazon EU SARL, succursale Italiana</v>
          </cell>
          <cell r="F9" t="str">
            <v>11Y5DH1J</v>
          </cell>
          <cell r="G9" t="str">
            <v>B00EJ3RMRS</v>
          </cell>
          <cell r="H9" t="str">
            <v>920-005217</v>
          </cell>
          <cell r="I9" t="str">
            <v>OE INVOICES</v>
          </cell>
          <cell r="J9">
            <v>44422134744</v>
          </cell>
          <cell r="K9">
            <v>44893</v>
          </cell>
          <cell r="L9">
            <v>7</v>
          </cell>
          <cell r="M9" t="str">
            <v>EUR</v>
          </cell>
          <cell r="N9">
            <v>163.9</v>
          </cell>
          <cell r="O9">
            <v>16.39</v>
          </cell>
          <cell r="P9">
            <v>10</v>
          </cell>
          <cell r="Q9">
            <v>10</v>
          </cell>
          <cell r="R9">
            <v>0</v>
          </cell>
        </row>
        <row r="10">
          <cell r="A10" t="str">
            <v>11Y5DH1JB01KPT6UUE</v>
          </cell>
          <cell r="B10" t="str">
            <v>Q3-23</v>
          </cell>
          <cell r="C10" t="str">
            <v>Europe Operations OU</v>
          </cell>
          <cell r="D10">
            <v>2674345</v>
          </cell>
          <cell r="E10" t="str">
            <v>Amazon EU SARL, succursale Italiana</v>
          </cell>
          <cell r="F10" t="str">
            <v>11Y5DH1J</v>
          </cell>
          <cell r="G10" t="str">
            <v>B01KPT6UUE</v>
          </cell>
          <cell r="H10" t="str">
            <v>920-008158</v>
          </cell>
          <cell r="I10" t="str">
            <v>OE INVOICES</v>
          </cell>
          <cell r="J10">
            <v>44422134744</v>
          </cell>
          <cell r="K10">
            <v>44893</v>
          </cell>
          <cell r="L10">
            <v>8</v>
          </cell>
          <cell r="M10" t="str">
            <v>EUR</v>
          </cell>
          <cell r="N10">
            <v>205</v>
          </cell>
          <cell r="O10">
            <v>20.5</v>
          </cell>
          <cell r="P10">
            <v>10</v>
          </cell>
          <cell r="Q10">
            <v>10</v>
          </cell>
          <cell r="R10">
            <v>0</v>
          </cell>
        </row>
        <row r="11">
          <cell r="A11" t="str">
            <v>11Y5DH1JB077BT728N</v>
          </cell>
          <cell r="B11" t="str">
            <v>Q3-23</v>
          </cell>
          <cell r="C11" t="str">
            <v>Europe Operations OU</v>
          </cell>
          <cell r="D11">
            <v>2674345</v>
          </cell>
          <cell r="E11" t="str">
            <v>Amazon EU SARL, succursale Italiana</v>
          </cell>
          <cell r="F11" t="str">
            <v>11Y5DH1J</v>
          </cell>
          <cell r="G11" t="str">
            <v>B077BT728N</v>
          </cell>
          <cell r="H11" t="str">
            <v>920-008669</v>
          </cell>
          <cell r="I11" t="str">
            <v>OE INVOICES</v>
          </cell>
          <cell r="J11">
            <v>44422134744</v>
          </cell>
          <cell r="K11">
            <v>44893</v>
          </cell>
          <cell r="L11">
            <v>9</v>
          </cell>
          <cell r="M11" t="str">
            <v>EUR</v>
          </cell>
          <cell r="N11">
            <v>163.9</v>
          </cell>
          <cell r="O11">
            <v>16.39</v>
          </cell>
          <cell r="P11">
            <v>10</v>
          </cell>
          <cell r="Q11">
            <v>10</v>
          </cell>
          <cell r="R11">
            <v>0</v>
          </cell>
        </row>
        <row r="12">
          <cell r="A12" t="str">
            <v>11Y5DH1JB078MHS3SC</v>
          </cell>
          <cell r="B12" t="str">
            <v>Q3-23</v>
          </cell>
          <cell r="C12" t="str">
            <v>Europe Operations OU</v>
          </cell>
          <cell r="D12">
            <v>2674345</v>
          </cell>
          <cell r="E12" t="str">
            <v>Amazon EU SARL, succursale Italiana</v>
          </cell>
          <cell r="F12" t="str">
            <v>11Y5DH1J</v>
          </cell>
          <cell r="G12" t="str">
            <v>B078MHS3SC</v>
          </cell>
          <cell r="H12" t="str">
            <v>988-000247</v>
          </cell>
          <cell r="I12" t="str">
            <v>OE INVOICES</v>
          </cell>
          <cell r="J12">
            <v>44422134744</v>
          </cell>
          <cell r="K12">
            <v>44893</v>
          </cell>
          <cell r="L12">
            <v>10</v>
          </cell>
          <cell r="M12" t="str">
            <v>EUR</v>
          </cell>
          <cell r="N12">
            <v>3818.16</v>
          </cell>
          <cell r="O12">
            <v>159.09</v>
          </cell>
          <cell r="P12">
            <v>24</v>
          </cell>
          <cell r="Q12">
            <v>24</v>
          </cell>
          <cell r="R12">
            <v>0</v>
          </cell>
        </row>
        <row r="13">
          <cell r="A13" t="str">
            <v>11Y5DH1JB07W4DHDCT</v>
          </cell>
          <cell r="B13" t="str">
            <v>Q3-23</v>
          </cell>
          <cell r="C13" t="str">
            <v>Europe Operations OU</v>
          </cell>
          <cell r="D13">
            <v>2674345</v>
          </cell>
          <cell r="E13" t="str">
            <v>Amazon EU SARL, succursale Italiana</v>
          </cell>
          <cell r="F13" t="str">
            <v>11Y5DH1J</v>
          </cell>
          <cell r="G13" t="str">
            <v>B07W4DHDCT</v>
          </cell>
          <cell r="H13" t="str">
            <v>920-010972</v>
          </cell>
          <cell r="I13" t="str">
            <v>OE INVOICES</v>
          </cell>
          <cell r="J13">
            <v>44422134744</v>
          </cell>
          <cell r="K13">
            <v>44893</v>
          </cell>
          <cell r="L13">
            <v>11</v>
          </cell>
          <cell r="M13" t="str">
            <v>EUR</v>
          </cell>
          <cell r="N13">
            <v>128.84</v>
          </cell>
          <cell r="O13">
            <v>32.21</v>
          </cell>
          <cell r="P13">
            <v>4</v>
          </cell>
          <cell r="Q13">
            <v>4</v>
          </cell>
          <cell r="R13">
            <v>0</v>
          </cell>
        </row>
        <row r="14">
          <cell r="A14" t="str">
            <v>11Y5DH1JB07W4DHXFT</v>
          </cell>
          <cell r="B14" t="str">
            <v>Q3-23</v>
          </cell>
          <cell r="C14" t="str">
            <v>Europe Operations OU</v>
          </cell>
          <cell r="D14">
            <v>2674345</v>
          </cell>
          <cell r="E14" t="str">
            <v>Amazon EU SARL, succursale Italiana</v>
          </cell>
          <cell r="F14" t="str">
            <v>11Y5DH1J</v>
          </cell>
          <cell r="G14" t="str">
            <v>B07W4DHXFT</v>
          </cell>
          <cell r="H14" t="str">
            <v>920-010913</v>
          </cell>
          <cell r="I14" t="str">
            <v>OE INVOICES</v>
          </cell>
          <cell r="J14">
            <v>44422134744</v>
          </cell>
          <cell r="K14">
            <v>44893</v>
          </cell>
          <cell r="L14">
            <v>12</v>
          </cell>
          <cell r="M14" t="str">
            <v>EUR</v>
          </cell>
          <cell r="N14">
            <v>901.88</v>
          </cell>
          <cell r="O14">
            <v>32.21</v>
          </cell>
          <cell r="P14">
            <v>28</v>
          </cell>
          <cell r="Q14">
            <v>28</v>
          </cell>
          <cell r="R14">
            <v>0</v>
          </cell>
        </row>
        <row r="15">
          <cell r="A15" t="str">
            <v>11Y5DH1JB07W6H9L5G</v>
          </cell>
          <cell r="B15" t="str">
            <v>Q3-23</v>
          </cell>
          <cell r="C15" t="str">
            <v>Europe Operations OU</v>
          </cell>
          <cell r="D15">
            <v>2674345</v>
          </cell>
          <cell r="E15" t="str">
            <v>Amazon EU SARL, succursale Italiana</v>
          </cell>
          <cell r="F15" t="str">
            <v>11Y5DH1J</v>
          </cell>
          <cell r="G15" t="str">
            <v>B07W6H9L5G</v>
          </cell>
          <cell r="H15" t="str">
            <v>941-000160</v>
          </cell>
          <cell r="I15" t="str">
            <v>OE INVOICES</v>
          </cell>
          <cell r="J15">
            <v>44422134744</v>
          </cell>
          <cell r="K15">
            <v>44893</v>
          </cell>
          <cell r="L15">
            <v>13</v>
          </cell>
          <cell r="M15" t="str">
            <v>EUR</v>
          </cell>
          <cell r="N15">
            <v>1684.16</v>
          </cell>
          <cell r="O15">
            <v>210.52</v>
          </cell>
          <cell r="P15">
            <v>8</v>
          </cell>
          <cell r="Q15">
            <v>8</v>
          </cell>
          <cell r="R15">
            <v>0</v>
          </cell>
        </row>
        <row r="16">
          <cell r="A16" t="str">
            <v>11Y5DH1JB07W6JPZBL</v>
          </cell>
          <cell r="B16" t="str">
            <v>Q3-23</v>
          </cell>
          <cell r="C16" t="str">
            <v>Europe Operations OU</v>
          </cell>
          <cell r="D16">
            <v>2674345</v>
          </cell>
          <cell r="E16" t="str">
            <v>Amazon EU SARL, succursale Italiana</v>
          </cell>
          <cell r="F16" t="str">
            <v>11Y5DH1J</v>
          </cell>
          <cell r="G16" t="str">
            <v>B07W6JPZBL</v>
          </cell>
          <cell r="H16" t="str">
            <v>984-001804</v>
          </cell>
          <cell r="I16" t="str">
            <v>OE INVOICES</v>
          </cell>
          <cell r="J16">
            <v>44422140937</v>
          </cell>
          <cell r="K16">
            <v>44895</v>
          </cell>
          <cell r="L16">
            <v>1</v>
          </cell>
          <cell r="M16" t="str">
            <v>EUR</v>
          </cell>
          <cell r="N16">
            <v>7448.37</v>
          </cell>
          <cell r="O16">
            <v>240.27</v>
          </cell>
          <cell r="P16">
            <v>31</v>
          </cell>
          <cell r="Q16">
            <v>31</v>
          </cell>
          <cell r="R16">
            <v>0</v>
          </cell>
        </row>
        <row r="17">
          <cell r="A17" t="str">
            <v>11Y5DH1JB07W7K2QLG</v>
          </cell>
          <cell r="B17" t="str">
            <v>Q3-23</v>
          </cell>
          <cell r="C17" t="str">
            <v>Europe Operations OU</v>
          </cell>
          <cell r="D17">
            <v>2674345</v>
          </cell>
          <cell r="E17" t="str">
            <v>Amazon EU SARL, succursale Italiana</v>
          </cell>
          <cell r="F17" t="str">
            <v>11Y5DH1J</v>
          </cell>
          <cell r="G17" t="str">
            <v>B07W7K2QLG</v>
          </cell>
          <cell r="H17" t="str">
            <v>920-009105</v>
          </cell>
          <cell r="I17" t="str">
            <v>OE INVOICES</v>
          </cell>
          <cell r="J17">
            <v>44422134744</v>
          </cell>
          <cell r="K17">
            <v>44893</v>
          </cell>
          <cell r="L17">
            <v>14</v>
          </cell>
          <cell r="M17" t="str">
            <v>EUR</v>
          </cell>
          <cell r="N17">
            <v>567.72</v>
          </cell>
          <cell r="O17">
            <v>141.93</v>
          </cell>
          <cell r="P17">
            <v>4</v>
          </cell>
          <cell r="Q17">
            <v>4</v>
          </cell>
          <cell r="R17">
            <v>0</v>
          </cell>
        </row>
        <row r="18">
          <cell r="A18" t="str">
            <v>13O47WAGB076CNH34R</v>
          </cell>
          <cell r="B18" t="str">
            <v>Q3-23</v>
          </cell>
          <cell r="C18" t="str">
            <v>Europe Operations OU</v>
          </cell>
          <cell r="D18">
            <v>2674345</v>
          </cell>
          <cell r="E18" t="str">
            <v>Amazon EU SARL, succursale Italiana</v>
          </cell>
          <cell r="F18" t="str">
            <v>13O47WAG</v>
          </cell>
          <cell r="G18" t="str">
            <v>B076CNH34R</v>
          </cell>
          <cell r="H18" t="str">
            <v>920-008502</v>
          </cell>
          <cell r="I18" t="str">
            <v>OE INVOICES</v>
          </cell>
          <cell r="J18">
            <v>44422143090</v>
          </cell>
          <cell r="K18">
            <v>44896</v>
          </cell>
          <cell r="L18">
            <v>1</v>
          </cell>
          <cell r="M18" t="str">
            <v>EUR</v>
          </cell>
          <cell r="N18">
            <v>485</v>
          </cell>
          <cell r="O18">
            <v>121.25</v>
          </cell>
          <cell r="P18">
            <v>4</v>
          </cell>
          <cell r="Q18">
            <v>4</v>
          </cell>
          <cell r="R18">
            <v>0</v>
          </cell>
        </row>
        <row r="19">
          <cell r="A19" t="str">
            <v>13O47WAGB07VYH9THL</v>
          </cell>
          <cell r="B19" t="str">
            <v>Q3-23</v>
          </cell>
          <cell r="C19" t="str">
            <v>Europe Operations OU</v>
          </cell>
          <cell r="D19">
            <v>2674345</v>
          </cell>
          <cell r="E19" t="str">
            <v>Amazon EU SARL, succursale Italiana</v>
          </cell>
          <cell r="F19" t="str">
            <v>13O47WAG</v>
          </cell>
          <cell r="G19" t="str">
            <v>B07VYH9THL</v>
          </cell>
          <cell r="H19" t="str">
            <v>920-009001</v>
          </cell>
          <cell r="I19" t="str">
            <v>OE INVOICES</v>
          </cell>
          <cell r="J19">
            <v>44422134833</v>
          </cell>
          <cell r="K19">
            <v>44893</v>
          </cell>
          <cell r="L19">
            <v>1</v>
          </cell>
          <cell r="M19" t="str">
            <v>EUR</v>
          </cell>
          <cell r="N19">
            <v>441.08</v>
          </cell>
          <cell r="O19">
            <v>110.27</v>
          </cell>
          <cell r="P19">
            <v>4</v>
          </cell>
          <cell r="Q19">
            <v>4</v>
          </cell>
          <cell r="R19">
            <v>0</v>
          </cell>
        </row>
        <row r="20">
          <cell r="A20" t="str">
            <v>13O47WAGB07W7LB4T7</v>
          </cell>
          <cell r="B20" t="str">
            <v>Q3-23</v>
          </cell>
          <cell r="C20" t="str">
            <v>Europe Operations OU</v>
          </cell>
          <cell r="D20">
            <v>2674345</v>
          </cell>
          <cell r="E20" t="str">
            <v>Amazon EU SARL, succursale Italiana</v>
          </cell>
          <cell r="F20" t="str">
            <v>13O47WAG</v>
          </cell>
          <cell r="G20" t="str">
            <v>B07W7LB4T7</v>
          </cell>
          <cell r="H20" t="str">
            <v>920-010108</v>
          </cell>
          <cell r="I20" t="str">
            <v>OE INVOICES</v>
          </cell>
          <cell r="J20">
            <v>44422134833</v>
          </cell>
          <cell r="K20">
            <v>44893</v>
          </cell>
          <cell r="L20">
            <v>2</v>
          </cell>
          <cell r="M20" t="str">
            <v>EUR</v>
          </cell>
          <cell r="N20">
            <v>1197.44</v>
          </cell>
          <cell r="O20">
            <v>74.84</v>
          </cell>
          <cell r="P20">
            <v>16</v>
          </cell>
          <cell r="Q20">
            <v>16</v>
          </cell>
          <cell r="R20">
            <v>0</v>
          </cell>
        </row>
        <row r="21">
          <cell r="A21" t="str">
            <v>16QFG5EWB003K1FXTO</v>
          </cell>
          <cell r="B21" t="str">
            <v>Q3-23</v>
          </cell>
          <cell r="C21" t="str">
            <v>Europe Operations OU</v>
          </cell>
          <cell r="D21">
            <v>2674345</v>
          </cell>
          <cell r="E21" t="str">
            <v>Amazon EU SARL, succursale Italiana</v>
          </cell>
          <cell r="F21" t="str">
            <v>16QFG5EW</v>
          </cell>
          <cell r="G21" t="str">
            <v>B003K1FXTO</v>
          </cell>
          <cell r="H21" t="str">
            <v>920-002552</v>
          </cell>
          <cell r="I21" t="str">
            <v>OE INVOICES</v>
          </cell>
          <cell r="J21">
            <v>44422129754</v>
          </cell>
          <cell r="K21">
            <v>44888</v>
          </cell>
          <cell r="L21">
            <v>1</v>
          </cell>
          <cell r="M21" t="str">
            <v>EUR</v>
          </cell>
          <cell r="N21">
            <v>175.6</v>
          </cell>
          <cell r="O21">
            <v>17.559999999999999</v>
          </cell>
          <cell r="P21">
            <v>10</v>
          </cell>
          <cell r="Q21">
            <v>10</v>
          </cell>
          <cell r="R21">
            <v>0</v>
          </cell>
        </row>
        <row r="22">
          <cell r="A22" t="str">
            <v>16QFG5EWB004CM47VU</v>
          </cell>
          <cell r="B22" t="str">
            <v>Q3-23</v>
          </cell>
          <cell r="C22" t="str">
            <v>Europe Operations OU</v>
          </cell>
          <cell r="D22">
            <v>2674345</v>
          </cell>
          <cell r="E22" t="str">
            <v>Amazon EU SARL, succursale Italiana</v>
          </cell>
          <cell r="F22" t="str">
            <v>16QFG5EW</v>
          </cell>
          <cell r="G22" t="str">
            <v>B004CM47VU</v>
          </cell>
          <cell r="H22" t="str">
            <v>920-002543</v>
          </cell>
          <cell r="I22" t="str">
            <v>OE INVOICES</v>
          </cell>
          <cell r="J22">
            <v>44422129754</v>
          </cell>
          <cell r="K22">
            <v>44888</v>
          </cell>
          <cell r="L22">
            <v>2</v>
          </cell>
          <cell r="M22" t="str">
            <v>EUR</v>
          </cell>
          <cell r="N22">
            <v>1229.2</v>
          </cell>
          <cell r="O22">
            <v>17.559999999999999</v>
          </cell>
          <cell r="P22">
            <v>70</v>
          </cell>
          <cell r="Q22">
            <v>70</v>
          </cell>
          <cell r="R22">
            <v>0</v>
          </cell>
        </row>
        <row r="23">
          <cell r="A23" t="str">
            <v>16QFG5EWB00D2PX8C2</v>
          </cell>
          <cell r="B23" t="str">
            <v>Q3-23</v>
          </cell>
          <cell r="C23" t="str">
            <v>Europe Operations OU</v>
          </cell>
          <cell r="D23">
            <v>2674345</v>
          </cell>
          <cell r="E23" t="str">
            <v>Amazon EU SARL, succursale Italiana</v>
          </cell>
          <cell r="F23" t="str">
            <v>16QFG5EW</v>
          </cell>
          <cell r="G23" t="str">
            <v>B00D2PX8C2</v>
          </cell>
          <cell r="H23" t="str">
            <v>920-004512</v>
          </cell>
          <cell r="I23" t="str">
            <v>OE INVOICES</v>
          </cell>
          <cell r="J23">
            <v>44422129754</v>
          </cell>
          <cell r="K23">
            <v>44888</v>
          </cell>
          <cell r="L23">
            <v>3</v>
          </cell>
          <cell r="M23" t="str">
            <v>EUR</v>
          </cell>
          <cell r="N23">
            <v>49485.3</v>
          </cell>
          <cell r="O23">
            <v>26.35</v>
          </cell>
          <cell r="P23">
            <v>1878</v>
          </cell>
          <cell r="Q23">
            <v>1878</v>
          </cell>
          <cell r="R23">
            <v>0</v>
          </cell>
        </row>
        <row r="24">
          <cell r="A24" t="str">
            <v>16QFG5EWB01C4HCV58</v>
          </cell>
          <cell r="B24" t="str">
            <v>Q3-23</v>
          </cell>
          <cell r="C24" t="str">
            <v>Europe Operations OU</v>
          </cell>
          <cell r="D24">
            <v>2674345</v>
          </cell>
          <cell r="E24" t="str">
            <v>Amazon EU SARL, succursale Italiana</v>
          </cell>
          <cell r="F24" t="str">
            <v>16QFG5EW</v>
          </cell>
          <cell r="G24" t="str">
            <v>B01C4HCV58</v>
          </cell>
          <cell r="H24" t="str">
            <v>920-007919</v>
          </cell>
          <cell r="I24" t="str">
            <v>OE INVOICES</v>
          </cell>
          <cell r="J24">
            <v>44422129754</v>
          </cell>
          <cell r="K24">
            <v>44888</v>
          </cell>
          <cell r="L24">
            <v>4</v>
          </cell>
          <cell r="M24" t="str">
            <v>EUR</v>
          </cell>
          <cell r="N24">
            <v>749.44</v>
          </cell>
          <cell r="O24">
            <v>23.42</v>
          </cell>
          <cell r="P24">
            <v>32</v>
          </cell>
          <cell r="Q24">
            <v>32</v>
          </cell>
          <cell r="R24">
            <v>0</v>
          </cell>
        </row>
        <row r="25">
          <cell r="A25" t="str">
            <v>16QFG5EWB01I252A34</v>
          </cell>
          <cell r="B25" t="str">
            <v>Q3-23</v>
          </cell>
          <cell r="C25" t="str">
            <v>Europe Operations OU</v>
          </cell>
          <cell r="D25">
            <v>2674345</v>
          </cell>
          <cell r="E25" t="str">
            <v>Amazon EU SARL, succursale Italiana</v>
          </cell>
          <cell r="F25" t="str">
            <v>16QFG5EW</v>
          </cell>
          <cell r="G25" t="str">
            <v>B01I252A34</v>
          </cell>
          <cell r="H25" t="str">
            <v>920-005214</v>
          </cell>
          <cell r="I25" t="str">
            <v>OE INVOICES</v>
          </cell>
          <cell r="J25">
            <v>44422129754</v>
          </cell>
          <cell r="K25">
            <v>44888</v>
          </cell>
          <cell r="L25">
            <v>5</v>
          </cell>
          <cell r="M25" t="str">
            <v>EUR</v>
          </cell>
          <cell r="N25">
            <v>2786.3</v>
          </cell>
          <cell r="O25">
            <v>16.39</v>
          </cell>
          <cell r="P25">
            <v>170</v>
          </cell>
          <cell r="Q25">
            <v>170</v>
          </cell>
          <cell r="R25">
            <v>0</v>
          </cell>
        </row>
        <row r="26">
          <cell r="A26" t="str">
            <v>16QFG5EWB07W6JB7N7</v>
          </cell>
          <cell r="B26" t="str">
            <v>Q3-23</v>
          </cell>
          <cell r="C26" t="str">
            <v>Europe Operations OU</v>
          </cell>
          <cell r="D26">
            <v>2674345</v>
          </cell>
          <cell r="E26" t="str">
            <v>Amazon EU SARL, succursale Italiana</v>
          </cell>
          <cell r="F26" t="str">
            <v>16QFG5EW</v>
          </cell>
          <cell r="G26" t="str">
            <v>B07W6JB7N7</v>
          </cell>
          <cell r="H26" t="str">
            <v>941-000150</v>
          </cell>
          <cell r="I26" t="str">
            <v>OE INVOICES</v>
          </cell>
          <cell r="J26">
            <v>44422129754</v>
          </cell>
          <cell r="K26">
            <v>44888</v>
          </cell>
          <cell r="L26">
            <v>6</v>
          </cell>
          <cell r="M26" t="str">
            <v>EUR</v>
          </cell>
          <cell r="N26">
            <v>1263.1199999999999</v>
          </cell>
          <cell r="O26">
            <v>210.52</v>
          </cell>
          <cell r="P26">
            <v>6</v>
          </cell>
          <cell r="Q26">
            <v>6</v>
          </cell>
          <cell r="R26">
            <v>0</v>
          </cell>
        </row>
        <row r="27">
          <cell r="A27" t="str">
            <v>16QFG5EWB07W7KFFFF</v>
          </cell>
          <cell r="B27" t="str">
            <v>Q3-23</v>
          </cell>
          <cell r="C27" t="str">
            <v>Europe Operations OU</v>
          </cell>
          <cell r="D27">
            <v>2674345</v>
          </cell>
          <cell r="E27" t="str">
            <v>Amazon EU SARL, succursale Italiana</v>
          </cell>
          <cell r="F27" t="str">
            <v>16QFG5EW</v>
          </cell>
          <cell r="G27" t="str">
            <v>B07W7KFFFF</v>
          </cell>
          <cell r="H27" t="str">
            <v>941-000149</v>
          </cell>
          <cell r="I27" t="str">
            <v>OE INVOICES</v>
          </cell>
          <cell r="J27">
            <v>44422129754</v>
          </cell>
          <cell r="K27">
            <v>44888</v>
          </cell>
          <cell r="L27">
            <v>7</v>
          </cell>
          <cell r="M27" t="str">
            <v>EUR</v>
          </cell>
          <cell r="N27">
            <v>43685.55</v>
          </cell>
          <cell r="O27">
            <v>226.35</v>
          </cell>
          <cell r="P27">
            <v>193</v>
          </cell>
          <cell r="Q27">
            <v>193</v>
          </cell>
          <cell r="R27">
            <v>0</v>
          </cell>
        </row>
        <row r="28">
          <cell r="A28" t="str">
            <v>172UACJHB01MCXJWD1</v>
          </cell>
          <cell r="B28" t="str">
            <v>Q3-23</v>
          </cell>
          <cell r="C28" t="str">
            <v>Europe Operations OU</v>
          </cell>
          <cell r="D28">
            <v>2674345</v>
          </cell>
          <cell r="E28" t="str">
            <v>Amazon EU SARL, succursale Italiana</v>
          </cell>
          <cell r="F28" t="str">
            <v>172UACJH</v>
          </cell>
          <cell r="G28" t="str">
            <v>B01MCXJWD1</v>
          </cell>
          <cell r="H28" t="str">
            <v>945-000004</v>
          </cell>
          <cell r="I28" t="str">
            <v>OE INVOICES</v>
          </cell>
          <cell r="J28">
            <v>44422132441</v>
          </cell>
          <cell r="K28">
            <v>44889</v>
          </cell>
          <cell r="L28">
            <v>1</v>
          </cell>
          <cell r="M28" t="str">
            <v>EUR</v>
          </cell>
          <cell r="N28">
            <v>5885.22</v>
          </cell>
          <cell r="O28">
            <v>89.17</v>
          </cell>
          <cell r="P28">
            <v>66</v>
          </cell>
          <cell r="Q28">
            <v>66</v>
          </cell>
          <cell r="R28">
            <v>0</v>
          </cell>
        </row>
        <row r="29">
          <cell r="A29" t="str">
            <v>17D6YHERB0074486GA</v>
          </cell>
          <cell r="B29" t="str">
            <v>Q3-23</v>
          </cell>
          <cell r="C29" t="str">
            <v>Europe Operations OU</v>
          </cell>
          <cell r="D29">
            <v>2674345</v>
          </cell>
          <cell r="E29" t="str">
            <v>Amazon EU SARL, succursale Italiana</v>
          </cell>
          <cell r="F29" t="str">
            <v>17D6YHER</v>
          </cell>
          <cell r="G29" t="str">
            <v>B0074486GA</v>
          </cell>
          <cell r="H29" t="str">
            <v>920-003745</v>
          </cell>
          <cell r="I29" t="str">
            <v>OE INVOICES</v>
          </cell>
          <cell r="J29">
            <v>44422157419</v>
          </cell>
          <cell r="K29">
            <v>44904</v>
          </cell>
          <cell r="L29">
            <v>1</v>
          </cell>
          <cell r="M29" t="str">
            <v>EUR</v>
          </cell>
          <cell r="N29">
            <v>93.68</v>
          </cell>
          <cell r="O29">
            <v>23.42</v>
          </cell>
          <cell r="P29">
            <v>4</v>
          </cell>
          <cell r="Q29">
            <v>4</v>
          </cell>
          <cell r="R29">
            <v>0</v>
          </cell>
        </row>
        <row r="30">
          <cell r="A30" t="str">
            <v>17D6YHERB00S67M430</v>
          </cell>
          <cell r="B30" t="str">
            <v>Q3-23</v>
          </cell>
          <cell r="C30" t="str">
            <v>Europe Operations OU</v>
          </cell>
          <cell r="D30">
            <v>2674345</v>
          </cell>
          <cell r="E30" t="str">
            <v>Amazon EU SARL, succursale Italiana</v>
          </cell>
          <cell r="F30" t="str">
            <v>17D6YHER</v>
          </cell>
          <cell r="G30" t="str">
            <v>B00S67M430</v>
          </cell>
          <cell r="H30" t="str">
            <v>920-006489</v>
          </cell>
          <cell r="I30" t="str">
            <v>OE INVOICES</v>
          </cell>
          <cell r="J30">
            <v>44422157419</v>
          </cell>
          <cell r="K30">
            <v>44904</v>
          </cell>
          <cell r="L30">
            <v>2</v>
          </cell>
          <cell r="M30" t="str">
            <v>EUR</v>
          </cell>
          <cell r="N30">
            <v>140.52000000000001</v>
          </cell>
          <cell r="O30">
            <v>35.130000000000003</v>
          </cell>
          <cell r="P30">
            <v>4</v>
          </cell>
          <cell r="Q30">
            <v>4</v>
          </cell>
          <cell r="R30">
            <v>0</v>
          </cell>
        </row>
        <row r="31">
          <cell r="A31" t="str">
            <v>17D6YHERB011N78DMA</v>
          </cell>
          <cell r="B31" t="str">
            <v>Q3-23</v>
          </cell>
          <cell r="C31" t="str">
            <v>Europe Operations OU</v>
          </cell>
          <cell r="D31">
            <v>2674345</v>
          </cell>
          <cell r="E31" t="str">
            <v>Amazon EU SARL, succursale Italiana</v>
          </cell>
          <cell r="F31" t="str">
            <v>17D6YHER</v>
          </cell>
          <cell r="G31" t="str">
            <v>B011N78DMA</v>
          </cell>
          <cell r="H31" t="str">
            <v>941-000123</v>
          </cell>
          <cell r="I31" t="str">
            <v>OE INVOICES</v>
          </cell>
          <cell r="J31">
            <v>44422157419</v>
          </cell>
          <cell r="K31">
            <v>44904</v>
          </cell>
          <cell r="L31">
            <v>3</v>
          </cell>
          <cell r="M31" t="str">
            <v>EUR</v>
          </cell>
          <cell r="N31">
            <v>663.21</v>
          </cell>
          <cell r="O31">
            <v>221.07</v>
          </cell>
          <cell r="P31">
            <v>3</v>
          </cell>
          <cell r="Q31">
            <v>3</v>
          </cell>
          <cell r="R31">
            <v>0</v>
          </cell>
        </row>
        <row r="32">
          <cell r="A32" t="str">
            <v>17D6YHERB013Y78YY4</v>
          </cell>
          <cell r="B32" t="str">
            <v>Q3-23</v>
          </cell>
          <cell r="C32" t="str">
            <v>Europe Operations OU</v>
          </cell>
          <cell r="D32">
            <v>2674345</v>
          </cell>
          <cell r="E32" t="str">
            <v>Amazon EU SARL, succursale Italiana</v>
          </cell>
          <cell r="F32" t="str">
            <v>17D6YHER</v>
          </cell>
          <cell r="G32" t="str">
            <v>B013Y78YY4</v>
          </cell>
          <cell r="H32" t="str">
            <v>941-000124</v>
          </cell>
          <cell r="I32" t="str">
            <v>OE INVOICES</v>
          </cell>
          <cell r="J32">
            <v>44422157419</v>
          </cell>
          <cell r="K32">
            <v>44904</v>
          </cell>
          <cell r="L32">
            <v>4</v>
          </cell>
          <cell r="M32" t="str">
            <v>EUR</v>
          </cell>
          <cell r="N32">
            <v>1684.16</v>
          </cell>
          <cell r="O32">
            <v>210.52</v>
          </cell>
          <cell r="P32">
            <v>8</v>
          </cell>
          <cell r="Q32">
            <v>8</v>
          </cell>
          <cell r="R32">
            <v>0</v>
          </cell>
        </row>
        <row r="33">
          <cell r="A33" t="str">
            <v>17D6YHERB01C4HCSOC</v>
          </cell>
          <cell r="B33" t="str">
            <v>Q3-23</v>
          </cell>
          <cell r="C33" t="str">
            <v>Europe Operations OU</v>
          </cell>
          <cell r="D33">
            <v>2674345</v>
          </cell>
          <cell r="E33" t="str">
            <v>Amazon EU SARL, succursale Italiana</v>
          </cell>
          <cell r="F33" t="str">
            <v>17D6YHER</v>
          </cell>
          <cell r="G33" t="str">
            <v>B01C4HCSOC</v>
          </cell>
          <cell r="H33" t="str">
            <v>920-007907</v>
          </cell>
          <cell r="I33" t="str">
            <v>OE INVOICES</v>
          </cell>
          <cell r="J33">
            <v>44422157419</v>
          </cell>
          <cell r="K33">
            <v>44904</v>
          </cell>
          <cell r="L33">
            <v>5</v>
          </cell>
          <cell r="M33" t="str">
            <v>EUR</v>
          </cell>
          <cell r="N33">
            <v>374.72</v>
          </cell>
          <cell r="O33">
            <v>23.42</v>
          </cell>
          <cell r="P33">
            <v>16</v>
          </cell>
          <cell r="Q33">
            <v>16</v>
          </cell>
          <cell r="R33">
            <v>0</v>
          </cell>
        </row>
        <row r="34">
          <cell r="A34" t="str">
            <v>17D6YHERB01MT5WL4M</v>
          </cell>
          <cell r="B34" t="str">
            <v>Q3-23</v>
          </cell>
          <cell r="C34" t="str">
            <v>Europe Operations OU</v>
          </cell>
          <cell r="D34">
            <v>2674345</v>
          </cell>
          <cell r="E34" t="str">
            <v>Amazon EU SARL, succursale Italiana</v>
          </cell>
          <cell r="F34" t="str">
            <v>17D6YHER</v>
          </cell>
          <cell r="G34" t="str">
            <v>B01MT5WL4M</v>
          </cell>
          <cell r="H34" t="str">
            <v>920-008222</v>
          </cell>
          <cell r="I34" t="str">
            <v>OE INVOICES</v>
          </cell>
          <cell r="J34">
            <v>44422157419</v>
          </cell>
          <cell r="K34">
            <v>44904</v>
          </cell>
          <cell r="L34">
            <v>6</v>
          </cell>
          <cell r="M34" t="str">
            <v>EUR</v>
          </cell>
          <cell r="N34">
            <v>1809.84</v>
          </cell>
          <cell r="O34">
            <v>75.41</v>
          </cell>
          <cell r="P34">
            <v>24</v>
          </cell>
          <cell r="Q34">
            <v>24</v>
          </cell>
          <cell r="R34">
            <v>0</v>
          </cell>
        </row>
        <row r="35">
          <cell r="A35" t="str">
            <v>17D6YHERB01MT5WLHY</v>
          </cell>
          <cell r="B35" t="str">
            <v>Q3-23</v>
          </cell>
          <cell r="C35" t="str">
            <v>Europe Operations OU</v>
          </cell>
          <cell r="D35">
            <v>2674345</v>
          </cell>
          <cell r="E35" t="str">
            <v>Amazon EU SARL, succursale Italiana</v>
          </cell>
          <cell r="F35" t="str">
            <v>17D6YHER</v>
          </cell>
          <cell r="G35" t="str">
            <v>B01MT5WLHY</v>
          </cell>
          <cell r="H35" t="str">
            <v>920-008224</v>
          </cell>
          <cell r="I35" t="str">
            <v>OE INVOICES</v>
          </cell>
          <cell r="J35">
            <v>44422157419</v>
          </cell>
          <cell r="K35">
            <v>44904</v>
          </cell>
          <cell r="L35">
            <v>7</v>
          </cell>
          <cell r="M35" t="str">
            <v>EUR</v>
          </cell>
          <cell r="N35">
            <v>603.28</v>
          </cell>
          <cell r="O35">
            <v>75.41</v>
          </cell>
          <cell r="P35">
            <v>8</v>
          </cell>
          <cell r="Q35">
            <v>8</v>
          </cell>
          <cell r="R35">
            <v>0</v>
          </cell>
        </row>
        <row r="36">
          <cell r="A36" t="str">
            <v>17D6YHERB01MT5WMMG</v>
          </cell>
          <cell r="B36" t="str">
            <v>Q3-23</v>
          </cell>
          <cell r="C36" t="str">
            <v>Europe Operations OU</v>
          </cell>
          <cell r="D36">
            <v>2674345</v>
          </cell>
          <cell r="E36" t="str">
            <v>Amazon EU SARL, succursale Italiana</v>
          </cell>
          <cell r="F36" t="str">
            <v>17D6YHER</v>
          </cell>
          <cell r="G36" t="str">
            <v>B01MT5WMMG</v>
          </cell>
          <cell r="H36" t="str">
            <v>920-008221</v>
          </cell>
          <cell r="I36" t="str">
            <v>OE INVOICES</v>
          </cell>
          <cell r="J36">
            <v>44422157419</v>
          </cell>
          <cell r="K36">
            <v>44904</v>
          </cell>
          <cell r="L36">
            <v>8</v>
          </cell>
          <cell r="M36" t="str">
            <v>EUR</v>
          </cell>
          <cell r="N36">
            <v>1809.84</v>
          </cell>
          <cell r="O36">
            <v>75.41</v>
          </cell>
          <cell r="P36">
            <v>24</v>
          </cell>
          <cell r="Q36">
            <v>24</v>
          </cell>
          <cell r="R36">
            <v>0</v>
          </cell>
        </row>
        <row r="37">
          <cell r="A37" t="str">
            <v>17D6YHERB077BT728N</v>
          </cell>
          <cell r="B37" t="str">
            <v>Q3-23</v>
          </cell>
          <cell r="C37" t="str">
            <v>Europe Operations OU</v>
          </cell>
          <cell r="D37">
            <v>2674345</v>
          </cell>
          <cell r="E37" t="str">
            <v>Amazon EU SARL, succursale Italiana</v>
          </cell>
          <cell r="F37" t="str">
            <v>17D6YHER</v>
          </cell>
          <cell r="G37" t="str">
            <v>B077BT728N</v>
          </cell>
          <cell r="H37" t="str">
            <v>920-008669</v>
          </cell>
          <cell r="I37" t="str">
            <v>OE INVOICES</v>
          </cell>
          <cell r="J37">
            <v>44422157419</v>
          </cell>
          <cell r="K37">
            <v>44904</v>
          </cell>
          <cell r="L37">
            <v>9</v>
          </cell>
          <cell r="M37" t="str">
            <v>EUR</v>
          </cell>
          <cell r="N37">
            <v>163.9</v>
          </cell>
          <cell r="O37">
            <v>16.39</v>
          </cell>
          <cell r="P37">
            <v>10</v>
          </cell>
          <cell r="Q37">
            <v>10</v>
          </cell>
          <cell r="R37">
            <v>0</v>
          </cell>
        </row>
        <row r="38">
          <cell r="A38" t="str">
            <v>17D6YHERB078MHS3SC</v>
          </cell>
          <cell r="B38" t="str">
            <v>Q3-23</v>
          </cell>
          <cell r="C38" t="str">
            <v>Europe Operations OU</v>
          </cell>
          <cell r="D38">
            <v>2674345</v>
          </cell>
          <cell r="E38" t="str">
            <v>Amazon EU SARL, succursale Italiana</v>
          </cell>
          <cell r="F38" t="str">
            <v>17D6YHER</v>
          </cell>
          <cell r="G38" t="str">
            <v>B078MHS3SC</v>
          </cell>
          <cell r="H38" t="str">
            <v>988-000247</v>
          </cell>
          <cell r="I38" t="str">
            <v>OE INVOICES</v>
          </cell>
          <cell r="J38">
            <v>44422157419</v>
          </cell>
          <cell r="K38">
            <v>44904</v>
          </cell>
          <cell r="L38">
            <v>10</v>
          </cell>
          <cell r="M38" t="str">
            <v>EUR</v>
          </cell>
          <cell r="N38">
            <v>2545.44</v>
          </cell>
          <cell r="O38">
            <v>159.09</v>
          </cell>
          <cell r="P38">
            <v>16</v>
          </cell>
          <cell r="Q38">
            <v>16</v>
          </cell>
          <cell r="R38">
            <v>0</v>
          </cell>
        </row>
        <row r="39">
          <cell r="A39" t="str">
            <v>17D6YHERB0797FYB3K</v>
          </cell>
          <cell r="B39" t="str">
            <v>Q3-23</v>
          </cell>
          <cell r="C39" t="str">
            <v>Europe Operations OU</v>
          </cell>
          <cell r="D39">
            <v>2674345</v>
          </cell>
          <cell r="E39" t="str">
            <v>Amazon EU SARL, succursale Italiana</v>
          </cell>
          <cell r="F39" t="str">
            <v>17D6YHER</v>
          </cell>
          <cell r="G39" t="str">
            <v>B0797FYB3K</v>
          </cell>
          <cell r="H39" t="str">
            <v>920-008675</v>
          </cell>
          <cell r="I39" t="str">
            <v>OE INVOICES</v>
          </cell>
          <cell r="J39">
            <v>44422157419</v>
          </cell>
          <cell r="K39">
            <v>44904</v>
          </cell>
          <cell r="L39">
            <v>11</v>
          </cell>
          <cell r="M39" t="str">
            <v>EUR</v>
          </cell>
          <cell r="N39">
            <v>1229.76</v>
          </cell>
          <cell r="O39">
            <v>43.92</v>
          </cell>
          <cell r="P39">
            <v>28</v>
          </cell>
          <cell r="Q39">
            <v>28</v>
          </cell>
          <cell r="R39">
            <v>0</v>
          </cell>
        </row>
        <row r="40">
          <cell r="A40" t="str">
            <v>17D6YHERB0797JRLQC</v>
          </cell>
          <cell r="B40" t="str">
            <v>Q3-23</v>
          </cell>
          <cell r="C40" t="str">
            <v>Europe Operations OU</v>
          </cell>
          <cell r="D40">
            <v>2674345</v>
          </cell>
          <cell r="E40" t="str">
            <v>Amazon EU SARL, succursale Italiana</v>
          </cell>
          <cell r="F40" t="str">
            <v>17D6YHER</v>
          </cell>
          <cell r="G40" t="str">
            <v>B0797JRLQC</v>
          </cell>
          <cell r="H40" t="str">
            <v>920-008684</v>
          </cell>
          <cell r="I40" t="str">
            <v>OE INVOICES</v>
          </cell>
          <cell r="J40">
            <v>44422157419</v>
          </cell>
          <cell r="K40">
            <v>44904</v>
          </cell>
          <cell r="L40">
            <v>12</v>
          </cell>
          <cell r="M40" t="str">
            <v>EUR</v>
          </cell>
          <cell r="N40">
            <v>1405.44</v>
          </cell>
          <cell r="O40">
            <v>43.92</v>
          </cell>
          <cell r="P40">
            <v>32</v>
          </cell>
          <cell r="Q40">
            <v>32</v>
          </cell>
          <cell r="R40">
            <v>0</v>
          </cell>
        </row>
        <row r="41">
          <cell r="A41" t="str">
            <v>17D6YHERB0797LMGXH</v>
          </cell>
          <cell r="B41" t="str">
            <v>Q3-23</v>
          </cell>
          <cell r="C41" t="str">
            <v>Europe Operations OU</v>
          </cell>
          <cell r="D41">
            <v>2674345</v>
          </cell>
          <cell r="E41" t="str">
            <v>Amazon EU SARL, succursale Italiana</v>
          </cell>
          <cell r="F41" t="str">
            <v>17D6YHER</v>
          </cell>
          <cell r="G41" t="str">
            <v>B0797LMGXH</v>
          </cell>
          <cell r="H41" t="str">
            <v>920-008680</v>
          </cell>
          <cell r="I41" t="str">
            <v>OE INVOICES</v>
          </cell>
          <cell r="J41">
            <v>44422157419</v>
          </cell>
          <cell r="K41">
            <v>44904</v>
          </cell>
          <cell r="L41">
            <v>13</v>
          </cell>
          <cell r="M41" t="str">
            <v>EUR</v>
          </cell>
          <cell r="N41">
            <v>175.68</v>
          </cell>
          <cell r="O41">
            <v>43.92</v>
          </cell>
          <cell r="P41">
            <v>4</v>
          </cell>
          <cell r="Q41">
            <v>4</v>
          </cell>
          <cell r="R41">
            <v>0</v>
          </cell>
        </row>
        <row r="42">
          <cell r="A42" t="str">
            <v>17D6YHERB079VVQS1R</v>
          </cell>
          <cell r="B42" t="str">
            <v>Q3-23</v>
          </cell>
          <cell r="C42" t="str">
            <v>Europe Operations OU</v>
          </cell>
          <cell r="D42">
            <v>2674345</v>
          </cell>
          <cell r="E42" t="str">
            <v>Amazon EU SARL, succursale Italiana</v>
          </cell>
          <cell r="F42" t="str">
            <v>17D6YHER</v>
          </cell>
          <cell r="G42" t="str">
            <v>B079VVQS1R</v>
          </cell>
          <cell r="H42" t="str">
            <v>980-001301</v>
          </cell>
          <cell r="I42" t="str">
            <v>OE INVOICES</v>
          </cell>
          <cell r="J42">
            <v>44422157419</v>
          </cell>
          <cell r="K42">
            <v>44904</v>
          </cell>
          <cell r="L42">
            <v>14</v>
          </cell>
          <cell r="M42" t="str">
            <v>EUR</v>
          </cell>
          <cell r="N42">
            <v>262.76</v>
          </cell>
          <cell r="O42">
            <v>131.38</v>
          </cell>
          <cell r="P42">
            <v>2</v>
          </cell>
          <cell r="Q42">
            <v>2</v>
          </cell>
          <cell r="R42">
            <v>0</v>
          </cell>
        </row>
        <row r="43">
          <cell r="A43" t="str">
            <v>17D6YHERB07HZQT8JG</v>
          </cell>
          <cell r="B43" t="str">
            <v>Q3-23</v>
          </cell>
          <cell r="C43" t="str">
            <v>Europe Operations OU</v>
          </cell>
          <cell r="D43">
            <v>2674345</v>
          </cell>
          <cell r="E43" t="str">
            <v>Amazon EU SARL, succursale Italiana</v>
          </cell>
          <cell r="F43" t="str">
            <v>17D6YHER</v>
          </cell>
          <cell r="G43" t="str">
            <v>B07HZQT8JG</v>
          </cell>
          <cell r="H43" t="str">
            <v>920-008940</v>
          </cell>
          <cell r="I43" t="str">
            <v>OE INVOICES</v>
          </cell>
          <cell r="J43">
            <v>44422157419</v>
          </cell>
          <cell r="K43">
            <v>44904</v>
          </cell>
          <cell r="L43">
            <v>15</v>
          </cell>
          <cell r="M43" t="str">
            <v>EUR</v>
          </cell>
          <cell r="N43">
            <v>586.72</v>
          </cell>
          <cell r="O43">
            <v>73.34</v>
          </cell>
          <cell r="P43">
            <v>8</v>
          </cell>
          <cell r="Q43">
            <v>8</v>
          </cell>
          <cell r="R43">
            <v>0</v>
          </cell>
        </row>
        <row r="44">
          <cell r="A44" t="str">
            <v>17D6YHERB07VCS1895</v>
          </cell>
          <cell r="B44" t="str">
            <v>Q3-23</v>
          </cell>
          <cell r="C44" t="str">
            <v>Europe Operations OU</v>
          </cell>
          <cell r="D44">
            <v>2674345</v>
          </cell>
          <cell r="E44" t="str">
            <v>Amazon EU SARL, succursale Italiana</v>
          </cell>
          <cell r="F44" t="str">
            <v>17D6YHER</v>
          </cell>
          <cell r="G44" t="str">
            <v>B07VCS1895</v>
          </cell>
          <cell r="H44" t="str">
            <v>920-009188</v>
          </cell>
          <cell r="I44" t="str">
            <v>OE INVOICES</v>
          </cell>
          <cell r="J44">
            <v>44422157419</v>
          </cell>
          <cell r="K44">
            <v>44904</v>
          </cell>
          <cell r="L44">
            <v>16</v>
          </cell>
          <cell r="M44" t="str">
            <v>EUR</v>
          </cell>
          <cell r="N44">
            <v>2248.3200000000002</v>
          </cell>
          <cell r="O44">
            <v>35.130000000000003</v>
          </cell>
          <cell r="P44">
            <v>64</v>
          </cell>
          <cell r="Q44">
            <v>64</v>
          </cell>
          <cell r="R44">
            <v>0</v>
          </cell>
        </row>
        <row r="45">
          <cell r="A45" t="str">
            <v>17D6YHERB07W4DHXFT</v>
          </cell>
          <cell r="B45" t="str">
            <v>Q3-23</v>
          </cell>
          <cell r="C45" t="str">
            <v>Europe Operations OU</v>
          </cell>
          <cell r="D45">
            <v>2674345</v>
          </cell>
          <cell r="E45" t="str">
            <v>Amazon EU SARL, succursale Italiana</v>
          </cell>
          <cell r="F45" t="str">
            <v>17D6YHER</v>
          </cell>
          <cell r="G45" t="str">
            <v>B07W4DHXFT</v>
          </cell>
          <cell r="H45" t="str">
            <v>920-010913</v>
          </cell>
          <cell r="I45" t="str">
            <v>OE INVOICES</v>
          </cell>
          <cell r="J45">
            <v>44422157419</v>
          </cell>
          <cell r="K45">
            <v>44904</v>
          </cell>
          <cell r="L45">
            <v>17</v>
          </cell>
          <cell r="M45" t="str">
            <v>EUR</v>
          </cell>
          <cell r="N45">
            <v>1803.76</v>
          </cell>
          <cell r="O45">
            <v>32.21</v>
          </cell>
          <cell r="P45">
            <v>56</v>
          </cell>
          <cell r="Q45">
            <v>56</v>
          </cell>
          <cell r="R45">
            <v>0</v>
          </cell>
        </row>
        <row r="46">
          <cell r="A46" t="str">
            <v>17D6YHERB07W6GVS5C</v>
          </cell>
          <cell r="B46" t="str">
            <v>Q3-23</v>
          </cell>
          <cell r="C46" t="str">
            <v>Europe Operations OU</v>
          </cell>
          <cell r="D46">
            <v>2674345</v>
          </cell>
          <cell r="E46" t="str">
            <v>Amazon EU SARL, succursale Italiana</v>
          </cell>
          <cell r="F46" t="str">
            <v>17D6YHER</v>
          </cell>
          <cell r="G46" t="str">
            <v>B07W6GVS5C</v>
          </cell>
          <cell r="H46" t="str">
            <v>920-009439</v>
          </cell>
          <cell r="I46" t="str">
            <v>OE INVOICES</v>
          </cell>
          <cell r="J46">
            <v>44422157419</v>
          </cell>
          <cell r="K46">
            <v>44904</v>
          </cell>
          <cell r="L46">
            <v>18</v>
          </cell>
          <cell r="M46" t="str">
            <v>EUR</v>
          </cell>
          <cell r="N46">
            <v>1793.6</v>
          </cell>
          <cell r="O46">
            <v>44.84</v>
          </cell>
          <cell r="P46">
            <v>40</v>
          </cell>
          <cell r="Q46">
            <v>40</v>
          </cell>
          <cell r="R46">
            <v>0</v>
          </cell>
        </row>
        <row r="47">
          <cell r="A47" t="str">
            <v>17D6YHERB07W6JB7N7</v>
          </cell>
          <cell r="B47" t="str">
            <v>Q3-23</v>
          </cell>
          <cell r="C47" t="str">
            <v>Europe Operations OU</v>
          </cell>
          <cell r="D47">
            <v>2674345</v>
          </cell>
          <cell r="E47" t="str">
            <v>Amazon EU SARL, succursale Italiana</v>
          </cell>
          <cell r="F47" t="str">
            <v>17D6YHER</v>
          </cell>
          <cell r="G47" t="str">
            <v>B07W6JB7N7</v>
          </cell>
          <cell r="H47" t="str">
            <v>941-000150</v>
          </cell>
          <cell r="I47" t="str">
            <v>OE INVOICES</v>
          </cell>
          <cell r="J47">
            <v>44422157419</v>
          </cell>
          <cell r="K47">
            <v>44904</v>
          </cell>
          <cell r="L47">
            <v>19</v>
          </cell>
          <cell r="M47" t="str">
            <v>EUR</v>
          </cell>
          <cell r="N47">
            <v>210.52</v>
          </cell>
          <cell r="O47">
            <v>210.52</v>
          </cell>
          <cell r="P47">
            <v>1</v>
          </cell>
          <cell r="Q47">
            <v>1</v>
          </cell>
          <cell r="R47">
            <v>0</v>
          </cell>
        </row>
        <row r="48">
          <cell r="A48" t="str">
            <v>17D6YHERB07W6JPVP3</v>
          </cell>
          <cell r="B48" t="str">
            <v>Q3-23</v>
          </cell>
          <cell r="C48" t="str">
            <v>Europe Operations OU</v>
          </cell>
          <cell r="D48">
            <v>2674345</v>
          </cell>
          <cell r="E48" t="str">
            <v>Amazon EU SARL, succursale Italiana</v>
          </cell>
          <cell r="F48" t="str">
            <v>17D6YHER</v>
          </cell>
          <cell r="G48" t="str">
            <v>B07W6JPVP3</v>
          </cell>
          <cell r="H48" t="str">
            <v>920-009167</v>
          </cell>
          <cell r="I48" t="str">
            <v>OE INVOICES</v>
          </cell>
          <cell r="J48">
            <v>44422157419</v>
          </cell>
          <cell r="K48">
            <v>44904</v>
          </cell>
          <cell r="L48">
            <v>20</v>
          </cell>
          <cell r="M48" t="str">
            <v>EUR</v>
          </cell>
          <cell r="N48">
            <v>299.36</v>
          </cell>
          <cell r="O48">
            <v>74.84</v>
          </cell>
          <cell r="P48">
            <v>4</v>
          </cell>
          <cell r="Q48">
            <v>4</v>
          </cell>
          <cell r="R48">
            <v>0</v>
          </cell>
        </row>
        <row r="49">
          <cell r="A49" t="str">
            <v>17D6YHERB07W7K29YM</v>
          </cell>
          <cell r="B49" t="str">
            <v>Q3-23</v>
          </cell>
          <cell r="C49" t="str">
            <v>Europe Operations OU</v>
          </cell>
          <cell r="D49">
            <v>2674345</v>
          </cell>
          <cell r="E49" t="str">
            <v>Amazon EU SARL, succursale Italiana</v>
          </cell>
          <cell r="F49" t="str">
            <v>17D6YHER</v>
          </cell>
          <cell r="G49" t="str">
            <v>B07W7K29YM</v>
          </cell>
          <cell r="H49" t="str">
            <v>920-009819</v>
          </cell>
          <cell r="I49" t="str">
            <v>OE INVOICES</v>
          </cell>
          <cell r="J49">
            <v>44422157419</v>
          </cell>
          <cell r="K49">
            <v>44904</v>
          </cell>
          <cell r="L49">
            <v>21</v>
          </cell>
          <cell r="M49" t="str">
            <v>EUR</v>
          </cell>
          <cell r="N49">
            <v>174</v>
          </cell>
          <cell r="O49">
            <v>29</v>
          </cell>
          <cell r="P49">
            <v>6</v>
          </cell>
          <cell r="Q49">
            <v>6</v>
          </cell>
          <cell r="R49">
            <v>0</v>
          </cell>
        </row>
        <row r="50">
          <cell r="A50" t="str">
            <v>17D6YHERB07W7KFLBN</v>
          </cell>
          <cell r="B50" t="str">
            <v>Q3-23</v>
          </cell>
          <cell r="C50" t="str">
            <v>Europe Operations OU</v>
          </cell>
          <cell r="D50">
            <v>2674345</v>
          </cell>
          <cell r="E50" t="str">
            <v>Amazon EU SARL, succursale Italiana</v>
          </cell>
          <cell r="F50" t="str">
            <v>17D6YHER</v>
          </cell>
          <cell r="G50" t="str">
            <v>B07W7KFLBN</v>
          </cell>
          <cell r="H50" t="str">
            <v>920-009799</v>
          </cell>
          <cell r="I50" t="str">
            <v>OE INVOICES</v>
          </cell>
          <cell r="J50">
            <v>44422157419</v>
          </cell>
          <cell r="K50">
            <v>44904</v>
          </cell>
          <cell r="L50">
            <v>22</v>
          </cell>
          <cell r="M50" t="str">
            <v>EUR</v>
          </cell>
          <cell r="N50">
            <v>174</v>
          </cell>
          <cell r="O50">
            <v>29</v>
          </cell>
          <cell r="P50">
            <v>6</v>
          </cell>
          <cell r="Q50">
            <v>6</v>
          </cell>
          <cell r="R50">
            <v>0</v>
          </cell>
        </row>
        <row r="51">
          <cell r="A51" t="str">
            <v>17D6YHERB07W7KNWK5</v>
          </cell>
          <cell r="B51" t="str">
            <v>Q3-23</v>
          </cell>
          <cell r="C51" t="str">
            <v>Europe Operations OU</v>
          </cell>
          <cell r="D51">
            <v>2674345</v>
          </cell>
          <cell r="E51" t="str">
            <v>Amazon EU SARL, succursale Italiana</v>
          </cell>
          <cell r="F51" t="str">
            <v>17D6YHER</v>
          </cell>
          <cell r="G51" t="str">
            <v>B07W7KNWK5</v>
          </cell>
          <cell r="H51" t="str">
            <v>920-009340</v>
          </cell>
          <cell r="I51" t="str">
            <v>OE INVOICES</v>
          </cell>
          <cell r="J51">
            <v>44422157419</v>
          </cell>
          <cell r="K51">
            <v>44904</v>
          </cell>
          <cell r="L51">
            <v>23</v>
          </cell>
          <cell r="M51" t="str">
            <v>EUR</v>
          </cell>
          <cell r="N51">
            <v>755.52</v>
          </cell>
          <cell r="O51">
            <v>94.44</v>
          </cell>
          <cell r="P51">
            <v>8</v>
          </cell>
          <cell r="Q51">
            <v>8</v>
          </cell>
          <cell r="R51">
            <v>0</v>
          </cell>
        </row>
        <row r="52">
          <cell r="A52" t="str">
            <v>17D6YHERB07W7LF6F1</v>
          </cell>
          <cell r="B52" t="str">
            <v>Q3-23</v>
          </cell>
          <cell r="C52" t="str">
            <v>Europe Operations OU</v>
          </cell>
          <cell r="D52">
            <v>2674345</v>
          </cell>
          <cell r="E52" t="str">
            <v>Amazon EU SARL, succursale Italiana</v>
          </cell>
          <cell r="F52" t="str">
            <v>17D6YHER</v>
          </cell>
          <cell r="G52" t="str">
            <v>B07W7LF6F1</v>
          </cell>
          <cell r="H52" t="str">
            <v>920-009795</v>
          </cell>
          <cell r="I52" t="str">
            <v>OE INVOICES</v>
          </cell>
          <cell r="J52">
            <v>44422157419</v>
          </cell>
          <cell r="K52">
            <v>44904</v>
          </cell>
          <cell r="L52">
            <v>24</v>
          </cell>
          <cell r="M52" t="str">
            <v>EUR</v>
          </cell>
          <cell r="N52">
            <v>13920</v>
          </cell>
          <cell r="O52">
            <v>29</v>
          </cell>
          <cell r="P52">
            <v>480</v>
          </cell>
          <cell r="Q52">
            <v>480</v>
          </cell>
          <cell r="R52">
            <v>0</v>
          </cell>
        </row>
        <row r="53">
          <cell r="A53" t="str">
            <v>17ETH86SB07W4DH5GL</v>
          </cell>
          <cell r="B53" t="str">
            <v>Q3-23</v>
          </cell>
          <cell r="C53" t="str">
            <v>Europe Operations OU</v>
          </cell>
          <cell r="D53">
            <v>2674345</v>
          </cell>
          <cell r="E53" t="str">
            <v>Amazon EU SARL, succursale Italiana</v>
          </cell>
          <cell r="F53" t="str">
            <v>17ETH86S</v>
          </cell>
          <cell r="G53" t="str">
            <v>B07W4DH5GL</v>
          </cell>
          <cell r="H53" t="str">
            <v>920-010808</v>
          </cell>
          <cell r="I53" t="str">
            <v>OE INVOICES</v>
          </cell>
          <cell r="J53">
            <v>44422170767</v>
          </cell>
          <cell r="K53">
            <v>44915</v>
          </cell>
          <cell r="L53">
            <v>1</v>
          </cell>
          <cell r="M53" t="str">
            <v>EUR</v>
          </cell>
          <cell r="N53">
            <v>168.8</v>
          </cell>
          <cell r="O53">
            <v>42.2</v>
          </cell>
          <cell r="P53">
            <v>4</v>
          </cell>
          <cell r="Q53">
            <v>4</v>
          </cell>
          <cell r="R53">
            <v>0</v>
          </cell>
        </row>
        <row r="54">
          <cell r="A54" t="str">
            <v>17UTD61ZB07W7MKLNT</v>
          </cell>
          <cell r="B54" t="str">
            <v>Q3-23</v>
          </cell>
          <cell r="C54" t="str">
            <v>Europe Operations OU</v>
          </cell>
          <cell r="D54">
            <v>2674345</v>
          </cell>
          <cell r="E54" t="str">
            <v>Amazon EU SARL, succursale Italiana</v>
          </cell>
          <cell r="F54" t="str">
            <v>17UTD61Z</v>
          </cell>
          <cell r="G54" t="str">
            <v>B07W7MKLNT</v>
          </cell>
          <cell r="H54" t="str">
            <v>910-005943</v>
          </cell>
          <cell r="I54" t="str">
            <v>OE INVOICES</v>
          </cell>
          <cell r="J54">
            <v>44422158457</v>
          </cell>
          <cell r="K54">
            <v>44907</v>
          </cell>
          <cell r="L54">
            <v>1</v>
          </cell>
          <cell r="M54" t="str">
            <v>EUR</v>
          </cell>
          <cell r="N54">
            <v>4026.72</v>
          </cell>
          <cell r="O54">
            <v>83.89</v>
          </cell>
          <cell r="P54">
            <v>48</v>
          </cell>
          <cell r="Q54">
            <v>48</v>
          </cell>
          <cell r="R54">
            <v>0</v>
          </cell>
        </row>
        <row r="55">
          <cell r="A55" t="str">
            <v>1AKO6RJKB0013N474I</v>
          </cell>
          <cell r="B55" t="str">
            <v>Q3-23</v>
          </cell>
          <cell r="C55" t="str">
            <v>Europe Operations OU</v>
          </cell>
          <cell r="D55">
            <v>2674345</v>
          </cell>
          <cell r="E55" t="str">
            <v>Amazon EU SARL, succursale Italiana</v>
          </cell>
          <cell r="F55" t="str">
            <v>1AKO6RJK</v>
          </cell>
          <cell r="G55" t="str">
            <v>B0013N474I</v>
          </cell>
          <cell r="H55" t="str">
            <v>981-000100</v>
          </cell>
          <cell r="I55" t="str">
            <v>OE INVOICES</v>
          </cell>
          <cell r="J55">
            <v>44422130171</v>
          </cell>
          <cell r="K55">
            <v>44888</v>
          </cell>
          <cell r="L55">
            <v>1</v>
          </cell>
          <cell r="M55" t="str">
            <v>EUR</v>
          </cell>
          <cell r="N55">
            <v>820</v>
          </cell>
          <cell r="O55">
            <v>20.5</v>
          </cell>
          <cell r="P55">
            <v>40</v>
          </cell>
          <cell r="Q55">
            <v>40</v>
          </cell>
          <cell r="R55">
            <v>0</v>
          </cell>
        </row>
        <row r="56">
          <cell r="A56" t="str">
            <v>1AKO6RJKB006YYNGNY</v>
          </cell>
          <cell r="B56" t="str">
            <v>Q3-23</v>
          </cell>
          <cell r="C56" t="str">
            <v>Europe Operations OU</v>
          </cell>
          <cell r="D56">
            <v>2674345</v>
          </cell>
          <cell r="E56" t="str">
            <v>Amazon EU SARL, succursale Italiana</v>
          </cell>
          <cell r="F56" t="str">
            <v>1AKO6RJK</v>
          </cell>
          <cell r="G56" t="str">
            <v>B006YYNGNY</v>
          </cell>
          <cell r="H56" t="str">
            <v>920-003161</v>
          </cell>
          <cell r="I56" t="str">
            <v>OE INVOICES</v>
          </cell>
          <cell r="J56">
            <v>44422130171</v>
          </cell>
          <cell r="K56">
            <v>44888</v>
          </cell>
          <cell r="L56">
            <v>2</v>
          </cell>
          <cell r="M56" t="str">
            <v>EUR</v>
          </cell>
          <cell r="N56">
            <v>328</v>
          </cell>
          <cell r="O56">
            <v>20.5</v>
          </cell>
          <cell r="P56">
            <v>16</v>
          </cell>
          <cell r="Q56">
            <v>16</v>
          </cell>
          <cell r="R56">
            <v>0</v>
          </cell>
        </row>
        <row r="57">
          <cell r="A57" t="str">
            <v>1AKO6RJKB00CJ5FPTA</v>
          </cell>
          <cell r="B57" t="str">
            <v>Q3-23</v>
          </cell>
          <cell r="C57" t="str">
            <v>Europe Operations OU</v>
          </cell>
          <cell r="D57">
            <v>2674345</v>
          </cell>
          <cell r="E57" t="str">
            <v>Amazon EU SARL, succursale Italiana</v>
          </cell>
          <cell r="F57" t="str">
            <v>1AKO6RJK</v>
          </cell>
          <cell r="G57" t="str">
            <v>B00CJ5FPTA</v>
          </cell>
          <cell r="H57" t="str">
            <v>942-000031</v>
          </cell>
          <cell r="I57" t="str">
            <v>OE INVOICES</v>
          </cell>
          <cell r="J57">
            <v>44422130171</v>
          </cell>
          <cell r="K57">
            <v>44888</v>
          </cell>
          <cell r="L57">
            <v>3</v>
          </cell>
          <cell r="M57" t="str">
            <v>EUR</v>
          </cell>
          <cell r="N57">
            <v>411.48</v>
          </cell>
          <cell r="O57">
            <v>34.29</v>
          </cell>
          <cell r="P57">
            <v>12</v>
          </cell>
          <cell r="Q57">
            <v>12</v>
          </cell>
          <cell r="R57">
            <v>0</v>
          </cell>
        </row>
        <row r="58">
          <cell r="A58" t="str">
            <v>1AKO6RJKB00MWR5IVA</v>
          </cell>
          <cell r="B58" t="str">
            <v>Q3-23</v>
          </cell>
          <cell r="C58" t="str">
            <v>Europe Operations OU</v>
          </cell>
          <cell r="D58">
            <v>2674345</v>
          </cell>
          <cell r="E58" t="str">
            <v>Amazon EU SARL, succursale Italiana</v>
          </cell>
          <cell r="F58" t="str">
            <v>1AKO6RJK</v>
          </cell>
          <cell r="G58" t="str">
            <v>B00MWR5IVA</v>
          </cell>
          <cell r="H58" t="str">
            <v>910-004287</v>
          </cell>
          <cell r="I58" t="str">
            <v>OE INVOICES</v>
          </cell>
          <cell r="J58">
            <v>44422130171</v>
          </cell>
          <cell r="K58">
            <v>44888</v>
          </cell>
          <cell r="L58">
            <v>4</v>
          </cell>
          <cell r="M58" t="str">
            <v>EUR</v>
          </cell>
          <cell r="N58">
            <v>1639.4</v>
          </cell>
          <cell r="O58">
            <v>23.42</v>
          </cell>
          <cell r="P58">
            <v>70</v>
          </cell>
          <cell r="Q58">
            <v>70</v>
          </cell>
          <cell r="R58">
            <v>0</v>
          </cell>
        </row>
        <row r="59">
          <cell r="A59" t="str">
            <v>1AKO6RJKB01GRE7W9O</v>
          </cell>
          <cell r="B59" t="str">
            <v>Q3-23</v>
          </cell>
          <cell r="C59" t="str">
            <v>Europe Operations OU</v>
          </cell>
          <cell r="D59">
            <v>2674345</v>
          </cell>
          <cell r="E59" t="str">
            <v>Amazon EU SARL, succursale Italiana</v>
          </cell>
          <cell r="F59" t="str">
            <v>1AKO6RJK</v>
          </cell>
          <cell r="G59" t="str">
            <v>B01GRE7W9O</v>
          </cell>
          <cell r="H59" t="str">
            <v>960-001076</v>
          </cell>
          <cell r="I59" t="str">
            <v>OE INVOICES</v>
          </cell>
          <cell r="J59">
            <v>44422130171</v>
          </cell>
          <cell r="K59">
            <v>44888</v>
          </cell>
          <cell r="L59">
            <v>5</v>
          </cell>
          <cell r="M59" t="str">
            <v>EUR</v>
          </cell>
          <cell r="N59">
            <v>3173.2</v>
          </cell>
          <cell r="O59">
            <v>79.33</v>
          </cell>
          <cell r="P59">
            <v>40</v>
          </cell>
          <cell r="Q59">
            <v>40</v>
          </cell>
          <cell r="R59">
            <v>0</v>
          </cell>
        </row>
        <row r="60">
          <cell r="A60" t="str">
            <v>1AKO6RJKB01M9EWQ2W</v>
          </cell>
          <cell r="B60" t="str">
            <v>Q3-23</v>
          </cell>
          <cell r="C60" t="str">
            <v>Europe Operations OU</v>
          </cell>
          <cell r="D60">
            <v>2674345</v>
          </cell>
          <cell r="E60" t="str">
            <v>Amazon EU SARL, succursale Italiana</v>
          </cell>
          <cell r="F60" t="str">
            <v>1AKO6RJK</v>
          </cell>
          <cell r="G60" t="str">
            <v>B01M9EWQ2W</v>
          </cell>
          <cell r="H60" t="str">
            <v>945-000006</v>
          </cell>
          <cell r="I60" t="str">
            <v>OE INVOICES</v>
          </cell>
          <cell r="J60">
            <v>44422130171</v>
          </cell>
          <cell r="K60">
            <v>44888</v>
          </cell>
          <cell r="L60">
            <v>6</v>
          </cell>
          <cell r="M60" t="str">
            <v>EUR</v>
          </cell>
          <cell r="N60">
            <v>566.64</v>
          </cell>
          <cell r="O60">
            <v>94.44</v>
          </cell>
          <cell r="P60">
            <v>6</v>
          </cell>
          <cell r="Q60">
            <v>6</v>
          </cell>
          <cell r="R60">
            <v>0</v>
          </cell>
        </row>
        <row r="61">
          <cell r="A61" t="str">
            <v>1AKO6RJKB07W4DGC27</v>
          </cell>
          <cell r="B61" t="str">
            <v>Q3-23</v>
          </cell>
          <cell r="C61" t="str">
            <v>Europe Operations OU</v>
          </cell>
          <cell r="D61">
            <v>2674345</v>
          </cell>
          <cell r="E61" t="str">
            <v>Amazon EU SARL, succursale Italiana</v>
          </cell>
          <cell r="F61" t="str">
            <v>1AKO6RJK</v>
          </cell>
          <cell r="G61" t="str">
            <v>B07W4DGC27</v>
          </cell>
          <cell r="H61" t="str">
            <v>910-006473</v>
          </cell>
          <cell r="I61" t="str">
            <v>OE INVOICES</v>
          </cell>
          <cell r="J61">
            <v>44422133331</v>
          </cell>
          <cell r="K61">
            <v>44890</v>
          </cell>
          <cell r="L61">
            <v>1</v>
          </cell>
          <cell r="M61" t="str">
            <v>EUR</v>
          </cell>
          <cell r="N61">
            <v>371.2</v>
          </cell>
          <cell r="O61">
            <v>46.4</v>
          </cell>
          <cell r="P61">
            <v>8</v>
          </cell>
          <cell r="Q61">
            <v>8</v>
          </cell>
          <cell r="R61">
            <v>0</v>
          </cell>
        </row>
        <row r="62">
          <cell r="A62" t="str">
            <v>1AKO6RJKB07W4DGFSM</v>
          </cell>
          <cell r="B62" t="str">
            <v>Q3-23</v>
          </cell>
          <cell r="C62" t="str">
            <v>Europe Operations OU</v>
          </cell>
          <cell r="D62">
            <v>2674345</v>
          </cell>
          <cell r="E62" t="str">
            <v>Amazon EU SARL, succursale Italiana</v>
          </cell>
          <cell r="F62" t="str">
            <v>1AKO6RJK</v>
          </cell>
          <cell r="G62" t="str">
            <v>B07W4DGFSM</v>
          </cell>
          <cell r="H62" t="str">
            <v>910-006560</v>
          </cell>
          <cell r="I62" t="str">
            <v>OE INVOICES</v>
          </cell>
          <cell r="J62">
            <v>44422130171</v>
          </cell>
          <cell r="K62">
            <v>44888</v>
          </cell>
          <cell r="L62">
            <v>7</v>
          </cell>
          <cell r="M62" t="str">
            <v>EUR</v>
          </cell>
          <cell r="N62">
            <v>3318.04</v>
          </cell>
          <cell r="O62">
            <v>75.41</v>
          </cell>
          <cell r="P62">
            <v>44</v>
          </cell>
          <cell r="Q62">
            <v>44</v>
          </cell>
          <cell r="R62">
            <v>0</v>
          </cell>
        </row>
        <row r="63">
          <cell r="A63" t="str">
            <v>1AKO6RJKB07W4DGQC1</v>
          </cell>
          <cell r="B63" t="str">
            <v>Q3-23</v>
          </cell>
          <cell r="C63" t="str">
            <v>Europe Operations OU</v>
          </cell>
          <cell r="D63">
            <v>2674345</v>
          </cell>
          <cell r="E63" t="str">
            <v>Amazon EU SARL, succursale Italiana</v>
          </cell>
          <cell r="F63" t="str">
            <v>1AKO6RJK</v>
          </cell>
          <cell r="G63" t="str">
            <v>B07W4DGQC1</v>
          </cell>
          <cell r="H63" t="str">
            <v>961-000501</v>
          </cell>
          <cell r="I63" t="str">
            <v>OE INVOICES</v>
          </cell>
          <cell r="J63">
            <v>44422130171</v>
          </cell>
          <cell r="K63">
            <v>44888</v>
          </cell>
          <cell r="L63">
            <v>8</v>
          </cell>
          <cell r="M63" t="str">
            <v>EUR</v>
          </cell>
          <cell r="N63">
            <v>3056.36</v>
          </cell>
          <cell r="O63">
            <v>764.09</v>
          </cell>
          <cell r="P63">
            <v>4</v>
          </cell>
          <cell r="Q63">
            <v>4</v>
          </cell>
          <cell r="R63">
            <v>0</v>
          </cell>
        </row>
        <row r="64">
          <cell r="A64" t="str">
            <v>1AKO6RJKB07W4DHKTD</v>
          </cell>
          <cell r="B64" t="str">
            <v>Q3-23</v>
          </cell>
          <cell r="C64" t="str">
            <v>Europe Operations OU</v>
          </cell>
          <cell r="D64">
            <v>2674345</v>
          </cell>
          <cell r="E64" t="str">
            <v>Amazon EU SARL, succursale Italiana</v>
          </cell>
          <cell r="F64" t="str">
            <v>1AKO6RJK</v>
          </cell>
          <cell r="G64" t="str">
            <v>B07W4DHKTD</v>
          </cell>
          <cell r="H64" t="str">
            <v>910-005880</v>
          </cell>
          <cell r="I64" t="str">
            <v>OE INVOICES</v>
          </cell>
          <cell r="J64">
            <v>44422130171</v>
          </cell>
          <cell r="K64">
            <v>44888</v>
          </cell>
          <cell r="L64">
            <v>9</v>
          </cell>
          <cell r="M64" t="str">
            <v>EUR</v>
          </cell>
          <cell r="N64">
            <v>5704.52</v>
          </cell>
          <cell r="O64">
            <v>83.89</v>
          </cell>
          <cell r="P64">
            <v>68</v>
          </cell>
          <cell r="Q64">
            <v>68</v>
          </cell>
          <cell r="R64">
            <v>0</v>
          </cell>
        </row>
        <row r="65">
          <cell r="A65" t="str">
            <v>1AKO6RJKB07W4DJF29</v>
          </cell>
          <cell r="B65" t="str">
            <v>Q3-23</v>
          </cell>
          <cell r="C65" t="str">
            <v>Europe Operations OU</v>
          </cell>
          <cell r="D65">
            <v>2674345</v>
          </cell>
          <cell r="E65" t="str">
            <v>Amazon EU SARL, succursale Italiana</v>
          </cell>
          <cell r="F65" t="str">
            <v>1AKO6RJK</v>
          </cell>
          <cell r="G65" t="str">
            <v>B07W4DJF29</v>
          </cell>
          <cell r="H65" t="str">
            <v>981-001083</v>
          </cell>
          <cell r="I65" t="str">
            <v>OE INVOICES</v>
          </cell>
          <cell r="J65">
            <v>44422130171</v>
          </cell>
          <cell r="K65">
            <v>44888</v>
          </cell>
          <cell r="L65">
            <v>10</v>
          </cell>
          <cell r="M65" t="str">
            <v>EUR</v>
          </cell>
          <cell r="N65">
            <v>483.32</v>
          </cell>
          <cell r="O65">
            <v>120.83</v>
          </cell>
          <cell r="P65">
            <v>4</v>
          </cell>
          <cell r="Q65">
            <v>4</v>
          </cell>
          <cell r="R65">
            <v>0</v>
          </cell>
        </row>
        <row r="66">
          <cell r="A66" t="str">
            <v>1AKO6RJKB07W5JHF97</v>
          </cell>
          <cell r="B66" t="str">
            <v>Q3-23</v>
          </cell>
          <cell r="C66" t="str">
            <v>Europe Operations OU</v>
          </cell>
          <cell r="D66">
            <v>2674345</v>
          </cell>
          <cell r="E66" t="str">
            <v>Amazon EU SARL, succursale Italiana</v>
          </cell>
          <cell r="F66" t="str">
            <v>1AKO6RJK</v>
          </cell>
          <cell r="G66" t="str">
            <v>B07W5JHF97</v>
          </cell>
          <cell r="H66" t="str">
            <v>984-001829</v>
          </cell>
          <cell r="I66" t="str">
            <v>OE INVOICES</v>
          </cell>
          <cell r="J66">
            <v>44422133331</v>
          </cell>
          <cell r="K66">
            <v>44890</v>
          </cell>
          <cell r="L66">
            <v>2</v>
          </cell>
          <cell r="M66" t="str">
            <v>EUR</v>
          </cell>
          <cell r="N66">
            <v>856.16</v>
          </cell>
          <cell r="O66">
            <v>53.51</v>
          </cell>
          <cell r="P66">
            <v>16</v>
          </cell>
          <cell r="Q66">
            <v>16</v>
          </cell>
          <cell r="R66">
            <v>0</v>
          </cell>
        </row>
        <row r="67">
          <cell r="A67" t="str">
            <v>1AKO6RJKB07W5JHZKS</v>
          </cell>
          <cell r="B67" t="str">
            <v>Q3-23</v>
          </cell>
          <cell r="C67" t="str">
            <v>Europe Operations OU</v>
          </cell>
          <cell r="D67">
            <v>2674345</v>
          </cell>
          <cell r="E67" t="str">
            <v>Amazon EU SARL, succursale Italiana</v>
          </cell>
          <cell r="F67" t="str">
            <v>1AKO6RJK</v>
          </cell>
          <cell r="G67" t="str">
            <v>B07W5JHZKS</v>
          </cell>
          <cell r="H67" t="str">
            <v>910-006378</v>
          </cell>
          <cell r="I67" t="str">
            <v>OE INVOICES</v>
          </cell>
          <cell r="J67">
            <v>44422130171</v>
          </cell>
          <cell r="K67">
            <v>44888</v>
          </cell>
          <cell r="L67">
            <v>11</v>
          </cell>
          <cell r="M67" t="str">
            <v>EUR</v>
          </cell>
          <cell r="N67">
            <v>126.6</v>
          </cell>
          <cell r="O67">
            <v>31.65</v>
          </cell>
          <cell r="P67">
            <v>4</v>
          </cell>
          <cell r="Q67">
            <v>4</v>
          </cell>
          <cell r="R67">
            <v>0</v>
          </cell>
        </row>
        <row r="68">
          <cell r="A68" t="str">
            <v>1AKO6RJKB07W5JKHFZ</v>
          </cell>
          <cell r="B68" t="str">
            <v>Q3-23</v>
          </cell>
          <cell r="C68" t="str">
            <v>Europe Operations OU</v>
          </cell>
          <cell r="D68">
            <v>2674345</v>
          </cell>
          <cell r="E68" t="str">
            <v>Amazon EU SARL, succursale Italiana</v>
          </cell>
          <cell r="F68" t="str">
            <v>1AKO6RJK</v>
          </cell>
          <cell r="G68" t="str">
            <v>B07W5JKHFZ</v>
          </cell>
          <cell r="H68" t="str">
            <v>910-006559</v>
          </cell>
          <cell r="I68" t="str">
            <v>OE INVOICES</v>
          </cell>
          <cell r="J68">
            <v>44422130171</v>
          </cell>
          <cell r="K68">
            <v>44888</v>
          </cell>
          <cell r="L68">
            <v>12</v>
          </cell>
          <cell r="M68" t="str">
            <v>EUR</v>
          </cell>
          <cell r="N68">
            <v>8747.56</v>
          </cell>
          <cell r="O68">
            <v>75.41</v>
          </cell>
          <cell r="P68">
            <v>116</v>
          </cell>
          <cell r="Q68">
            <v>116</v>
          </cell>
          <cell r="R68">
            <v>0</v>
          </cell>
        </row>
        <row r="69">
          <cell r="A69" t="str">
            <v>1AKO6RJKB07W5JKHPG</v>
          </cell>
          <cell r="B69" t="str">
            <v>Q3-23</v>
          </cell>
          <cell r="C69" t="str">
            <v>Europe Operations OU</v>
          </cell>
          <cell r="D69">
            <v>2674345</v>
          </cell>
          <cell r="E69" t="str">
            <v>Amazon EU SARL, succursale Italiana</v>
          </cell>
          <cell r="F69" t="str">
            <v>1AKO6RJK</v>
          </cell>
          <cell r="G69" t="str">
            <v>B07W5JKHPG</v>
          </cell>
          <cell r="H69" t="str">
            <v>988-000491</v>
          </cell>
          <cell r="I69" t="str">
            <v>OE INVOICES</v>
          </cell>
          <cell r="J69">
            <v>44422130171</v>
          </cell>
          <cell r="K69">
            <v>44888</v>
          </cell>
          <cell r="L69">
            <v>13</v>
          </cell>
          <cell r="M69" t="str">
            <v>EUR</v>
          </cell>
          <cell r="N69">
            <v>965.64</v>
          </cell>
          <cell r="O69">
            <v>241.41</v>
          </cell>
          <cell r="P69">
            <v>4</v>
          </cell>
          <cell r="Q69">
            <v>4</v>
          </cell>
          <cell r="R69">
            <v>0</v>
          </cell>
        </row>
        <row r="70">
          <cell r="A70" t="str">
            <v>1AKO6RJKB07W5JKPFG</v>
          </cell>
          <cell r="B70" t="str">
            <v>Q3-23</v>
          </cell>
          <cell r="C70" t="str">
            <v>Europe Operations OU</v>
          </cell>
          <cell r="D70">
            <v>2674345</v>
          </cell>
          <cell r="E70" t="str">
            <v>Amazon EU SARL, succursale Italiana</v>
          </cell>
          <cell r="F70" t="str">
            <v>1AKO6RJK</v>
          </cell>
          <cell r="G70" t="str">
            <v>B07W5JKPFG</v>
          </cell>
          <cell r="H70" t="str">
            <v>920-011160</v>
          </cell>
          <cell r="I70" t="str">
            <v>OE INVOICES</v>
          </cell>
          <cell r="J70">
            <v>44422130171</v>
          </cell>
          <cell r="K70">
            <v>44888</v>
          </cell>
          <cell r="L70">
            <v>14</v>
          </cell>
          <cell r="M70" t="str">
            <v>EUR</v>
          </cell>
          <cell r="N70">
            <v>257.68</v>
          </cell>
          <cell r="O70">
            <v>32.21</v>
          </cell>
          <cell r="P70">
            <v>8</v>
          </cell>
          <cell r="Q70">
            <v>8</v>
          </cell>
          <cell r="R70">
            <v>0</v>
          </cell>
        </row>
        <row r="71">
          <cell r="A71" t="str">
            <v>1AKO6RJKB07W6G3KBL</v>
          </cell>
          <cell r="B71" t="str">
            <v>Q3-23</v>
          </cell>
          <cell r="C71" t="str">
            <v>Europe Operations OU</v>
          </cell>
          <cell r="D71">
            <v>2674345</v>
          </cell>
          <cell r="E71" t="str">
            <v>Amazon EU SARL, succursale Italiana</v>
          </cell>
          <cell r="F71" t="str">
            <v>1AKO6RJK</v>
          </cell>
          <cell r="G71" t="str">
            <v>B07W6G3KBL</v>
          </cell>
          <cell r="H71" t="str">
            <v>910-006785</v>
          </cell>
          <cell r="I71" t="str">
            <v>OE INVOICES</v>
          </cell>
          <cell r="J71">
            <v>44422130171</v>
          </cell>
          <cell r="K71">
            <v>44888</v>
          </cell>
          <cell r="L71">
            <v>15</v>
          </cell>
          <cell r="M71" t="str">
            <v>EUR</v>
          </cell>
          <cell r="N71">
            <v>335.56</v>
          </cell>
          <cell r="O71">
            <v>83.89</v>
          </cell>
          <cell r="P71">
            <v>4</v>
          </cell>
          <cell r="Q71">
            <v>4</v>
          </cell>
          <cell r="R71">
            <v>0</v>
          </cell>
        </row>
        <row r="72">
          <cell r="A72" t="str">
            <v>1AKO6RJKB07W6G822V</v>
          </cell>
          <cell r="B72" t="str">
            <v>Q3-23</v>
          </cell>
          <cell r="C72" t="str">
            <v>Europe Operations OU</v>
          </cell>
          <cell r="D72">
            <v>2674345</v>
          </cell>
          <cell r="E72" t="str">
            <v>Amazon EU SARL, succursale Italiana</v>
          </cell>
          <cell r="F72" t="str">
            <v>1AKO6RJK</v>
          </cell>
          <cell r="G72" t="str">
            <v>B07W6G822V</v>
          </cell>
          <cell r="H72" t="str">
            <v>910-006751</v>
          </cell>
          <cell r="I72" t="str">
            <v>OE INVOICES</v>
          </cell>
          <cell r="J72">
            <v>44422130171</v>
          </cell>
          <cell r="K72">
            <v>44888</v>
          </cell>
          <cell r="L72">
            <v>16</v>
          </cell>
          <cell r="M72" t="str">
            <v>EUR</v>
          </cell>
          <cell r="N72">
            <v>655.6</v>
          </cell>
          <cell r="O72">
            <v>16.39</v>
          </cell>
          <cell r="P72">
            <v>40</v>
          </cell>
          <cell r="Q72">
            <v>40</v>
          </cell>
          <cell r="R72">
            <v>0</v>
          </cell>
        </row>
        <row r="73">
          <cell r="A73" t="str">
            <v>1AKO6RJKB07W6HKMCN</v>
          </cell>
          <cell r="B73" t="str">
            <v>Q3-23</v>
          </cell>
          <cell r="C73" t="str">
            <v>Europe Operations OU</v>
          </cell>
          <cell r="D73">
            <v>2674345</v>
          </cell>
          <cell r="E73" t="str">
            <v>Amazon EU SARL, succursale Italiana</v>
          </cell>
          <cell r="F73" t="str">
            <v>1AKO6RJK</v>
          </cell>
          <cell r="G73" t="str">
            <v>B07W6HKMCN</v>
          </cell>
          <cell r="H73" t="str">
            <v>910-005870</v>
          </cell>
          <cell r="I73" t="str">
            <v>OE INVOICES</v>
          </cell>
          <cell r="J73">
            <v>44422130171</v>
          </cell>
          <cell r="K73">
            <v>44888</v>
          </cell>
          <cell r="L73">
            <v>17</v>
          </cell>
          <cell r="M73" t="str">
            <v>EUR</v>
          </cell>
          <cell r="N73">
            <v>957</v>
          </cell>
          <cell r="O73">
            <v>31.9</v>
          </cell>
          <cell r="P73">
            <v>30</v>
          </cell>
          <cell r="Q73">
            <v>30</v>
          </cell>
          <cell r="R73">
            <v>0</v>
          </cell>
        </row>
        <row r="74">
          <cell r="A74" t="str">
            <v>1AKO6RJKB07W6HZ85B</v>
          </cell>
          <cell r="B74" t="str">
            <v>Q3-23</v>
          </cell>
          <cell r="C74" t="str">
            <v>Europe Operations OU</v>
          </cell>
          <cell r="D74">
            <v>2674345</v>
          </cell>
          <cell r="E74" t="str">
            <v>Amazon EU SARL, succursale Italiana</v>
          </cell>
          <cell r="F74" t="str">
            <v>1AKO6RJK</v>
          </cell>
          <cell r="G74" t="str">
            <v>B07W6HZ85B</v>
          </cell>
          <cell r="H74" t="str">
            <v>984-001832</v>
          </cell>
          <cell r="I74" t="str">
            <v>OE INVOICES</v>
          </cell>
          <cell r="J74">
            <v>44422133331</v>
          </cell>
          <cell r="K74">
            <v>44890</v>
          </cell>
          <cell r="L74">
            <v>3</v>
          </cell>
          <cell r="M74" t="str">
            <v>EUR</v>
          </cell>
          <cell r="N74">
            <v>428.08</v>
          </cell>
          <cell r="O74">
            <v>53.51</v>
          </cell>
          <cell r="P74">
            <v>8</v>
          </cell>
          <cell r="Q74">
            <v>8</v>
          </cell>
          <cell r="R74">
            <v>0</v>
          </cell>
        </row>
        <row r="75">
          <cell r="A75" t="str">
            <v>1AKO6RJKB07W6JHB2P</v>
          </cell>
          <cell r="B75" t="str">
            <v>Q3-23</v>
          </cell>
          <cell r="C75" t="str">
            <v>Europe Operations OU</v>
          </cell>
          <cell r="D75">
            <v>2674345</v>
          </cell>
          <cell r="E75" t="str">
            <v>Amazon EU SARL, succursale Italiana</v>
          </cell>
          <cell r="F75" t="str">
            <v>1AKO6RJK</v>
          </cell>
          <cell r="G75" t="str">
            <v>B07W6JHB2P</v>
          </cell>
          <cell r="H75" t="str">
            <v>910-006254</v>
          </cell>
          <cell r="I75" t="str">
            <v>OE INVOICES</v>
          </cell>
          <cell r="J75">
            <v>44422130171</v>
          </cell>
          <cell r="K75">
            <v>44888</v>
          </cell>
          <cell r="L75">
            <v>18</v>
          </cell>
          <cell r="M75" t="str">
            <v>EUR</v>
          </cell>
          <cell r="N75">
            <v>585.6</v>
          </cell>
          <cell r="O75">
            <v>29.28</v>
          </cell>
          <cell r="P75">
            <v>20</v>
          </cell>
          <cell r="Q75">
            <v>20</v>
          </cell>
          <cell r="R75">
            <v>0</v>
          </cell>
        </row>
        <row r="76">
          <cell r="A76" t="str">
            <v>1AKO6RJKB07W6JKH1B</v>
          </cell>
          <cell r="B76" t="str">
            <v>Q3-23</v>
          </cell>
          <cell r="C76" t="str">
            <v>Europe Operations OU</v>
          </cell>
          <cell r="D76">
            <v>2674345</v>
          </cell>
          <cell r="E76" t="str">
            <v>Amazon EU SARL, succursale Italiana</v>
          </cell>
          <cell r="F76" t="str">
            <v>1AKO6RJK</v>
          </cell>
          <cell r="G76" t="str">
            <v>B07W6JKH1B</v>
          </cell>
          <cell r="H76" t="str">
            <v>920-011176</v>
          </cell>
          <cell r="I76" t="str">
            <v>OE INVOICES</v>
          </cell>
          <cell r="J76">
            <v>44422130171</v>
          </cell>
          <cell r="K76">
            <v>44888</v>
          </cell>
          <cell r="L76">
            <v>19</v>
          </cell>
          <cell r="M76" t="str">
            <v>EUR</v>
          </cell>
          <cell r="N76">
            <v>257.68</v>
          </cell>
          <cell r="O76">
            <v>32.21</v>
          </cell>
          <cell r="P76">
            <v>8</v>
          </cell>
          <cell r="Q76">
            <v>8</v>
          </cell>
          <cell r="R76">
            <v>0</v>
          </cell>
        </row>
        <row r="77">
          <cell r="A77" t="str">
            <v>1AKO6RJKB07W6JP4SQ</v>
          </cell>
          <cell r="B77" t="str">
            <v>Q3-23</v>
          </cell>
          <cell r="C77" t="str">
            <v>Europe Operations OU</v>
          </cell>
          <cell r="D77">
            <v>2674345</v>
          </cell>
          <cell r="E77" t="str">
            <v>Amazon EU SARL, succursale Italiana</v>
          </cell>
          <cell r="F77" t="str">
            <v>1AKO6RJK</v>
          </cell>
          <cell r="G77" t="str">
            <v>B07W6JP4SQ</v>
          </cell>
          <cell r="H77" t="str">
            <v>920-011159</v>
          </cell>
          <cell r="I77" t="str">
            <v>OE INVOICES</v>
          </cell>
          <cell r="J77">
            <v>44422130171</v>
          </cell>
          <cell r="K77">
            <v>44888</v>
          </cell>
          <cell r="L77">
            <v>20</v>
          </cell>
          <cell r="M77" t="str">
            <v>EUR</v>
          </cell>
          <cell r="N77">
            <v>257.68</v>
          </cell>
          <cell r="O77">
            <v>32.21</v>
          </cell>
          <cell r="P77">
            <v>8</v>
          </cell>
          <cell r="Q77">
            <v>8</v>
          </cell>
          <cell r="R77">
            <v>0</v>
          </cell>
        </row>
        <row r="78">
          <cell r="A78" t="str">
            <v>1AKO6RJKB07W7J6RBC</v>
          </cell>
          <cell r="B78" t="str">
            <v>Q3-23</v>
          </cell>
          <cell r="C78" t="str">
            <v>Europe Operations OU</v>
          </cell>
          <cell r="D78">
            <v>2674345</v>
          </cell>
          <cell r="E78" t="str">
            <v>Amazon EU SARL, succursale Italiana</v>
          </cell>
          <cell r="F78" t="str">
            <v>1AKO6RJK</v>
          </cell>
          <cell r="G78" t="str">
            <v>B07W7J6RBC</v>
          </cell>
          <cell r="H78" t="str">
            <v>981-001126</v>
          </cell>
          <cell r="I78" t="str">
            <v>OE INVOICES</v>
          </cell>
          <cell r="J78">
            <v>44422130171</v>
          </cell>
          <cell r="K78">
            <v>44888</v>
          </cell>
          <cell r="L78">
            <v>21</v>
          </cell>
          <cell r="M78" t="str">
            <v>EUR</v>
          </cell>
          <cell r="N78">
            <v>645.12</v>
          </cell>
          <cell r="O78">
            <v>80.64</v>
          </cell>
          <cell r="P78">
            <v>8</v>
          </cell>
          <cell r="Q78">
            <v>8</v>
          </cell>
          <cell r="R78">
            <v>0</v>
          </cell>
        </row>
        <row r="79">
          <cell r="A79" t="str">
            <v>1AKO6RJKB07W7JR6BZ</v>
          </cell>
          <cell r="B79" t="str">
            <v>Q3-23</v>
          </cell>
          <cell r="C79" t="str">
            <v>Europe Operations OU</v>
          </cell>
          <cell r="D79">
            <v>2674345</v>
          </cell>
          <cell r="E79" t="str">
            <v>Amazon EU SARL, succursale Italiana</v>
          </cell>
          <cell r="F79" t="str">
            <v>1AKO6RJK</v>
          </cell>
          <cell r="G79" t="str">
            <v>B07W7JR6BZ</v>
          </cell>
          <cell r="H79" t="str">
            <v>910-006255</v>
          </cell>
          <cell r="I79" t="str">
            <v>OE INVOICES</v>
          </cell>
          <cell r="J79">
            <v>44422130171</v>
          </cell>
          <cell r="K79">
            <v>44888</v>
          </cell>
          <cell r="L79">
            <v>22</v>
          </cell>
          <cell r="M79" t="str">
            <v>EUR</v>
          </cell>
          <cell r="N79">
            <v>292.8</v>
          </cell>
          <cell r="O79">
            <v>29.28</v>
          </cell>
          <cell r="P79">
            <v>10</v>
          </cell>
          <cell r="Q79">
            <v>10</v>
          </cell>
          <cell r="R79">
            <v>0</v>
          </cell>
        </row>
        <row r="80">
          <cell r="A80" t="str">
            <v>1AKO6RJKB07W7JYP91</v>
          </cell>
          <cell r="B80" t="str">
            <v>Q3-23</v>
          </cell>
          <cell r="C80" t="str">
            <v>Europe Operations OU</v>
          </cell>
          <cell r="D80">
            <v>2674345</v>
          </cell>
          <cell r="E80" t="str">
            <v>Amazon EU SARL, succursale Italiana</v>
          </cell>
          <cell r="F80" t="str">
            <v>1AKO6RJK</v>
          </cell>
          <cell r="G80" t="str">
            <v>B07W7JYP91</v>
          </cell>
          <cell r="H80" t="str">
            <v>910-005720</v>
          </cell>
          <cell r="I80" t="str">
            <v>OE INVOICES</v>
          </cell>
          <cell r="J80">
            <v>44422133331</v>
          </cell>
          <cell r="K80">
            <v>44890</v>
          </cell>
          <cell r="L80">
            <v>4</v>
          </cell>
          <cell r="M80" t="str">
            <v>EUR</v>
          </cell>
          <cell r="N80">
            <v>163.9</v>
          </cell>
          <cell r="O80">
            <v>16.39</v>
          </cell>
          <cell r="P80">
            <v>10</v>
          </cell>
          <cell r="Q80">
            <v>10</v>
          </cell>
          <cell r="R80">
            <v>0</v>
          </cell>
        </row>
        <row r="81">
          <cell r="A81" t="str">
            <v>1AKO6RJKB07W7JYP9B</v>
          </cell>
          <cell r="B81" t="str">
            <v>Q3-23</v>
          </cell>
          <cell r="C81" t="str">
            <v>Europe Operations OU</v>
          </cell>
          <cell r="D81">
            <v>2674345</v>
          </cell>
          <cell r="E81" t="str">
            <v>Amazon EU SARL, succursale Italiana</v>
          </cell>
          <cell r="F81" t="str">
            <v>1AKO6RJK</v>
          </cell>
          <cell r="G81" t="str">
            <v>B07W7JYP9B</v>
          </cell>
          <cell r="H81" t="str">
            <v>910-006784</v>
          </cell>
          <cell r="I81" t="str">
            <v>OE INVOICES</v>
          </cell>
          <cell r="J81">
            <v>44422130171</v>
          </cell>
          <cell r="K81">
            <v>44888</v>
          </cell>
          <cell r="L81">
            <v>23</v>
          </cell>
          <cell r="M81" t="str">
            <v>EUR</v>
          </cell>
          <cell r="N81">
            <v>335.56</v>
          </cell>
          <cell r="O81">
            <v>83.89</v>
          </cell>
          <cell r="P81">
            <v>4</v>
          </cell>
          <cell r="Q81">
            <v>4</v>
          </cell>
          <cell r="R81">
            <v>0</v>
          </cell>
        </row>
        <row r="82">
          <cell r="A82" t="str">
            <v>1AKO6RJKB07W7KMK4Y</v>
          </cell>
          <cell r="B82" t="str">
            <v>Q3-23</v>
          </cell>
          <cell r="C82" t="str">
            <v>Europe Operations OU</v>
          </cell>
          <cell r="D82">
            <v>2674345</v>
          </cell>
          <cell r="E82" t="str">
            <v>Amazon EU SARL, succursale Italiana</v>
          </cell>
          <cell r="F82" t="str">
            <v>1AKO6RJK</v>
          </cell>
          <cell r="G82" t="str">
            <v>B07W7KMK4Y</v>
          </cell>
          <cell r="H82" t="str">
            <v>920-010488</v>
          </cell>
          <cell r="I82" t="str">
            <v>OE INVOICES</v>
          </cell>
          <cell r="J82">
            <v>44422130171</v>
          </cell>
          <cell r="K82">
            <v>44888</v>
          </cell>
          <cell r="L82">
            <v>24</v>
          </cell>
          <cell r="M82" t="str">
            <v>EUR</v>
          </cell>
          <cell r="N82">
            <v>5798.52</v>
          </cell>
          <cell r="O82">
            <v>69.03</v>
          </cell>
          <cell r="P82">
            <v>84</v>
          </cell>
          <cell r="Q82">
            <v>84</v>
          </cell>
          <cell r="R82">
            <v>0</v>
          </cell>
        </row>
        <row r="83">
          <cell r="A83" t="str">
            <v>1AKO6RJKB07W7KTTMZ</v>
          </cell>
          <cell r="B83" t="str">
            <v>Q3-23</v>
          </cell>
          <cell r="C83" t="str">
            <v>Europe Operations OU</v>
          </cell>
          <cell r="D83">
            <v>2674345</v>
          </cell>
          <cell r="E83" t="str">
            <v>Amazon EU SARL, succursale Italiana</v>
          </cell>
          <cell r="F83" t="str">
            <v>1AKO6RJK</v>
          </cell>
          <cell r="G83" t="str">
            <v>B07W7KTTMZ</v>
          </cell>
          <cell r="H83" t="str">
            <v>920-010489</v>
          </cell>
          <cell r="I83" t="str">
            <v>OE INVOICES</v>
          </cell>
          <cell r="J83">
            <v>44422130171</v>
          </cell>
          <cell r="K83">
            <v>44888</v>
          </cell>
          <cell r="L83">
            <v>25</v>
          </cell>
          <cell r="M83" t="str">
            <v>EUR</v>
          </cell>
          <cell r="N83">
            <v>3313.44</v>
          </cell>
          <cell r="O83">
            <v>69.03</v>
          </cell>
          <cell r="P83">
            <v>48</v>
          </cell>
          <cell r="Q83">
            <v>48</v>
          </cell>
          <cell r="R83">
            <v>0</v>
          </cell>
        </row>
        <row r="84">
          <cell r="A84" t="str">
            <v>1AKO6RJKB07W7LLFVD</v>
          </cell>
          <cell r="B84" t="str">
            <v>Q3-23</v>
          </cell>
          <cell r="C84" t="str">
            <v>Europe Operations OU</v>
          </cell>
          <cell r="D84">
            <v>2674345</v>
          </cell>
          <cell r="E84" t="str">
            <v>Amazon EU SARL, succursale Italiana</v>
          </cell>
          <cell r="F84" t="str">
            <v>1AKO6RJK</v>
          </cell>
          <cell r="G84" t="str">
            <v>B07W7LLFVD</v>
          </cell>
          <cell r="H84" t="str">
            <v>920-009410</v>
          </cell>
          <cell r="I84" t="str">
            <v>OE INVOICES</v>
          </cell>
          <cell r="J84">
            <v>44422130171</v>
          </cell>
          <cell r="K84">
            <v>44888</v>
          </cell>
          <cell r="L84">
            <v>26</v>
          </cell>
          <cell r="M84" t="str">
            <v>EUR</v>
          </cell>
          <cell r="N84">
            <v>301.64</v>
          </cell>
          <cell r="O84">
            <v>75.41</v>
          </cell>
          <cell r="P84">
            <v>4</v>
          </cell>
          <cell r="Q84">
            <v>4</v>
          </cell>
          <cell r="R84">
            <v>0</v>
          </cell>
        </row>
        <row r="85">
          <cell r="A85" t="str">
            <v>1AKO6RJKB07W7MNYX5</v>
          </cell>
          <cell r="B85" t="str">
            <v>Q3-23</v>
          </cell>
          <cell r="C85" t="str">
            <v>Europe Operations OU</v>
          </cell>
          <cell r="D85">
            <v>2674345</v>
          </cell>
          <cell r="E85" t="str">
            <v>Amazon EU SARL, succursale Italiana</v>
          </cell>
          <cell r="F85" t="str">
            <v>1AKO6RJK</v>
          </cell>
          <cell r="G85" t="str">
            <v>B07W7MNYX5</v>
          </cell>
          <cell r="H85" t="str">
            <v>910-006753</v>
          </cell>
          <cell r="I85" t="str">
            <v>OE INVOICES</v>
          </cell>
          <cell r="J85">
            <v>44422130171</v>
          </cell>
          <cell r="K85">
            <v>44888</v>
          </cell>
          <cell r="L85">
            <v>27</v>
          </cell>
          <cell r="M85" t="str">
            <v>EUR</v>
          </cell>
          <cell r="N85">
            <v>983.4</v>
          </cell>
          <cell r="O85">
            <v>16.39</v>
          </cell>
          <cell r="P85">
            <v>60</v>
          </cell>
          <cell r="Q85">
            <v>60</v>
          </cell>
          <cell r="R85">
            <v>0</v>
          </cell>
        </row>
        <row r="86">
          <cell r="A86" t="str">
            <v>1AKO6RJKB07W8LZB2L</v>
          </cell>
          <cell r="B86" t="str">
            <v>Q3-23</v>
          </cell>
          <cell r="C86" t="str">
            <v>Europe Operations OU</v>
          </cell>
          <cell r="D86">
            <v>2674345</v>
          </cell>
          <cell r="E86" t="str">
            <v>Amazon EU SARL, succursale Italiana</v>
          </cell>
          <cell r="F86" t="str">
            <v>1AKO6RJK</v>
          </cell>
          <cell r="G86" t="str">
            <v>B07W8LZB2L</v>
          </cell>
          <cell r="H86" t="str">
            <v>910-006652</v>
          </cell>
          <cell r="I86" t="str">
            <v>OE INVOICES</v>
          </cell>
          <cell r="J86">
            <v>44422130171</v>
          </cell>
          <cell r="K86">
            <v>44888</v>
          </cell>
          <cell r="L86">
            <v>28</v>
          </cell>
          <cell r="M86" t="str">
            <v>EUR</v>
          </cell>
          <cell r="N86">
            <v>304.39999999999998</v>
          </cell>
          <cell r="O86">
            <v>7.61</v>
          </cell>
          <cell r="P86">
            <v>40</v>
          </cell>
          <cell r="Q86">
            <v>40</v>
          </cell>
          <cell r="R86">
            <v>0</v>
          </cell>
        </row>
        <row r="87">
          <cell r="A87" t="str">
            <v>1AKO6RJKB0B8W3JR26</v>
          </cell>
          <cell r="B87" t="str">
            <v>Q3-23</v>
          </cell>
          <cell r="C87" t="str">
            <v>Europe Operations OU</v>
          </cell>
          <cell r="D87">
            <v>2674345</v>
          </cell>
          <cell r="E87" t="str">
            <v>Amazon EU SARL, succursale Italiana</v>
          </cell>
          <cell r="F87" t="str">
            <v>1AKO6RJK</v>
          </cell>
          <cell r="G87" t="str">
            <v>B0B8W3JR26</v>
          </cell>
          <cell r="H87" t="str">
            <v>910-006477</v>
          </cell>
          <cell r="I87" t="str">
            <v>OE INVOICES</v>
          </cell>
          <cell r="J87">
            <v>44422130171</v>
          </cell>
          <cell r="K87">
            <v>44888</v>
          </cell>
          <cell r="L87">
            <v>29</v>
          </cell>
          <cell r="M87" t="str">
            <v>EUR</v>
          </cell>
          <cell r="N87">
            <v>2784</v>
          </cell>
          <cell r="O87">
            <v>46.4</v>
          </cell>
          <cell r="P87">
            <v>60</v>
          </cell>
          <cell r="Q87">
            <v>60</v>
          </cell>
          <cell r="R87">
            <v>0</v>
          </cell>
        </row>
        <row r="88">
          <cell r="A88" t="str">
            <v>1JF8DBHDB010X0ZQ7S</v>
          </cell>
          <cell r="B88" t="str">
            <v>Q3-23</v>
          </cell>
          <cell r="C88" t="str">
            <v>Europe Operations OU</v>
          </cell>
          <cell r="D88">
            <v>2674345</v>
          </cell>
          <cell r="E88" t="str">
            <v>Amazon EU SARL, succursale Italiana</v>
          </cell>
          <cell r="F88" t="str">
            <v>1JF8DBHD</v>
          </cell>
          <cell r="G88" t="str">
            <v>B010X0ZQ7S</v>
          </cell>
          <cell r="H88" t="str">
            <v>920-007133</v>
          </cell>
          <cell r="I88" t="str">
            <v>OE INVOICES</v>
          </cell>
          <cell r="J88">
            <v>44422176567</v>
          </cell>
          <cell r="K88">
            <v>44922</v>
          </cell>
          <cell r="L88">
            <v>1</v>
          </cell>
          <cell r="M88" t="str">
            <v>EUR</v>
          </cell>
          <cell r="N88">
            <v>322.10000000000002</v>
          </cell>
          <cell r="O88">
            <v>32.21</v>
          </cell>
          <cell r="P88">
            <v>10</v>
          </cell>
          <cell r="Q88">
            <v>10</v>
          </cell>
          <cell r="R88">
            <v>0</v>
          </cell>
        </row>
        <row r="89">
          <cell r="A89" t="str">
            <v>1KVFEQGMB00EJ3RMDM</v>
          </cell>
          <cell r="B89" t="str">
            <v>Q3-23</v>
          </cell>
          <cell r="C89" t="str">
            <v>Europe Operations OU</v>
          </cell>
          <cell r="D89">
            <v>2674345</v>
          </cell>
          <cell r="E89" t="str">
            <v>Amazon EU SARL, succursale Italiana</v>
          </cell>
          <cell r="F89" t="str">
            <v>1KVFEQGM</v>
          </cell>
          <cell r="G89" t="str">
            <v>B00EJ3RMDM</v>
          </cell>
          <cell r="H89" t="str">
            <v>920-005210</v>
          </cell>
          <cell r="I89" t="str">
            <v>OE INVOICES</v>
          </cell>
          <cell r="J89">
            <v>44422163399</v>
          </cell>
          <cell r="K89">
            <v>44909</v>
          </cell>
          <cell r="L89">
            <v>1</v>
          </cell>
          <cell r="M89" t="str">
            <v>EUR</v>
          </cell>
          <cell r="N89">
            <v>163.9</v>
          </cell>
          <cell r="O89">
            <v>16.39</v>
          </cell>
          <cell r="P89">
            <v>10</v>
          </cell>
          <cell r="Q89">
            <v>10</v>
          </cell>
          <cell r="R89">
            <v>0</v>
          </cell>
        </row>
        <row r="90">
          <cell r="A90" t="str">
            <v>1KW92RHQB0041U9CYU</v>
          </cell>
          <cell r="B90" t="str">
            <v>Q3-23</v>
          </cell>
          <cell r="C90" t="str">
            <v>Europe Operations OU</v>
          </cell>
          <cell r="D90">
            <v>2674345</v>
          </cell>
          <cell r="E90" t="str">
            <v>Amazon EU SARL, succursale Italiana</v>
          </cell>
          <cell r="F90" t="str">
            <v>1KW92RHQ</v>
          </cell>
          <cell r="G90" t="str">
            <v>B0041U9CYU</v>
          </cell>
          <cell r="H90" t="str">
            <v>920-002482</v>
          </cell>
          <cell r="I90" t="str">
            <v>OE INVOICES</v>
          </cell>
          <cell r="J90">
            <v>44422157426</v>
          </cell>
          <cell r="K90">
            <v>44904</v>
          </cell>
          <cell r="L90">
            <v>1</v>
          </cell>
          <cell r="M90" t="str">
            <v>EUR</v>
          </cell>
          <cell r="N90">
            <v>315.89999999999998</v>
          </cell>
          <cell r="O90">
            <v>10.53</v>
          </cell>
          <cell r="P90">
            <v>30</v>
          </cell>
          <cell r="Q90">
            <v>30</v>
          </cell>
          <cell r="R90">
            <v>0</v>
          </cell>
        </row>
        <row r="91">
          <cell r="A91" t="str">
            <v>1KW92RHQB0042BVWZ0</v>
          </cell>
          <cell r="B91" t="str">
            <v>Q3-23</v>
          </cell>
          <cell r="C91" t="str">
            <v>Europe Operations OU</v>
          </cell>
          <cell r="D91">
            <v>2674345</v>
          </cell>
          <cell r="E91" t="str">
            <v>Amazon EU SARL, succursale Italiana</v>
          </cell>
          <cell r="F91" t="str">
            <v>1KW92RHQ</v>
          </cell>
          <cell r="G91" t="str">
            <v>B0042BVWZ0</v>
          </cell>
          <cell r="H91" t="str">
            <v>920-002559</v>
          </cell>
          <cell r="I91" t="str">
            <v>OE INVOICES</v>
          </cell>
          <cell r="J91">
            <v>44422157426</v>
          </cell>
          <cell r="K91">
            <v>44904</v>
          </cell>
          <cell r="L91">
            <v>2</v>
          </cell>
          <cell r="M91" t="str">
            <v>EUR</v>
          </cell>
          <cell r="N91">
            <v>175.6</v>
          </cell>
          <cell r="O91">
            <v>17.559999999999999</v>
          </cell>
          <cell r="P91">
            <v>10</v>
          </cell>
          <cell r="Q91">
            <v>10</v>
          </cell>
          <cell r="R91">
            <v>0</v>
          </cell>
        </row>
        <row r="92">
          <cell r="A92" t="str">
            <v>1KW92RHQB005IDE064</v>
          </cell>
          <cell r="B92" t="str">
            <v>Q3-23</v>
          </cell>
          <cell r="C92" t="str">
            <v>Europe Operations OU</v>
          </cell>
          <cell r="D92">
            <v>2674345</v>
          </cell>
          <cell r="E92" t="str">
            <v>Amazon EU SARL, succursale Italiana</v>
          </cell>
          <cell r="F92" t="str">
            <v>1KW92RHQ</v>
          </cell>
          <cell r="G92" t="str">
            <v>B005IDE064</v>
          </cell>
          <cell r="H92" t="str">
            <v>920-002440</v>
          </cell>
          <cell r="I92" t="str">
            <v>OE INVOICES</v>
          </cell>
          <cell r="J92">
            <v>44422157426</v>
          </cell>
          <cell r="K92">
            <v>44904</v>
          </cell>
          <cell r="L92">
            <v>3</v>
          </cell>
          <cell r="M92" t="str">
            <v>EUR</v>
          </cell>
          <cell r="N92">
            <v>556.88</v>
          </cell>
          <cell r="O92">
            <v>69.61</v>
          </cell>
          <cell r="P92">
            <v>8</v>
          </cell>
          <cell r="Q92">
            <v>8</v>
          </cell>
          <cell r="R92">
            <v>0</v>
          </cell>
        </row>
        <row r="93">
          <cell r="A93" t="str">
            <v>1KW92RHQB0094QSF8U</v>
          </cell>
          <cell r="B93" t="str">
            <v>Q3-23</v>
          </cell>
          <cell r="C93" t="str">
            <v>Europe Operations OU</v>
          </cell>
          <cell r="D93">
            <v>2674345</v>
          </cell>
          <cell r="E93" t="str">
            <v>Amazon EU SARL, succursale Italiana</v>
          </cell>
          <cell r="F93" t="str">
            <v>1KW92RHQ</v>
          </cell>
          <cell r="G93" t="str">
            <v>B0094QSF8U</v>
          </cell>
          <cell r="H93" t="str">
            <v>920-002645</v>
          </cell>
          <cell r="I93" t="str">
            <v>OE INVOICES</v>
          </cell>
          <cell r="J93">
            <v>44422157426</v>
          </cell>
          <cell r="K93">
            <v>44904</v>
          </cell>
          <cell r="L93">
            <v>4</v>
          </cell>
          <cell r="M93" t="str">
            <v>EUR</v>
          </cell>
          <cell r="N93">
            <v>374.4</v>
          </cell>
          <cell r="O93">
            <v>9.36</v>
          </cell>
          <cell r="P93">
            <v>40</v>
          </cell>
          <cell r="Q93">
            <v>40</v>
          </cell>
          <cell r="R93">
            <v>0</v>
          </cell>
        </row>
        <row r="94">
          <cell r="A94" t="str">
            <v>1KW92RHQB00BT8QIJ4</v>
          </cell>
          <cell r="B94" t="str">
            <v>Q3-23</v>
          </cell>
          <cell r="C94" t="str">
            <v>Europe Operations OU</v>
          </cell>
          <cell r="D94">
            <v>2674345</v>
          </cell>
          <cell r="E94" t="str">
            <v>Amazon EU SARL, succursale Italiana</v>
          </cell>
          <cell r="F94" t="str">
            <v>1KW92RHQ</v>
          </cell>
          <cell r="G94" t="str">
            <v>B00BT8QIJ4</v>
          </cell>
          <cell r="H94" t="str">
            <v>920-002522</v>
          </cell>
          <cell r="I94" t="str">
            <v>OE INVOICES</v>
          </cell>
          <cell r="J94">
            <v>44422157426</v>
          </cell>
          <cell r="K94">
            <v>44904</v>
          </cell>
          <cell r="L94">
            <v>5</v>
          </cell>
          <cell r="M94" t="str">
            <v>EUR</v>
          </cell>
          <cell r="N94">
            <v>187.2</v>
          </cell>
          <cell r="O94">
            <v>9.36</v>
          </cell>
          <cell r="P94">
            <v>20</v>
          </cell>
          <cell r="Q94">
            <v>20</v>
          </cell>
          <cell r="R94">
            <v>0</v>
          </cell>
        </row>
        <row r="95">
          <cell r="A95" t="str">
            <v>1KW92RHQB01D1Z00UK</v>
          </cell>
          <cell r="B95" t="str">
            <v>Q3-23</v>
          </cell>
          <cell r="C95" t="str">
            <v>Europe Operations OU</v>
          </cell>
          <cell r="D95">
            <v>2674345</v>
          </cell>
          <cell r="E95" t="str">
            <v>Amazon EU SARL, succursale Italiana</v>
          </cell>
          <cell r="F95" t="str">
            <v>1KW92RHQ</v>
          </cell>
          <cell r="G95" t="str">
            <v>B01D1Z00UK</v>
          </cell>
          <cell r="H95" t="str">
            <v>920-007931</v>
          </cell>
          <cell r="I95" t="str">
            <v>OE INVOICES</v>
          </cell>
          <cell r="J95">
            <v>44422157426</v>
          </cell>
          <cell r="K95">
            <v>44904</v>
          </cell>
          <cell r="L95">
            <v>6</v>
          </cell>
          <cell r="M95" t="str">
            <v>EUR</v>
          </cell>
          <cell r="N95">
            <v>562.08000000000004</v>
          </cell>
          <cell r="O95">
            <v>23.42</v>
          </cell>
          <cell r="P95">
            <v>24</v>
          </cell>
          <cell r="Q95">
            <v>24</v>
          </cell>
          <cell r="R95">
            <v>0</v>
          </cell>
        </row>
        <row r="96">
          <cell r="A96" t="str">
            <v>1KW92RHQB01GHP1IDY</v>
          </cell>
          <cell r="B96" t="str">
            <v>Q3-23</v>
          </cell>
          <cell r="C96" t="str">
            <v>Europe Operations OU</v>
          </cell>
          <cell r="D96">
            <v>2674345</v>
          </cell>
          <cell r="E96" t="str">
            <v>Amazon EU SARL, succursale Italiana</v>
          </cell>
          <cell r="F96" t="str">
            <v>1KW92RHQ</v>
          </cell>
          <cell r="G96" t="str">
            <v>B01GHP1IDY</v>
          </cell>
          <cell r="H96" t="str">
            <v>920-008013</v>
          </cell>
          <cell r="I96" t="str">
            <v>OE INVOICES</v>
          </cell>
          <cell r="J96">
            <v>44422142929</v>
          </cell>
          <cell r="K96">
            <v>44896</v>
          </cell>
          <cell r="L96">
            <v>1</v>
          </cell>
          <cell r="M96" t="str">
            <v>EUR</v>
          </cell>
          <cell r="N96">
            <v>5040</v>
          </cell>
          <cell r="O96">
            <v>105</v>
          </cell>
          <cell r="P96">
            <v>48</v>
          </cell>
          <cell r="Q96">
            <v>48</v>
          </cell>
          <cell r="R96">
            <v>0</v>
          </cell>
        </row>
        <row r="97">
          <cell r="A97" t="str">
            <v>1KW92RHQB074C9LZVX</v>
          </cell>
          <cell r="B97" t="str">
            <v>Q3-23</v>
          </cell>
          <cell r="C97" t="str">
            <v>Europe Operations OU</v>
          </cell>
          <cell r="D97">
            <v>2674345</v>
          </cell>
          <cell r="E97" t="str">
            <v>Amazon EU SARL, succursale Italiana</v>
          </cell>
          <cell r="F97" t="str">
            <v>1KW92RHQ</v>
          </cell>
          <cell r="G97" t="str">
            <v>B074C9LZVX</v>
          </cell>
          <cell r="H97" t="str">
            <v>920-008389</v>
          </cell>
          <cell r="I97" t="str">
            <v>OE INVOICES</v>
          </cell>
          <cell r="J97">
            <v>44422157426</v>
          </cell>
          <cell r="K97">
            <v>44904</v>
          </cell>
          <cell r="L97">
            <v>7</v>
          </cell>
          <cell r="M97" t="str">
            <v>EUR</v>
          </cell>
          <cell r="N97">
            <v>628.96</v>
          </cell>
          <cell r="O97">
            <v>78.62</v>
          </cell>
          <cell r="P97">
            <v>8</v>
          </cell>
          <cell r="Q97">
            <v>8</v>
          </cell>
          <cell r="R97">
            <v>0</v>
          </cell>
        </row>
        <row r="98">
          <cell r="A98" t="str">
            <v>1KW92RHQB078MHS3SC</v>
          </cell>
          <cell r="B98" t="str">
            <v>Q3-23</v>
          </cell>
          <cell r="C98" t="str">
            <v>Europe Operations OU</v>
          </cell>
          <cell r="D98">
            <v>2674345</v>
          </cell>
          <cell r="E98" t="str">
            <v>Amazon EU SARL, succursale Italiana</v>
          </cell>
          <cell r="F98" t="str">
            <v>1KW92RHQ</v>
          </cell>
          <cell r="G98" t="str">
            <v>B078MHS3SC</v>
          </cell>
          <cell r="H98" t="str">
            <v>988-000247</v>
          </cell>
          <cell r="I98" t="str">
            <v>OE INVOICES</v>
          </cell>
          <cell r="J98">
            <v>44422157426</v>
          </cell>
          <cell r="K98">
            <v>44904</v>
          </cell>
          <cell r="L98">
            <v>8</v>
          </cell>
          <cell r="M98" t="str">
            <v>EUR</v>
          </cell>
          <cell r="N98">
            <v>2545.44</v>
          </cell>
          <cell r="O98">
            <v>159.09</v>
          </cell>
          <cell r="P98">
            <v>16</v>
          </cell>
          <cell r="Q98">
            <v>16</v>
          </cell>
          <cell r="R98">
            <v>0</v>
          </cell>
        </row>
        <row r="99">
          <cell r="A99" t="str">
            <v>1KW92RHQB07VCS1895</v>
          </cell>
          <cell r="B99" t="str">
            <v>Q3-23</v>
          </cell>
          <cell r="C99" t="str">
            <v>Europe Operations OU</v>
          </cell>
          <cell r="D99">
            <v>2674345</v>
          </cell>
          <cell r="E99" t="str">
            <v>Amazon EU SARL, succursale Italiana</v>
          </cell>
          <cell r="F99" t="str">
            <v>1KW92RHQ</v>
          </cell>
          <cell r="G99" t="str">
            <v>B07VCS1895</v>
          </cell>
          <cell r="H99" t="str">
            <v>920-009188</v>
          </cell>
          <cell r="I99" t="str">
            <v>OE INVOICES</v>
          </cell>
          <cell r="J99">
            <v>44422157426</v>
          </cell>
          <cell r="K99">
            <v>44904</v>
          </cell>
          <cell r="L99">
            <v>9</v>
          </cell>
          <cell r="M99" t="str">
            <v>EUR</v>
          </cell>
          <cell r="N99">
            <v>4637.16</v>
          </cell>
          <cell r="O99">
            <v>35.130000000000003</v>
          </cell>
          <cell r="P99">
            <v>132</v>
          </cell>
          <cell r="Q99">
            <v>132</v>
          </cell>
          <cell r="R99">
            <v>0</v>
          </cell>
        </row>
        <row r="100">
          <cell r="A100" t="str">
            <v>1KW92RHQB07W4DGQSX</v>
          </cell>
          <cell r="B100" t="str">
            <v>Q3-23</v>
          </cell>
          <cell r="C100" t="str">
            <v>Europe Operations OU</v>
          </cell>
          <cell r="D100">
            <v>2674345</v>
          </cell>
          <cell r="E100" t="str">
            <v>Amazon EU SARL, succursale Italiana</v>
          </cell>
          <cell r="F100" t="str">
            <v>1KW92RHQ</v>
          </cell>
          <cell r="G100" t="str">
            <v>B07W4DGQSX</v>
          </cell>
          <cell r="H100" t="str">
            <v>920-010967</v>
          </cell>
          <cell r="I100" t="str">
            <v>OE INVOICES</v>
          </cell>
          <cell r="J100">
            <v>44422157426</v>
          </cell>
          <cell r="K100">
            <v>44904</v>
          </cell>
          <cell r="L100">
            <v>10</v>
          </cell>
          <cell r="M100" t="str">
            <v>EUR</v>
          </cell>
          <cell r="N100">
            <v>1030.72</v>
          </cell>
          <cell r="O100">
            <v>32.21</v>
          </cell>
          <cell r="P100">
            <v>32</v>
          </cell>
          <cell r="Q100">
            <v>32</v>
          </cell>
          <cell r="R100">
            <v>0</v>
          </cell>
        </row>
        <row r="101">
          <cell r="A101" t="str">
            <v>1KW92RHQB07W6HPVTK</v>
          </cell>
          <cell r="B101" t="str">
            <v>Q3-23</v>
          </cell>
          <cell r="C101" t="str">
            <v>Europe Operations OU</v>
          </cell>
          <cell r="D101">
            <v>2674345</v>
          </cell>
          <cell r="E101" t="str">
            <v>Amazon EU SARL, succursale Italiana</v>
          </cell>
          <cell r="F101" t="str">
            <v>1KW92RHQ</v>
          </cell>
          <cell r="G101" t="str">
            <v>B07W6HPVTK</v>
          </cell>
          <cell r="H101" t="str">
            <v>920-009350</v>
          </cell>
          <cell r="I101" t="str">
            <v>OE INVOICES</v>
          </cell>
          <cell r="J101">
            <v>44422134834</v>
          </cell>
          <cell r="K101">
            <v>44893</v>
          </cell>
          <cell r="L101">
            <v>1</v>
          </cell>
          <cell r="M101" t="str">
            <v>EUR</v>
          </cell>
          <cell r="N101">
            <v>272.24</v>
          </cell>
          <cell r="O101">
            <v>68.06</v>
          </cell>
          <cell r="P101">
            <v>4</v>
          </cell>
          <cell r="Q101">
            <v>4</v>
          </cell>
          <cell r="R101">
            <v>0</v>
          </cell>
        </row>
        <row r="102">
          <cell r="A102" t="str">
            <v>1KW92RHQB07W6JB7N7</v>
          </cell>
          <cell r="B102" t="str">
            <v>Q3-23</v>
          </cell>
          <cell r="C102" t="str">
            <v>Europe Operations OU</v>
          </cell>
          <cell r="D102">
            <v>2674345</v>
          </cell>
          <cell r="E102" t="str">
            <v>Amazon EU SARL, succursale Italiana</v>
          </cell>
          <cell r="F102" t="str">
            <v>1KW92RHQ</v>
          </cell>
          <cell r="G102" t="str">
            <v>B07W6JB7N7</v>
          </cell>
          <cell r="H102" t="str">
            <v>941-000150</v>
          </cell>
          <cell r="I102" t="str">
            <v>OE INVOICES</v>
          </cell>
          <cell r="J102">
            <v>44422134834</v>
          </cell>
          <cell r="K102">
            <v>44893</v>
          </cell>
          <cell r="L102">
            <v>2</v>
          </cell>
          <cell r="M102" t="str">
            <v>EUR</v>
          </cell>
          <cell r="N102">
            <v>210.52</v>
          </cell>
          <cell r="O102">
            <v>210.52</v>
          </cell>
          <cell r="P102">
            <v>1</v>
          </cell>
          <cell r="Q102">
            <v>1</v>
          </cell>
          <cell r="R102">
            <v>0</v>
          </cell>
        </row>
        <row r="103">
          <cell r="A103" t="str">
            <v>1KW92RHQB07W6JPZBL</v>
          </cell>
          <cell r="B103" t="str">
            <v>Q3-23</v>
          </cell>
          <cell r="C103" t="str">
            <v>Europe Operations OU</v>
          </cell>
          <cell r="D103">
            <v>2674345</v>
          </cell>
          <cell r="E103" t="str">
            <v>Amazon EU SARL, succursale Italiana</v>
          </cell>
          <cell r="F103" t="str">
            <v>1KW92RHQ</v>
          </cell>
          <cell r="G103" t="str">
            <v>B07W6JPZBL</v>
          </cell>
          <cell r="H103" t="str">
            <v>984-001804</v>
          </cell>
          <cell r="I103" t="str">
            <v>OE INVOICES</v>
          </cell>
          <cell r="J103">
            <v>44422157426</v>
          </cell>
          <cell r="K103">
            <v>44904</v>
          </cell>
          <cell r="L103">
            <v>11</v>
          </cell>
          <cell r="M103" t="str">
            <v>EUR</v>
          </cell>
          <cell r="N103">
            <v>21624.3</v>
          </cell>
          <cell r="O103">
            <v>240.27</v>
          </cell>
          <cell r="P103">
            <v>90</v>
          </cell>
          <cell r="Q103">
            <v>90</v>
          </cell>
          <cell r="R103">
            <v>0</v>
          </cell>
        </row>
        <row r="104">
          <cell r="A104" t="str">
            <v>1KW92RHQB07W7LF6F1</v>
          </cell>
          <cell r="B104" t="str">
            <v>Q3-23</v>
          </cell>
          <cell r="C104" t="str">
            <v>Europe Operations OU</v>
          </cell>
          <cell r="D104">
            <v>2674345</v>
          </cell>
          <cell r="E104" t="str">
            <v>Amazon EU SARL, succursale Italiana</v>
          </cell>
          <cell r="F104" t="str">
            <v>1KW92RHQ</v>
          </cell>
          <cell r="G104" t="str">
            <v>B07W7LF6F1</v>
          </cell>
          <cell r="H104" t="str">
            <v>920-009795</v>
          </cell>
          <cell r="I104" t="str">
            <v>OE INVOICES</v>
          </cell>
          <cell r="J104">
            <v>44422157426</v>
          </cell>
          <cell r="K104">
            <v>44904</v>
          </cell>
          <cell r="L104">
            <v>12</v>
          </cell>
          <cell r="M104" t="str">
            <v>EUR</v>
          </cell>
          <cell r="N104">
            <v>696</v>
          </cell>
          <cell r="O104">
            <v>29</v>
          </cell>
          <cell r="P104">
            <v>24</v>
          </cell>
          <cell r="Q104">
            <v>24</v>
          </cell>
          <cell r="R104">
            <v>0</v>
          </cell>
        </row>
        <row r="105">
          <cell r="A105" t="str">
            <v>1KYIVKWCB004CM47VU</v>
          </cell>
          <cell r="B105" t="str">
            <v>Q3-23</v>
          </cell>
          <cell r="C105" t="str">
            <v>Europe Operations OU</v>
          </cell>
          <cell r="D105">
            <v>2674345</v>
          </cell>
          <cell r="E105" t="str">
            <v>Amazon EU SARL, succursale Italiana</v>
          </cell>
          <cell r="F105" t="str">
            <v>1KYIVKWC</v>
          </cell>
          <cell r="G105" t="str">
            <v>B004CM47VU</v>
          </cell>
          <cell r="H105" t="str">
            <v>920-002543</v>
          </cell>
          <cell r="I105" t="str">
            <v>OE INVOICES</v>
          </cell>
          <cell r="J105">
            <v>44422132442</v>
          </cell>
          <cell r="K105">
            <v>44889</v>
          </cell>
          <cell r="L105">
            <v>1</v>
          </cell>
          <cell r="M105" t="str">
            <v>EUR</v>
          </cell>
          <cell r="N105">
            <v>6497.2</v>
          </cell>
          <cell r="O105">
            <v>17.559999999999999</v>
          </cell>
          <cell r="P105">
            <v>370</v>
          </cell>
          <cell r="Q105">
            <v>370</v>
          </cell>
          <cell r="R105">
            <v>0</v>
          </cell>
        </row>
        <row r="106">
          <cell r="A106" t="str">
            <v>1KYIVKWCB004PGM9KY</v>
          </cell>
          <cell r="B106" t="str">
            <v>Q3-23</v>
          </cell>
          <cell r="C106" t="str">
            <v>Europe Operations OU</v>
          </cell>
          <cell r="D106">
            <v>2674345</v>
          </cell>
          <cell r="E106" t="str">
            <v>Amazon EU SARL, succursale Italiana</v>
          </cell>
          <cell r="F106" t="str">
            <v>1KYIVKWC</v>
          </cell>
          <cell r="G106" t="str">
            <v>B004PGM9KY</v>
          </cell>
          <cell r="H106" t="str">
            <v>980-000468</v>
          </cell>
          <cell r="I106" t="str">
            <v>OE INVOICES</v>
          </cell>
          <cell r="J106">
            <v>44422140671</v>
          </cell>
          <cell r="K106">
            <v>44895</v>
          </cell>
          <cell r="L106">
            <v>1</v>
          </cell>
          <cell r="M106" t="str">
            <v>EUR</v>
          </cell>
          <cell r="N106">
            <v>68936.990000000005</v>
          </cell>
          <cell r="O106">
            <v>248.87</v>
          </cell>
          <cell r="P106">
            <v>277</v>
          </cell>
          <cell r="Q106">
            <v>277</v>
          </cell>
          <cell r="R106">
            <v>0</v>
          </cell>
        </row>
        <row r="107">
          <cell r="A107" t="str">
            <v>1KYIVKWCB01DKGAQNG</v>
          </cell>
          <cell r="B107" t="str">
            <v>Q3-23</v>
          </cell>
          <cell r="C107" t="str">
            <v>Europe Operations OU</v>
          </cell>
          <cell r="D107">
            <v>2674345</v>
          </cell>
          <cell r="E107" t="str">
            <v>Amazon EU SARL, succursale Italiana</v>
          </cell>
          <cell r="F107" t="str">
            <v>1KYIVKWC</v>
          </cell>
          <cell r="G107" t="str">
            <v>B01DKGAQNG</v>
          </cell>
          <cell r="H107" t="str">
            <v>920-008031</v>
          </cell>
          <cell r="I107" t="str">
            <v>OE INVOICES</v>
          </cell>
          <cell r="J107">
            <v>44422132442</v>
          </cell>
          <cell r="K107">
            <v>44889</v>
          </cell>
          <cell r="L107">
            <v>2</v>
          </cell>
          <cell r="M107" t="str">
            <v>EUR</v>
          </cell>
          <cell r="N107">
            <v>187.36</v>
          </cell>
          <cell r="O107">
            <v>23.42</v>
          </cell>
          <cell r="P107">
            <v>8</v>
          </cell>
          <cell r="Q107">
            <v>8</v>
          </cell>
          <cell r="R107">
            <v>0</v>
          </cell>
        </row>
        <row r="108">
          <cell r="A108" t="str">
            <v>1KYIVKWCB01I252A34</v>
          </cell>
          <cell r="B108" t="str">
            <v>Q3-23</v>
          </cell>
          <cell r="C108" t="str">
            <v>Europe Operations OU</v>
          </cell>
          <cell r="D108">
            <v>2674345</v>
          </cell>
          <cell r="E108" t="str">
            <v>Amazon EU SARL, succursale Italiana</v>
          </cell>
          <cell r="F108" t="str">
            <v>1KYIVKWC</v>
          </cell>
          <cell r="G108" t="str">
            <v>B01I252A34</v>
          </cell>
          <cell r="H108" t="str">
            <v>920-005214</v>
          </cell>
          <cell r="I108" t="str">
            <v>OE INVOICES</v>
          </cell>
          <cell r="J108">
            <v>44422132442</v>
          </cell>
          <cell r="K108">
            <v>44889</v>
          </cell>
          <cell r="L108">
            <v>3</v>
          </cell>
          <cell r="M108" t="str">
            <v>EUR</v>
          </cell>
          <cell r="N108">
            <v>2130.6999999999998</v>
          </cell>
          <cell r="O108">
            <v>16.39</v>
          </cell>
          <cell r="P108">
            <v>130</v>
          </cell>
          <cell r="Q108">
            <v>130</v>
          </cell>
          <cell r="R108">
            <v>0</v>
          </cell>
        </row>
        <row r="109">
          <cell r="A109" t="str">
            <v>1KYIVKWCB07W7KMK4Y</v>
          </cell>
          <cell r="B109" t="str">
            <v>Q3-23</v>
          </cell>
          <cell r="C109" t="str">
            <v>Europe Operations OU</v>
          </cell>
          <cell r="D109">
            <v>2674345</v>
          </cell>
          <cell r="E109" t="str">
            <v>Amazon EU SARL, succursale Italiana</v>
          </cell>
          <cell r="F109" t="str">
            <v>1KYIVKWC</v>
          </cell>
          <cell r="G109" t="str">
            <v>B07W7KMK4Y</v>
          </cell>
          <cell r="H109" t="str">
            <v>920-010488</v>
          </cell>
          <cell r="I109" t="str">
            <v>OE INVOICES</v>
          </cell>
          <cell r="J109">
            <v>44422132442</v>
          </cell>
          <cell r="K109">
            <v>44889</v>
          </cell>
          <cell r="L109">
            <v>4</v>
          </cell>
          <cell r="M109" t="str">
            <v>EUR</v>
          </cell>
          <cell r="N109">
            <v>9940.32</v>
          </cell>
          <cell r="O109">
            <v>69.03</v>
          </cell>
          <cell r="P109">
            <v>144</v>
          </cell>
          <cell r="Q109">
            <v>144</v>
          </cell>
          <cell r="R109">
            <v>0</v>
          </cell>
        </row>
        <row r="110">
          <cell r="A110" t="str">
            <v>1LQM129ZB00CJ5FP04</v>
          </cell>
          <cell r="B110" t="str">
            <v>Q3-23</v>
          </cell>
          <cell r="C110" t="str">
            <v>Europe Operations OU</v>
          </cell>
          <cell r="D110">
            <v>2674345</v>
          </cell>
          <cell r="E110" t="str">
            <v>Amazon EU SARL, succursale Italiana</v>
          </cell>
          <cell r="F110" t="str">
            <v>1LQM129Z</v>
          </cell>
          <cell r="G110" t="str">
            <v>B00CJ5FP04</v>
          </cell>
          <cell r="H110" t="str">
            <v>940-000135</v>
          </cell>
          <cell r="I110" t="str">
            <v>OE INVOICES</v>
          </cell>
          <cell r="J110">
            <v>44422157129</v>
          </cell>
          <cell r="K110">
            <v>44904</v>
          </cell>
          <cell r="L110">
            <v>1</v>
          </cell>
          <cell r="M110" t="str">
            <v>EUR</v>
          </cell>
          <cell r="N110">
            <v>168.8</v>
          </cell>
          <cell r="O110">
            <v>21.1</v>
          </cell>
          <cell r="P110">
            <v>8</v>
          </cell>
          <cell r="Q110">
            <v>8</v>
          </cell>
          <cell r="R110">
            <v>0</v>
          </cell>
        </row>
        <row r="111">
          <cell r="A111" t="str">
            <v>1LQM129ZB00ZOOKDU4</v>
          </cell>
          <cell r="B111" t="str">
            <v>Q3-23</v>
          </cell>
          <cell r="C111" t="str">
            <v>Europe Operations OU</v>
          </cell>
          <cell r="D111">
            <v>2674345</v>
          </cell>
          <cell r="E111" t="str">
            <v>Amazon EU SARL, succursale Italiana</v>
          </cell>
          <cell r="F111" t="str">
            <v>1LQM129Z</v>
          </cell>
          <cell r="G111" t="str">
            <v>B00ZOOKDU4</v>
          </cell>
          <cell r="H111" t="str">
            <v>981-000589</v>
          </cell>
          <cell r="I111" t="str">
            <v>OE INVOICES</v>
          </cell>
          <cell r="J111">
            <v>44422157129</v>
          </cell>
          <cell r="K111">
            <v>44904</v>
          </cell>
          <cell r="L111">
            <v>2</v>
          </cell>
          <cell r="M111" t="str">
            <v>EUR</v>
          </cell>
          <cell r="N111">
            <v>721.16</v>
          </cell>
          <cell r="O111">
            <v>16.39</v>
          </cell>
          <cell r="P111">
            <v>44</v>
          </cell>
          <cell r="Q111">
            <v>44</v>
          </cell>
          <cell r="R111">
            <v>0</v>
          </cell>
        </row>
        <row r="112">
          <cell r="A112" t="str">
            <v>1LQM129ZB00ZOZZM4U</v>
          </cell>
          <cell r="B112" t="str">
            <v>Q3-23</v>
          </cell>
          <cell r="C112" t="str">
            <v>Europe Operations OU</v>
          </cell>
          <cell r="D112">
            <v>2674345</v>
          </cell>
          <cell r="E112" t="str">
            <v>Amazon EU SARL, succursale Italiana</v>
          </cell>
          <cell r="F112" t="str">
            <v>1LQM129Z</v>
          </cell>
          <cell r="G112" t="str">
            <v>B00ZOZZM4U</v>
          </cell>
          <cell r="H112" t="str">
            <v>981-000593</v>
          </cell>
          <cell r="I112" t="str">
            <v>OE INVOICES</v>
          </cell>
          <cell r="J112">
            <v>44422146168</v>
          </cell>
          <cell r="K112">
            <v>44900</v>
          </cell>
          <cell r="L112">
            <v>1</v>
          </cell>
          <cell r="M112" t="str">
            <v>EUR</v>
          </cell>
          <cell r="N112">
            <v>5152</v>
          </cell>
          <cell r="O112">
            <v>12.88</v>
          </cell>
          <cell r="P112">
            <v>400</v>
          </cell>
          <cell r="Q112">
            <v>400</v>
          </cell>
          <cell r="R112">
            <v>0</v>
          </cell>
        </row>
        <row r="113">
          <cell r="A113" t="str">
            <v>1LQM129ZB07CGNP3RH</v>
          </cell>
          <cell r="B113" t="str">
            <v>Q3-23</v>
          </cell>
          <cell r="C113" t="str">
            <v>Europe Operations OU</v>
          </cell>
          <cell r="D113">
            <v>2674345</v>
          </cell>
          <cell r="E113" t="str">
            <v>Amazon EU SARL, succursale Italiana</v>
          </cell>
          <cell r="F113" t="str">
            <v>1LQM129Z</v>
          </cell>
          <cell r="G113" t="str">
            <v>B07CGNP3RH</v>
          </cell>
          <cell r="H113" t="str">
            <v>910-005292</v>
          </cell>
          <cell r="I113" t="str">
            <v>OE INVOICES</v>
          </cell>
          <cell r="J113">
            <v>44422157129</v>
          </cell>
          <cell r="K113">
            <v>44904</v>
          </cell>
          <cell r="L113">
            <v>3</v>
          </cell>
          <cell r="M113" t="str">
            <v>EUR</v>
          </cell>
          <cell r="N113">
            <v>1034.04</v>
          </cell>
          <cell r="O113">
            <v>36.93</v>
          </cell>
          <cell r="P113">
            <v>28</v>
          </cell>
          <cell r="Q113">
            <v>28</v>
          </cell>
          <cell r="R113">
            <v>0</v>
          </cell>
        </row>
        <row r="114">
          <cell r="A114" t="str">
            <v>1LQM129ZB07W5JHLCB</v>
          </cell>
          <cell r="B114" t="str">
            <v>Q3-23</v>
          </cell>
          <cell r="C114" t="str">
            <v>Europe Operations OU</v>
          </cell>
          <cell r="D114">
            <v>2674345</v>
          </cell>
          <cell r="E114" t="str">
            <v>Amazon EU SARL, succursale Italiana</v>
          </cell>
          <cell r="F114" t="str">
            <v>1LQM129Z</v>
          </cell>
          <cell r="G114" t="str">
            <v>B07W5JHLCB</v>
          </cell>
          <cell r="H114" t="str">
            <v>910-005988</v>
          </cell>
          <cell r="I114" t="str">
            <v>OE INVOICES</v>
          </cell>
          <cell r="J114">
            <v>44422157129</v>
          </cell>
          <cell r="K114">
            <v>44904</v>
          </cell>
          <cell r="L114">
            <v>4</v>
          </cell>
          <cell r="M114" t="str">
            <v>EUR</v>
          </cell>
          <cell r="N114">
            <v>580</v>
          </cell>
          <cell r="O114">
            <v>58</v>
          </cell>
          <cell r="P114">
            <v>10</v>
          </cell>
          <cell r="Q114">
            <v>10</v>
          </cell>
          <cell r="R114">
            <v>0</v>
          </cell>
        </row>
        <row r="115">
          <cell r="A115" t="str">
            <v>1LQM129ZB07W6GVHD8</v>
          </cell>
          <cell r="B115" t="str">
            <v>Q3-23</v>
          </cell>
          <cell r="C115" t="str">
            <v>Europe Operations OU</v>
          </cell>
          <cell r="D115">
            <v>2674345</v>
          </cell>
          <cell r="E115" t="str">
            <v>Amazon EU SARL, succursale Italiana</v>
          </cell>
          <cell r="F115" t="str">
            <v>1LQM129Z</v>
          </cell>
          <cell r="G115" t="str">
            <v>B07W6GVHD8</v>
          </cell>
          <cell r="H115" t="str">
            <v>920-009748</v>
          </cell>
          <cell r="I115" t="str">
            <v>OE INVOICES</v>
          </cell>
          <cell r="J115">
            <v>44422157129</v>
          </cell>
          <cell r="K115">
            <v>44904</v>
          </cell>
          <cell r="L115">
            <v>5</v>
          </cell>
          <cell r="M115" t="str">
            <v>EUR</v>
          </cell>
          <cell r="N115">
            <v>3689.6</v>
          </cell>
          <cell r="O115">
            <v>92.24</v>
          </cell>
          <cell r="P115">
            <v>40</v>
          </cell>
          <cell r="Q115">
            <v>40</v>
          </cell>
          <cell r="R115">
            <v>0</v>
          </cell>
        </row>
        <row r="116">
          <cell r="A116" t="str">
            <v>1LQM129ZB07W6H83LD</v>
          </cell>
          <cell r="B116" t="str">
            <v>Q3-23</v>
          </cell>
          <cell r="C116" t="str">
            <v>Europe Operations OU</v>
          </cell>
          <cell r="D116">
            <v>2674345</v>
          </cell>
          <cell r="E116" t="str">
            <v>Amazon EU SARL, succursale Italiana</v>
          </cell>
          <cell r="F116" t="str">
            <v>1LQM129Z</v>
          </cell>
          <cell r="G116" t="str">
            <v>B07W6H83LD</v>
          </cell>
          <cell r="H116" t="str">
            <v>943-000798</v>
          </cell>
          <cell r="I116" t="str">
            <v>OE INVOICES</v>
          </cell>
          <cell r="J116">
            <v>44422157129</v>
          </cell>
          <cell r="K116">
            <v>44904</v>
          </cell>
          <cell r="L116">
            <v>6</v>
          </cell>
          <cell r="M116" t="str">
            <v>EUR</v>
          </cell>
          <cell r="N116">
            <v>443.04</v>
          </cell>
          <cell r="O116">
            <v>18.46</v>
          </cell>
          <cell r="P116">
            <v>24</v>
          </cell>
          <cell r="Q116">
            <v>24</v>
          </cell>
          <cell r="R116">
            <v>0</v>
          </cell>
        </row>
        <row r="117">
          <cell r="A117" t="str">
            <v>1LQM129ZB07W6HPP3R</v>
          </cell>
          <cell r="B117" t="str">
            <v>Q3-23</v>
          </cell>
          <cell r="C117" t="str">
            <v>Europe Operations OU</v>
          </cell>
          <cell r="D117">
            <v>2674345</v>
          </cell>
          <cell r="E117" t="str">
            <v>Amazon EU SARL, succursale Italiana</v>
          </cell>
          <cell r="F117" t="str">
            <v>1LQM129Z</v>
          </cell>
          <cell r="G117" t="str">
            <v>B07W6HPP3R</v>
          </cell>
          <cell r="H117" t="str">
            <v>920-010303</v>
          </cell>
          <cell r="I117" t="str">
            <v>OE INVOICES</v>
          </cell>
          <cell r="J117">
            <v>44422157129</v>
          </cell>
          <cell r="K117">
            <v>44904</v>
          </cell>
          <cell r="L117">
            <v>7</v>
          </cell>
          <cell r="M117" t="str">
            <v>EUR</v>
          </cell>
          <cell r="N117">
            <v>1856.32</v>
          </cell>
          <cell r="O117">
            <v>116.02</v>
          </cell>
          <cell r="P117">
            <v>16</v>
          </cell>
          <cell r="Q117">
            <v>16</v>
          </cell>
          <cell r="R117">
            <v>0</v>
          </cell>
        </row>
        <row r="118">
          <cell r="A118" t="str">
            <v>1LQM129ZB07W6HQCNX</v>
          </cell>
          <cell r="B118" t="str">
            <v>Q3-23</v>
          </cell>
          <cell r="C118" t="str">
            <v>Europe Operations OU</v>
          </cell>
          <cell r="D118">
            <v>2674345</v>
          </cell>
          <cell r="E118" t="str">
            <v>Amazon EU SARL, succursale Italiana</v>
          </cell>
          <cell r="F118" t="str">
            <v>1LQM129Z</v>
          </cell>
          <cell r="G118" t="str">
            <v>B07W6HQCNX</v>
          </cell>
          <cell r="H118" t="str">
            <v>920-011427</v>
          </cell>
          <cell r="I118" t="str">
            <v>OE INVOICES</v>
          </cell>
          <cell r="J118">
            <v>44422157129</v>
          </cell>
          <cell r="K118">
            <v>44904</v>
          </cell>
          <cell r="L118">
            <v>8</v>
          </cell>
          <cell r="M118" t="str">
            <v>EUR</v>
          </cell>
          <cell r="N118">
            <v>556.88</v>
          </cell>
          <cell r="O118">
            <v>69.61</v>
          </cell>
          <cell r="P118">
            <v>8</v>
          </cell>
          <cell r="Q118">
            <v>8</v>
          </cell>
          <cell r="R118">
            <v>0</v>
          </cell>
        </row>
        <row r="119">
          <cell r="A119" t="str">
            <v>1LQM129ZB07W6JGH8Z</v>
          </cell>
          <cell r="B119" t="str">
            <v>Q3-23</v>
          </cell>
          <cell r="C119" t="str">
            <v>Europe Operations OU</v>
          </cell>
          <cell r="D119">
            <v>2674345</v>
          </cell>
          <cell r="E119" t="str">
            <v>Amazon EU SARL, succursale Italiana</v>
          </cell>
          <cell r="F119" t="str">
            <v>1LQM129Z</v>
          </cell>
          <cell r="G119" t="str">
            <v>B07W6JGH8Z</v>
          </cell>
          <cell r="H119" t="str">
            <v>981-001044</v>
          </cell>
          <cell r="I119" t="str">
            <v>OE INVOICES</v>
          </cell>
          <cell r="J119">
            <v>44422157129</v>
          </cell>
          <cell r="K119">
            <v>44904</v>
          </cell>
          <cell r="L119">
            <v>9</v>
          </cell>
          <cell r="M119" t="str">
            <v>EUR</v>
          </cell>
          <cell r="N119">
            <v>211.04</v>
          </cell>
          <cell r="O119">
            <v>52.76</v>
          </cell>
          <cell r="P119">
            <v>4</v>
          </cell>
          <cell r="Q119">
            <v>4</v>
          </cell>
          <cell r="R119">
            <v>0</v>
          </cell>
        </row>
        <row r="120">
          <cell r="A120" t="str">
            <v>1LQM129ZB07W6JPM9P</v>
          </cell>
          <cell r="B120" t="str">
            <v>Q3-23</v>
          </cell>
          <cell r="C120" t="str">
            <v>Europe Operations OU</v>
          </cell>
          <cell r="D120">
            <v>2674345</v>
          </cell>
          <cell r="E120" t="str">
            <v>Amazon EU SARL, succursale Italiana</v>
          </cell>
          <cell r="F120" t="str">
            <v>1LQM129Z</v>
          </cell>
          <cell r="G120" t="str">
            <v>B07W6JPM9P</v>
          </cell>
          <cell r="H120" t="str">
            <v>943-000785</v>
          </cell>
          <cell r="I120" t="str">
            <v>OE INVOICES</v>
          </cell>
          <cell r="J120">
            <v>44422157129</v>
          </cell>
          <cell r="K120">
            <v>44904</v>
          </cell>
          <cell r="L120">
            <v>10</v>
          </cell>
          <cell r="M120" t="str">
            <v>EUR</v>
          </cell>
          <cell r="N120">
            <v>25.28</v>
          </cell>
          <cell r="O120">
            <v>6.32</v>
          </cell>
          <cell r="P120">
            <v>4</v>
          </cell>
          <cell r="Q120">
            <v>4</v>
          </cell>
          <cell r="R120">
            <v>0</v>
          </cell>
        </row>
        <row r="121">
          <cell r="A121" t="str">
            <v>1LQM129ZB07W7L32NJ</v>
          </cell>
          <cell r="B121" t="str">
            <v>Q3-23</v>
          </cell>
          <cell r="C121" t="str">
            <v>Europe Operations OU</v>
          </cell>
          <cell r="D121">
            <v>2674345</v>
          </cell>
          <cell r="E121" t="str">
            <v>Amazon EU SARL, succursale Italiana</v>
          </cell>
          <cell r="F121" t="str">
            <v>1LQM129Z</v>
          </cell>
          <cell r="G121" t="str">
            <v>B07W7L32NJ</v>
          </cell>
          <cell r="H121" t="str">
            <v>920-011423</v>
          </cell>
          <cell r="I121" t="str">
            <v>OE INVOICES</v>
          </cell>
          <cell r="J121">
            <v>44422157129</v>
          </cell>
          <cell r="K121">
            <v>44904</v>
          </cell>
          <cell r="L121">
            <v>11</v>
          </cell>
          <cell r="M121" t="str">
            <v>EUR</v>
          </cell>
          <cell r="N121">
            <v>556.88</v>
          </cell>
          <cell r="O121">
            <v>69.61</v>
          </cell>
          <cell r="P121">
            <v>8</v>
          </cell>
          <cell r="Q121">
            <v>8</v>
          </cell>
          <cell r="R121">
            <v>0</v>
          </cell>
        </row>
        <row r="122">
          <cell r="A122" t="str">
            <v>1LQM129ZB07W7LNTMC</v>
          </cell>
          <cell r="B122" t="str">
            <v>Q3-23</v>
          </cell>
          <cell r="C122" t="str">
            <v>Europe Operations OU</v>
          </cell>
          <cell r="D122">
            <v>2674345</v>
          </cell>
          <cell r="E122" t="str">
            <v>Amazon EU SARL, succursale Italiana</v>
          </cell>
          <cell r="F122" t="str">
            <v>1LQM129Z</v>
          </cell>
          <cell r="G122" t="str">
            <v>B07W7LNTMC</v>
          </cell>
          <cell r="H122" t="str">
            <v>943-000792</v>
          </cell>
          <cell r="I122" t="str">
            <v>OE INVOICES</v>
          </cell>
          <cell r="J122">
            <v>44422157129</v>
          </cell>
          <cell r="K122">
            <v>44904</v>
          </cell>
          <cell r="L122">
            <v>12</v>
          </cell>
          <cell r="M122" t="str">
            <v>EUR</v>
          </cell>
          <cell r="N122">
            <v>371.2</v>
          </cell>
          <cell r="O122">
            <v>11.6</v>
          </cell>
          <cell r="P122">
            <v>32</v>
          </cell>
          <cell r="Q122">
            <v>32</v>
          </cell>
          <cell r="R122">
            <v>0</v>
          </cell>
        </row>
        <row r="123">
          <cell r="A123" t="str">
            <v>1M3XYEGXB07W7MSGPL</v>
          </cell>
          <cell r="B123" t="str">
            <v>Q3-23</v>
          </cell>
          <cell r="C123" t="str">
            <v>Europe Operations OU</v>
          </cell>
          <cell r="D123">
            <v>2674345</v>
          </cell>
          <cell r="E123" t="str">
            <v>Amazon EU SARL, succursale Italiana</v>
          </cell>
          <cell r="F123" t="str">
            <v>1M3XYEGX</v>
          </cell>
          <cell r="G123" t="str">
            <v>B07W7MSGPL</v>
          </cell>
          <cell r="H123" t="str">
            <v>920-009088</v>
          </cell>
          <cell r="I123" t="str">
            <v>OE INVOICES</v>
          </cell>
          <cell r="J123">
            <v>44422142924</v>
          </cell>
          <cell r="K123">
            <v>44896</v>
          </cell>
          <cell r="L123">
            <v>1</v>
          </cell>
          <cell r="M123" t="str">
            <v>EUR</v>
          </cell>
          <cell r="N123">
            <v>882.16</v>
          </cell>
          <cell r="O123">
            <v>110.27</v>
          </cell>
          <cell r="P123">
            <v>8</v>
          </cell>
          <cell r="Q123">
            <v>8</v>
          </cell>
          <cell r="R123">
            <v>0</v>
          </cell>
        </row>
        <row r="124">
          <cell r="A124" t="str">
            <v>1MDL1DPEB004LAWLPW</v>
          </cell>
          <cell r="B124" t="str">
            <v>Q3-23</v>
          </cell>
          <cell r="C124" t="str">
            <v>Europe Operations OU</v>
          </cell>
          <cell r="D124">
            <v>2674345</v>
          </cell>
          <cell r="E124" t="str">
            <v>Amazon EU SARL, succursale Italiana</v>
          </cell>
          <cell r="F124" t="str">
            <v>1MDL1DPE</v>
          </cell>
          <cell r="G124" t="str">
            <v>B004LAWLPW</v>
          </cell>
          <cell r="H124" t="str">
            <v>920-002479</v>
          </cell>
          <cell r="I124" t="str">
            <v>OE INVOICES</v>
          </cell>
          <cell r="J124">
            <v>44422169996</v>
          </cell>
          <cell r="K124">
            <v>44915</v>
          </cell>
          <cell r="L124">
            <v>1</v>
          </cell>
          <cell r="M124" t="str">
            <v>EUR</v>
          </cell>
          <cell r="N124">
            <v>93.6</v>
          </cell>
          <cell r="O124">
            <v>9.36</v>
          </cell>
          <cell r="P124">
            <v>10</v>
          </cell>
          <cell r="Q124">
            <v>10</v>
          </cell>
          <cell r="R124">
            <v>0</v>
          </cell>
        </row>
        <row r="125">
          <cell r="A125" t="str">
            <v>1MDL1DPEB073399S1L</v>
          </cell>
          <cell r="B125" t="str">
            <v>Q3-23</v>
          </cell>
          <cell r="C125" t="str">
            <v>Europe Operations OU</v>
          </cell>
          <cell r="D125">
            <v>2674345</v>
          </cell>
          <cell r="E125" t="str">
            <v>Amazon EU SARL, succursale Italiana</v>
          </cell>
          <cell r="F125" t="str">
            <v>1MDL1DPE</v>
          </cell>
          <cell r="G125" t="str">
            <v>B073399S1L</v>
          </cell>
          <cell r="H125" t="str">
            <v>943-000110</v>
          </cell>
          <cell r="I125" t="str">
            <v>OE INVOICES</v>
          </cell>
          <cell r="J125">
            <v>44422169996</v>
          </cell>
          <cell r="K125">
            <v>44915</v>
          </cell>
          <cell r="L125">
            <v>2</v>
          </cell>
          <cell r="M125" t="str">
            <v>EUR</v>
          </cell>
          <cell r="N125">
            <v>4987.12</v>
          </cell>
          <cell r="O125">
            <v>73.34</v>
          </cell>
          <cell r="P125">
            <v>68</v>
          </cell>
          <cell r="Q125">
            <v>68</v>
          </cell>
          <cell r="R125">
            <v>0</v>
          </cell>
        </row>
        <row r="126">
          <cell r="A126" t="str">
            <v>1OMKO21CB00CHHDY66</v>
          </cell>
          <cell r="B126" t="str">
            <v>Q3-23</v>
          </cell>
          <cell r="C126" t="str">
            <v>Europe Operations OU</v>
          </cell>
          <cell r="D126">
            <v>2674345</v>
          </cell>
          <cell r="E126" t="str">
            <v>Amazon EU SARL, succursale Italiana</v>
          </cell>
          <cell r="F126" t="str">
            <v>1OMKO21C</v>
          </cell>
          <cell r="G126" t="str">
            <v>B00CHHDY66</v>
          </cell>
          <cell r="H126" t="str">
            <v>920-004513</v>
          </cell>
          <cell r="I126" t="str">
            <v>OE INVOICES</v>
          </cell>
          <cell r="J126">
            <v>44422157521</v>
          </cell>
          <cell r="K126">
            <v>44904</v>
          </cell>
          <cell r="L126">
            <v>1</v>
          </cell>
          <cell r="M126" t="str">
            <v>EUR</v>
          </cell>
          <cell r="N126">
            <v>8379.2999999999993</v>
          </cell>
          <cell r="O126">
            <v>26.35</v>
          </cell>
          <cell r="P126">
            <v>318</v>
          </cell>
          <cell r="Q126">
            <v>318</v>
          </cell>
          <cell r="R126">
            <v>0</v>
          </cell>
        </row>
        <row r="127">
          <cell r="A127" t="str">
            <v>1PEKEP8IB014PYGYRE</v>
          </cell>
          <cell r="B127" t="str">
            <v>Q3-23</v>
          </cell>
          <cell r="C127" t="str">
            <v>Europe Operations OU</v>
          </cell>
          <cell r="D127">
            <v>2674345</v>
          </cell>
          <cell r="E127" t="str">
            <v>Amazon EU SARL, succursale Italiana</v>
          </cell>
          <cell r="F127" t="str">
            <v>1PEKEP8I</v>
          </cell>
          <cell r="G127" t="str">
            <v>B014PYGYRE</v>
          </cell>
          <cell r="H127" t="str">
            <v>988-000241</v>
          </cell>
          <cell r="I127" t="str">
            <v>OE INVOICES</v>
          </cell>
          <cell r="J127">
            <v>44422158850</v>
          </cell>
          <cell r="K127">
            <v>44907</v>
          </cell>
          <cell r="L127">
            <v>1</v>
          </cell>
          <cell r="M127" t="str">
            <v>EUR</v>
          </cell>
          <cell r="N127">
            <v>774.64</v>
          </cell>
          <cell r="O127">
            <v>96.83</v>
          </cell>
          <cell r="P127">
            <v>8</v>
          </cell>
          <cell r="Q127">
            <v>8</v>
          </cell>
          <cell r="R127">
            <v>0</v>
          </cell>
        </row>
        <row r="128">
          <cell r="A128" t="str">
            <v>1PSIXGLTB004APAH40</v>
          </cell>
          <cell r="B128" t="str">
            <v>Q3-23</v>
          </cell>
          <cell r="C128" t="str">
            <v>Europe Operations OU</v>
          </cell>
          <cell r="D128">
            <v>2674345</v>
          </cell>
          <cell r="E128" t="str">
            <v>Amazon EU SARL, succursale Italiana</v>
          </cell>
          <cell r="F128" t="str">
            <v>1PSIXGLT</v>
          </cell>
          <cell r="G128" t="str">
            <v>B004APAH40</v>
          </cell>
          <cell r="H128" t="str">
            <v>920-002492</v>
          </cell>
          <cell r="I128" t="str">
            <v>OE INVOICES</v>
          </cell>
          <cell r="J128">
            <v>44422176507</v>
          </cell>
          <cell r="K128">
            <v>44922</v>
          </cell>
          <cell r="L128">
            <v>1</v>
          </cell>
          <cell r="M128" t="str">
            <v>EUR</v>
          </cell>
          <cell r="N128">
            <v>526.5</v>
          </cell>
          <cell r="O128">
            <v>10.53</v>
          </cell>
          <cell r="P128">
            <v>50</v>
          </cell>
          <cell r="Q128">
            <v>50</v>
          </cell>
          <cell r="R128">
            <v>0</v>
          </cell>
        </row>
        <row r="129">
          <cell r="A129" t="str">
            <v>1PSIXGLTB0055ZWOZ4</v>
          </cell>
          <cell r="B129" t="str">
            <v>Q3-23</v>
          </cell>
          <cell r="C129" t="str">
            <v>Europe Operations OU</v>
          </cell>
          <cell r="D129">
            <v>2674345</v>
          </cell>
          <cell r="E129" t="str">
            <v>Amazon EU SARL, succursale Italiana</v>
          </cell>
          <cell r="F129" t="str">
            <v>1PSIXGLT</v>
          </cell>
          <cell r="G129" t="str">
            <v>B0055ZWOZ4</v>
          </cell>
          <cell r="H129" t="str">
            <v>920-002921</v>
          </cell>
          <cell r="I129" t="str">
            <v>OE INVOICES</v>
          </cell>
          <cell r="J129">
            <v>44422163662</v>
          </cell>
          <cell r="K129">
            <v>44909</v>
          </cell>
          <cell r="L129">
            <v>1</v>
          </cell>
          <cell r="M129" t="str">
            <v>EUR</v>
          </cell>
          <cell r="N129">
            <v>257.68</v>
          </cell>
          <cell r="O129">
            <v>64.42</v>
          </cell>
          <cell r="P129">
            <v>4</v>
          </cell>
          <cell r="Q129">
            <v>4</v>
          </cell>
          <cell r="R129">
            <v>0</v>
          </cell>
        </row>
        <row r="130">
          <cell r="A130" t="str">
            <v>1PSIXGLTB00BCE30RS</v>
          </cell>
          <cell r="B130" t="str">
            <v>Q3-23</v>
          </cell>
          <cell r="C130" t="str">
            <v>Europe Operations OU</v>
          </cell>
          <cell r="D130">
            <v>2674345</v>
          </cell>
          <cell r="E130" t="str">
            <v>Amazon EU SARL, succursale Italiana</v>
          </cell>
          <cell r="F130" t="str">
            <v>1PSIXGLT</v>
          </cell>
          <cell r="G130" t="str">
            <v>B00BCE30RS</v>
          </cell>
          <cell r="H130" t="str">
            <v>920-004511</v>
          </cell>
          <cell r="I130" t="str">
            <v>OE INVOICES</v>
          </cell>
          <cell r="J130">
            <v>44422163662</v>
          </cell>
          <cell r="K130">
            <v>44909</v>
          </cell>
          <cell r="L130">
            <v>2</v>
          </cell>
          <cell r="M130" t="str">
            <v>EUR</v>
          </cell>
          <cell r="N130">
            <v>1264.8</v>
          </cell>
          <cell r="O130">
            <v>26.35</v>
          </cell>
          <cell r="P130">
            <v>48</v>
          </cell>
          <cell r="Q130">
            <v>48</v>
          </cell>
          <cell r="R130">
            <v>0</v>
          </cell>
        </row>
        <row r="131">
          <cell r="A131" t="str">
            <v>1PSIXGLTB00D2PX8C2</v>
          </cell>
          <cell r="B131" t="str">
            <v>Q3-23</v>
          </cell>
          <cell r="C131" t="str">
            <v>Europe Operations OU</v>
          </cell>
          <cell r="D131">
            <v>2674345</v>
          </cell>
          <cell r="E131" t="str">
            <v>Amazon EU SARL, succursale Italiana</v>
          </cell>
          <cell r="F131" t="str">
            <v>1PSIXGLT</v>
          </cell>
          <cell r="G131" t="str">
            <v>B00D2PX8C2</v>
          </cell>
          <cell r="H131" t="str">
            <v>920-004512</v>
          </cell>
          <cell r="I131" t="str">
            <v>OE INVOICES</v>
          </cell>
          <cell r="J131">
            <v>44422163662</v>
          </cell>
          <cell r="K131">
            <v>44909</v>
          </cell>
          <cell r="L131">
            <v>3</v>
          </cell>
          <cell r="M131" t="str">
            <v>EUR</v>
          </cell>
          <cell r="N131">
            <v>4901.1000000000004</v>
          </cell>
          <cell r="O131">
            <v>26.35</v>
          </cell>
          <cell r="P131">
            <v>186</v>
          </cell>
          <cell r="Q131">
            <v>186</v>
          </cell>
          <cell r="R131">
            <v>0</v>
          </cell>
        </row>
        <row r="132">
          <cell r="A132" t="str">
            <v>1PSIXGLTB011N78DMA</v>
          </cell>
          <cell r="B132" t="str">
            <v>Q3-23</v>
          </cell>
          <cell r="C132" t="str">
            <v>Europe Operations OU</v>
          </cell>
          <cell r="D132">
            <v>2674345</v>
          </cell>
          <cell r="E132" t="str">
            <v>Amazon EU SARL, succursale Italiana</v>
          </cell>
          <cell r="F132" t="str">
            <v>1PSIXGLT</v>
          </cell>
          <cell r="G132" t="str">
            <v>B011N78DMA</v>
          </cell>
          <cell r="H132" t="str">
            <v>941-000123</v>
          </cell>
          <cell r="I132" t="str">
            <v>OE INVOICES</v>
          </cell>
          <cell r="J132">
            <v>44422163662</v>
          </cell>
          <cell r="K132">
            <v>44909</v>
          </cell>
          <cell r="L132">
            <v>4</v>
          </cell>
          <cell r="M132" t="str">
            <v>EUR</v>
          </cell>
          <cell r="N132">
            <v>1547.49</v>
          </cell>
          <cell r="O132">
            <v>221.07</v>
          </cell>
          <cell r="P132">
            <v>7</v>
          </cell>
          <cell r="Q132">
            <v>7</v>
          </cell>
          <cell r="R132">
            <v>0</v>
          </cell>
        </row>
        <row r="133">
          <cell r="A133" t="str">
            <v>1PSIXGLTB013Y78YY4</v>
          </cell>
          <cell r="B133" t="str">
            <v>Q3-23</v>
          </cell>
          <cell r="C133" t="str">
            <v>Europe Operations OU</v>
          </cell>
          <cell r="D133">
            <v>2674345</v>
          </cell>
          <cell r="E133" t="str">
            <v>Amazon EU SARL, succursale Italiana</v>
          </cell>
          <cell r="F133" t="str">
            <v>1PSIXGLT</v>
          </cell>
          <cell r="G133" t="str">
            <v>B013Y78YY4</v>
          </cell>
          <cell r="H133" t="str">
            <v>941-000124</v>
          </cell>
          <cell r="I133" t="str">
            <v>OE INVOICES</v>
          </cell>
          <cell r="J133">
            <v>44422163662</v>
          </cell>
          <cell r="K133">
            <v>44909</v>
          </cell>
          <cell r="L133">
            <v>5</v>
          </cell>
          <cell r="M133" t="str">
            <v>EUR</v>
          </cell>
          <cell r="N133">
            <v>3789.36</v>
          </cell>
          <cell r="O133">
            <v>210.52</v>
          </cell>
          <cell r="P133">
            <v>18</v>
          </cell>
          <cell r="Q133">
            <v>18</v>
          </cell>
          <cell r="R133">
            <v>0</v>
          </cell>
        </row>
        <row r="134">
          <cell r="A134" t="str">
            <v>1PSIXGLTB01DKGAQNG</v>
          </cell>
          <cell r="B134" t="str">
            <v>Q3-23</v>
          </cell>
          <cell r="C134" t="str">
            <v>Europe Operations OU</v>
          </cell>
          <cell r="D134">
            <v>2674345</v>
          </cell>
          <cell r="E134" t="str">
            <v>Amazon EU SARL, succursale Italiana</v>
          </cell>
          <cell r="F134" t="str">
            <v>1PSIXGLT</v>
          </cell>
          <cell r="G134" t="str">
            <v>B01DKGAQNG</v>
          </cell>
          <cell r="H134" t="str">
            <v>920-008031</v>
          </cell>
          <cell r="I134" t="str">
            <v>OE INVOICES</v>
          </cell>
          <cell r="J134">
            <v>44422163662</v>
          </cell>
          <cell r="K134">
            <v>44909</v>
          </cell>
          <cell r="L134">
            <v>6</v>
          </cell>
          <cell r="M134" t="str">
            <v>EUR</v>
          </cell>
          <cell r="N134">
            <v>187.36</v>
          </cell>
          <cell r="O134">
            <v>23.42</v>
          </cell>
          <cell r="P134">
            <v>8</v>
          </cell>
          <cell r="Q134">
            <v>8</v>
          </cell>
          <cell r="R134">
            <v>0</v>
          </cell>
        </row>
        <row r="135">
          <cell r="A135" t="str">
            <v>1PSIXGLTB01LQTFOYK</v>
          </cell>
          <cell r="B135" t="str">
            <v>Q3-23</v>
          </cell>
          <cell r="C135" t="str">
            <v>Europe Operations OU</v>
          </cell>
          <cell r="D135">
            <v>2674345</v>
          </cell>
          <cell r="E135" t="str">
            <v>Amazon EU SARL, succursale Italiana</v>
          </cell>
          <cell r="F135" t="str">
            <v>1PSIXGLT</v>
          </cell>
          <cell r="G135" t="str">
            <v>B01LQTFOYK</v>
          </cell>
          <cell r="H135" t="str">
            <v>920-008093</v>
          </cell>
          <cell r="I135" t="str">
            <v>OE INVOICES</v>
          </cell>
          <cell r="J135">
            <v>44422163662</v>
          </cell>
          <cell r="K135">
            <v>44909</v>
          </cell>
          <cell r="L135">
            <v>7</v>
          </cell>
          <cell r="M135" t="str">
            <v>EUR</v>
          </cell>
          <cell r="N135">
            <v>538.08000000000004</v>
          </cell>
          <cell r="O135">
            <v>44.84</v>
          </cell>
          <cell r="P135">
            <v>12</v>
          </cell>
          <cell r="Q135">
            <v>12</v>
          </cell>
          <cell r="R135">
            <v>0</v>
          </cell>
        </row>
        <row r="136">
          <cell r="A136" t="str">
            <v>1PSIXGLTB0797G6W5K</v>
          </cell>
          <cell r="B136" t="str">
            <v>Q3-23</v>
          </cell>
          <cell r="C136" t="str">
            <v>Europe Operations OU</v>
          </cell>
          <cell r="D136">
            <v>2674345</v>
          </cell>
          <cell r="E136" t="str">
            <v>Amazon EU SARL, succursale Italiana</v>
          </cell>
          <cell r="F136" t="str">
            <v>1PSIXGLT</v>
          </cell>
          <cell r="G136" t="str">
            <v>B0797G6W5K</v>
          </cell>
          <cell r="H136" t="str">
            <v>920-008676</v>
          </cell>
          <cell r="I136" t="str">
            <v>OE INVOICES</v>
          </cell>
          <cell r="J136">
            <v>44422163662</v>
          </cell>
          <cell r="K136">
            <v>44909</v>
          </cell>
          <cell r="L136">
            <v>8</v>
          </cell>
          <cell r="M136" t="str">
            <v>EUR</v>
          </cell>
          <cell r="N136">
            <v>527.04</v>
          </cell>
          <cell r="O136">
            <v>43.92</v>
          </cell>
          <cell r="P136">
            <v>12</v>
          </cell>
          <cell r="Q136">
            <v>12</v>
          </cell>
          <cell r="R136">
            <v>0</v>
          </cell>
        </row>
        <row r="137">
          <cell r="A137" t="str">
            <v>1PSIXGLTB0797JRLQC</v>
          </cell>
          <cell r="B137" t="str">
            <v>Q3-23</v>
          </cell>
          <cell r="C137" t="str">
            <v>Europe Operations OU</v>
          </cell>
          <cell r="D137">
            <v>2674345</v>
          </cell>
          <cell r="E137" t="str">
            <v>Amazon EU SARL, succursale Italiana</v>
          </cell>
          <cell r="F137" t="str">
            <v>1PSIXGLT</v>
          </cell>
          <cell r="G137" t="str">
            <v>B0797JRLQC</v>
          </cell>
          <cell r="H137" t="str">
            <v>920-008684</v>
          </cell>
          <cell r="I137" t="str">
            <v>OE INVOICES</v>
          </cell>
          <cell r="J137">
            <v>44422163662</v>
          </cell>
          <cell r="K137">
            <v>44909</v>
          </cell>
          <cell r="L137">
            <v>9</v>
          </cell>
          <cell r="M137" t="str">
            <v>EUR</v>
          </cell>
          <cell r="N137">
            <v>175.68</v>
          </cell>
          <cell r="O137">
            <v>43.92</v>
          </cell>
          <cell r="P137">
            <v>4</v>
          </cell>
          <cell r="Q137">
            <v>4</v>
          </cell>
          <cell r="R137">
            <v>0</v>
          </cell>
        </row>
        <row r="138">
          <cell r="A138" t="str">
            <v>1PSIXGLTB07DFWGKZ4</v>
          </cell>
          <cell r="B138" t="str">
            <v>Q3-23</v>
          </cell>
          <cell r="C138" t="str">
            <v>Europe Operations OU</v>
          </cell>
          <cell r="D138">
            <v>2674345</v>
          </cell>
          <cell r="E138" t="str">
            <v>Amazon EU SARL, succursale Italiana</v>
          </cell>
          <cell r="F138" t="str">
            <v>1PSIXGLT</v>
          </cell>
          <cell r="G138" t="str">
            <v>B07DFWGKZ4</v>
          </cell>
          <cell r="H138" t="str">
            <v>920-008932</v>
          </cell>
          <cell r="I138" t="str">
            <v>OE INVOICES</v>
          </cell>
          <cell r="J138">
            <v>44422163662</v>
          </cell>
          <cell r="K138">
            <v>44909</v>
          </cell>
          <cell r="L138">
            <v>10</v>
          </cell>
          <cell r="M138" t="str">
            <v>EUR</v>
          </cell>
          <cell r="N138">
            <v>398.88</v>
          </cell>
          <cell r="O138">
            <v>99.72</v>
          </cell>
          <cell r="P138">
            <v>4</v>
          </cell>
          <cell r="Q138">
            <v>4</v>
          </cell>
          <cell r="R138">
            <v>0</v>
          </cell>
        </row>
        <row r="139">
          <cell r="A139" t="str">
            <v>1PSIXGLTB07W5JHLZK</v>
          </cell>
          <cell r="B139" t="str">
            <v>Q3-23</v>
          </cell>
          <cell r="C139" t="str">
            <v>Europe Operations OU</v>
          </cell>
          <cell r="D139">
            <v>2674345</v>
          </cell>
          <cell r="E139" t="str">
            <v>Amazon EU SARL, succursale Italiana</v>
          </cell>
          <cell r="F139" t="str">
            <v>1PSIXGLT</v>
          </cell>
          <cell r="G139" t="str">
            <v>B07W5JHLZK</v>
          </cell>
          <cell r="H139" t="str">
            <v>920-009363</v>
          </cell>
          <cell r="I139" t="str">
            <v>OE INVOICES</v>
          </cell>
          <cell r="J139">
            <v>44422163662</v>
          </cell>
          <cell r="K139">
            <v>44909</v>
          </cell>
          <cell r="L139">
            <v>11</v>
          </cell>
          <cell r="M139" t="str">
            <v>EUR</v>
          </cell>
          <cell r="N139">
            <v>272.24</v>
          </cell>
          <cell r="O139">
            <v>68.06</v>
          </cell>
          <cell r="P139">
            <v>4</v>
          </cell>
          <cell r="Q139">
            <v>4</v>
          </cell>
          <cell r="R139">
            <v>0</v>
          </cell>
        </row>
        <row r="140">
          <cell r="A140" t="str">
            <v>1PSIXGLTB07W6GVS5C</v>
          </cell>
          <cell r="B140" t="str">
            <v>Q3-23</v>
          </cell>
          <cell r="C140" t="str">
            <v>Europe Operations OU</v>
          </cell>
          <cell r="D140">
            <v>2674345</v>
          </cell>
          <cell r="E140" t="str">
            <v>Amazon EU SARL, succursale Italiana</v>
          </cell>
          <cell r="F140" t="str">
            <v>1PSIXGLT</v>
          </cell>
          <cell r="G140" t="str">
            <v>B07W6GVS5C</v>
          </cell>
          <cell r="H140" t="str">
            <v>920-009439</v>
          </cell>
          <cell r="I140" t="str">
            <v>OE INVOICES</v>
          </cell>
          <cell r="J140">
            <v>44422163662</v>
          </cell>
          <cell r="K140">
            <v>44909</v>
          </cell>
          <cell r="L140">
            <v>12</v>
          </cell>
          <cell r="M140" t="str">
            <v>EUR</v>
          </cell>
          <cell r="N140">
            <v>179.36</v>
          </cell>
          <cell r="O140">
            <v>44.84</v>
          </cell>
          <cell r="P140">
            <v>4</v>
          </cell>
          <cell r="Q140">
            <v>4</v>
          </cell>
          <cell r="R140">
            <v>0</v>
          </cell>
        </row>
        <row r="141">
          <cell r="A141" t="str">
            <v>1PSIXGLTB07W6JGH91</v>
          </cell>
          <cell r="B141" t="str">
            <v>Q3-23</v>
          </cell>
          <cell r="C141" t="str">
            <v>Europe Operations OU</v>
          </cell>
          <cell r="D141">
            <v>2674345</v>
          </cell>
          <cell r="E141" t="str">
            <v>Amazon EU SARL, succursale Italiana</v>
          </cell>
          <cell r="F141" t="str">
            <v>1PSIXGLT</v>
          </cell>
          <cell r="G141" t="str">
            <v>B07W6JGH91</v>
          </cell>
          <cell r="H141" t="str">
            <v>920-011022</v>
          </cell>
          <cell r="I141" t="str">
            <v>OE INVOICES</v>
          </cell>
          <cell r="J141">
            <v>44422163662</v>
          </cell>
          <cell r="K141">
            <v>44909</v>
          </cell>
          <cell r="L141">
            <v>13</v>
          </cell>
          <cell r="M141" t="str">
            <v>EUR</v>
          </cell>
          <cell r="N141">
            <v>244.48</v>
          </cell>
          <cell r="O141">
            <v>61.12</v>
          </cell>
          <cell r="P141">
            <v>4</v>
          </cell>
          <cell r="Q141">
            <v>4</v>
          </cell>
          <cell r="R141">
            <v>0</v>
          </cell>
        </row>
        <row r="142">
          <cell r="A142" t="str">
            <v>1PSIXGLTB07W7KFFFF</v>
          </cell>
          <cell r="B142" t="str">
            <v>Q3-23</v>
          </cell>
          <cell r="C142" t="str">
            <v>Europe Operations OU</v>
          </cell>
          <cell r="D142">
            <v>2674345</v>
          </cell>
          <cell r="E142" t="str">
            <v>Amazon EU SARL, succursale Italiana</v>
          </cell>
          <cell r="F142" t="str">
            <v>1PSIXGLT</v>
          </cell>
          <cell r="G142" t="str">
            <v>B07W7KFFFF</v>
          </cell>
          <cell r="H142" t="str">
            <v>941-000149</v>
          </cell>
          <cell r="I142" t="str">
            <v>OE INVOICES</v>
          </cell>
          <cell r="J142">
            <v>44422163662</v>
          </cell>
          <cell r="K142">
            <v>44909</v>
          </cell>
          <cell r="L142">
            <v>14</v>
          </cell>
          <cell r="M142" t="str">
            <v>EUR</v>
          </cell>
          <cell r="N142">
            <v>1584.45</v>
          </cell>
          <cell r="O142">
            <v>226.35</v>
          </cell>
          <cell r="P142">
            <v>7</v>
          </cell>
          <cell r="Q142">
            <v>7</v>
          </cell>
          <cell r="R142">
            <v>0</v>
          </cell>
        </row>
        <row r="143">
          <cell r="A143" t="str">
            <v>1PSIXGLTB07W7KFLBN</v>
          </cell>
          <cell r="B143" t="str">
            <v>Q3-23</v>
          </cell>
          <cell r="C143" t="str">
            <v>Europe Operations OU</v>
          </cell>
          <cell r="D143">
            <v>2674345</v>
          </cell>
          <cell r="E143" t="str">
            <v>Amazon EU SARL, succursale Italiana</v>
          </cell>
          <cell r="F143" t="str">
            <v>1PSIXGLT</v>
          </cell>
          <cell r="G143" t="str">
            <v>B07W7KFLBN</v>
          </cell>
          <cell r="H143" t="str">
            <v>920-009799</v>
          </cell>
          <cell r="I143" t="str">
            <v>OE INVOICES</v>
          </cell>
          <cell r="J143">
            <v>44422163662</v>
          </cell>
          <cell r="K143">
            <v>44909</v>
          </cell>
          <cell r="L143">
            <v>15</v>
          </cell>
          <cell r="M143" t="str">
            <v>EUR</v>
          </cell>
          <cell r="N143">
            <v>348</v>
          </cell>
          <cell r="O143">
            <v>29</v>
          </cell>
          <cell r="P143">
            <v>12</v>
          </cell>
          <cell r="Q143">
            <v>12</v>
          </cell>
          <cell r="R143">
            <v>0</v>
          </cell>
        </row>
        <row r="144">
          <cell r="A144" t="str">
            <v>1TY4KNJIB07W4DGGBH</v>
          </cell>
          <cell r="B144" t="str">
            <v>Q3-23</v>
          </cell>
          <cell r="C144" t="str">
            <v>Europe Operations OU</v>
          </cell>
          <cell r="D144">
            <v>2674345</v>
          </cell>
          <cell r="E144" t="str">
            <v>Amazon EU SARL, succursale Italiana</v>
          </cell>
          <cell r="F144" t="str">
            <v>1TY4KNJI</v>
          </cell>
          <cell r="G144" t="str">
            <v>B07W4DGGBH</v>
          </cell>
          <cell r="H144" t="str">
            <v>920-011426</v>
          </cell>
          <cell r="I144" t="str">
            <v>OE INVOICES</v>
          </cell>
          <cell r="J144">
            <v>44422158796</v>
          </cell>
          <cell r="K144">
            <v>44907</v>
          </cell>
          <cell r="L144">
            <v>1</v>
          </cell>
          <cell r="M144" t="str">
            <v>EUR</v>
          </cell>
          <cell r="N144">
            <v>556.88</v>
          </cell>
          <cell r="O144">
            <v>69.61</v>
          </cell>
          <cell r="P144">
            <v>8</v>
          </cell>
          <cell r="Q144">
            <v>8</v>
          </cell>
          <cell r="R144">
            <v>0</v>
          </cell>
        </row>
        <row r="145">
          <cell r="A145" t="str">
            <v>1UJ41WNCB00EJ3RN7C</v>
          </cell>
          <cell r="B145" t="str">
            <v>Q3-23</v>
          </cell>
          <cell r="C145" t="str">
            <v>Europe Operations OU</v>
          </cell>
          <cell r="D145">
            <v>2674345</v>
          </cell>
          <cell r="E145" t="str">
            <v>Amazon EU SARL, succursale Italiana</v>
          </cell>
          <cell r="F145" t="str">
            <v>1UJ41WNC</v>
          </cell>
          <cell r="G145" t="str">
            <v>B00EJ3RN7C</v>
          </cell>
          <cell r="H145" t="str">
            <v>920-005218</v>
          </cell>
          <cell r="I145" t="str">
            <v>OE INVOICES</v>
          </cell>
          <cell r="J145">
            <v>44422141333</v>
          </cell>
          <cell r="K145">
            <v>44895</v>
          </cell>
          <cell r="L145">
            <v>1</v>
          </cell>
          <cell r="M145" t="str">
            <v>EUR</v>
          </cell>
          <cell r="N145">
            <v>163.9</v>
          </cell>
          <cell r="O145">
            <v>16.39</v>
          </cell>
          <cell r="P145">
            <v>10</v>
          </cell>
          <cell r="Q145">
            <v>10</v>
          </cell>
          <cell r="R145">
            <v>0</v>
          </cell>
        </row>
        <row r="146">
          <cell r="A146" t="str">
            <v>1VBBCE3CB003STDR1E</v>
          </cell>
          <cell r="B146" t="str">
            <v>Q3-23</v>
          </cell>
          <cell r="C146" t="str">
            <v>Europe Operations OU</v>
          </cell>
          <cell r="D146">
            <v>2674345</v>
          </cell>
          <cell r="E146" t="str">
            <v>Amazon EU SARL, succursale Italiana</v>
          </cell>
          <cell r="F146" t="str">
            <v>1VBBCE3C</v>
          </cell>
          <cell r="G146" t="str">
            <v>B003STDR1E</v>
          </cell>
          <cell r="H146" t="str">
            <v>910-001949</v>
          </cell>
          <cell r="I146" t="str">
            <v>OE INVOICES</v>
          </cell>
          <cell r="J146">
            <v>44422145494</v>
          </cell>
          <cell r="K146">
            <v>44897</v>
          </cell>
          <cell r="L146">
            <v>1</v>
          </cell>
          <cell r="M146" t="str">
            <v>EUR</v>
          </cell>
          <cell r="N146">
            <v>16105</v>
          </cell>
          <cell r="O146">
            <v>32.21</v>
          </cell>
          <cell r="P146">
            <v>500</v>
          </cell>
          <cell r="Q146">
            <v>500</v>
          </cell>
          <cell r="R146">
            <v>0</v>
          </cell>
        </row>
        <row r="147">
          <cell r="A147" t="str">
            <v>1VBBCE3CB005BFCNYU</v>
          </cell>
          <cell r="B147" t="str">
            <v>Q3-23</v>
          </cell>
          <cell r="C147" t="str">
            <v>Europe Operations OU</v>
          </cell>
          <cell r="D147">
            <v>2674345</v>
          </cell>
          <cell r="E147" t="str">
            <v>Amazon EU SARL, succursale Italiana</v>
          </cell>
          <cell r="F147" t="str">
            <v>1VBBCE3C</v>
          </cell>
          <cell r="G147" t="str">
            <v>B005BFCNYU</v>
          </cell>
          <cell r="H147" t="str">
            <v>981-000406</v>
          </cell>
          <cell r="I147" t="str">
            <v>OE INVOICES</v>
          </cell>
          <cell r="J147">
            <v>44422145494</v>
          </cell>
          <cell r="K147">
            <v>44897</v>
          </cell>
          <cell r="L147">
            <v>2</v>
          </cell>
          <cell r="M147" t="str">
            <v>EUR</v>
          </cell>
          <cell r="N147">
            <v>4684.8</v>
          </cell>
          <cell r="O147">
            <v>29.28</v>
          </cell>
          <cell r="P147">
            <v>160</v>
          </cell>
          <cell r="Q147">
            <v>160</v>
          </cell>
          <cell r="R147">
            <v>0</v>
          </cell>
        </row>
        <row r="148">
          <cell r="A148" t="str">
            <v>1VBBCE3CB01A9HC69G</v>
          </cell>
          <cell r="B148" t="str">
            <v>Q3-23</v>
          </cell>
          <cell r="C148" t="str">
            <v>Europe Operations OU</v>
          </cell>
          <cell r="D148">
            <v>2674345</v>
          </cell>
          <cell r="E148" t="str">
            <v>Amazon EU SARL, succursale Italiana</v>
          </cell>
          <cell r="F148" t="str">
            <v>1VBBCE3C</v>
          </cell>
          <cell r="G148" t="str">
            <v>B01A9HC69G</v>
          </cell>
          <cell r="H148" t="str">
            <v>910-004640</v>
          </cell>
          <cell r="I148" t="str">
            <v>OE INVOICES</v>
          </cell>
          <cell r="J148">
            <v>44422145494</v>
          </cell>
          <cell r="K148">
            <v>44897</v>
          </cell>
          <cell r="L148">
            <v>3</v>
          </cell>
          <cell r="M148" t="str">
            <v>EUR</v>
          </cell>
          <cell r="N148">
            <v>374.4</v>
          </cell>
          <cell r="O148">
            <v>9.36</v>
          </cell>
          <cell r="P148">
            <v>40</v>
          </cell>
          <cell r="Q148">
            <v>40</v>
          </cell>
          <cell r="R148">
            <v>0</v>
          </cell>
        </row>
        <row r="149">
          <cell r="A149" t="str">
            <v>1VBBCE3CB01K7GEAFC</v>
          </cell>
          <cell r="B149" t="str">
            <v>Q3-23</v>
          </cell>
          <cell r="C149" t="str">
            <v>Europe Operations OU</v>
          </cell>
          <cell r="D149">
            <v>2674345</v>
          </cell>
          <cell r="E149" t="str">
            <v>Amazon EU SARL, succursale Italiana</v>
          </cell>
          <cell r="F149" t="str">
            <v>1VBBCE3C</v>
          </cell>
          <cell r="G149" t="str">
            <v>B01K7GEAFC</v>
          </cell>
          <cell r="H149" t="str">
            <v>910-004909</v>
          </cell>
          <cell r="I149" t="str">
            <v>OE INVOICES</v>
          </cell>
          <cell r="J149">
            <v>44422145456</v>
          </cell>
          <cell r="K149">
            <v>44897</v>
          </cell>
          <cell r="L149">
            <v>1</v>
          </cell>
          <cell r="M149" t="str">
            <v>EUR</v>
          </cell>
          <cell r="N149">
            <v>6324</v>
          </cell>
          <cell r="O149">
            <v>26.35</v>
          </cell>
          <cell r="P149">
            <v>240</v>
          </cell>
          <cell r="Q149">
            <v>240</v>
          </cell>
          <cell r="R149">
            <v>0</v>
          </cell>
        </row>
        <row r="150">
          <cell r="A150" t="str">
            <v>1VBBCE3CB0711V7BV6</v>
          </cell>
          <cell r="B150" t="str">
            <v>Q3-23</v>
          </cell>
          <cell r="C150" t="str">
            <v>Europe Operations OU</v>
          </cell>
          <cell r="D150">
            <v>2674345</v>
          </cell>
          <cell r="E150" t="str">
            <v>Amazon EU SARL, succursale Italiana</v>
          </cell>
          <cell r="F150" t="str">
            <v>1VBBCE3C</v>
          </cell>
          <cell r="G150" t="str">
            <v>B0711V7BV6</v>
          </cell>
          <cell r="H150" t="str">
            <v>939-001531</v>
          </cell>
          <cell r="I150" t="str">
            <v>OE INVOICES</v>
          </cell>
          <cell r="J150">
            <v>44422145456</v>
          </cell>
          <cell r="K150">
            <v>44897</v>
          </cell>
          <cell r="L150">
            <v>2</v>
          </cell>
          <cell r="M150" t="str">
            <v>EUR</v>
          </cell>
          <cell r="N150">
            <v>9169.7999999999993</v>
          </cell>
          <cell r="O150">
            <v>44.95</v>
          </cell>
          <cell r="P150">
            <v>204</v>
          </cell>
          <cell r="Q150">
            <v>204</v>
          </cell>
          <cell r="R150">
            <v>0</v>
          </cell>
        </row>
        <row r="151">
          <cell r="A151" t="str">
            <v>1VBBCE3CB07G5XJLWK</v>
          </cell>
          <cell r="B151" t="str">
            <v>Q3-23</v>
          </cell>
          <cell r="C151" t="str">
            <v>Europe Operations OU</v>
          </cell>
          <cell r="D151">
            <v>2674345</v>
          </cell>
          <cell r="E151" t="str">
            <v>Amazon EU SARL, succursale Italiana</v>
          </cell>
          <cell r="F151" t="str">
            <v>1VBBCE3C</v>
          </cell>
          <cell r="G151" t="str">
            <v>B07G5XJLWK</v>
          </cell>
          <cell r="H151" t="str">
            <v>910-005273</v>
          </cell>
          <cell r="I151" t="str">
            <v>OE INVOICES</v>
          </cell>
          <cell r="J151">
            <v>44422145494</v>
          </cell>
          <cell r="K151">
            <v>44897</v>
          </cell>
          <cell r="L151">
            <v>4</v>
          </cell>
          <cell r="M151" t="str">
            <v>EUR</v>
          </cell>
          <cell r="N151">
            <v>2640.24</v>
          </cell>
          <cell r="O151">
            <v>73.34</v>
          </cell>
          <cell r="P151">
            <v>36</v>
          </cell>
          <cell r="Q151">
            <v>36</v>
          </cell>
          <cell r="R151">
            <v>0</v>
          </cell>
        </row>
        <row r="152">
          <cell r="A152" t="str">
            <v>1VBBCE3CB07HR4KVSN</v>
          </cell>
          <cell r="B152" t="str">
            <v>Q3-23</v>
          </cell>
          <cell r="C152" t="str">
            <v>Europe Operations OU</v>
          </cell>
          <cell r="D152">
            <v>2674345</v>
          </cell>
          <cell r="E152" t="str">
            <v>Amazon EU SARL, succursale Italiana</v>
          </cell>
          <cell r="F152" t="str">
            <v>1VBBCE3C</v>
          </cell>
          <cell r="G152" t="str">
            <v>B07HR4KVSN</v>
          </cell>
          <cell r="H152" t="str">
            <v>939-001668</v>
          </cell>
          <cell r="I152" t="str">
            <v>OE INVOICES</v>
          </cell>
          <cell r="J152">
            <v>44422145494</v>
          </cell>
          <cell r="K152">
            <v>44897</v>
          </cell>
          <cell r="L152">
            <v>5</v>
          </cell>
          <cell r="M152" t="str">
            <v>EUR</v>
          </cell>
          <cell r="N152">
            <v>4675.6000000000004</v>
          </cell>
          <cell r="O152">
            <v>116.89</v>
          </cell>
          <cell r="P152">
            <v>40</v>
          </cell>
          <cell r="Q152">
            <v>40</v>
          </cell>
          <cell r="R152">
            <v>0</v>
          </cell>
        </row>
        <row r="153">
          <cell r="A153" t="str">
            <v>1VBBCE3CB07PMKHMFS</v>
          </cell>
          <cell r="B153" t="str">
            <v>Q3-23</v>
          </cell>
          <cell r="C153" t="str">
            <v>Europe Operations OU</v>
          </cell>
          <cell r="D153">
            <v>2674345</v>
          </cell>
          <cell r="E153" t="str">
            <v>Amazon EU SARL, succursale Italiana</v>
          </cell>
          <cell r="F153" t="str">
            <v>1VBBCE3C</v>
          </cell>
          <cell r="G153" t="str">
            <v>B07PMKHMFS</v>
          </cell>
          <cell r="H153" t="str">
            <v>939-001830</v>
          </cell>
          <cell r="I153" t="str">
            <v>OE INVOICES</v>
          </cell>
          <cell r="J153">
            <v>44422145494</v>
          </cell>
          <cell r="K153">
            <v>44897</v>
          </cell>
          <cell r="L153">
            <v>6</v>
          </cell>
          <cell r="M153" t="str">
            <v>EUR</v>
          </cell>
          <cell r="N153">
            <v>3272.92</v>
          </cell>
          <cell r="O153">
            <v>116.89</v>
          </cell>
          <cell r="P153">
            <v>28</v>
          </cell>
          <cell r="Q153">
            <v>28</v>
          </cell>
          <cell r="R153">
            <v>0</v>
          </cell>
        </row>
        <row r="154">
          <cell r="A154" t="str">
            <v>1VBBCE3CB07W5JJVFM</v>
          </cell>
          <cell r="B154" t="str">
            <v>Q3-23</v>
          </cell>
          <cell r="C154" t="str">
            <v>Europe Operations OU</v>
          </cell>
          <cell r="D154">
            <v>2674345</v>
          </cell>
          <cell r="E154" t="str">
            <v>Amazon EU SARL, succursale Italiana</v>
          </cell>
          <cell r="F154" t="str">
            <v>1VBBCE3C</v>
          </cell>
          <cell r="G154" t="str">
            <v>B07W5JJVFM</v>
          </cell>
          <cell r="H154" t="str">
            <v>956-000053</v>
          </cell>
          <cell r="I154" t="str">
            <v>OE INVOICES</v>
          </cell>
          <cell r="J154">
            <v>44422145494</v>
          </cell>
          <cell r="K154">
            <v>44897</v>
          </cell>
          <cell r="L154">
            <v>7</v>
          </cell>
          <cell r="M154" t="str">
            <v>EUR</v>
          </cell>
          <cell r="N154">
            <v>177.8</v>
          </cell>
          <cell r="O154">
            <v>8.89</v>
          </cell>
          <cell r="P154">
            <v>20</v>
          </cell>
          <cell r="Q154">
            <v>20</v>
          </cell>
          <cell r="R154">
            <v>0</v>
          </cell>
        </row>
        <row r="155">
          <cell r="A155" t="str">
            <v>1VBBCE3CB07W5JK3Z2</v>
          </cell>
          <cell r="B155" t="str">
            <v>Q3-23</v>
          </cell>
          <cell r="C155" t="str">
            <v>Europe Operations OU</v>
          </cell>
          <cell r="D155">
            <v>2674345</v>
          </cell>
          <cell r="E155" t="str">
            <v>Amazon EU SARL, succursale Italiana</v>
          </cell>
          <cell r="F155" t="str">
            <v>1VBBCE3C</v>
          </cell>
          <cell r="G155" t="str">
            <v>B07W5JK3Z2</v>
          </cell>
          <cell r="H155" t="str">
            <v>956-000052</v>
          </cell>
          <cell r="I155" t="str">
            <v>OE INVOICES</v>
          </cell>
          <cell r="J155">
            <v>44422145494</v>
          </cell>
          <cell r="K155">
            <v>44897</v>
          </cell>
          <cell r="L155">
            <v>8</v>
          </cell>
          <cell r="M155" t="str">
            <v>EUR</v>
          </cell>
          <cell r="N155">
            <v>2311.4</v>
          </cell>
          <cell r="O155">
            <v>8.89</v>
          </cell>
          <cell r="P155">
            <v>260</v>
          </cell>
          <cell r="Q155">
            <v>260</v>
          </cell>
          <cell r="R155">
            <v>0</v>
          </cell>
        </row>
        <row r="156">
          <cell r="A156" t="str">
            <v>1VBBCE3CB07W5JKBMG</v>
          </cell>
          <cell r="B156" t="str">
            <v>Q3-23</v>
          </cell>
          <cell r="C156" t="str">
            <v>Europe Operations OU</v>
          </cell>
          <cell r="D156">
            <v>2674345</v>
          </cell>
          <cell r="E156" t="str">
            <v>Amazon EU SARL, succursale Italiana</v>
          </cell>
          <cell r="F156" t="str">
            <v>1VBBCE3C</v>
          </cell>
          <cell r="G156" t="str">
            <v>B07W5JKBMG</v>
          </cell>
          <cell r="H156" t="str">
            <v>943-000450</v>
          </cell>
          <cell r="I156" t="str">
            <v>OE INVOICES</v>
          </cell>
          <cell r="J156">
            <v>44422145494</v>
          </cell>
          <cell r="K156">
            <v>44897</v>
          </cell>
          <cell r="L156">
            <v>9</v>
          </cell>
          <cell r="M156" t="str">
            <v>EUR</v>
          </cell>
          <cell r="N156">
            <v>3734.4</v>
          </cell>
          <cell r="O156">
            <v>31.12</v>
          </cell>
          <cell r="P156">
            <v>120</v>
          </cell>
          <cell r="Q156">
            <v>120</v>
          </cell>
          <cell r="R156">
            <v>0</v>
          </cell>
        </row>
        <row r="157">
          <cell r="A157" t="str">
            <v>1VBBCE3CB07W5JKLRF</v>
          </cell>
          <cell r="B157" t="str">
            <v>Q3-23</v>
          </cell>
          <cell r="C157" t="str">
            <v>Europe Operations OU</v>
          </cell>
          <cell r="D157">
            <v>2674345</v>
          </cell>
          <cell r="E157" t="str">
            <v>Amazon EU SARL, succursale Italiana</v>
          </cell>
          <cell r="F157" t="str">
            <v>1VBBCE3C</v>
          </cell>
          <cell r="G157" t="str">
            <v>B07W5JKLRF</v>
          </cell>
          <cell r="H157" t="str">
            <v>939-002064</v>
          </cell>
          <cell r="I157" t="str">
            <v>OE INVOICES</v>
          </cell>
          <cell r="J157">
            <v>44422145494</v>
          </cell>
          <cell r="K157">
            <v>44897</v>
          </cell>
          <cell r="L157">
            <v>10</v>
          </cell>
          <cell r="M157" t="str">
            <v>EUR</v>
          </cell>
          <cell r="N157">
            <v>179.8</v>
          </cell>
          <cell r="O157">
            <v>44.95</v>
          </cell>
          <cell r="P157">
            <v>4</v>
          </cell>
          <cell r="Q157">
            <v>4</v>
          </cell>
          <cell r="R157">
            <v>0</v>
          </cell>
        </row>
        <row r="158">
          <cell r="A158" t="str">
            <v>1VBBCE3CB07W6HDNPF</v>
          </cell>
          <cell r="B158" t="str">
            <v>Q3-23</v>
          </cell>
          <cell r="C158" t="str">
            <v>Europe Operations OU</v>
          </cell>
          <cell r="D158">
            <v>2674345</v>
          </cell>
          <cell r="E158" t="str">
            <v>Amazon EU SARL, succursale Italiana</v>
          </cell>
          <cell r="F158" t="str">
            <v>1VBBCE3C</v>
          </cell>
          <cell r="G158" t="str">
            <v>B07W6HDNPF</v>
          </cell>
          <cell r="H158" t="str">
            <v>939-002047</v>
          </cell>
          <cell r="I158" t="str">
            <v>OE INVOICES</v>
          </cell>
          <cell r="J158">
            <v>44422145494</v>
          </cell>
          <cell r="K158">
            <v>44897</v>
          </cell>
          <cell r="L158">
            <v>11</v>
          </cell>
          <cell r="M158" t="str">
            <v>EUR</v>
          </cell>
          <cell r="N158">
            <v>179.8</v>
          </cell>
          <cell r="O158">
            <v>44.95</v>
          </cell>
          <cell r="P158">
            <v>4</v>
          </cell>
          <cell r="Q158">
            <v>4</v>
          </cell>
          <cell r="R158">
            <v>0</v>
          </cell>
        </row>
        <row r="159">
          <cell r="A159" t="str">
            <v>1VBBCE3CB07W6HDNPG</v>
          </cell>
          <cell r="B159" t="str">
            <v>Q3-23</v>
          </cell>
          <cell r="C159" t="str">
            <v>Europe Operations OU</v>
          </cell>
          <cell r="D159">
            <v>2674345</v>
          </cell>
          <cell r="E159" t="str">
            <v>Amazon EU SARL, succursale Italiana</v>
          </cell>
          <cell r="F159" t="str">
            <v>1VBBCE3C</v>
          </cell>
          <cell r="G159" t="str">
            <v>B07W6HDNPG</v>
          </cell>
          <cell r="H159" t="str">
            <v>939-002057</v>
          </cell>
          <cell r="I159" t="str">
            <v>OE INVOICES</v>
          </cell>
          <cell r="J159">
            <v>44422145494</v>
          </cell>
          <cell r="K159">
            <v>44897</v>
          </cell>
          <cell r="L159">
            <v>12</v>
          </cell>
          <cell r="M159" t="str">
            <v>EUR</v>
          </cell>
          <cell r="N159">
            <v>359.6</v>
          </cell>
          <cell r="O159">
            <v>44.95</v>
          </cell>
          <cell r="P159">
            <v>8</v>
          </cell>
          <cell r="Q159">
            <v>8</v>
          </cell>
          <cell r="R159">
            <v>0</v>
          </cell>
        </row>
        <row r="160">
          <cell r="A160" t="str">
            <v>1VRJRIPAB07W7M4MZP</v>
          </cell>
          <cell r="B160" t="str">
            <v>Q3-23</v>
          </cell>
          <cell r="C160" t="str">
            <v>Europe Operations OU</v>
          </cell>
          <cell r="D160">
            <v>2674345</v>
          </cell>
          <cell r="E160" t="str">
            <v>Amazon EU SARL, succursale Italiana</v>
          </cell>
          <cell r="F160" t="str">
            <v>1VRJRIPA</v>
          </cell>
          <cell r="G160" t="str">
            <v>B07W7M4MZP</v>
          </cell>
          <cell r="H160" t="str">
            <v>920-010301</v>
          </cell>
          <cell r="I160" t="str">
            <v>OE INVOICES</v>
          </cell>
          <cell r="J160">
            <v>44422170004</v>
          </cell>
          <cell r="K160">
            <v>44915</v>
          </cell>
          <cell r="L160">
            <v>1</v>
          </cell>
          <cell r="M160" t="str">
            <v>EUR</v>
          </cell>
          <cell r="N160">
            <v>928.16</v>
          </cell>
          <cell r="O160">
            <v>116.02</v>
          </cell>
          <cell r="P160">
            <v>8</v>
          </cell>
          <cell r="Q160">
            <v>8</v>
          </cell>
          <cell r="R160">
            <v>0</v>
          </cell>
        </row>
        <row r="161">
          <cell r="A161" t="str">
            <v>1X4DXX4TB004QTBPWI</v>
          </cell>
          <cell r="B161" t="str">
            <v>Q3-23</v>
          </cell>
          <cell r="C161" t="str">
            <v>Europe Operations OU</v>
          </cell>
          <cell r="D161">
            <v>2674345</v>
          </cell>
          <cell r="E161" t="str">
            <v>Amazon EU SARL, succursale Italiana</v>
          </cell>
          <cell r="F161" t="str">
            <v>1X4DXX4T</v>
          </cell>
          <cell r="G161" t="str">
            <v>B004QTBPWI</v>
          </cell>
          <cell r="H161" t="str">
            <v>910-002496</v>
          </cell>
          <cell r="I161" t="str">
            <v>OE INVOICES</v>
          </cell>
          <cell r="J161">
            <v>44422158751</v>
          </cell>
          <cell r="K161">
            <v>44907</v>
          </cell>
          <cell r="L161">
            <v>1</v>
          </cell>
          <cell r="M161" t="str">
            <v>EUR</v>
          </cell>
          <cell r="N161">
            <v>655.6</v>
          </cell>
          <cell r="O161">
            <v>16.39</v>
          </cell>
          <cell r="P161">
            <v>40</v>
          </cell>
          <cell r="Q161">
            <v>40</v>
          </cell>
          <cell r="R161">
            <v>0</v>
          </cell>
        </row>
        <row r="162">
          <cell r="A162" t="str">
            <v>1X4DXX4TB004ZH0RHK</v>
          </cell>
          <cell r="B162" t="str">
            <v>Q3-23</v>
          </cell>
          <cell r="C162" t="str">
            <v>Europe Operations OU</v>
          </cell>
          <cell r="D162">
            <v>2674345</v>
          </cell>
          <cell r="E162" t="str">
            <v>Amazon EU SARL, succursale Italiana</v>
          </cell>
          <cell r="F162" t="str">
            <v>1X4DXX4T</v>
          </cell>
          <cell r="G162" t="str">
            <v>B004ZH0RHK</v>
          </cell>
          <cell r="H162" t="str">
            <v>920-003056</v>
          </cell>
          <cell r="I162" t="str">
            <v>OE INVOICES</v>
          </cell>
          <cell r="J162">
            <v>44422158751</v>
          </cell>
          <cell r="K162">
            <v>44907</v>
          </cell>
          <cell r="L162">
            <v>2</v>
          </cell>
          <cell r="M162" t="str">
            <v>EUR</v>
          </cell>
          <cell r="N162">
            <v>3513.6</v>
          </cell>
          <cell r="O162">
            <v>29.28</v>
          </cell>
          <cell r="P162">
            <v>120</v>
          </cell>
          <cell r="Q162">
            <v>120</v>
          </cell>
          <cell r="R162">
            <v>0</v>
          </cell>
        </row>
        <row r="163">
          <cell r="A163" t="str">
            <v>1X4DXX4TB00544XFHC</v>
          </cell>
          <cell r="B163" t="str">
            <v>Q3-23</v>
          </cell>
          <cell r="C163" t="str">
            <v>Europe Operations OU</v>
          </cell>
          <cell r="D163">
            <v>2674345</v>
          </cell>
          <cell r="E163" t="str">
            <v>Amazon EU SARL, succursale Italiana</v>
          </cell>
          <cell r="F163" t="str">
            <v>1X4DXX4T</v>
          </cell>
          <cell r="G163" t="str">
            <v>B00544XFHC</v>
          </cell>
          <cell r="H163" t="str">
            <v>910-002240</v>
          </cell>
          <cell r="I163" t="str">
            <v>OE INVOICES</v>
          </cell>
          <cell r="J163">
            <v>44422157090</v>
          </cell>
          <cell r="K163">
            <v>44904</v>
          </cell>
          <cell r="L163">
            <v>1</v>
          </cell>
          <cell r="M163" t="str">
            <v>EUR</v>
          </cell>
          <cell r="N163">
            <v>315.89999999999998</v>
          </cell>
          <cell r="O163">
            <v>10.53</v>
          </cell>
          <cell r="P163">
            <v>30</v>
          </cell>
          <cell r="Q163">
            <v>30</v>
          </cell>
          <cell r="R163">
            <v>0</v>
          </cell>
        </row>
        <row r="164">
          <cell r="A164" t="str">
            <v>1X4DXX4TB006T02YRM</v>
          </cell>
          <cell r="B164" t="str">
            <v>Q3-23</v>
          </cell>
          <cell r="C164" t="str">
            <v>Europe Operations OU</v>
          </cell>
          <cell r="D164">
            <v>2674345</v>
          </cell>
          <cell r="E164" t="str">
            <v>Amazon EU SARL, succursale Italiana</v>
          </cell>
          <cell r="F164" t="str">
            <v>1X4DXX4T</v>
          </cell>
          <cell r="G164" t="str">
            <v>B006T02YRM</v>
          </cell>
          <cell r="H164" t="str">
            <v>920-003052</v>
          </cell>
          <cell r="I164" t="str">
            <v>OE INVOICES</v>
          </cell>
          <cell r="J164">
            <v>44422158751</v>
          </cell>
          <cell r="K164">
            <v>44907</v>
          </cell>
          <cell r="L164">
            <v>3</v>
          </cell>
          <cell r="M164" t="str">
            <v>EUR</v>
          </cell>
          <cell r="N164">
            <v>5152.3999999999996</v>
          </cell>
          <cell r="O164">
            <v>23.42</v>
          </cell>
          <cell r="P164">
            <v>220</v>
          </cell>
          <cell r="Q164">
            <v>220</v>
          </cell>
          <cell r="R164">
            <v>0</v>
          </cell>
        </row>
        <row r="165">
          <cell r="A165" t="str">
            <v>1X4DXX4TB006ZLK9SQ</v>
          </cell>
          <cell r="B165" t="str">
            <v>Q3-23</v>
          </cell>
          <cell r="C165" t="str">
            <v>Europe Operations OU</v>
          </cell>
          <cell r="D165">
            <v>2674345</v>
          </cell>
          <cell r="E165" t="str">
            <v>Amazon EU SARL, succursale Italiana</v>
          </cell>
          <cell r="F165" t="str">
            <v>1X4DXX4T</v>
          </cell>
          <cell r="G165" t="str">
            <v>B006ZLK9SQ</v>
          </cell>
          <cell r="H165" t="str">
            <v>920-003721</v>
          </cell>
          <cell r="I165" t="str">
            <v>OE INVOICES</v>
          </cell>
          <cell r="J165">
            <v>44422157090</v>
          </cell>
          <cell r="K165">
            <v>44904</v>
          </cell>
          <cell r="L165">
            <v>2</v>
          </cell>
          <cell r="M165" t="str">
            <v>EUR</v>
          </cell>
          <cell r="N165">
            <v>3116</v>
          </cell>
          <cell r="O165">
            <v>20.5</v>
          </cell>
          <cell r="P165">
            <v>152</v>
          </cell>
          <cell r="Q165">
            <v>152</v>
          </cell>
          <cell r="R165">
            <v>0</v>
          </cell>
        </row>
        <row r="166">
          <cell r="A166" t="str">
            <v>1X4DXX4TB00FSF2OSS</v>
          </cell>
          <cell r="B166" t="str">
            <v>Q3-23</v>
          </cell>
          <cell r="C166" t="str">
            <v>Europe Operations OU</v>
          </cell>
          <cell r="D166">
            <v>2674345</v>
          </cell>
          <cell r="E166" t="str">
            <v>Amazon EU SARL, succursale Italiana</v>
          </cell>
          <cell r="F166" t="str">
            <v>1X4DXX4T</v>
          </cell>
          <cell r="G166" t="str">
            <v>B00FSF2OSS</v>
          </cell>
          <cell r="H166" t="str">
            <v>980-000812</v>
          </cell>
          <cell r="I166" t="str">
            <v>OE INVOICES</v>
          </cell>
          <cell r="J166">
            <v>44422158751</v>
          </cell>
          <cell r="K166">
            <v>44907</v>
          </cell>
          <cell r="L166">
            <v>4</v>
          </cell>
          <cell r="M166" t="str">
            <v>EUR</v>
          </cell>
          <cell r="N166">
            <v>117.12</v>
          </cell>
          <cell r="O166">
            <v>29.28</v>
          </cell>
          <cell r="P166">
            <v>4</v>
          </cell>
          <cell r="Q166">
            <v>4</v>
          </cell>
          <cell r="R166">
            <v>0</v>
          </cell>
        </row>
        <row r="167">
          <cell r="A167" t="str">
            <v>1X4DXX4TB00PVWZH78</v>
          </cell>
          <cell r="B167" t="str">
            <v>Q3-23</v>
          </cell>
          <cell r="C167" t="str">
            <v>Europe Operations OU</v>
          </cell>
          <cell r="D167">
            <v>2674345</v>
          </cell>
          <cell r="E167" t="str">
            <v>Amazon EU SARL, succursale Italiana</v>
          </cell>
          <cell r="F167" t="str">
            <v>1X4DXX4T</v>
          </cell>
          <cell r="G167" t="str">
            <v>B00PVWZH78</v>
          </cell>
          <cell r="H167" t="str">
            <v>910-004346</v>
          </cell>
          <cell r="I167" t="str">
            <v>OE INVOICES</v>
          </cell>
          <cell r="J167">
            <v>44422158782</v>
          </cell>
          <cell r="K167">
            <v>44907</v>
          </cell>
          <cell r="L167">
            <v>1</v>
          </cell>
          <cell r="M167" t="str">
            <v>EUR</v>
          </cell>
          <cell r="N167">
            <v>5274</v>
          </cell>
          <cell r="O167">
            <v>26.37</v>
          </cell>
          <cell r="P167">
            <v>200</v>
          </cell>
          <cell r="Q167">
            <v>200</v>
          </cell>
          <cell r="R167">
            <v>0</v>
          </cell>
        </row>
        <row r="168">
          <cell r="A168" t="str">
            <v>1X4DXX4TB0105Y2T5Y</v>
          </cell>
          <cell r="B168" t="str">
            <v>Q3-23</v>
          </cell>
          <cell r="C168" t="str">
            <v>Europe Operations OU</v>
          </cell>
          <cell r="D168">
            <v>2674345</v>
          </cell>
          <cell r="E168" t="str">
            <v>Amazon EU SARL, succursale Italiana</v>
          </cell>
          <cell r="F168" t="str">
            <v>1X4DXX4T</v>
          </cell>
          <cell r="G168" t="str">
            <v>B0105Y2T5Y</v>
          </cell>
          <cell r="H168" t="str">
            <v>980-001055</v>
          </cell>
          <cell r="I168" t="str">
            <v>OE INVOICES</v>
          </cell>
          <cell r="J168">
            <v>44422158751</v>
          </cell>
          <cell r="K168">
            <v>44907</v>
          </cell>
          <cell r="L168">
            <v>5</v>
          </cell>
          <cell r="M168" t="str">
            <v>EUR</v>
          </cell>
          <cell r="N168">
            <v>325.64</v>
          </cell>
          <cell r="O168">
            <v>81.41</v>
          </cell>
          <cell r="P168">
            <v>4</v>
          </cell>
          <cell r="Q168">
            <v>4</v>
          </cell>
          <cell r="R168">
            <v>0</v>
          </cell>
        </row>
        <row r="169">
          <cell r="A169" t="str">
            <v>1X4DXX4TB010EPT2X6</v>
          </cell>
          <cell r="B169" t="str">
            <v>Q3-23</v>
          </cell>
          <cell r="C169" t="str">
            <v>Europe Operations OU</v>
          </cell>
          <cell r="D169">
            <v>2674345</v>
          </cell>
          <cell r="E169" t="str">
            <v>Amazon EU SARL, succursale Italiana</v>
          </cell>
          <cell r="F169" t="str">
            <v>1X4DXX4T</v>
          </cell>
          <cell r="G169" t="str">
            <v>B010EPT2X6</v>
          </cell>
          <cell r="H169" t="str">
            <v>920-007145</v>
          </cell>
          <cell r="I169" t="str">
            <v>OE INVOICES</v>
          </cell>
          <cell r="J169">
            <v>44422158751</v>
          </cell>
          <cell r="K169">
            <v>44907</v>
          </cell>
          <cell r="L169">
            <v>6</v>
          </cell>
          <cell r="M169" t="str">
            <v>EUR</v>
          </cell>
          <cell r="N169">
            <v>322.10000000000002</v>
          </cell>
          <cell r="O169">
            <v>32.21</v>
          </cell>
          <cell r="P169">
            <v>10</v>
          </cell>
          <cell r="Q169">
            <v>10</v>
          </cell>
          <cell r="R169">
            <v>0</v>
          </cell>
        </row>
        <row r="170">
          <cell r="A170" t="str">
            <v>1X4DXX4TB013SL1YXO</v>
          </cell>
          <cell r="B170" t="str">
            <v>Q3-23</v>
          </cell>
          <cell r="C170" t="str">
            <v>Europe Operations OU</v>
          </cell>
          <cell r="D170">
            <v>2674345</v>
          </cell>
          <cell r="E170" t="str">
            <v>Amazon EU SARL, succursale Italiana</v>
          </cell>
          <cell r="F170" t="str">
            <v>1X4DXX4T</v>
          </cell>
          <cell r="G170" t="str">
            <v>B013SL1YXO</v>
          </cell>
          <cell r="H170" t="str">
            <v>920-007580</v>
          </cell>
          <cell r="I170" t="str">
            <v>OE INVOICES</v>
          </cell>
          <cell r="J170">
            <v>44422158751</v>
          </cell>
          <cell r="K170">
            <v>44907</v>
          </cell>
          <cell r="L170">
            <v>7</v>
          </cell>
          <cell r="M170" t="str">
            <v>EUR</v>
          </cell>
          <cell r="N170">
            <v>773.04</v>
          </cell>
          <cell r="O170">
            <v>32.21</v>
          </cell>
          <cell r="P170">
            <v>24</v>
          </cell>
          <cell r="Q170">
            <v>24</v>
          </cell>
          <cell r="R170">
            <v>0</v>
          </cell>
        </row>
        <row r="171">
          <cell r="A171" t="str">
            <v>1X4DXX4TB013SL1ZU6</v>
          </cell>
          <cell r="B171" t="str">
            <v>Q3-23</v>
          </cell>
          <cell r="C171" t="str">
            <v>Europe Operations OU</v>
          </cell>
          <cell r="D171">
            <v>2674345</v>
          </cell>
          <cell r="E171" t="str">
            <v>Amazon EU SARL, succursale Italiana</v>
          </cell>
          <cell r="F171" t="str">
            <v>1X4DXX4T</v>
          </cell>
          <cell r="G171" t="str">
            <v>B013SL1ZU6</v>
          </cell>
          <cell r="H171" t="str">
            <v>920-007566</v>
          </cell>
          <cell r="I171" t="str">
            <v>OE INVOICES</v>
          </cell>
          <cell r="J171">
            <v>44422158751</v>
          </cell>
          <cell r="K171">
            <v>44907</v>
          </cell>
          <cell r="L171">
            <v>8</v>
          </cell>
          <cell r="M171" t="str">
            <v>EUR</v>
          </cell>
          <cell r="N171">
            <v>257.68</v>
          </cell>
          <cell r="O171">
            <v>32.21</v>
          </cell>
          <cell r="P171">
            <v>8</v>
          </cell>
          <cell r="Q171">
            <v>8</v>
          </cell>
          <cell r="R171">
            <v>0</v>
          </cell>
        </row>
        <row r="172">
          <cell r="A172" t="str">
            <v>1X4DXX4TB01K7GEFWK</v>
          </cell>
          <cell r="B172" t="str">
            <v>Q3-23</v>
          </cell>
          <cell r="C172" t="str">
            <v>Europe Operations OU</v>
          </cell>
          <cell r="D172">
            <v>2674345</v>
          </cell>
          <cell r="E172" t="str">
            <v>Amazon EU SARL, succursale Italiana</v>
          </cell>
          <cell r="F172" t="str">
            <v>1X4DXX4T</v>
          </cell>
          <cell r="G172" t="str">
            <v>B01K7GEFWK</v>
          </cell>
          <cell r="H172" t="str">
            <v>910-004880</v>
          </cell>
          <cell r="I172" t="str">
            <v>OE INVOICES</v>
          </cell>
          <cell r="J172">
            <v>44422158751</v>
          </cell>
          <cell r="K172">
            <v>44907</v>
          </cell>
          <cell r="L172">
            <v>9</v>
          </cell>
          <cell r="M172" t="str">
            <v>EUR</v>
          </cell>
          <cell r="N172">
            <v>1311.2</v>
          </cell>
          <cell r="O172">
            <v>16.39</v>
          </cell>
          <cell r="P172">
            <v>80</v>
          </cell>
          <cell r="Q172">
            <v>80</v>
          </cell>
          <cell r="R172">
            <v>0</v>
          </cell>
        </row>
        <row r="173">
          <cell r="A173" t="str">
            <v>1X4DXX4TB01L6L52K4</v>
          </cell>
          <cell r="B173" t="str">
            <v>Q3-23</v>
          </cell>
          <cell r="C173" t="str">
            <v>Europe Operations OU</v>
          </cell>
          <cell r="D173">
            <v>2674345</v>
          </cell>
          <cell r="E173" t="str">
            <v>Amazon EU SARL, succursale Italiana</v>
          </cell>
          <cell r="F173" t="str">
            <v>1X4DXX4T</v>
          </cell>
          <cell r="G173" t="str">
            <v>B01L6L52K4</v>
          </cell>
          <cell r="H173" t="str">
            <v>960-001088</v>
          </cell>
          <cell r="I173" t="str">
            <v>OE INVOICES</v>
          </cell>
          <cell r="J173">
            <v>44422157090</v>
          </cell>
          <cell r="K173">
            <v>44904</v>
          </cell>
          <cell r="L173">
            <v>3</v>
          </cell>
          <cell r="M173" t="str">
            <v>EUR</v>
          </cell>
          <cell r="N173">
            <v>22924.639999999999</v>
          </cell>
          <cell r="O173">
            <v>75.41</v>
          </cell>
          <cell r="P173">
            <v>304</v>
          </cell>
          <cell r="Q173">
            <v>304</v>
          </cell>
          <cell r="R173">
            <v>0</v>
          </cell>
        </row>
        <row r="174">
          <cell r="A174" t="str">
            <v>1X4DXX4TB01LCQTF4M</v>
          </cell>
          <cell r="B174" t="str">
            <v>Q3-23</v>
          </cell>
          <cell r="C174" t="str">
            <v>Europe Operations OU</v>
          </cell>
          <cell r="D174">
            <v>2674345</v>
          </cell>
          <cell r="E174" t="str">
            <v>Amazon EU SARL, succursale Italiana</v>
          </cell>
          <cell r="F174" t="str">
            <v>1X4DXX4T</v>
          </cell>
          <cell r="G174" t="str">
            <v>B01LCQTF4M</v>
          </cell>
          <cell r="H174" t="str">
            <v>910-004913</v>
          </cell>
          <cell r="I174" t="str">
            <v>OE INVOICES</v>
          </cell>
          <cell r="J174">
            <v>44422158751</v>
          </cell>
          <cell r="K174">
            <v>44907</v>
          </cell>
          <cell r="L174">
            <v>10</v>
          </cell>
          <cell r="M174" t="str">
            <v>EUR</v>
          </cell>
          <cell r="N174">
            <v>263.5</v>
          </cell>
          <cell r="O174">
            <v>26.35</v>
          </cell>
          <cell r="P174">
            <v>10</v>
          </cell>
          <cell r="Q174">
            <v>10</v>
          </cell>
          <cell r="R174">
            <v>0</v>
          </cell>
        </row>
        <row r="175">
          <cell r="A175" t="str">
            <v>1X4DXX4TB01M9EWQ2W</v>
          </cell>
          <cell r="B175" t="str">
            <v>Q3-23</v>
          </cell>
          <cell r="C175" t="str">
            <v>Europe Operations OU</v>
          </cell>
          <cell r="D175">
            <v>2674345</v>
          </cell>
          <cell r="E175" t="str">
            <v>Amazon EU SARL, succursale Italiana</v>
          </cell>
          <cell r="F175" t="str">
            <v>1X4DXX4T</v>
          </cell>
          <cell r="G175" t="str">
            <v>B01M9EWQ2W</v>
          </cell>
          <cell r="H175" t="str">
            <v>945-000006</v>
          </cell>
          <cell r="I175" t="str">
            <v>OE INVOICES</v>
          </cell>
          <cell r="J175">
            <v>44422158782</v>
          </cell>
          <cell r="K175">
            <v>44907</v>
          </cell>
          <cell r="L175">
            <v>2</v>
          </cell>
          <cell r="M175" t="str">
            <v>EUR</v>
          </cell>
          <cell r="N175">
            <v>377.76</v>
          </cell>
          <cell r="O175">
            <v>94.44</v>
          </cell>
          <cell r="P175">
            <v>4</v>
          </cell>
          <cell r="Q175">
            <v>4</v>
          </cell>
          <cell r="R175">
            <v>0</v>
          </cell>
        </row>
        <row r="176">
          <cell r="A176" t="str">
            <v>1X4DXX4TB074N3HL5Q</v>
          </cell>
          <cell r="B176" t="str">
            <v>Q3-23</v>
          </cell>
          <cell r="C176" t="str">
            <v>Europe Operations OU</v>
          </cell>
          <cell r="D176">
            <v>2674345</v>
          </cell>
          <cell r="E176" t="str">
            <v>Amazon EU SARL, succursale Italiana</v>
          </cell>
          <cell r="F176" t="str">
            <v>1X4DXX4T</v>
          </cell>
          <cell r="G176" t="str">
            <v>B074N3HL5Q</v>
          </cell>
          <cell r="H176" t="str">
            <v>980-001292</v>
          </cell>
          <cell r="I176" t="str">
            <v>OE INVOICES</v>
          </cell>
          <cell r="J176">
            <v>44422158751</v>
          </cell>
          <cell r="K176">
            <v>44907</v>
          </cell>
          <cell r="L176">
            <v>11</v>
          </cell>
          <cell r="M176" t="str">
            <v>EUR</v>
          </cell>
          <cell r="N176">
            <v>655.84</v>
          </cell>
          <cell r="O176">
            <v>40.99</v>
          </cell>
          <cell r="P176">
            <v>16</v>
          </cell>
          <cell r="Q176">
            <v>16</v>
          </cell>
          <cell r="R176">
            <v>0</v>
          </cell>
        </row>
        <row r="177">
          <cell r="A177" t="str">
            <v>1X4DXX4TB074W227RK</v>
          </cell>
          <cell r="B177" t="str">
            <v>Q3-23</v>
          </cell>
          <cell r="C177" t="str">
            <v>Europe Operations OU</v>
          </cell>
          <cell r="D177">
            <v>2674345</v>
          </cell>
          <cell r="E177" t="str">
            <v>Amazon EU SARL, succursale Italiana</v>
          </cell>
          <cell r="F177" t="str">
            <v>1X4DXX4T</v>
          </cell>
          <cell r="G177" t="str">
            <v>B074W227RK</v>
          </cell>
          <cell r="H177" t="str">
            <v>910-005179</v>
          </cell>
          <cell r="I177" t="str">
            <v>OE INVOICES</v>
          </cell>
          <cell r="J177">
            <v>44422158782</v>
          </cell>
          <cell r="K177">
            <v>44907</v>
          </cell>
          <cell r="L177">
            <v>3</v>
          </cell>
          <cell r="M177" t="str">
            <v>EUR</v>
          </cell>
          <cell r="N177">
            <v>16149.52</v>
          </cell>
          <cell r="O177">
            <v>69.61</v>
          </cell>
          <cell r="P177">
            <v>232</v>
          </cell>
          <cell r="Q177">
            <v>232</v>
          </cell>
          <cell r="R177">
            <v>0</v>
          </cell>
        </row>
        <row r="178">
          <cell r="A178" t="str">
            <v>1X4DXX4TB07G6B2SGF</v>
          </cell>
          <cell r="B178" t="str">
            <v>Q3-23</v>
          </cell>
          <cell r="C178" t="str">
            <v>Europe Operations OU</v>
          </cell>
          <cell r="D178">
            <v>2674345</v>
          </cell>
          <cell r="E178" t="str">
            <v>Amazon EU SARL, succursale Italiana</v>
          </cell>
          <cell r="F178" t="str">
            <v>1X4DXX4T</v>
          </cell>
          <cell r="G178" t="str">
            <v>B07G6B2SGF</v>
          </cell>
          <cell r="H178" t="str">
            <v>989-000434</v>
          </cell>
          <cell r="I178" t="str">
            <v>OE INVOICES</v>
          </cell>
          <cell r="J178">
            <v>44422158751</v>
          </cell>
          <cell r="K178">
            <v>44907</v>
          </cell>
          <cell r="L178">
            <v>12</v>
          </cell>
          <cell r="M178" t="str">
            <v>EUR</v>
          </cell>
          <cell r="N178">
            <v>684.8</v>
          </cell>
          <cell r="O178">
            <v>21.4</v>
          </cell>
          <cell r="P178">
            <v>32</v>
          </cell>
          <cell r="Q178">
            <v>32</v>
          </cell>
          <cell r="R178">
            <v>0</v>
          </cell>
        </row>
        <row r="179">
          <cell r="A179" t="str">
            <v>1X4DXX4TB07MTY7N22</v>
          </cell>
          <cell r="B179" t="str">
            <v>Q3-23</v>
          </cell>
          <cell r="C179" t="str">
            <v>Europe Operations OU</v>
          </cell>
          <cell r="D179">
            <v>2674345</v>
          </cell>
          <cell r="E179" t="str">
            <v>Amazon EU SARL, succursale Italiana</v>
          </cell>
          <cell r="F179" t="str">
            <v>1X4DXX4T</v>
          </cell>
          <cell r="G179" t="str">
            <v>B07MTY7N22</v>
          </cell>
          <cell r="H179" t="str">
            <v>981-000744</v>
          </cell>
          <cell r="I179" t="str">
            <v>OE INVOICES</v>
          </cell>
          <cell r="J179">
            <v>44422158782</v>
          </cell>
          <cell r="K179">
            <v>44907</v>
          </cell>
          <cell r="L179">
            <v>4</v>
          </cell>
          <cell r="M179" t="str">
            <v>EUR</v>
          </cell>
          <cell r="N179">
            <v>4620</v>
          </cell>
          <cell r="O179">
            <v>105</v>
          </cell>
          <cell r="P179">
            <v>44</v>
          </cell>
          <cell r="Q179">
            <v>44</v>
          </cell>
          <cell r="R179">
            <v>0</v>
          </cell>
        </row>
        <row r="180">
          <cell r="A180" t="str">
            <v>1X4DXX4TB07PPNT9B2</v>
          </cell>
          <cell r="B180" t="str">
            <v>Q3-23</v>
          </cell>
          <cell r="C180" t="str">
            <v>Europe Operations OU</v>
          </cell>
          <cell r="D180">
            <v>2674345</v>
          </cell>
          <cell r="E180" t="str">
            <v>Amazon EU SARL, succursale Italiana</v>
          </cell>
          <cell r="F180" t="str">
            <v>1X4DXX4T</v>
          </cell>
          <cell r="G180" t="str">
            <v>B07PPNT9B2</v>
          </cell>
          <cell r="H180" t="str">
            <v>939-001731</v>
          </cell>
          <cell r="I180" t="str">
            <v>OE INVOICES</v>
          </cell>
          <cell r="J180">
            <v>44422158751</v>
          </cell>
          <cell r="K180">
            <v>44907</v>
          </cell>
          <cell r="L180">
            <v>13</v>
          </cell>
          <cell r="M180" t="str">
            <v>EUR</v>
          </cell>
          <cell r="N180">
            <v>824.48</v>
          </cell>
          <cell r="O180">
            <v>103.06</v>
          </cell>
          <cell r="P180">
            <v>8</v>
          </cell>
          <cell r="Q180">
            <v>8</v>
          </cell>
          <cell r="R180">
            <v>0</v>
          </cell>
        </row>
        <row r="181">
          <cell r="A181" t="str">
            <v>1X4DXX4TB07SF1RCYF</v>
          </cell>
          <cell r="B181" t="str">
            <v>Q3-23</v>
          </cell>
          <cell r="C181" t="str">
            <v>Europe Operations OU</v>
          </cell>
          <cell r="D181">
            <v>2674345</v>
          </cell>
          <cell r="E181" t="str">
            <v>Amazon EU SARL, succursale Italiana</v>
          </cell>
          <cell r="F181" t="str">
            <v>1X4DXX4T</v>
          </cell>
          <cell r="G181" t="str">
            <v>B07SF1RCYF</v>
          </cell>
          <cell r="H181" t="str">
            <v>910-005673</v>
          </cell>
          <cell r="I181" t="str">
            <v>OE INVOICES</v>
          </cell>
          <cell r="J181">
            <v>44422158751</v>
          </cell>
          <cell r="K181">
            <v>44907</v>
          </cell>
          <cell r="L181">
            <v>14</v>
          </cell>
          <cell r="M181" t="str">
            <v>EUR</v>
          </cell>
          <cell r="N181">
            <v>6040.08</v>
          </cell>
          <cell r="O181">
            <v>83.89</v>
          </cell>
          <cell r="P181">
            <v>72</v>
          </cell>
          <cell r="Q181">
            <v>72</v>
          </cell>
          <cell r="R181">
            <v>0</v>
          </cell>
        </row>
        <row r="182">
          <cell r="A182" t="str">
            <v>1X4DXX4TB07TTB3SR2</v>
          </cell>
          <cell r="B182" t="str">
            <v>Q3-23</v>
          </cell>
          <cell r="C182" t="str">
            <v>Europe Operations OU</v>
          </cell>
          <cell r="D182">
            <v>2674345</v>
          </cell>
          <cell r="E182" t="str">
            <v>Amazon EU SARL, succursale Italiana</v>
          </cell>
          <cell r="F182" t="str">
            <v>1X4DXX4T</v>
          </cell>
          <cell r="G182" t="str">
            <v>B07TTB3SR2</v>
          </cell>
          <cell r="H182" t="str">
            <v>939-001676</v>
          </cell>
          <cell r="I182" t="str">
            <v>OE INVOICES</v>
          </cell>
          <cell r="J182">
            <v>44422158782</v>
          </cell>
          <cell r="K182">
            <v>44907</v>
          </cell>
          <cell r="L182">
            <v>5</v>
          </cell>
          <cell r="M182" t="str">
            <v>EUR</v>
          </cell>
          <cell r="N182">
            <v>8441.2800000000007</v>
          </cell>
          <cell r="O182">
            <v>234.48</v>
          </cell>
          <cell r="P182">
            <v>36</v>
          </cell>
          <cell r="Q182">
            <v>36</v>
          </cell>
          <cell r="R182">
            <v>0</v>
          </cell>
        </row>
        <row r="183">
          <cell r="A183" t="str">
            <v>1X4DXX4TB07TTB3SRB</v>
          </cell>
          <cell r="B183" t="str">
            <v>Q3-23</v>
          </cell>
          <cell r="C183" t="str">
            <v>Europe Operations OU</v>
          </cell>
          <cell r="D183">
            <v>2674345</v>
          </cell>
          <cell r="E183" t="str">
            <v>Amazon EU SARL, succursale Italiana</v>
          </cell>
          <cell r="F183" t="str">
            <v>1X4DXX4T</v>
          </cell>
          <cell r="G183" t="str">
            <v>B07TTB3SRB</v>
          </cell>
          <cell r="H183" t="str">
            <v>939-001682</v>
          </cell>
          <cell r="I183" t="str">
            <v>OE INVOICES</v>
          </cell>
          <cell r="J183">
            <v>44422158782</v>
          </cell>
          <cell r="K183">
            <v>44907</v>
          </cell>
          <cell r="L183">
            <v>6</v>
          </cell>
          <cell r="M183" t="str">
            <v>EUR</v>
          </cell>
          <cell r="N183">
            <v>937.92</v>
          </cell>
          <cell r="O183">
            <v>234.48</v>
          </cell>
          <cell r="P183">
            <v>4</v>
          </cell>
          <cell r="Q183">
            <v>4</v>
          </cell>
          <cell r="R183">
            <v>0</v>
          </cell>
        </row>
        <row r="184">
          <cell r="A184" t="str">
            <v>1X4DXX4TB07VL9YHC9</v>
          </cell>
          <cell r="B184" t="str">
            <v>Q3-23</v>
          </cell>
          <cell r="C184" t="str">
            <v>Europe Operations OU</v>
          </cell>
          <cell r="D184">
            <v>2674345</v>
          </cell>
          <cell r="E184" t="str">
            <v>Amazon EU SARL, succursale Italiana</v>
          </cell>
          <cell r="F184" t="str">
            <v>1X4DXX4T</v>
          </cell>
          <cell r="G184" t="str">
            <v>B07VL9YHC9</v>
          </cell>
          <cell r="H184" t="str">
            <v>920-009189</v>
          </cell>
          <cell r="I184" t="str">
            <v>OE INVOICES</v>
          </cell>
          <cell r="J184">
            <v>44422158751</v>
          </cell>
          <cell r="K184">
            <v>44907</v>
          </cell>
          <cell r="L184">
            <v>15</v>
          </cell>
          <cell r="M184" t="str">
            <v>EUR</v>
          </cell>
          <cell r="N184">
            <v>421.56</v>
          </cell>
          <cell r="O184">
            <v>35.130000000000003</v>
          </cell>
          <cell r="P184">
            <v>12</v>
          </cell>
          <cell r="Q184">
            <v>12</v>
          </cell>
          <cell r="R184">
            <v>0</v>
          </cell>
        </row>
        <row r="185">
          <cell r="A185" t="str">
            <v>1X4DXX4TB07W4DH1Y2</v>
          </cell>
          <cell r="B185" t="str">
            <v>Q3-23</v>
          </cell>
          <cell r="C185" t="str">
            <v>Europe Operations OU</v>
          </cell>
          <cell r="D185">
            <v>2674345</v>
          </cell>
          <cell r="E185" t="str">
            <v>Amazon EU SARL, succursale Italiana</v>
          </cell>
          <cell r="F185" t="str">
            <v>1X4DXX4T</v>
          </cell>
          <cell r="G185" t="str">
            <v>B07W4DH1Y2</v>
          </cell>
          <cell r="H185" t="str">
            <v>920-011158</v>
          </cell>
          <cell r="I185" t="str">
            <v>OE INVOICES</v>
          </cell>
          <cell r="J185">
            <v>44422158751</v>
          </cell>
          <cell r="K185">
            <v>44907</v>
          </cell>
          <cell r="L185">
            <v>16</v>
          </cell>
          <cell r="M185" t="str">
            <v>EUR</v>
          </cell>
          <cell r="N185">
            <v>257.68</v>
          </cell>
          <cell r="O185">
            <v>32.21</v>
          </cell>
          <cell r="P185">
            <v>8</v>
          </cell>
          <cell r="Q185">
            <v>8</v>
          </cell>
          <cell r="R185">
            <v>0</v>
          </cell>
        </row>
        <row r="186">
          <cell r="A186" t="str">
            <v>1X4DXX4TB07W4DHNBF</v>
          </cell>
          <cell r="B186" t="str">
            <v>Q3-23</v>
          </cell>
          <cell r="C186" t="str">
            <v>Europe Operations OU</v>
          </cell>
          <cell r="D186">
            <v>2674345</v>
          </cell>
          <cell r="E186" t="str">
            <v>Amazon EU SARL, succursale Italiana</v>
          </cell>
          <cell r="F186" t="str">
            <v>1X4DXX4T</v>
          </cell>
          <cell r="G186" t="str">
            <v>B07W4DHNBF</v>
          </cell>
          <cell r="H186" t="str">
            <v>960-001281</v>
          </cell>
          <cell r="I186" t="str">
            <v>OE INVOICES</v>
          </cell>
          <cell r="J186">
            <v>44422158782</v>
          </cell>
          <cell r="K186">
            <v>44907</v>
          </cell>
          <cell r="L186">
            <v>7</v>
          </cell>
          <cell r="M186" t="str">
            <v>EUR</v>
          </cell>
          <cell r="N186">
            <v>737.92</v>
          </cell>
          <cell r="O186">
            <v>92.24</v>
          </cell>
          <cell r="P186">
            <v>8</v>
          </cell>
          <cell r="Q186">
            <v>8</v>
          </cell>
          <cell r="R186">
            <v>0</v>
          </cell>
        </row>
        <row r="187">
          <cell r="A187" t="str">
            <v>1X4DXX4TB07W4DHXC8</v>
          </cell>
          <cell r="B187" t="str">
            <v>Q3-23</v>
          </cell>
          <cell r="C187" t="str">
            <v>Europe Operations OU</v>
          </cell>
          <cell r="D187">
            <v>2674345</v>
          </cell>
          <cell r="E187" t="str">
            <v>Amazon EU SARL, succursale Italiana</v>
          </cell>
          <cell r="F187" t="str">
            <v>1X4DXX4T</v>
          </cell>
          <cell r="G187" t="str">
            <v>B07W4DHXC8</v>
          </cell>
          <cell r="H187" t="str">
            <v>946-000002</v>
          </cell>
          <cell r="I187" t="str">
            <v>OE INVOICES</v>
          </cell>
          <cell r="J187">
            <v>44422157090</v>
          </cell>
          <cell r="K187">
            <v>44904</v>
          </cell>
          <cell r="L187">
            <v>4</v>
          </cell>
          <cell r="M187" t="str">
            <v>EUR</v>
          </cell>
          <cell r="N187">
            <v>13450.08</v>
          </cell>
          <cell r="O187">
            <v>40.03</v>
          </cell>
          <cell r="P187">
            <v>336</v>
          </cell>
          <cell r="Q187">
            <v>336</v>
          </cell>
          <cell r="R187">
            <v>0</v>
          </cell>
        </row>
        <row r="188">
          <cell r="A188" t="str">
            <v>1X4DXX4TB07W4DHYH6</v>
          </cell>
          <cell r="B188" t="str">
            <v>Q3-23</v>
          </cell>
          <cell r="C188" t="str">
            <v>Europe Operations OU</v>
          </cell>
          <cell r="D188">
            <v>2674345</v>
          </cell>
          <cell r="E188" t="str">
            <v>Amazon EU SARL, succursale Italiana</v>
          </cell>
          <cell r="F188" t="str">
            <v>1X4DXX4T</v>
          </cell>
          <cell r="G188" t="str">
            <v>B07W4DHYH6</v>
          </cell>
          <cell r="H188" t="str">
            <v>920-010685</v>
          </cell>
          <cell r="I188" t="str">
            <v>OE INVOICES</v>
          </cell>
          <cell r="J188">
            <v>44422158751</v>
          </cell>
          <cell r="K188">
            <v>44907</v>
          </cell>
          <cell r="L188">
            <v>17</v>
          </cell>
          <cell r="M188" t="str">
            <v>EUR</v>
          </cell>
          <cell r="N188">
            <v>441.08</v>
          </cell>
          <cell r="O188">
            <v>110.27</v>
          </cell>
          <cell r="P188">
            <v>4</v>
          </cell>
          <cell r="Q188">
            <v>4</v>
          </cell>
          <cell r="R188">
            <v>0</v>
          </cell>
        </row>
        <row r="189">
          <cell r="A189" t="str">
            <v>1X4DXX4TB07W5JJSBK</v>
          </cell>
          <cell r="B189" t="str">
            <v>Q3-23</v>
          </cell>
          <cell r="C189" t="str">
            <v>Europe Operations OU</v>
          </cell>
          <cell r="D189">
            <v>2674345</v>
          </cell>
          <cell r="E189" t="str">
            <v>Amazon EU SARL, succursale Italiana</v>
          </cell>
          <cell r="F189" t="str">
            <v>1X4DXX4T</v>
          </cell>
          <cell r="G189" t="str">
            <v>B07W5JJSBK</v>
          </cell>
          <cell r="H189" t="str">
            <v>910-005956</v>
          </cell>
          <cell r="I189" t="str">
            <v>OE INVOICES</v>
          </cell>
          <cell r="J189">
            <v>44422158751</v>
          </cell>
          <cell r="K189">
            <v>44907</v>
          </cell>
          <cell r="L189">
            <v>18</v>
          </cell>
          <cell r="M189" t="str">
            <v>EUR</v>
          </cell>
          <cell r="N189">
            <v>335.56</v>
          </cell>
          <cell r="O189">
            <v>83.89</v>
          </cell>
          <cell r="P189">
            <v>4</v>
          </cell>
          <cell r="Q189">
            <v>4</v>
          </cell>
          <cell r="R189">
            <v>0</v>
          </cell>
        </row>
        <row r="190">
          <cell r="A190" t="str">
            <v>1X4DXX4TB07W5JJTG3</v>
          </cell>
          <cell r="B190" t="str">
            <v>Q3-23</v>
          </cell>
          <cell r="C190" t="str">
            <v>Europe Operations OU</v>
          </cell>
          <cell r="D190">
            <v>2674345</v>
          </cell>
          <cell r="E190" t="str">
            <v>Amazon EU SARL, succursale Italiana</v>
          </cell>
          <cell r="F190" t="str">
            <v>1X4DXX4T</v>
          </cell>
          <cell r="G190" t="str">
            <v>B07W5JJTG3</v>
          </cell>
          <cell r="H190" t="str">
            <v>920-010395</v>
          </cell>
          <cell r="I190" t="str">
            <v>OE INVOICES</v>
          </cell>
          <cell r="J190">
            <v>44422158782</v>
          </cell>
          <cell r="K190">
            <v>44907</v>
          </cell>
          <cell r="L190">
            <v>8</v>
          </cell>
          <cell r="M190" t="str">
            <v>EUR</v>
          </cell>
          <cell r="N190">
            <v>1803.76</v>
          </cell>
          <cell r="O190">
            <v>32.21</v>
          </cell>
          <cell r="P190">
            <v>56</v>
          </cell>
          <cell r="Q190">
            <v>56</v>
          </cell>
          <cell r="R190">
            <v>0</v>
          </cell>
        </row>
        <row r="191">
          <cell r="A191" t="str">
            <v>1X4DXX4TB07W5JK1JN</v>
          </cell>
          <cell r="B191" t="str">
            <v>Q3-23</v>
          </cell>
          <cell r="C191" t="str">
            <v>Europe Operations OU</v>
          </cell>
          <cell r="D191">
            <v>2674345</v>
          </cell>
          <cell r="E191" t="str">
            <v>Amazon EU SARL, succursale Italiana</v>
          </cell>
          <cell r="F191" t="str">
            <v>1X4DXX4T</v>
          </cell>
          <cell r="G191" t="str">
            <v>B07W5JK1JN</v>
          </cell>
          <cell r="H191" t="str">
            <v>920-009415</v>
          </cell>
          <cell r="I191" t="str">
            <v>OE INVOICES</v>
          </cell>
          <cell r="J191">
            <v>44422158751</v>
          </cell>
          <cell r="K191">
            <v>44907</v>
          </cell>
          <cell r="L191">
            <v>19</v>
          </cell>
          <cell r="M191" t="str">
            <v>EUR</v>
          </cell>
          <cell r="N191">
            <v>9049.2000000000007</v>
          </cell>
          <cell r="O191">
            <v>75.41</v>
          </cell>
          <cell r="P191">
            <v>120</v>
          </cell>
          <cell r="Q191">
            <v>120</v>
          </cell>
          <cell r="R191">
            <v>0</v>
          </cell>
        </row>
        <row r="192">
          <cell r="A192" t="str">
            <v>1X4DXX4TB07W5JKB92</v>
          </cell>
          <cell r="B192" t="str">
            <v>Q3-23</v>
          </cell>
          <cell r="C192" t="str">
            <v>Europe Operations OU</v>
          </cell>
          <cell r="D192">
            <v>2674345</v>
          </cell>
          <cell r="E192" t="str">
            <v>Amazon EU SARL, succursale Italiana</v>
          </cell>
          <cell r="F192" t="str">
            <v>1X4DXX4T</v>
          </cell>
          <cell r="G192" t="str">
            <v>B07W5JKB92</v>
          </cell>
          <cell r="H192" t="str">
            <v>920-009503</v>
          </cell>
          <cell r="I192" t="str">
            <v>OE INVOICES</v>
          </cell>
          <cell r="J192">
            <v>44422158782</v>
          </cell>
          <cell r="K192">
            <v>44907</v>
          </cell>
          <cell r="L192">
            <v>9</v>
          </cell>
          <cell r="M192" t="str">
            <v>EUR</v>
          </cell>
          <cell r="N192">
            <v>15765.6</v>
          </cell>
          <cell r="O192">
            <v>131.38</v>
          </cell>
          <cell r="P192">
            <v>120</v>
          </cell>
          <cell r="Q192">
            <v>120</v>
          </cell>
          <cell r="R192">
            <v>0</v>
          </cell>
        </row>
        <row r="193">
          <cell r="A193" t="str">
            <v>1X4DXX4TB07W5JKNB9</v>
          </cell>
          <cell r="B193" t="str">
            <v>Q3-23</v>
          </cell>
          <cell r="C193" t="str">
            <v>Europe Operations OU</v>
          </cell>
          <cell r="D193">
            <v>2674345</v>
          </cell>
          <cell r="E193" t="str">
            <v>Amazon EU SARL, succursale Italiana</v>
          </cell>
          <cell r="F193" t="str">
            <v>1X4DXX4T</v>
          </cell>
          <cell r="G193" t="str">
            <v>B07W5JKNB9</v>
          </cell>
          <cell r="H193" t="str">
            <v>920-010522</v>
          </cell>
          <cell r="I193" t="str">
            <v>OE INVOICES</v>
          </cell>
          <cell r="J193">
            <v>44422158751</v>
          </cell>
          <cell r="K193">
            <v>44907</v>
          </cell>
          <cell r="L193">
            <v>20</v>
          </cell>
          <cell r="M193" t="str">
            <v>EUR</v>
          </cell>
          <cell r="N193">
            <v>1932.84</v>
          </cell>
          <cell r="O193">
            <v>69.03</v>
          </cell>
          <cell r="P193">
            <v>28</v>
          </cell>
          <cell r="Q193">
            <v>28</v>
          </cell>
          <cell r="R193">
            <v>0</v>
          </cell>
        </row>
        <row r="194">
          <cell r="A194" t="str">
            <v>1X4DXX4TB07W5JKPFG</v>
          </cell>
          <cell r="B194" t="str">
            <v>Q3-23</v>
          </cell>
          <cell r="C194" t="str">
            <v>Europe Operations OU</v>
          </cell>
          <cell r="D194">
            <v>2674345</v>
          </cell>
          <cell r="E194" t="str">
            <v>Amazon EU SARL, succursale Italiana</v>
          </cell>
          <cell r="F194" t="str">
            <v>1X4DXX4T</v>
          </cell>
          <cell r="G194" t="str">
            <v>B07W5JKPFG</v>
          </cell>
          <cell r="H194" t="str">
            <v>920-011160</v>
          </cell>
          <cell r="I194" t="str">
            <v>OE INVOICES</v>
          </cell>
          <cell r="J194">
            <v>44422158751</v>
          </cell>
          <cell r="K194">
            <v>44907</v>
          </cell>
          <cell r="L194">
            <v>21</v>
          </cell>
          <cell r="M194" t="str">
            <v>EUR</v>
          </cell>
          <cell r="N194">
            <v>1803.76</v>
          </cell>
          <cell r="O194">
            <v>32.21</v>
          </cell>
          <cell r="P194">
            <v>56</v>
          </cell>
          <cell r="Q194">
            <v>56</v>
          </cell>
          <cell r="R194">
            <v>0</v>
          </cell>
        </row>
        <row r="195">
          <cell r="A195" t="str">
            <v>1X4DXX4TB07W5JKWTH</v>
          </cell>
          <cell r="B195" t="str">
            <v>Q3-23</v>
          </cell>
          <cell r="C195" t="str">
            <v>Europe Operations OU</v>
          </cell>
          <cell r="D195">
            <v>2674345</v>
          </cell>
          <cell r="E195" t="str">
            <v>Amazon EU SARL, succursale Italiana</v>
          </cell>
          <cell r="F195" t="str">
            <v>1X4DXX4T</v>
          </cell>
          <cell r="G195" t="str">
            <v>B07W5JKWTH</v>
          </cell>
          <cell r="H195" t="str">
            <v>920-009686</v>
          </cell>
          <cell r="I195" t="str">
            <v>OE INVOICES</v>
          </cell>
          <cell r="J195">
            <v>44422158751</v>
          </cell>
          <cell r="K195">
            <v>44907</v>
          </cell>
          <cell r="L195">
            <v>22</v>
          </cell>
          <cell r="M195" t="str">
            <v>EUR</v>
          </cell>
          <cell r="N195">
            <v>1113.28</v>
          </cell>
          <cell r="O195">
            <v>69.58</v>
          </cell>
          <cell r="P195">
            <v>16</v>
          </cell>
          <cell r="Q195">
            <v>16</v>
          </cell>
          <cell r="R195">
            <v>0</v>
          </cell>
        </row>
        <row r="196">
          <cell r="A196" t="str">
            <v>1X4DXX4TB07W6FNF6N</v>
          </cell>
          <cell r="B196" t="str">
            <v>Q3-23</v>
          </cell>
          <cell r="C196" t="str">
            <v>Europe Operations OU</v>
          </cell>
          <cell r="D196">
            <v>2674345</v>
          </cell>
          <cell r="E196" t="str">
            <v>Amazon EU SARL, succursale Italiana</v>
          </cell>
          <cell r="F196" t="str">
            <v>1X4DXX4T</v>
          </cell>
          <cell r="G196" t="str">
            <v>B07W6FNF6N</v>
          </cell>
          <cell r="H196" t="str">
            <v>920-009841</v>
          </cell>
          <cell r="I196" t="str">
            <v>OE INVOICES</v>
          </cell>
          <cell r="J196">
            <v>44422158751</v>
          </cell>
          <cell r="K196">
            <v>44907</v>
          </cell>
          <cell r="L196">
            <v>23</v>
          </cell>
          <cell r="M196" t="str">
            <v>EUR</v>
          </cell>
          <cell r="N196">
            <v>5127.88</v>
          </cell>
          <cell r="O196">
            <v>75.41</v>
          </cell>
          <cell r="P196">
            <v>68</v>
          </cell>
          <cell r="Q196">
            <v>68</v>
          </cell>
          <cell r="R196">
            <v>0</v>
          </cell>
        </row>
        <row r="197">
          <cell r="A197" t="str">
            <v>1X4DXX4TB07W6GNXZF</v>
          </cell>
          <cell r="B197" t="str">
            <v>Q3-23</v>
          </cell>
          <cell r="C197" t="str">
            <v>Europe Operations OU</v>
          </cell>
          <cell r="D197">
            <v>2674345</v>
          </cell>
          <cell r="E197" t="str">
            <v>Amazon EU SARL, succursale Italiana</v>
          </cell>
          <cell r="F197" t="str">
            <v>1X4DXX4T</v>
          </cell>
          <cell r="G197" t="str">
            <v>B07W6GNXZF</v>
          </cell>
          <cell r="H197" t="str">
            <v>920-009842</v>
          </cell>
          <cell r="I197" t="str">
            <v>OE INVOICES</v>
          </cell>
          <cell r="J197">
            <v>44422158751</v>
          </cell>
          <cell r="K197">
            <v>44907</v>
          </cell>
          <cell r="L197">
            <v>24</v>
          </cell>
          <cell r="M197" t="str">
            <v>EUR</v>
          </cell>
          <cell r="N197">
            <v>2413.12</v>
          </cell>
          <cell r="O197">
            <v>75.41</v>
          </cell>
          <cell r="P197">
            <v>32</v>
          </cell>
          <cell r="Q197">
            <v>32</v>
          </cell>
          <cell r="R197">
            <v>0</v>
          </cell>
        </row>
        <row r="198">
          <cell r="A198" t="str">
            <v>1X4DXX4TB07W6HLQ35</v>
          </cell>
          <cell r="B198" t="str">
            <v>Q3-23</v>
          </cell>
          <cell r="C198" t="str">
            <v>Europe Operations OU</v>
          </cell>
          <cell r="D198">
            <v>2674345</v>
          </cell>
          <cell r="E198" t="str">
            <v>Amazon EU SARL, succursale Italiana</v>
          </cell>
          <cell r="F198" t="str">
            <v>1X4DXX4T</v>
          </cell>
          <cell r="G198" t="str">
            <v>B07W6HLQ35</v>
          </cell>
          <cell r="H198" t="str">
            <v>984-001830</v>
          </cell>
          <cell r="I198" t="str">
            <v>OE INVOICES</v>
          </cell>
          <cell r="J198">
            <v>44422158751</v>
          </cell>
          <cell r="K198">
            <v>44907</v>
          </cell>
          <cell r="L198">
            <v>25</v>
          </cell>
          <cell r="M198" t="str">
            <v>EUR</v>
          </cell>
          <cell r="N198">
            <v>2140.4</v>
          </cell>
          <cell r="O198">
            <v>53.51</v>
          </cell>
          <cell r="P198">
            <v>40</v>
          </cell>
          <cell r="Q198">
            <v>40</v>
          </cell>
          <cell r="R198">
            <v>0</v>
          </cell>
        </row>
        <row r="199">
          <cell r="A199" t="str">
            <v>1X4DXX4TB07W6HSPY6</v>
          </cell>
          <cell r="B199" t="str">
            <v>Q3-23</v>
          </cell>
          <cell r="C199" t="str">
            <v>Europe Operations OU</v>
          </cell>
          <cell r="D199">
            <v>2674345</v>
          </cell>
          <cell r="E199" t="str">
            <v>Amazon EU SARL, succursale Italiana</v>
          </cell>
          <cell r="F199" t="str">
            <v>1X4DXX4T</v>
          </cell>
          <cell r="G199" t="str">
            <v>B07W6HSPY6</v>
          </cell>
          <cell r="H199" t="str">
            <v>920-009868</v>
          </cell>
          <cell r="I199" t="str">
            <v>OE INVOICES</v>
          </cell>
          <cell r="J199">
            <v>44422158751</v>
          </cell>
          <cell r="K199">
            <v>44907</v>
          </cell>
          <cell r="L199">
            <v>26</v>
          </cell>
          <cell r="M199" t="str">
            <v>EUR</v>
          </cell>
          <cell r="N199">
            <v>773.04</v>
          </cell>
          <cell r="O199">
            <v>32.21</v>
          </cell>
          <cell r="P199">
            <v>24</v>
          </cell>
          <cell r="Q199">
            <v>24</v>
          </cell>
          <cell r="R199">
            <v>0</v>
          </cell>
        </row>
        <row r="200">
          <cell r="A200" t="str">
            <v>1X4DXX4TB07W6HYLB3</v>
          </cell>
          <cell r="B200" t="str">
            <v>Q3-23</v>
          </cell>
          <cell r="C200" t="str">
            <v>Europe Operations OU</v>
          </cell>
          <cell r="D200">
            <v>2674345</v>
          </cell>
          <cell r="E200" t="str">
            <v>Amazon EU SARL, succursale Italiana</v>
          </cell>
          <cell r="F200" t="str">
            <v>1X4DXX4T</v>
          </cell>
          <cell r="G200" t="str">
            <v>B07W6HYLB3</v>
          </cell>
          <cell r="H200" t="str">
            <v>920-009661</v>
          </cell>
          <cell r="I200" t="str">
            <v>OE INVOICES</v>
          </cell>
          <cell r="J200">
            <v>44422158751</v>
          </cell>
          <cell r="K200">
            <v>44907</v>
          </cell>
          <cell r="L200">
            <v>27</v>
          </cell>
          <cell r="M200" t="str">
            <v>EUR</v>
          </cell>
          <cell r="N200">
            <v>525.52</v>
          </cell>
          <cell r="O200">
            <v>131.38</v>
          </cell>
          <cell r="P200">
            <v>4</v>
          </cell>
          <cell r="Q200">
            <v>4</v>
          </cell>
          <cell r="R200">
            <v>0</v>
          </cell>
        </row>
        <row r="201">
          <cell r="A201" t="str">
            <v>1X4DXX4TB07W6JM289</v>
          </cell>
          <cell r="B201" t="str">
            <v>Q3-23</v>
          </cell>
          <cell r="C201" t="str">
            <v>Europe Operations OU</v>
          </cell>
          <cell r="D201">
            <v>2674345</v>
          </cell>
          <cell r="E201" t="str">
            <v>Amazon EU SARL, succursale Italiana</v>
          </cell>
          <cell r="F201" t="str">
            <v>1X4DXX4T</v>
          </cell>
          <cell r="G201" t="str">
            <v>B07W6JM289</v>
          </cell>
          <cell r="H201" t="str">
            <v>920-009584</v>
          </cell>
          <cell r="I201" t="str">
            <v>OE INVOICES</v>
          </cell>
          <cell r="J201">
            <v>44422158751</v>
          </cell>
          <cell r="K201">
            <v>44907</v>
          </cell>
          <cell r="L201">
            <v>28</v>
          </cell>
          <cell r="M201" t="str">
            <v>EUR</v>
          </cell>
          <cell r="N201">
            <v>1030.72</v>
          </cell>
          <cell r="O201">
            <v>32.21</v>
          </cell>
          <cell r="P201">
            <v>32</v>
          </cell>
          <cell r="Q201">
            <v>32</v>
          </cell>
          <cell r="R201">
            <v>0</v>
          </cell>
        </row>
        <row r="202">
          <cell r="A202" t="str">
            <v>1X4DXX4TB07W6JNWP8</v>
          </cell>
          <cell r="B202" t="str">
            <v>Q3-23</v>
          </cell>
          <cell r="C202" t="str">
            <v>Europe Operations OU</v>
          </cell>
          <cell r="D202">
            <v>2674345</v>
          </cell>
          <cell r="E202" t="str">
            <v>Amazon EU SARL, succursale Italiana</v>
          </cell>
          <cell r="F202" t="str">
            <v>1X4DXX4T</v>
          </cell>
          <cell r="G202" t="str">
            <v>B07W6JNWP8</v>
          </cell>
          <cell r="H202" t="str">
            <v>910-006548</v>
          </cell>
          <cell r="I202" t="str">
            <v>OE INVOICES</v>
          </cell>
          <cell r="J202">
            <v>44422158782</v>
          </cell>
          <cell r="K202">
            <v>44907</v>
          </cell>
          <cell r="L202">
            <v>10</v>
          </cell>
          <cell r="M202" t="str">
            <v>EUR</v>
          </cell>
          <cell r="N202">
            <v>234.2</v>
          </cell>
          <cell r="O202">
            <v>23.42</v>
          </cell>
          <cell r="P202">
            <v>10</v>
          </cell>
          <cell r="Q202">
            <v>10</v>
          </cell>
          <cell r="R202">
            <v>0</v>
          </cell>
        </row>
        <row r="203">
          <cell r="A203" t="str">
            <v>1X4DXX4TB07W6JP8N2</v>
          </cell>
          <cell r="B203" t="str">
            <v>Q3-23</v>
          </cell>
          <cell r="C203" t="str">
            <v>Europe Operations OU</v>
          </cell>
          <cell r="D203">
            <v>2674345</v>
          </cell>
          <cell r="E203" t="str">
            <v>Amazon EU SARL, succursale Italiana</v>
          </cell>
          <cell r="F203" t="str">
            <v>1X4DXX4T</v>
          </cell>
          <cell r="G203" t="str">
            <v>B07W6JP8N2</v>
          </cell>
          <cell r="H203" t="str">
            <v>910-005729</v>
          </cell>
          <cell r="I203" t="str">
            <v>OE INVOICES</v>
          </cell>
          <cell r="J203">
            <v>44422158782</v>
          </cell>
          <cell r="K203">
            <v>44907</v>
          </cell>
          <cell r="L203">
            <v>11</v>
          </cell>
          <cell r="M203" t="str">
            <v>EUR</v>
          </cell>
          <cell r="N203">
            <v>189.92</v>
          </cell>
          <cell r="O203">
            <v>47.48</v>
          </cell>
          <cell r="P203">
            <v>4</v>
          </cell>
          <cell r="Q203">
            <v>4</v>
          </cell>
          <cell r="R203">
            <v>0</v>
          </cell>
        </row>
        <row r="204">
          <cell r="A204" t="str">
            <v>1X4DXX4TB07W7JYN4P</v>
          </cell>
          <cell r="B204" t="str">
            <v>Q3-23</v>
          </cell>
          <cell r="C204" t="str">
            <v>Europe Operations OU</v>
          </cell>
          <cell r="D204">
            <v>2674345</v>
          </cell>
          <cell r="E204" t="str">
            <v>Amazon EU SARL, succursale Italiana</v>
          </cell>
          <cell r="F204" t="str">
            <v>1X4DXX4T</v>
          </cell>
          <cell r="G204" t="str">
            <v>B07W7JYN4P</v>
          </cell>
          <cell r="H204" t="str">
            <v>981-001213</v>
          </cell>
          <cell r="I204" t="str">
            <v>OE INVOICES</v>
          </cell>
          <cell r="J204">
            <v>44422158751</v>
          </cell>
          <cell r="K204">
            <v>44907</v>
          </cell>
          <cell r="L204">
            <v>29</v>
          </cell>
          <cell r="M204" t="str">
            <v>EUR</v>
          </cell>
          <cell r="N204">
            <v>2208.96</v>
          </cell>
          <cell r="O204">
            <v>69.03</v>
          </cell>
          <cell r="P204">
            <v>32</v>
          </cell>
          <cell r="Q204">
            <v>32</v>
          </cell>
          <cell r="R204">
            <v>0</v>
          </cell>
        </row>
        <row r="205">
          <cell r="A205" t="str">
            <v>1X4DXX4TB07W7JYP91</v>
          </cell>
          <cell r="B205" t="str">
            <v>Q3-23</v>
          </cell>
          <cell r="C205" t="str">
            <v>Europe Operations OU</v>
          </cell>
          <cell r="D205">
            <v>2674345</v>
          </cell>
          <cell r="E205" t="str">
            <v>Amazon EU SARL, succursale Italiana</v>
          </cell>
          <cell r="F205" t="str">
            <v>1X4DXX4T</v>
          </cell>
          <cell r="G205" t="str">
            <v>B07W7JYP91</v>
          </cell>
          <cell r="H205" t="str">
            <v>910-005720</v>
          </cell>
          <cell r="I205" t="str">
            <v>OE INVOICES</v>
          </cell>
          <cell r="J205">
            <v>44422158782</v>
          </cell>
          <cell r="K205">
            <v>44907</v>
          </cell>
          <cell r="L205">
            <v>12</v>
          </cell>
          <cell r="M205" t="str">
            <v>EUR</v>
          </cell>
          <cell r="N205">
            <v>163.9</v>
          </cell>
          <cell r="O205">
            <v>16.39</v>
          </cell>
          <cell r="P205">
            <v>10</v>
          </cell>
          <cell r="Q205">
            <v>10</v>
          </cell>
          <cell r="R205">
            <v>0</v>
          </cell>
        </row>
        <row r="206">
          <cell r="A206" t="str">
            <v>1X4DXX4TB07W7KBRHZ</v>
          </cell>
          <cell r="B206" t="str">
            <v>Q3-23</v>
          </cell>
          <cell r="C206" t="str">
            <v>Europe Operations OU</v>
          </cell>
          <cell r="D206">
            <v>2674345</v>
          </cell>
          <cell r="E206" t="str">
            <v>Amazon EU SARL, succursale Italiana</v>
          </cell>
          <cell r="F206" t="str">
            <v>1X4DXX4T</v>
          </cell>
          <cell r="G206" t="str">
            <v>B07W7KBRHZ</v>
          </cell>
          <cell r="H206" t="str">
            <v>943-000285</v>
          </cell>
          <cell r="I206" t="str">
            <v>OE INVOICES</v>
          </cell>
          <cell r="J206">
            <v>44422158751</v>
          </cell>
          <cell r="K206">
            <v>44907</v>
          </cell>
          <cell r="L206">
            <v>30</v>
          </cell>
          <cell r="M206" t="str">
            <v>EUR</v>
          </cell>
          <cell r="N206">
            <v>1493.76</v>
          </cell>
          <cell r="O206">
            <v>31.12</v>
          </cell>
          <cell r="P206">
            <v>48</v>
          </cell>
          <cell r="Q206">
            <v>48</v>
          </cell>
          <cell r="R206">
            <v>0</v>
          </cell>
        </row>
        <row r="207">
          <cell r="A207" t="str">
            <v>1X4DXX4TB07W7LHVBL</v>
          </cell>
          <cell r="B207" t="str">
            <v>Q3-23</v>
          </cell>
          <cell r="C207" t="str">
            <v>Europe Operations OU</v>
          </cell>
          <cell r="D207">
            <v>2674345</v>
          </cell>
          <cell r="E207" t="str">
            <v>Amazon EU SARL, succursale Italiana</v>
          </cell>
          <cell r="F207" t="str">
            <v>1X4DXX4T</v>
          </cell>
          <cell r="G207" t="str">
            <v>B07W7LHVBL</v>
          </cell>
          <cell r="H207" t="str">
            <v>910-006129</v>
          </cell>
          <cell r="I207" t="str">
            <v>OE INVOICES</v>
          </cell>
          <cell r="J207">
            <v>44422158782</v>
          </cell>
          <cell r="K207">
            <v>44907</v>
          </cell>
          <cell r="L207">
            <v>13</v>
          </cell>
          <cell r="M207" t="str">
            <v>EUR</v>
          </cell>
          <cell r="N207">
            <v>163.9</v>
          </cell>
          <cell r="O207">
            <v>16.39</v>
          </cell>
          <cell r="P207">
            <v>10</v>
          </cell>
          <cell r="Q207">
            <v>10</v>
          </cell>
          <cell r="R207">
            <v>0</v>
          </cell>
        </row>
        <row r="208">
          <cell r="A208" t="str">
            <v>1X4DXX4TB07W7MNYX5</v>
          </cell>
          <cell r="B208" t="str">
            <v>Q3-23</v>
          </cell>
          <cell r="C208" t="str">
            <v>Europe Operations OU</v>
          </cell>
          <cell r="D208">
            <v>2674345</v>
          </cell>
          <cell r="E208" t="str">
            <v>Amazon EU SARL, succursale Italiana</v>
          </cell>
          <cell r="F208" t="str">
            <v>1X4DXX4T</v>
          </cell>
          <cell r="G208" t="str">
            <v>B07W7MNYX5</v>
          </cell>
          <cell r="H208" t="str">
            <v>910-006753</v>
          </cell>
          <cell r="I208" t="str">
            <v>OE INVOICES</v>
          </cell>
          <cell r="J208">
            <v>44422158751</v>
          </cell>
          <cell r="K208">
            <v>44907</v>
          </cell>
          <cell r="L208">
            <v>31</v>
          </cell>
          <cell r="M208" t="str">
            <v>EUR</v>
          </cell>
          <cell r="N208">
            <v>327.8</v>
          </cell>
          <cell r="O208">
            <v>16.39</v>
          </cell>
          <cell r="P208">
            <v>20</v>
          </cell>
          <cell r="Q208">
            <v>20</v>
          </cell>
          <cell r="R208">
            <v>0</v>
          </cell>
        </row>
        <row r="209">
          <cell r="A209" t="str">
            <v>23FZKHHHB000XUQ2LI</v>
          </cell>
          <cell r="B209" t="str">
            <v>Q3-23</v>
          </cell>
          <cell r="C209" t="str">
            <v>Europe Operations OU</v>
          </cell>
          <cell r="D209">
            <v>2674345</v>
          </cell>
          <cell r="E209" t="str">
            <v>Amazon EU SARL, succursale Italiana</v>
          </cell>
          <cell r="F209" t="str">
            <v>23FZKHHH</v>
          </cell>
          <cell r="G209" t="str">
            <v>B000XUQ2LI</v>
          </cell>
          <cell r="H209" t="str">
            <v>980-000029</v>
          </cell>
          <cell r="I209" t="str">
            <v>OE INVOICES</v>
          </cell>
          <cell r="J209">
            <v>44422130174</v>
          </cell>
          <cell r="K209">
            <v>44888</v>
          </cell>
          <cell r="L209">
            <v>1</v>
          </cell>
          <cell r="M209" t="str">
            <v>EUR</v>
          </cell>
          <cell r="N209">
            <v>562.08000000000004</v>
          </cell>
          <cell r="O209">
            <v>11.71</v>
          </cell>
          <cell r="P209">
            <v>48</v>
          </cell>
          <cell r="Q209">
            <v>48</v>
          </cell>
          <cell r="R209">
            <v>0</v>
          </cell>
        </row>
        <row r="210">
          <cell r="A210" t="str">
            <v>23FZKHHHB005BFCNYU</v>
          </cell>
          <cell r="B210" t="str">
            <v>Q3-23</v>
          </cell>
          <cell r="C210" t="str">
            <v>Europe Operations OU</v>
          </cell>
          <cell r="D210">
            <v>2674345</v>
          </cell>
          <cell r="E210" t="str">
            <v>Amazon EU SARL, succursale Italiana</v>
          </cell>
          <cell r="F210" t="str">
            <v>23FZKHHH</v>
          </cell>
          <cell r="G210" t="str">
            <v>B005BFCNYU</v>
          </cell>
          <cell r="H210" t="str">
            <v>981-000406</v>
          </cell>
          <cell r="I210" t="str">
            <v>OE INVOICES</v>
          </cell>
          <cell r="J210">
            <v>44422130174</v>
          </cell>
          <cell r="K210">
            <v>44888</v>
          </cell>
          <cell r="L210">
            <v>2</v>
          </cell>
          <cell r="M210" t="str">
            <v>EUR</v>
          </cell>
          <cell r="N210">
            <v>12180.48</v>
          </cell>
          <cell r="O210">
            <v>29.28</v>
          </cell>
          <cell r="P210">
            <v>416</v>
          </cell>
          <cell r="Q210">
            <v>416</v>
          </cell>
          <cell r="R210">
            <v>0</v>
          </cell>
        </row>
        <row r="211">
          <cell r="A211" t="str">
            <v>23FZKHHHB07W5JKLRF</v>
          </cell>
          <cell r="B211" t="str">
            <v>Q3-23</v>
          </cell>
          <cell r="C211" t="str">
            <v>Europe Operations OU</v>
          </cell>
          <cell r="D211">
            <v>2674345</v>
          </cell>
          <cell r="E211" t="str">
            <v>Amazon EU SARL, succursale Italiana</v>
          </cell>
          <cell r="F211" t="str">
            <v>23FZKHHH</v>
          </cell>
          <cell r="G211" t="str">
            <v>B07W5JKLRF</v>
          </cell>
          <cell r="H211" t="str">
            <v>939-002064</v>
          </cell>
          <cell r="I211" t="str">
            <v>OE INVOICES</v>
          </cell>
          <cell r="J211">
            <v>44422130174</v>
          </cell>
          <cell r="K211">
            <v>44888</v>
          </cell>
          <cell r="L211">
            <v>3</v>
          </cell>
          <cell r="M211" t="str">
            <v>EUR</v>
          </cell>
          <cell r="N211">
            <v>179.8</v>
          </cell>
          <cell r="O211">
            <v>44.95</v>
          </cell>
          <cell r="P211">
            <v>4</v>
          </cell>
          <cell r="Q211">
            <v>4</v>
          </cell>
          <cell r="R211">
            <v>0</v>
          </cell>
        </row>
        <row r="212">
          <cell r="A212" t="str">
            <v>23FZKHHHB07W5JKT4S</v>
          </cell>
          <cell r="B212" t="str">
            <v>Q3-23</v>
          </cell>
          <cell r="C212" t="str">
            <v>Europe Operations OU</v>
          </cell>
          <cell r="D212">
            <v>2674345</v>
          </cell>
          <cell r="E212" t="str">
            <v>Amazon EU SARL, succursale Italiana</v>
          </cell>
          <cell r="F212" t="str">
            <v>23FZKHHH</v>
          </cell>
          <cell r="G212" t="str">
            <v>B07W5JKT4S</v>
          </cell>
          <cell r="H212" t="str">
            <v>943-000458</v>
          </cell>
          <cell r="I212" t="str">
            <v>OE INVOICES</v>
          </cell>
          <cell r="J212">
            <v>44422130174</v>
          </cell>
          <cell r="K212">
            <v>44888</v>
          </cell>
          <cell r="L212">
            <v>4</v>
          </cell>
          <cell r="M212" t="str">
            <v>EUR</v>
          </cell>
          <cell r="N212">
            <v>105.48</v>
          </cell>
          <cell r="O212">
            <v>26.37</v>
          </cell>
          <cell r="P212">
            <v>4</v>
          </cell>
          <cell r="Q212">
            <v>4</v>
          </cell>
          <cell r="R212">
            <v>0</v>
          </cell>
        </row>
        <row r="213">
          <cell r="A213" t="str">
            <v>23FZKHHHB07W6HDNPF</v>
          </cell>
          <cell r="B213" t="str">
            <v>Q3-23</v>
          </cell>
          <cell r="C213" t="str">
            <v>Europe Operations OU</v>
          </cell>
          <cell r="D213">
            <v>2674345</v>
          </cell>
          <cell r="E213" t="str">
            <v>Amazon EU SARL, succursale Italiana</v>
          </cell>
          <cell r="F213" t="str">
            <v>23FZKHHH</v>
          </cell>
          <cell r="G213" t="str">
            <v>B07W6HDNPF</v>
          </cell>
          <cell r="H213" t="str">
            <v>939-002047</v>
          </cell>
          <cell r="I213" t="str">
            <v>OE INVOICES</v>
          </cell>
          <cell r="J213">
            <v>44422130174</v>
          </cell>
          <cell r="K213">
            <v>44888</v>
          </cell>
          <cell r="L213">
            <v>5</v>
          </cell>
          <cell r="M213" t="str">
            <v>EUR</v>
          </cell>
          <cell r="N213">
            <v>539.4</v>
          </cell>
          <cell r="O213">
            <v>44.95</v>
          </cell>
          <cell r="P213">
            <v>12</v>
          </cell>
          <cell r="Q213">
            <v>12</v>
          </cell>
          <cell r="R213">
            <v>0</v>
          </cell>
        </row>
        <row r="214">
          <cell r="A214" t="str">
            <v>23FZKHHHB07W6HDNPG</v>
          </cell>
          <cell r="B214" t="str">
            <v>Q3-23</v>
          </cell>
          <cell r="C214" t="str">
            <v>Europe Operations OU</v>
          </cell>
          <cell r="D214">
            <v>2674345</v>
          </cell>
          <cell r="E214" t="str">
            <v>Amazon EU SARL, succursale Italiana</v>
          </cell>
          <cell r="F214" t="str">
            <v>23FZKHHH</v>
          </cell>
          <cell r="G214" t="str">
            <v>B07W6HDNPG</v>
          </cell>
          <cell r="H214" t="str">
            <v>939-002057</v>
          </cell>
          <cell r="I214" t="str">
            <v>OE INVOICES</v>
          </cell>
          <cell r="J214">
            <v>44422130174</v>
          </cell>
          <cell r="K214">
            <v>44888</v>
          </cell>
          <cell r="L214">
            <v>6</v>
          </cell>
          <cell r="M214" t="str">
            <v>EUR</v>
          </cell>
          <cell r="N214">
            <v>1977.8</v>
          </cell>
          <cell r="O214">
            <v>44.95</v>
          </cell>
          <cell r="P214">
            <v>44</v>
          </cell>
          <cell r="Q214">
            <v>44</v>
          </cell>
          <cell r="R214">
            <v>0</v>
          </cell>
        </row>
        <row r="215">
          <cell r="A215" t="str">
            <v>23FZKHHHB07W6HFDR8</v>
          </cell>
          <cell r="B215" t="str">
            <v>Q3-23</v>
          </cell>
          <cell r="C215" t="str">
            <v>Europe Operations OU</v>
          </cell>
          <cell r="D215">
            <v>2674345</v>
          </cell>
          <cell r="E215" t="str">
            <v>Amazon EU SARL, succursale Italiana</v>
          </cell>
          <cell r="F215" t="str">
            <v>23FZKHHH</v>
          </cell>
          <cell r="G215" t="str">
            <v>B07W6HFDR8</v>
          </cell>
          <cell r="H215" t="str">
            <v>943-000457</v>
          </cell>
          <cell r="I215" t="str">
            <v>OE INVOICES</v>
          </cell>
          <cell r="J215">
            <v>44422130174</v>
          </cell>
          <cell r="K215">
            <v>44888</v>
          </cell>
          <cell r="L215">
            <v>7</v>
          </cell>
          <cell r="M215" t="str">
            <v>EUR</v>
          </cell>
          <cell r="N215">
            <v>105.48</v>
          </cell>
          <cell r="O215">
            <v>26.37</v>
          </cell>
          <cell r="P215">
            <v>4</v>
          </cell>
          <cell r="Q215">
            <v>4</v>
          </cell>
          <cell r="R215">
            <v>0</v>
          </cell>
        </row>
        <row r="216">
          <cell r="A216" t="str">
            <v>23FZKHHHB07W6JNK1Z</v>
          </cell>
          <cell r="B216" t="str">
            <v>Q3-23</v>
          </cell>
          <cell r="C216" t="str">
            <v>Europe Operations OU</v>
          </cell>
          <cell r="D216">
            <v>2674345</v>
          </cell>
          <cell r="E216" t="str">
            <v>Amazon EU SARL, succursale Italiana</v>
          </cell>
          <cell r="F216" t="str">
            <v>23FZKHHH</v>
          </cell>
          <cell r="G216" t="str">
            <v>B07W6JNK1Z</v>
          </cell>
          <cell r="H216" t="str">
            <v>981-001018</v>
          </cell>
          <cell r="I216" t="str">
            <v>OE INVOICES</v>
          </cell>
          <cell r="J216">
            <v>44422130174</v>
          </cell>
          <cell r="K216">
            <v>44888</v>
          </cell>
          <cell r="L216">
            <v>8</v>
          </cell>
          <cell r="M216" t="str">
            <v>EUR</v>
          </cell>
          <cell r="N216">
            <v>158.24</v>
          </cell>
          <cell r="O216">
            <v>39.56</v>
          </cell>
          <cell r="P216">
            <v>4</v>
          </cell>
          <cell r="Q216">
            <v>4</v>
          </cell>
          <cell r="R216">
            <v>0</v>
          </cell>
        </row>
        <row r="217">
          <cell r="A217" t="str">
            <v>23FZKHHHB07W7KB8L6</v>
          </cell>
          <cell r="B217" t="str">
            <v>Q3-23</v>
          </cell>
          <cell r="C217" t="str">
            <v>Europe Operations OU</v>
          </cell>
          <cell r="D217">
            <v>2674345</v>
          </cell>
          <cell r="E217" t="str">
            <v>Amazon EU SARL, succursale Italiana</v>
          </cell>
          <cell r="F217" t="str">
            <v>23FZKHHH</v>
          </cell>
          <cell r="G217" t="str">
            <v>B07W7KB8L6</v>
          </cell>
          <cell r="H217" t="str">
            <v>960-001364</v>
          </cell>
          <cell r="I217" t="str">
            <v>OE INVOICES</v>
          </cell>
          <cell r="J217">
            <v>44422130174</v>
          </cell>
          <cell r="K217">
            <v>44888</v>
          </cell>
          <cell r="L217">
            <v>9</v>
          </cell>
          <cell r="M217" t="str">
            <v>EUR</v>
          </cell>
          <cell r="N217">
            <v>4263.84</v>
          </cell>
          <cell r="O217">
            <v>38.07</v>
          </cell>
          <cell r="P217">
            <v>112</v>
          </cell>
          <cell r="Q217">
            <v>112</v>
          </cell>
          <cell r="R217">
            <v>0</v>
          </cell>
        </row>
        <row r="218">
          <cell r="A218" t="str">
            <v>23IZV8AJB006T02YRM</v>
          </cell>
          <cell r="B218" t="str">
            <v>Q3-23</v>
          </cell>
          <cell r="C218" t="str">
            <v>Europe Operations OU</v>
          </cell>
          <cell r="D218">
            <v>2674345</v>
          </cell>
          <cell r="E218" t="str">
            <v>Amazon EU SARL, succursale Italiana</v>
          </cell>
          <cell r="F218" t="str">
            <v>23IZV8AJ</v>
          </cell>
          <cell r="G218" t="str">
            <v>B006T02YRM</v>
          </cell>
          <cell r="H218" t="str">
            <v>920-003052</v>
          </cell>
          <cell r="I218" t="str">
            <v>OE INVOICES</v>
          </cell>
          <cell r="J218">
            <v>44422122425</v>
          </cell>
          <cell r="K218">
            <v>44882</v>
          </cell>
          <cell r="L218">
            <v>1</v>
          </cell>
          <cell r="M218" t="str">
            <v>EUR</v>
          </cell>
          <cell r="N218">
            <v>3372.48</v>
          </cell>
          <cell r="O218">
            <v>23.42</v>
          </cell>
          <cell r="P218">
            <v>144</v>
          </cell>
          <cell r="Q218">
            <v>144</v>
          </cell>
          <cell r="R218">
            <v>0</v>
          </cell>
        </row>
        <row r="219">
          <cell r="A219" t="str">
            <v>23IZV8AJB00A389JEW</v>
          </cell>
          <cell r="B219" t="str">
            <v>Q3-23</v>
          </cell>
          <cell r="C219" t="str">
            <v>Europe Operations OU</v>
          </cell>
          <cell r="D219">
            <v>2674345</v>
          </cell>
          <cell r="E219" t="str">
            <v>Amazon EU SARL, succursale Italiana</v>
          </cell>
          <cell r="F219" t="str">
            <v>23IZV8AJ</v>
          </cell>
          <cell r="G219" t="str">
            <v>B00A389JEW</v>
          </cell>
          <cell r="H219" t="str">
            <v>920-004483</v>
          </cell>
          <cell r="I219" t="str">
            <v>OE INVOICES</v>
          </cell>
          <cell r="J219">
            <v>44422122425</v>
          </cell>
          <cell r="K219">
            <v>44882</v>
          </cell>
          <cell r="L219">
            <v>2</v>
          </cell>
          <cell r="M219" t="str">
            <v>EUR</v>
          </cell>
          <cell r="N219">
            <v>286.93</v>
          </cell>
          <cell r="O219">
            <v>40.99</v>
          </cell>
          <cell r="P219">
            <v>7</v>
          </cell>
          <cell r="Q219">
            <v>7</v>
          </cell>
          <cell r="R219">
            <v>0</v>
          </cell>
        </row>
        <row r="220">
          <cell r="A220" t="str">
            <v>23IZV8AJB013Y78YY4</v>
          </cell>
          <cell r="B220" t="str">
            <v>Q3-23</v>
          </cell>
          <cell r="C220" t="str">
            <v>Europe Operations OU</v>
          </cell>
          <cell r="D220">
            <v>2674345</v>
          </cell>
          <cell r="E220" t="str">
            <v>Amazon EU SARL, succursale Italiana</v>
          </cell>
          <cell r="F220" t="str">
            <v>23IZV8AJ</v>
          </cell>
          <cell r="G220" t="str">
            <v>B013Y78YY4</v>
          </cell>
          <cell r="H220" t="str">
            <v>941-000124</v>
          </cell>
          <cell r="I220" t="str">
            <v>OE INVOICES</v>
          </cell>
          <cell r="J220">
            <v>44422157525</v>
          </cell>
          <cell r="K220">
            <v>44904</v>
          </cell>
          <cell r="L220">
            <v>1</v>
          </cell>
          <cell r="M220" t="str">
            <v>EUR</v>
          </cell>
          <cell r="N220">
            <v>210.52</v>
          </cell>
          <cell r="O220">
            <v>210.52</v>
          </cell>
          <cell r="P220">
            <v>1</v>
          </cell>
          <cell r="Q220">
            <v>1</v>
          </cell>
          <cell r="R220">
            <v>0</v>
          </cell>
        </row>
        <row r="221">
          <cell r="A221" t="str">
            <v>23IZV8AJB01E8TBT76</v>
          </cell>
          <cell r="B221" t="str">
            <v>Q3-23</v>
          </cell>
          <cell r="C221" t="str">
            <v>Europe Operations OU</v>
          </cell>
          <cell r="D221">
            <v>2674345</v>
          </cell>
          <cell r="E221" t="str">
            <v>Amazon EU SARL, succursale Italiana</v>
          </cell>
          <cell r="F221" t="str">
            <v>23IZV8AJ</v>
          </cell>
          <cell r="G221" t="str">
            <v>B01E8TBT76</v>
          </cell>
          <cell r="H221" t="str">
            <v>920-007921</v>
          </cell>
          <cell r="I221" t="str">
            <v>OE INVOICES</v>
          </cell>
          <cell r="J221">
            <v>44422122425</v>
          </cell>
          <cell r="K221">
            <v>44882</v>
          </cell>
          <cell r="L221">
            <v>3</v>
          </cell>
          <cell r="M221" t="str">
            <v>EUR</v>
          </cell>
          <cell r="N221">
            <v>187.36</v>
          </cell>
          <cell r="O221">
            <v>23.42</v>
          </cell>
          <cell r="P221">
            <v>8</v>
          </cell>
          <cell r="Q221">
            <v>8</v>
          </cell>
          <cell r="R221">
            <v>0</v>
          </cell>
        </row>
        <row r="222">
          <cell r="A222" t="str">
            <v>23IZV8AJB079YGFNC7</v>
          </cell>
          <cell r="B222" t="str">
            <v>Q3-23</v>
          </cell>
          <cell r="C222" t="str">
            <v>Europe Operations OU</v>
          </cell>
          <cell r="D222">
            <v>2674345</v>
          </cell>
          <cell r="E222" t="str">
            <v>Amazon EU SARL, succursale Italiana</v>
          </cell>
          <cell r="F222" t="str">
            <v>23IZV8AJ</v>
          </cell>
          <cell r="G222" t="str">
            <v>B079YGFNC7</v>
          </cell>
          <cell r="H222" t="str">
            <v>920-008677</v>
          </cell>
          <cell r="I222" t="str">
            <v>OE INVOICES</v>
          </cell>
          <cell r="J222">
            <v>44422122425</v>
          </cell>
          <cell r="K222">
            <v>44882</v>
          </cell>
          <cell r="L222">
            <v>4</v>
          </cell>
          <cell r="M222" t="str">
            <v>EUR</v>
          </cell>
          <cell r="N222">
            <v>175.68</v>
          </cell>
          <cell r="O222">
            <v>43.92</v>
          </cell>
          <cell r="P222">
            <v>4</v>
          </cell>
          <cell r="Q222">
            <v>4</v>
          </cell>
          <cell r="R222">
            <v>0</v>
          </cell>
        </row>
        <row r="223">
          <cell r="A223" t="str">
            <v>23IZV8AJB07W6H9L5G</v>
          </cell>
          <cell r="B223" t="str">
            <v>Q3-23</v>
          </cell>
          <cell r="C223" t="str">
            <v>Europe Operations OU</v>
          </cell>
          <cell r="D223">
            <v>2674345</v>
          </cell>
          <cell r="E223" t="str">
            <v>Amazon EU SARL, succursale Italiana</v>
          </cell>
          <cell r="F223" t="str">
            <v>23IZV8AJ</v>
          </cell>
          <cell r="G223" t="str">
            <v>B07W6H9L5G</v>
          </cell>
          <cell r="H223" t="str">
            <v>941-000160</v>
          </cell>
          <cell r="I223" t="str">
            <v>OE INVOICES</v>
          </cell>
          <cell r="J223">
            <v>44422157525</v>
          </cell>
          <cell r="K223">
            <v>44904</v>
          </cell>
          <cell r="L223">
            <v>2</v>
          </cell>
          <cell r="M223" t="str">
            <v>EUR</v>
          </cell>
          <cell r="N223">
            <v>17683.68</v>
          </cell>
          <cell r="O223">
            <v>210.52</v>
          </cell>
          <cell r="P223">
            <v>84</v>
          </cell>
          <cell r="Q223">
            <v>84</v>
          </cell>
          <cell r="R223">
            <v>0</v>
          </cell>
        </row>
        <row r="224">
          <cell r="A224" t="str">
            <v>243WWSUAB003ZY9Z40</v>
          </cell>
          <cell r="B224" t="str">
            <v>Q3-23</v>
          </cell>
          <cell r="C224" t="str">
            <v>Europe Operations OU</v>
          </cell>
          <cell r="D224">
            <v>2674345</v>
          </cell>
          <cell r="E224" t="str">
            <v>Amazon EU SARL, succursale Italiana</v>
          </cell>
          <cell r="F224" t="str">
            <v>243WWSUA</v>
          </cell>
          <cell r="G224" t="str">
            <v>B003ZY9Z40</v>
          </cell>
          <cell r="H224" t="str">
            <v>920-002524</v>
          </cell>
          <cell r="I224" t="str">
            <v>OE INVOICES</v>
          </cell>
          <cell r="J224">
            <v>44422177160</v>
          </cell>
          <cell r="K224">
            <v>44922</v>
          </cell>
          <cell r="L224">
            <v>1</v>
          </cell>
          <cell r="M224" t="str">
            <v>EUR</v>
          </cell>
          <cell r="N224">
            <v>187.2</v>
          </cell>
          <cell r="O224">
            <v>9.36</v>
          </cell>
          <cell r="P224">
            <v>20</v>
          </cell>
          <cell r="Q224">
            <v>20</v>
          </cell>
          <cell r="R224">
            <v>0</v>
          </cell>
        </row>
        <row r="225">
          <cell r="A225" t="str">
            <v>243WWSUAB0055ZWOZ4</v>
          </cell>
          <cell r="B225" t="str">
            <v>Q3-23</v>
          </cell>
          <cell r="C225" t="str">
            <v>Europe Operations OU</v>
          </cell>
          <cell r="D225">
            <v>2674345</v>
          </cell>
          <cell r="E225" t="str">
            <v>Amazon EU SARL, succursale Italiana</v>
          </cell>
          <cell r="F225" t="str">
            <v>243WWSUA</v>
          </cell>
          <cell r="G225" t="str">
            <v>B0055ZWOZ4</v>
          </cell>
          <cell r="H225" t="str">
            <v>920-002921</v>
          </cell>
          <cell r="I225" t="str">
            <v>OE INVOICES</v>
          </cell>
          <cell r="J225">
            <v>44422177160</v>
          </cell>
          <cell r="K225">
            <v>44922</v>
          </cell>
          <cell r="L225">
            <v>2</v>
          </cell>
          <cell r="M225" t="str">
            <v>EUR</v>
          </cell>
          <cell r="N225">
            <v>257.68</v>
          </cell>
          <cell r="O225">
            <v>64.42</v>
          </cell>
          <cell r="P225">
            <v>4</v>
          </cell>
          <cell r="Q225">
            <v>4</v>
          </cell>
          <cell r="R225">
            <v>0</v>
          </cell>
        </row>
        <row r="226">
          <cell r="A226" t="str">
            <v>243WWSUAB007Z0YCEI</v>
          </cell>
          <cell r="B226" t="str">
            <v>Q3-23</v>
          </cell>
          <cell r="C226" t="str">
            <v>Europe Operations OU</v>
          </cell>
          <cell r="D226">
            <v>2674345</v>
          </cell>
          <cell r="E226" t="str">
            <v>Amazon EU SARL, succursale Italiana</v>
          </cell>
          <cell r="F226" t="str">
            <v>243WWSUA</v>
          </cell>
          <cell r="G226" t="str">
            <v>B007Z0YCEI</v>
          </cell>
          <cell r="H226" t="str">
            <v>920-003158</v>
          </cell>
          <cell r="I226" t="str">
            <v>OE INVOICES</v>
          </cell>
          <cell r="J226">
            <v>44422177160</v>
          </cell>
          <cell r="K226">
            <v>44922</v>
          </cell>
          <cell r="L226">
            <v>3</v>
          </cell>
          <cell r="M226" t="str">
            <v>EUR</v>
          </cell>
          <cell r="N226">
            <v>656</v>
          </cell>
          <cell r="O226">
            <v>20.5</v>
          </cell>
          <cell r="P226">
            <v>32</v>
          </cell>
          <cell r="Q226">
            <v>32</v>
          </cell>
          <cell r="R226">
            <v>0</v>
          </cell>
        </row>
        <row r="227">
          <cell r="A227" t="str">
            <v>243WWSUAB0094QSF8U</v>
          </cell>
          <cell r="B227" t="str">
            <v>Q3-23</v>
          </cell>
          <cell r="C227" t="str">
            <v>Europe Operations OU</v>
          </cell>
          <cell r="D227">
            <v>2674345</v>
          </cell>
          <cell r="E227" t="str">
            <v>Amazon EU SARL, succursale Italiana</v>
          </cell>
          <cell r="F227" t="str">
            <v>243WWSUA</v>
          </cell>
          <cell r="G227" t="str">
            <v>B0094QSF8U</v>
          </cell>
          <cell r="H227" t="str">
            <v>920-002645</v>
          </cell>
          <cell r="I227" t="str">
            <v>OE INVOICES</v>
          </cell>
          <cell r="J227">
            <v>44422177160</v>
          </cell>
          <cell r="K227">
            <v>44922</v>
          </cell>
          <cell r="L227">
            <v>4</v>
          </cell>
          <cell r="M227" t="str">
            <v>EUR</v>
          </cell>
          <cell r="N227">
            <v>93.6</v>
          </cell>
          <cell r="O227">
            <v>9.36</v>
          </cell>
          <cell r="P227">
            <v>10</v>
          </cell>
          <cell r="Q227">
            <v>10</v>
          </cell>
          <cell r="R227">
            <v>0</v>
          </cell>
        </row>
        <row r="228">
          <cell r="A228" t="str">
            <v>243WWSUAB009QZ3TO4</v>
          </cell>
          <cell r="B228" t="str">
            <v>Q3-23</v>
          </cell>
          <cell r="C228" t="str">
            <v>Europe Operations OU</v>
          </cell>
          <cell r="D228">
            <v>2674345</v>
          </cell>
          <cell r="E228" t="str">
            <v>Amazon EU SARL, succursale Italiana</v>
          </cell>
          <cell r="F228" t="str">
            <v>243WWSUA</v>
          </cell>
          <cell r="G228" t="str">
            <v>B009QZ3TO4</v>
          </cell>
          <cell r="H228" t="str">
            <v>920-003989</v>
          </cell>
          <cell r="I228" t="str">
            <v>OE INVOICES</v>
          </cell>
          <cell r="J228">
            <v>44422177160</v>
          </cell>
          <cell r="K228">
            <v>44922</v>
          </cell>
          <cell r="L228">
            <v>5</v>
          </cell>
          <cell r="M228" t="str">
            <v>EUR</v>
          </cell>
          <cell r="N228">
            <v>140.52000000000001</v>
          </cell>
          <cell r="O228">
            <v>35.130000000000003</v>
          </cell>
          <cell r="P228">
            <v>4</v>
          </cell>
          <cell r="Q228">
            <v>4</v>
          </cell>
          <cell r="R228">
            <v>0</v>
          </cell>
        </row>
        <row r="229">
          <cell r="A229" t="str">
            <v>243WWSUAB00DN1D1MW</v>
          </cell>
          <cell r="B229" t="str">
            <v>Q3-23</v>
          </cell>
          <cell r="C229" t="str">
            <v>Europe Operations OU</v>
          </cell>
          <cell r="D229">
            <v>2674345</v>
          </cell>
          <cell r="E229" t="str">
            <v>Amazon EU SARL, succursale Italiana</v>
          </cell>
          <cell r="F229" t="str">
            <v>243WWSUA</v>
          </cell>
          <cell r="G229" t="str">
            <v>B00DN1D1MW</v>
          </cell>
          <cell r="H229" t="str">
            <v>920-004508</v>
          </cell>
          <cell r="I229" t="str">
            <v>OE INVOICES</v>
          </cell>
          <cell r="J229">
            <v>44422177160</v>
          </cell>
          <cell r="K229">
            <v>44922</v>
          </cell>
          <cell r="L229">
            <v>6</v>
          </cell>
          <cell r="M229" t="str">
            <v>EUR</v>
          </cell>
          <cell r="N229">
            <v>158.1</v>
          </cell>
          <cell r="O229">
            <v>26.35</v>
          </cell>
          <cell r="P229">
            <v>6</v>
          </cell>
          <cell r="Q229">
            <v>6</v>
          </cell>
          <cell r="R229">
            <v>0</v>
          </cell>
        </row>
        <row r="230">
          <cell r="A230" t="str">
            <v>243WWSUAB00EJ3RMDM</v>
          </cell>
          <cell r="B230" t="str">
            <v>Q3-23</v>
          </cell>
          <cell r="C230" t="str">
            <v>Europe Operations OU</v>
          </cell>
          <cell r="D230">
            <v>2674345</v>
          </cell>
          <cell r="E230" t="str">
            <v>Amazon EU SARL, succursale Italiana</v>
          </cell>
          <cell r="F230" t="str">
            <v>243WWSUA</v>
          </cell>
          <cell r="G230" t="str">
            <v>B00EJ3RMDM</v>
          </cell>
          <cell r="H230" t="str">
            <v>920-005210</v>
          </cell>
          <cell r="I230" t="str">
            <v>OE INVOICES</v>
          </cell>
          <cell r="J230">
            <v>44422177160</v>
          </cell>
          <cell r="K230">
            <v>44922</v>
          </cell>
          <cell r="L230">
            <v>7</v>
          </cell>
          <cell r="M230" t="str">
            <v>EUR</v>
          </cell>
          <cell r="N230">
            <v>163.9</v>
          </cell>
          <cell r="O230">
            <v>16.39</v>
          </cell>
          <cell r="P230">
            <v>10</v>
          </cell>
          <cell r="Q230">
            <v>10</v>
          </cell>
          <cell r="R230">
            <v>0</v>
          </cell>
        </row>
        <row r="231">
          <cell r="A231" t="str">
            <v>243WWSUAB016QPMN84</v>
          </cell>
          <cell r="B231" t="str">
            <v>Q3-23</v>
          </cell>
          <cell r="C231" t="str">
            <v>Europe Operations OU</v>
          </cell>
          <cell r="D231">
            <v>2674345</v>
          </cell>
          <cell r="E231" t="str">
            <v>Amazon EU SARL, succursale Italiana</v>
          </cell>
          <cell r="F231" t="str">
            <v>243WWSUA</v>
          </cell>
          <cell r="G231" t="str">
            <v>B016QPMN84</v>
          </cell>
          <cell r="H231" t="str">
            <v>920-006483</v>
          </cell>
          <cell r="I231" t="str">
            <v>OE INVOICES</v>
          </cell>
          <cell r="J231">
            <v>44422177160</v>
          </cell>
          <cell r="K231">
            <v>44922</v>
          </cell>
          <cell r="L231">
            <v>8</v>
          </cell>
          <cell r="M231" t="str">
            <v>EUR</v>
          </cell>
          <cell r="N231">
            <v>281.04000000000002</v>
          </cell>
          <cell r="O231">
            <v>35.130000000000003</v>
          </cell>
          <cell r="P231">
            <v>8</v>
          </cell>
          <cell r="Q231">
            <v>8</v>
          </cell>
          <cell r="R231">
            <v>0</v>
          </cell>
        </row>
        <row r="232">
          <cell r="A232" t="str">
            <v>243WWSUAB01C47ZFLK</v>
          </cell>
          <cell r="B232" t="str">
            <v>Q3-23</v>
          </cell>
          <cell r="C232" t="str">
            <v>Europe Operations OU</v>
          </cell>
          <cell r="D232">
            <v>2674345</v>
          </cell>
          <cell r="E232" t="str">
            <v>Amazon EU SARL, succursale Italiana</v>
          </cell>
          <cell r="F232" t="str">
            <v>243WWSUA</v>
          </cell>
          <cell r="G232" t="str">
            <v>B01C47ZFLK</v>
          </cell>
          <cell r="H232" t="str">
            <v>920-007913</v>
          </cell>
          <cell r="I232" t="str">
            <v>OE INVOICES</v>
          </cell>
          <cell r="J232">
            <v>44422177160</v>
          </cell>
          <cell r="K232">
            <v>44922</v>
          </cell>
          <cell r="L232">
            <v>9</v>
          </cell>
          <cell r="M232" t="str">
            <v>EUR</v>
          </cell>
          <cell r="N232">
            <v>374.72</v>
          </cell>
          <cell r="O232">
            <v>23.42</v>
          </cell>
          <cell r="P232">
            <v>16</v>
          </cell>
          <cell r="Q232">
            <v>16</v>
          </cell>
          <cell r="R232">
            <v>0</v>
          </cell>
        </row>
        <row r="233">
          <cell r="A233" t="str">
            <v>243WWSUAB01DKGAQNG</v>
          </cell>
          <cell r="B233" t="str">
            <v>Q3-23</v>
          </cell>
          <cell r="C233" t="str">
            <v>Europe Operations OU</v>
          </cell>
          <cell r="D233">
            <v>2674345</v>
          </cell>
          <cell r="E233" t="str">
            <v>Amazon EU SARL, succursale Italiana</v>
          </cell>
          <cell r="F233" t="str">
            <v>243WWSUA</v>
          </cell>
          <cell r="G233" t="str">
            <v>B01DKGAQNG</v>
          </cell>
          <cell r="H233" t="str">
            <v>920-008031</v>
          </cell>
          <cell r="I233" t="str">
            <v>OE INVOICES</v>
          </cell>
          <cell r="J233">
            <v>44422177160</v>
          </cell>
          <cell r="K233">
            <v>44922</v>
          </cell>
          <cell r="L233">
            <v>10</v>
          </cell>
          <cell r="M233" t="str">
            <v>EUR</v>
          </cell>
          <cell r="N233">
            <v>187.36</v>
          </cell>
          <cell r="O233">
            <v>23.42</v>
          </cell>
          <cell r="P233">
            <v>8</v>
          </cell>
          <cell r="Q233">
            <v>8</v>
          </cell>
          <cell r="R233">
            <v>0</v>
          </cell>
        </row>
        <row r="234">
          <cell r="A234" t="str">
            <v>243WWSUAB01MT5WLHY</v>
          </cell>
          <cell r="B234" t="str">
            <v>Q3-23</v>
          </cell>
          <cell r="C234" t="str">
            <v>Europe Operations OU</v>
          </cell>
          <cell r="D234">
            <v>2674345</v>
          </cell>
          <cell r="E234" t="str">
            <v>Amazon EU SARL, succursale Italiana</v>
          </cell>
          <cell r="F234" t="str">
            <v>243WWSUA</v>
          </cell>
          <cell r="G234" t="str">
            <v>B01MT5WLHY</v>
          </cell>
          <cell r="H234" t="str">
            <v>920-008224</v>
          </cell>
          <cell r="I234" t="str">
            <v>OE INVOICES</v>
          </cell>
          <cell r="J234">
            <v>44422177160</v>
          </cell>
          <cell r="K234">
            <v>44922</v>
          </cell>
          <cell r="L234">
            <v>11</v>
          </cell>
          <cell r="M234" t="str">
            <v>EUR</v>
          </cell>
          <cell r="N234">
            <v>1508.2</v>
          </cell>
          <cell r="O234">
            <v>75.41</v>
          </cell>
          <cell r="P234">
            <v>20</v>
          </cell>
          <cell r="Q234">
            <v>20</v>
          </cell>
          <cell r="R234">
            <v>0</v>
          </cell>
        </row>
        <row r="235">
          <cell r="A235" t="str">
            <v>243WWSUAB077BT728N</v>
          </cell>
          <cell r="B235" t="str">
            <v>Q3-23</v>
          </cell>
          <cell r="C235" t="str">
            <v>Europe Operations OU</v>
          </cell>
          <cell r="D235">
            <v>2674345</v>
          </cell>
          <cell r="E235" t="str">
            <v>Amazon EU SARL, succursale Italiana</v>
          </cell>
          <cell r="F235" t="str">
            <v>243WWSUA</v>
          </cell>
          <cell r="G235" t="str">
            <v>B077BT728N</v>
          </cell>
          <cell r="H235" t="str">
            <v>920-008669</v>
          </cell>
          <cell r="I235" t="str">
            <v>OE INVOICES</v>
          </cell>
          <cell r="J235">
            <v>44422177160</v>
          </cell>
          <cell r="K235">
            <v>44922</v>
          </cell>
          <cell r="L235">
            <v>12</v>
          </cell>
          <cell r="M235" t="str">
            <v>EUR</v>
          </cell>
          <cell r="N235">
            <v>1802.9</v>
          </cell>
          <cell r="O235">
            <v>16.39</v>
          </cell>
          <cell r="P235">
            <v>110</v>
          </cell>
          <cell r="Q235">
            <v>110</v>
          </cell>
          <cell r="R235">
            <v>0</v>
          </cell>
        </row>
        <row r="236">
          <cell r="A236" t="str">
            <v>243WWSUAB0797JRLQC</v>
          </cell>
          <cell r="B236" t="str">
            <v>Q3-23</v>
          </cell>
          <cell r="C236" t="str">
            <v>Europe Operations OU</v>
          </cell>
          <cell r="D236">
            <v>2674345</v>
          </cell>
          <cell r="E236" t="str">
            <v>Amazon EU SARL, succursale Italiana</v>
          </cell>
          <cell r="F236" t="str">
            <v>243WWSUA</v>
          </cell>
          <cell r="G236" t="str">
            <v>B0797JRLQC</v>
          </cell>
          <cell r="H236" t="str">
            <v>920-008684</v>
          </cell>
          <cell r="I236" t="str">
            <v>OE INVOICES</v>
          </cell>
          <cell r="J236">
            <v>44422177160</v>
          </cell>
          <cell r="K236">
            <v>44922</v>
          </cell>
          <cell r="L236">
            <v>13</v>
          </cell>
          <cell r="M236" t="str">
            <v>EUR</v>
          </cell>
          <cell r="N236">
            <v>2283.84</v>
          </cell>
          <cell r="O236">
            <v>43.92</v>
          </cell>
          <cell r="P236">
            <v>52</v>
          </cell>
          <cell r="Q236">
            <v>52</v>
          </cell>
          <cell r="R236">
            <v>0</v>
          </cell>
        </row>
        <row r="237">
          <cell r="A237" t="str">
            <v>243WWSUAB07DFWGKZ4</v>
          </cell>
          <cell r="B237" t="str">
            <v>Q3-23</v>
          </cell>
          <cell r="C237" t="str">
            <v>Europe Operations OU</v>
          </cell>
          <cell r="D237">
            <v>2674345</v>
          </cell>
          <cell r="E237" t="str">
            <v>Amazon EU SARL, succursale Italiana</v>
          </cell>
          <cell r="F237" t="str">
            <v>243WWSUA</v>
          </cell>
          <cell r="G237" t="str">
            <v>B07DFWGKZ4</v>
          </cell>
          <cell r="H237" t="str">
            <v>920-008932</v>
          </cell>
          <cell r="I237" t="str">
            <v>OE INVOICES</v>
          </cell>
          <cell r="J237">
            <v>44422177160</v>
          </cell>
          <cell r="K237">
            <v>44922</v>
          </cell>
          <cell r="L237">
            <v>14</v>
          </cell>
          <cell r="M237" t="str">
            <v>EUR</v>
          </cell>
          <cell r="N237">
            <v>398.88</v>
          </cell>
          <cell r="O237">
            <v>99.72</v>
          </cell>
          <cell r="P237">
            <v>4</v>
          </cell>
          <cell r="Q237">
            <v>4</v>
          </cell>
          <cell r="R237">
            <v>0</v>
          </cell>
        </row>
        <row r="238">
          <cell r="A238" t="str">
            <v>243WWSUAB07W4DGQSX</v>
          </cell>
          <cell r="B238" t="str">
            <v>Q3-23</v>
          </cell>
          <cell r="C238" t="str">
            <v>Europe Operations OU</v>
          </cell>
          <cell r="D238">
            <v>2674345</v>
          </cell>
          <cell r="E238" t="str">
            <v>Amazon EU SARL, succursale Italiana</v>
          </cell>
          <cell r="F238" t="str">
            <v>243WWSUA</v>
          </cell>
          <cell r="G238" t="str">
            <v>B07W4DGQSX</v>
          </cell>
          <cell r="H238" t="str">
            <v>920-010967</v>
          </cell>
          <cell r="I238" t="str">
            <v>OE INVOICES</v>
          </cell>
          <cell r="J238">
            <v>44422177160</v>
          </cell>
          <cell r="K238">
            <v>44922</v>
          </cell>
          <cell r="L238">
            <v>15</v>
          </cell>
          <cell r="M238" t="str">
            <v>EUR</v>
          </cell>
          <cell r="N238">
            <v>128.84</v>
          </cell>
          <cell r="O238">
            <v>32.21</v>
          </cell>
          <cell r="P238">
            <v>4</v>
          </cell>
          <cell r="Q238">
            <v>4</v>
          </cell>
          <cell r="R238">
            <v>0</v>
          </cell>
        </row>
        <row r="239">
          <cell r="A239" t="str">
            <v>243WWSUAB07W4DH6FY</v>
          </cell>
          <cell r="B239" t="str">
            <v>Q3-23</v>
          </cell>
          <cell r="C239" t="str">
            <v>Europe Operations OU</v>
          </cell>
          <cell r="D239">
            <v>2674345</v>
          </cell>
          <cell r="E239" t="str">
            <v>Amazon EU SARL, succursale Italiana</v>
          </cell>
          <cell r="F239" t="str">
            <v>243WWSUA</v>
          </cell>
          <cell r="G239" t="str">
            <v>B07W4DH6FY</v>
          </cell>
          <cell r="H239" t="str">
            <v>920-010918</v>
          </cell>
          <cell r="I239" t="str">
            <v>OE INVOICES</v>
          </cell>
          <cell r="J239">
            <v>44422177160</v>
          </cell>
          <cell r="K239">
            <v>44922</v>
          </cell>
          <cell r="L239">
            <v>16</v>
          </cell>
          <cell r="M239" t="str">
            <v>EUR</v>
          </cell>
          <cell r="N239">
            <v>128.84</v>
          </cell>
          <cell r="O239">
            <v>32.21</v>
          </cell>
          <cell r="P239">
            <v>4</v>
          </cell>
          <cell r="Q239">
            <v>4</v>
          </cell>
          <cell r="R239">
            <v>0</v>
          </cell>
        </row>
        <row r="240">
          <cell r="A240" t="str">
            <v>243WWSUAB07W4DHXFT</v>
          </cell>
          <cell r="B240" t="str">
            <v>Q3-23</v>
          </cell>
          <cell r="C240" t="str">
            <v>Europe Operations OU</v>
          </cell>
          <cell r="D240">
            <v>2674345</v>
          </cell>
          <cell r="E240" t="str">
            <v>Amazon EU SARL, succursale Italiana</v>
          </cell>
          <cell r="F240" t="str">
            <v>243WWSUA</v>
          </cell>
          <cell r="G240" t="str">
            <v>B07W4DHXFT</v>
          </cell>
          <cell r="H240" t="str">
            <v>920-010913</v>
          </cell>
          <cell r="I240" t="str">
            <v>OE INVOICES</v>
          </cell>
          <cell r="J240">
            <v>44422177160</v>
          </cell>
          <cell r="K240">
            <v>44922</v>
          </cell>
          <cell r="L240">
            <v>17</v>
          </cell>
          <cell r="M240" t="str">
            <v>EUR</v>
          </cell>
          <cell r="N240">
            <v>773.04</v>
          </cell>
          <cell r="O240">
            <v>32.21</v>
          </cell>
          <cell r="P240">
            <v>24</v>
          </cell>
          <cell r="Q240">
            <v>24</v>
          </cell>
          <cell r="R240">
            <v>0</v>
          </cell>
        </row>
        <row r="241">
          <cell r="A241" t="str">
            <v>243WWSUAB07W6JJSV7</v>
          </cell>
          <cell r="B241" t="str">
            <v>Q3-23</v>
          </cell>
          <cell r="C241" t="str">
            <v>Europe Operations OU</v>
          </cell>
          <cell r="D241">
            <v>2674345</v>
          </cell>
          <cell r="E241" t="str">
            <v>Amazon EU SARL, succursale Italiana</v>
          </cell>
          <cell r="F241" t="str">
            <v>243WWSUA</v>
          </cell>
          <cell r="G241" t="str">
            <v>B07W6JJSV7</v>
          </cell>
          <cell r="H241" t="str">
            <v>920-010106</v>
          </cell>
          <cell r="I241" t="str">
            <v>OE INVOICES</v>
          </cell>
          <cell r="J241">
            <v>44422177160</v>
          </cell>
          <cell r="K241">
            <v>44922</v>
          </cell>
          <cell r="L241">
            <v>18</v>
          </cell>
          <cell r="M241" t="str">
            <v>EUR</v>
          </cell>
          <cell r="N241">
            <v>299.36</v>
          </cell>
          <cell r="O241">
            <v>74.84</v>
          </cell>
          <cell r="P241">
            <v>4</v>
          </cell>
          <cell r="Q241">
            <v>4</v>
          </cell>
          <cell r="R241">
            <v>0</v>
          </cell>
        </row>
        <row r="242">
          <cell r="A242" t="str">
            <v>243WWSUAB07W6JLQCY</v>
          </cell>
          <cell r="B242" t="str">
            <v>Q3-23</v>
          </cell>
          <cell r="C242" t="str">
            <v>Europe Operations OU</v>
          </cell>
          <cell r="D242">
            <v>2674345</v>
          </cell>
          <cell r="E242" t="str">
            <v>Amazon EU SARL, succursale Italiana</v>
          </cell>
          <cell r="F242" t="str">
            <v>243WWSUA</v>
          </cell>
          <cell r="G242" t="str">
            <v>B07W6JLQCY</v>
          </cell>
          <cell r="H242" t="str">
            <v>920-010107</v>
          </cell>
          <cell r="I242" t="str">
            <v>OE INVOICES</v>
          </cell>
          <cell r="J242">
            <v>44422177160</v>
          </cell>
          <cell r="K242">
            <v>44922</v>
          </cell>
          <cell r="L242">
            <v>19</v>
          </cell>
          <cell r="M242" t="str">
            <v>EUR</v>
          </cell>
          <cell r="N242">
            <v>898.08</v>
          </cell>
          <cell r="O242">
            <v>74.84</v>
          </cell>
          <cell r="P242">
            <v>12</v>
          </cell>
          <cell r="Q242">
            <v>12</v>
          </cell>
          <cell r="R242">
            <v>0</v>
          </cell>
        </row>
        <row r="243">
          <cell r="A243" t="str">
            <v>243WWSUAB07W7KFFFF</v>
          </cell>
          <cell r="B243" t="str">
            <v>Q3-23</v>
          </cell>
          <cell r="C243" t="str">
            <v>Europe Operations OU</v>
          </cell>
          <cell r="D243">
            <v>2674345</v>
          </cell>
          <cell r="E243" t="str">
            <v>Amazon EU SARL, succursale Italiana</v>
          </cell>
          <cell r="F243" t="str">
            <v>243WWSUA</v>
          </cell>
          <cell r="G243" t="str">
            <v>B07W7KFFFF</v>
          </cell>
          <cell r="H243" t="str">
            <v>941-000149</v>
          </cell>
          <cell r="I243" t="str">
            <v>OE INVOICES</v>
          </cell>
          <cell r="J243">
            <v>44422177160</v>
          </cell>
          <cell r="K243">
            <v>44922</v>
          </cell>
          <cell r="L243">
            <v>20</v>
          </cell>
          <cell r="M243" t="str">
            <v>EUR</v>
          </cell>
          <cell r="N243">
            <v>679.05</v>
          </cell>
          <cell r="O243">
            <v>226.35</v>
          </cell>
          <cell r="P243">
            <v>3</v>
          </cell>
          <cell r="Q243">
            <v>3</v>
          </cell>
          <cell r="R243">
            <v>0</v>
          </cell>
        </row>
        <row r="244">
          <cell r="A244" t="str">
            <v>243WWSUAB07W7LF6F1</v>
          </cell>
          <cell r="B244" t="str">
            <v>Q3-23</v>
          </cell>
          <cell r="C244" t="str">
            <v>Europe Operations OU</v>
          </cell>
          <cell r="D244">
            <v>2674345</v>
          </cell>
          <cell r="E244" t="str">
            <v>Amazon EU SARL, succursale Italiana</v>
          </cell>
          <cell r="F244" t="str">
            <v>243WWSUA</v>
          </cell>
          <cell r="G244" t="str">
            <v>B07W7LF6F1</v>
          </cell>
          <cell r="H244" t="str">
            <v>920-009795</v>
          </cell>
          <cell r="I244" t="str">
            <v>OE INVOICES</v>
          </cell>
          <cell r="J244">
            <v>44422177160</v>
          </cell>
          <cell r="K244">
            <v>44922</v>
          </cell>
          <cell r="L244">
            <v>21</v>
          </cell>
          <cell r="M244" t="str">
            <v>EUR</v>
          </cell>
          <cell r="N244">
            <v>5394</v>
          </cell>
          <cell r="O244">
            <v>29</v>
          </cell>
          <cell r="P244">
            <v>186</v>
          </cell>
          <cell r="Q244">
            <v>186</v>
          </cell>
          <cell r="R244">
            <v>0</v>
          </cell>
        </row>
        <row r="245">
          <cell r="A245" t="str">
            <v>2467WIRPB003FRXFW0</v>
          </cell>
          <cell r="B245" t="str">
            <v>Q3-23</v>
          </cell>
          <cell r="C245" t="str">
            <v>Europe Operations OU</v>
          </cell>
          <cell r="D245">
            <v>2674345</v>
          </cell>
          <cell r="E245" t="str">
            <v>Amazon EU SARL, succursale Italiana</v>
          </cell>
          <cell r="F245" t="str">
            <v>2467WIRP</v>
          </cell>
          <cell r="G245" t="str">
            <v>B003FRXFW0</v>
          </cell>
          <cell r="H245" t="str">
            <v>981-000271</v>
          </cell>
          <cell r="I245" t="str">
            <v>OE INVOICES</v>
          </cell>
          <cell r="J245">
            <v>44422158806</v>
          </cell>
          <cell r="K245">
            <v>44907</v>
          </cell>
          <cell r="L245">
            <v>1</v>
          </cell>
          <cell r="M245" t="str">
            <v>EUR</v>
          </cell>
          <cell r="N245">
            <v>412.16</v>
          </cell>
          <cell r="O245">
            <v>12.88</v>
          </cell>
          <cell r="P245">
            <v>32</v>
          </cell>
          <cell r="Q245">
            <v>32</v>
          </cell>
          <cell r="R245">
            <v>0</v>
          </cell>
        </row>
        <row r="246">
          <cell r="A246" t="str">
            <v>24EUBTHXB003UPJXIC</v>
          </cell>
          <cell r="B246" t="str">
            <v>Q3-23</v>
          </cell>
          <cell r="C246" t="str">
            <v>Europe Operations OU</v>
          </cell>
          <cell r="D246">
            <v>2674345</v>
          </cell>
          <cell r="E246" t="str">
            <v>Amazon EU SARL, succursale Italiana</v>
          </cell>
          <cell r="F246" t="str">
            <v>24EUBTHX</v>
          </cell>
          <cell r="G246" t="str">
            <v>B003UPJXIC</v>
          </cell>
          <cell r="H246" t="str">
            <v>980-000403</v>
          </cell>
          <cell r="I246" t="str">
            <v>OE INVOICES</v>
          </cell>
          <cell r="J246">
            <v>44422141332</v>
          </cell>
          <cell r="K246">
            <v>44895</v>
          </cell>
          <cell r="L246">
            <v>1</v>
          </cell>
          <cell r="M246" t="str">
            <v>EUR</v>
          </cell>
          <cell r="N246">
            <v>577.20000000000005</v>
          </cell>
          <cell r="O246">
            <v>115.44</v>
          </cell>
          <cell r="P246">
            <v>5</v>
          </cell>
          <cell r="Q246">
            <v>5</v>
          </cell>
          <cell r="R246">
            <v>0</v>
          </cell>
        </row>
        <row r="247">
          <cell r="A247" t="str">
            <v>24EUBTHXB0074486GA</v>
          </cell>
          <cell r="B247" t="str">
            <v>Q3-23</v>
          </cell>
          <cell r="C247" t="str">
            <v>Europe Operations OU</v>
          </cell>
          <cell r="D247">
            <v>2674345</v>
          </cell>
          <cell r="E247" t="str">
            <v>Amazon EU SARL, succursale Italiana</v>
          </cell>
          <cell r="F247" t="str">
            <v>24EUBTHX</v>
          </cell>
          <cell r="G247" t="str">
            <v>B0074486GA</v>
          </cell>
          <cell r="H247" t="str">
            <v>920-003745</v>
          </cell>
          <cell r="I247" t="str">
            <v>OE INVOICES</v>
          </cell>
          <cell r="J247">
            <v>44422141332</v>
          </cell>
          <cell r="K247">
            <v>44895</v>
          </cell>
          <cell r="L247">
            <v>2</v>
          </cell>
          <cell r="M247" t="str">
            <v>EUR</v>
          </cell>
          <cell r="N247">
            <v>93.68</v>
          </cell>
          <cell r="O247">
            <v>23.42</v>
          </cell>
          <cell r="P247">
            <v>4</v>
          </cell>
          <cell r="Q247">
            <v>4</v>
          </cell>
          <cell r="R247">
            <v>0</v>
          </cell>
        </row>
        <row r="248">
          <cell r="A248" t="str">
            <v>24EUBTHXB00BT8QIJ4</v>
          </cell>
          <cell r="B248" t="str">
            <v>Q3-23</v>
          </cell>
          <cell r="C248" t="str">
            <v>Europe Operations OU</v>
          </cell>
          <cell r="D248">
            <v>2674345</v>
          </cell>
          <cell r="E248" t="str">
            <v>Amazon EU SARL, succursale Italiana</v>
          </cell>
          <cell r="F248" t="str">
            <v>24EUBTHX</v>
          </cell>
          <cell r="G248" t="str">
            <v>B00BT8QIJ4</v>
          </cell>
          <cell r="H248" t="str">
            <v>920-002522</v>
          </cell>
          <cell r="I248" t="str">
            <v>OE INVOICES</v>
          </cell>
          <cell r="J248">
            <v>44422141332</v>
          </cell>
          <cell r="K248">
            <v>44895</v>
          </cell>
          <cell r="L248">
            <v>3</v>
          </cell>
          <cell r="M248" t="str">
            <v>EUR</v>
          </cell>
          <cell r="N248">
            <v>187.2</v>
          </cell>
          <cell r="O248">
            <v>9.36</v>
          </cell>
          <cell r="P248">
            <v>20</v>
          </cell>
          <cell r="Q248">
            <v>20</v>
          </cell>
          <cell r="R248">
            <v>0</v>
          </cell>
        </row>
        <row r="249">
          <cell r="A249" t="str">
            <v>24EUBTHXB00EJ3RMDM</v>
          </cell>
          <cell r="B249" t="str">
            <v>Q3-23</v>
          </cell>
          <cell r="C249" t="str">
            <v>Europe Operations OU</v>
          </cell>
          <cell r="D249">
            <v>2674345</v>
          </cell>
          <cell r="E249" t="str">
            <v>Amazon EU SARL, succursale Italiana</v>
          </cell>
          <cell r="F249" t="str">
            <v>24EUBTHX</v>
          </cell>
          <cell r="G249" t="str">
            <v>B00EJ3RMDM</v>
          </cell>
          <cell r="H249" t="str">
            <v>920-005210</v>
          </cell>
          <cell r="I249" t="str">
            <v>OE INVOICES</v>
          </cell>
          <cell r="J249">
            <v>44422141332</v>
          </cell>
          <cell r="K249">
            <v>44895</v>
          </cell>
          <cell r="L249">
            <v>4</v>
          </cell>
          <cell r="M249" t="str">
            <v>EUR</v>
          </cell>
          <cell r="N249">
            <v>163.9</v>
          </cell>
          <cell r="O249">
            <v>16.39</v>
          </cell>
          <cell r="P249">
            <v>10</v>
          </cell>
          <cell r="Q249">
            <v>10</v>
          </cell>
          <cell r="R249">
            <v>0</v>
          </cell>
        </row>
        <row r="250">
          <cell r="A250" t="str">
            <v>24EUBTHXB00EJ3RMRS</v>
          </cell>
          <cell r="B250" t="str">
            <v>Q3-23</v>
          </cell>
          <cell r="C250" t="str">
            <v>Europe Operations OU</v>
          </cell>
          <cell r="D250">
            <v>2674345</v>
          </cell>
          <cell r="E250" t="str">
            <v>Amazon EU SARL, succursale Italiana</v>
          </cell>
          <cell r="F250" t="str">
            <v>24EUBTHX</v>
          </cell>
          <cell r="G250" t="str">
            <v>B00EJ3RMRS</v>
          </cell>
          <cell r="H250" t="str">
            <v>920-005217</v>
          </cell>
          <cell r="I250" t="str">
            <v>OE INVOICES</v>
          </cell>
          <cell r="J250">
            <v>44422141332</v>
          </cell>
          <cell r="K250">
            <v>44895</v>
          </cell>
          <cell r="L250">
            <v>5</v>
          </cell>
          <cell r="M250" t="str">
            <v>EUR</v>
          </cell>
          <cell r="N250">
            <v>163.9</v>
          </cell>
          <cell r="O250">
            <v>16.39</v>
          </cell>
          <cell r="P250">
            <v>10</v>
          </cell>
          <cell r="Q250">
            <v>10</v>
          </cell>
          <cell r="R250">
            <v>0</v>
          </cell>
        </row>
        <row r="251">
          <cell r="A251" t="str">
            <v>24EUBTHXB01GHP1IDY</v>
          </cell>
          <cell r="B251" t="str">
            <v>Q3-23</v>
          </cell>
          <cell r="C251" t="str">
            <v>Europe Operations OU</v>
          </cell>
          <cell r="D251">
            <v>2674345</v>
          </cell>
          <cell r="E251" t="str">
            <v>Amazon EU SARL, succursale Italiana</v>
          </cell>
          <cell r="F251" t="str">
            <v>24EUBTHX</v>
          </cell>
          <cell r="G251" t="str">
            <v>B01GHP1IDY</v>
          </cell>
          <cell r="H251" t="str">
            <v>920-008013</v>
          </cell>
          <cell r="I251" t="str">
            <v>OE INVOICES</v>
          </cell>
          <cell r="J251">
            <v>44422143091</v>
          </cell>
          <cell r="K251">
            <v>44896</v>
          </cell>
          <cell r="L251">
            <v>1</v>
          </cell>
          <cell r="M251" t="str">
            <v>EUR</v>
          </cell>
          <cell r="N251">
            <v>420</v>
          </cell>
          <cell r="O251">
            <v>105</v>
          </cell>
          <cell r="P251">
            <v>4</v>
          </cell>
          <cell r="Q251">
            <v>4</v>
          </cell>
          <cell r="R251">
            <v>0</v>
          </cell>
        </row>
        <row r="252">
          <cell r="A252" t="str">
            <v>24EUBTHXB01I252A34</v>
          </cell>
          <cell r="B252" t="str">
            <v>Q3-23</v>
          </cell>
          <cell r="C252" t="str">
            <v>Europe Operations OU</v>
          </cell>
          <cell r="D252">
            <v>2674345</v>
          </cell>
          <cell r="E252" t="str">
            <v>Amazon EU SARL, succursale Italiana</v>
          </cell>
          <cell r="F252" t="str">
            <v>24EUBTHX</v>
          </cell>
          <cell r="G252" t="str">
            <v>B01I252A34</v>
          </cell>
          <cell r="H252" t="str">
            <v>920-005214</v>
          </cell>
          <cell r="I252" t="str">
            <v>OE INVOICES</v>
          </cell>
          <cell r="J252">
            <v>44422141332</v>
          </cell>
          <cell r="K252">
            <v>44895</v>
          </cell>
          <cell r="L252">
            <v>6</v>
          </cell>
          <cell r="M252" t="str">
            <v>EUR</v>
          </cell>
          <cell r="N252">
            <v>163.9</v>
          </cell>
          <cell r="O252">
            <v>16.39</v>
          </cell>
          <cell r="P252">
            <v>10</v>
          </cell>
          <cell r="Q252">
            <v>10</v>
          </cell>
          <cell r="R252">
            <v>0</v>
          </cell>
        </row>
        <row r="253">
          <cell r="A253" t="str">
            <v>24EUBTHXB06XPHQW6G</v>
          </cell>
          <cell r="B253" t="str">
            <v>Q3-23</v>
          </cell>
          <cell r="C253" t="str">
            <v>Europe Operations OU</v>
          </cell>
          <cell r="D253">
            <v>2674345</v>
          </cell>
          <cell r="E253" t="str">
            <v>Amazon EU SARL, succursale Italiana</v>
          </cell>
          <cell r="F253" t="str">
            <v>24EUBTHX</v>
          </cell>
          <cell r="G253" t="str">
            <v>B06XPHQW6G</v>
          </cell>
          <cell r="H253" t="str">
            <v>920-008471</v>
          </cell>
          <cell r="I253" t="str">
            <v>OE INVOICES</v>
          </cell>
          <cell r="J253">
            <v>44422141332</v>
          </cell>
          <cell r="K253">
            <v>44895</v>
          </cell>
          <cell r="L253">
            <v>7</v>
          </cell>
          <cell r="M253" t="str">
            <v>EUR</v>
          </cell>
          <cell r="N253">
            <v>230.04</v>
          </cell>
          <cell r="O253">
            <v>57.51</v>
          </cell>
          <cell r="P253">
            <v>4</v>
          </cell>
          <cell r="Q253">
            <v>4</v>
          </cell>
          <cell r="R253">
            <v>0</v>
          </cell>
        </row>
        <row r="254">
          <cell r="A254" t="str">
            <v>24EUBTHXB074C9LZVX</v>
          </cell>
          <cell r="B254" t="str">
            <v>Q3-23</v>
          </cell>
          <cell r="C254" t="str">
            <v>Europe Operations OU</v>
          </cell>
          <cell r="D254">
            <v>2674345</v>
          </cell>
          <cell r="E254" t="str">
            <v>Amazon EU SARL, succursale Italiana</v>
          </cell>
          <cell r="F254" t="str">
            <v>24EUBTHX</v>
          </cell>
          <cell r="G254" t="str">
            <v>B074C9LZVX</v>
          </cell>
          <cell r="H254" t="str">
            <v>920-008389</v>
          </cell>
          <cell r="I254" t="str">
            <v>OE INVOICES</v>
          </cell>
          <cell r="J254">
            <v>44422141332</v>
          </cell>
          <cell r="K254">
            <v>44895</v>
          </cell>
          <cell r="L254">
            <v>8</v>
          </cell>
          <cell r="M254" t="str">
            <v>EUR</v>
          </cell>
          <cell r="N254">
            <v>314.48</v>
          </cell>
          <cell r="O254">
            <v>78.62</v>
          </cell>
          <cell r="P254">
            <v>4</v>
          </cell>
          <cell r="Q254">
            <v>4</v>
          </cell>
          <cell r="R254">
            <v>0</v>
          </cell>
        </row>
        <row r="255">
          <cell r="A255" t="str">
            <v>24EUBTHXB077BT728N</v>
          </cell>
          <cell r="B255" t="str">
            <v>Q3-23</v>
          </cell>
          <cell r="C255" t="str">
            <v>Europe Operations OU</v>
          </cell>
          <cell r="D255">
            <v>2674345</v>
          </cell>
          <cell r="E255" t="str">
            <v>Amazon EU SARL, succursale Italiana</v>
          </cell>
          <cell r="F255" t="str">
            <v>24EUBTHX</v>
          </cell>
          <cell r="G255" t="str">
            <v>B077BT728N</v>
          </cell>
          <cell r="H255" t="str">
            <v>920-008669</v>
          </cell>
          <cell r="I255" t="str">
            <v>OE INVOICES</v>
          </cell>
          <cell r="J255">
            <v>44422141332</v>
          </cell>
          <cell r="K255">
            <v>44895</v>
          </cell>
          <cell r="L255">
            <v>9</v>
          </cell>
          <cell r="M255" t="str">
            <v>EUR</v>
          </cell>
          <cell r="N255">
            <v>163.9</v>
          </cell>
          <cell r="O255">
            <v>16.39</v>
          </cell>
          <cell r="P255">
            <v>10</v>
          </cell>
          <cell r="Q255">
            <v>10</v>
          </cell>
          <cell r="R255">
            <v>0</v>
          </cell>
        </row>
        <row r="256">
          <cell r="A256" t="str">
            <v>24EUBTHXB078MHS3SC</v>
          </cell>
          <cell r="B256" t="str">
            <v>Q3-23</v>
          </cell>
          <cell r="C256" t="str">
            <v>Europe Operations OU</v>
          </cell>
          <cell r="D256">
            <v>2674345</v>
          </cell>
          <cell r="E256" t="str">
            <v>Amazon EU SARL, succursale Italiana</v>
          </cell>
          <cell r="F256" t="str">
            <v>24EUBTHX</v>
          </cell>
          <cell r="G256" t="str">
            <v>B078MHS3SC</v>
          </cell>
          <cell r="H256" t="str">
            <v>988-000247</v>
          </cell>
          <cell r="I256" t="str">
            <v>OE INVOICES</v>
          </cell>
          <cell r="J256">
            <v>44422141332</v>
          </cell>
          <cell r="K256">
            <v>44895</v>
          </cell>
          <cell r="L256">
            <v>10</v>
          </cell>
          <cell r="M256" t="str">
            <v>EUR</v>
          </cell>
          <cell r="N256">
            <v>8909.0400000000009</v>
          </cell>
          <cell r="O256">
            <v>159.09</v>
          </cell>
          <cell r="P256">
            <v>56</v>
          </cell>
          <cell r="Q256">
            <v>56</v>
          </cell>
          <cell r="R256">
            <v>0</v>
          </cell>
        </row>
        <row r="257">
          <cell r="A257" t="str">
            <v>24EUBTHXB079VVQS1R</v>
          </cell>
          <cell r="B257" t="str">
            <v>Q3-23</v>
          </cell>
          <cell r="C257" t="str">
            <v>Europe Operations OU</v>
          </cell>
          <cell r="D257">
            <v>2674345</v>
          </cell>
          <cell r="E257" t="str">
            <v>Amazon EU SARL, succursale Italiana</v>
          </cell>
          <cell r="F257" t="str">
            <v>24EUBTHX</v>
          </cell>
          <cell r="G257" t="str">
            <v>B079VVQS1R</v>
          </cell>
          <cell r="H257" t="str">
            <v>980-001301</v>
          </cell>
          <cell r="I257" t="str">
            <v>OE INVOICES</v>
          </cell>
          <cell r="J257">
            <v>44422143091</v>
          </cell>
          <cell r="K257">
            <v>44896</v>
          </cell>
          <cell r="L257">
            <v>2</v>
          </cell>
          <cell r="M257" t="str">
            <v>EUR</v>
          </cell>
          <cell r="N257">
            <v>2496.2199999999998</v>
          </cell>
          <cell r="O257">
            <v>131.38</v>
          </cell>
          <cell r="P257">
            <v>19</v>
          </cell>
          <cell r="Q257">
            <v>19</v>
          </cell>
          <cell r="R257">
            <v>0</v>
          </cell>
        </row>
        <row r="258">
          <cell r="A258" t="str">
            <v>24EUBTHXB07VTRX1LD</v>
          </cell>
          <cell r="B258" t="str">
            <v>Q3-23</v>
          </cell>
          <cell r="C258" t="str">
            <v>Europe Operations OU</v>
          </cell>
          <cell r="D258">
            <v>2674345</v>
          </cell>
          <cell r="E258" t="str">
            <v>Amazon EU SARL, succursale Italiana</v>
          </cell>
          <cell r="F258" t="str">
            <v>24EUBTHX</v>
          </cell>
          <cell r="G258" t="str">
            <v>B07VTRX1LD</v>
          </cell>
          <cell r="H258" t="str">
            <v>920-009008</v>
          </cell>
          <cell r="I258" t="str">
            <v>OE INVOICES</v>
          </cell>
          <cell r="J258">
            <v>44422141332</v>
          </cell>
          <cell r="K258">
            <v>44895</v>
          </cell>
          <cell r="L258">
            <v>11</v>
          </cell>
          <cell r="M258" t="str">
            <v>EUR</v>
          </cell>
          <cell r="N258">
            <v>441.08</v>
          </cell>
          <cell r="O258">
            <v>110.27</v>
          </cell>
          <cell r="P258">
            <v>4</v>
          </cell>
          <cell r="Q258">
            <v>4</v>
          </cell>
          <cell r="R258">
            <v>0</v>
          </cell>
        </row>
        <row r="259">
          <cell r="A259" t="str">
            <v>24EUBTHXB07VYGSZLM</v>
          </cell>
          <cell r="B259" t="str">
            <v>Q3-23</v>
          </cell>
          <cell r="C259" t="str">
            <v>Europe Operations OU</v>
          </cell>
          <cell r="D259">
            <v>2674345</v>
          </cell>
          <cell r="E259" t="str">
            <v>Amazon EU SARL, succursale Italiana</v>
          </cell>
          <cell r="F259" t="str">
            <v>24EUBTHX</v>
          </cell>
          <cell r="G259" t="str">
            <v>B07VYGSZLM</v>
          </cell>
          <cell r="H259" t="str">
            <v>920-008955</v>
          </cell>
          <cell r="I259" t="str">
            <v>OE INVOICES</v>
          </cell>
          <cell r="J259">
            <v>44422143091</v>
          </cell>
          <cell r="K259">
            <v>44896</v>
          </cell>
          <cell r="L259">
            <v>3</v>
          </cell>
          <cell r="M259" t="str">
            <v>EUR</v>
          </cell>
          <cell r="N259">
            <v>1135.44</v>
          </cell>
          <cell r="O259">
            <v>141.93</v>
          </cell>
          <cell r="P259">
            <v>8</v>
          </cell>
          <cell r="Q259">
            <v>8</v>
          </cell>
          <cell r="R259">
            <v>0</v>
          </cell>
        </row>
        <row r="260">
          <cell r="A260" t="str">
            <v>24EUBTHXB07W5JHLZK</v>
          </cell>
          <cell r="B260" t="str">
            <v>Q3-23</v>
          </cell>
          <cell r="C260" t="str">
            <v>Europe Operations OU</v>
          </cell>
          <cell r="D260">
            <v>2674345</v>
          </cell>
          <cell r="E260" t="str">
            <v>Amazon EU SARL, succursale Italiana</v>
          </cell>
          <cell r="F260" t="str">
            <v>24EUBTHX</v>
          </cell>
          <cell r="G260" t="str">
            <v>B07W5JHLZK</v>
          </cell>
          <cell r="H260" t="str">
            <v>920-009363</v>
          </cell>
          <cell r="I260" t="str">
            <v>OE INVOICES</v>
          </cell>
          <cell r="J260">
            <v>44422141332</v>
          </cell>
          <cell r="K260">
            <v>44895</v>
          </cell>
          <cell r="L260">
            <v>12</v>
          </cell>
          <cell r="M260" t="str">
            <v>EUR</v>
          </cell>
          <cell r="N260">
            <v>272.24</v>
          </cell>
          <cell r="O260">
            <v>68.06</v>
          </cell>
          <cell r="P260">
            <v>4</v>
          </cell>
          <cell r="Q260">
            <v>4</v>
          </cell>
          <cell r="R260">
            <v>0</v>
          </cell>
        </row>
        <row r="261">
          <cell r="A261" t="str">
            <v>24EUBTHXB07W6JLQCY</v>
          </cell>
          <cell r="B261" t="str">
            <v>Q3-23</v>
          </cell>
          <cell r="C261" t="str">
            <v>Europe Operations OU</v>
          </cell>
          <cell r="D261">
            <v>2674345</v>
          </cell>
          <cell r="E261" t="str">
            <v>Amazon EU SARL, succursale Italiana</v>
          </cell>
          <cell r="F261" t="str">
            <v>24EUBTHX</v>
          </cell>
          <cell r="G261" t="str">
            <v>B07W6JLQCY</v>
          </cell>
          <cell r="H261" t="str">
            <v>920-010107</v>
          </cell>
          <cell r="I261" t="str">
            <v>OE INVOICES</v>
          </cell>
          <cell r="J261">
            <v>44422141332</v>
          </cell>
          <cell r="K261">
            <v>44895</v>
          </cell>
          <cell r="L261">
            <v>13</v>
          </cell>
          <cell r="M261" t="str">
            <v>EUR</v>
          </cell>
          <cell r="N261">
            <v>299.36</v>
          </cell>
          <cell r="O261">
            <v>74.84</v>
          </cell>
          <cell r="P261">
            <v>4</v>
          </cell>
          <cell r="Q261">
            <v>4</v>
          </cell>
          <cell r="R261">
            <v>0</v>
          </cell>
        </row>
        <row r="262">
          <cell r="A262" t="str">
            <v>24EUBTHXB07W7K29YM</v>
          </cell>
          <cell r="B262" t="str">
            <v>Q3-23</v>
          </cell>
          <cell r="C262" t="str">
            <v>Europe Operations OU</v>
          </cell>
          <cell r="D262">
            <v>2674345</v>
          </cell>
          <cell r="E262" t="str">
            <v>Amazon EU SARL, succursale Italiana</v>
          </cell>
          <cell r="F262" t="str">
            <v>24EUBTHX</v>
          </cell>
          <cell r="G262" t="str">
            <v>B07W7K29YM</v>
          </cell>
          <cell r="H262" t="str">
            <v>920-009819</v>
          </cell>
          <cell r="I262" t="str">
            <v>OE INVOICES</v>
          </cell>
          <cell r="J262">
            <v>44422157523</v>
          </cell>
          <cell r="K262">
            <v>44904</v>
          </cell>
          <cell r="L262">
            <v>1</v>
          </cell>
          <cell r="M262" t="str">
            <v>EUR</v>
          </cell>
          <cell r="N262">
            <v>1218</v>
          </cell>
          <cell r="O262">
            <v>29</v>
          </cell>
          <cell r="P262">
            <v>42</v>
          </cell>
          <cell r="Q262">
            <v>42</v>
          </cell>
          <cell r="R262">
            <v>0</v>
          </cell>
        </row>
        <row r="263">
          <cell r="A263" t="str">
            <v>24EUBTHXB07W7LF6F1</v>
          </cell>
          <cell r="B263" t="str">
            <v>Q3-23</v>
          </cell>
          <cell r="C263" t="str">
            <v>Europe Operations OU</v>
          </cell>
          <cell r="D263">
            <v>2674345</v>
          </cell>
          <cell r="E263" t="str">
            <v>Amazon EU SARL, succursale Italiana</v>
          </cell>
          <cell r="F263" t="str">
            <v>24EUBTHX</v>
          </cell>
          <cell r="G263" t="str">
            <v>B07W7LF6F1</v>
          </cell>
          <cell r="H263" t="str">
            <v>920-009795</v>
          </cell>
          <cell r="I263" t="str">
            <v>OE INVOICES</v>
          </cell>
          <cell r="J263">
            <v>44422141332</v>
          </cell>
          <cell r="K263">
            <v>44895</v>
          </cell>
          <cell r="L263">
            <v>14</v>
          </cell>
          <cell r="M263" t="str">
            <v>EUR</v>
          </cell>
          <cell r="N263">
            <v>2610</v>
          </cell>
          <cell r="O263">
            <v>29</v>
          </cell>
          <cell r="P263">
            <v>90</v>
          </cell>
          <cell r="Q263">
            <v>90</v>
          </cell>
          <cell r="R263">
            <v>0</v>
          </cell>
        </row>
        <row r="264">
          <cell r="A264" t="str">
            <v>26N6PTLNB00NP797AE</v>
          </cell>
          <cell r="B264" t="str">
            <v>Q3-23</v>
          </cell>
          <cell r="C264" t="str">
            <v>Europe Operations OU</v>
          </cell>
          <cell r="D264">
            <v>2674345</v>
          </cell>
          <cell r="E264" t="str">
            <v>Amazon EU SARL, succursale Italiana</v>
          </cell>
          <cell r="F264" t="str">
            <v>26N6PTLN</v>
          </cell>
          <cell r="G264" t="str">
            <v>B00NP797AE</v>
          </cell>
          <cell r="H264" t="str">
            <v>920-004520</v>
          </cell>
          <cell r="I264" t="str">
            <v>OE INVOICES</v>
          </cell>
          <cell r="J264">
            <v>44422142928</v>
          </cell>
          <cell r="K264">
            <v>44896</v>
          </cell>
          <cell r="L264">
            <v>1</v>
          </cell>
          <cell r="M264" t="str">
            <v>EUR</v>
          </cell>
          <cell r="N264">
            <v>158.1</v>
          </cell>
          <cell r="O264">
            <v>26.35</v>
          </cell>
          <cell r="P264">
            <v>6</v>
          </cell>
          <cell r="Q264">
            <v>6</v>
          </cell>
          <cell r="R264">
            <v>0</v>
          </cell>
        </row>
        <row r="265">
          <cell r="A265" t="str">
            <v>27JB88GQB0047EHP9O</v>
          </cell>
          <cell r="B265" t="str">
            <v>Q3-23</v>
          </cell>
          <cell r="C265" t="str">
            <v>Europe Operations OU</v>
          </cell>
          <cell r="D265">
            <v>2674345</v>
          </cell>
          <cell r="E265" t="str">
            <v>Amazon EU SARL, succursale Italiana</v>
          </cell>
          <cell r="F265" t="str">
            <v>27JB88GQ</v>
          </cell>
          <cell r="G265" t="str">
            <v>B0047EHP9O</v>
          </cell>
          <cell r="H265" t="str">
            <v>920-002443</v>
          </cell>
          <cell r="I265" t="str">
            <v>OE INVOICES</v>
          </cell>
          <cell r="J265">
            <v>44422122410</v>
          </cell>
          <cell r="K265">
            <v>44882</v>
          </cell>
          <cell r="L265">
            <v>1</v>
          </cell>
          <cell r="M265" t="str">
            <v>EUR</v>
          </cell>
          <cell r="N265">
            <v>278.44</v>
          </cell>
          <cell r="O265">
            <v>69.61</v>
          </cell>
          <cell r="P265">
            <v>4</v>
          </cell>
          <cell r="Q265">
            <v>4</v>
          </cell>
          <cell r="R265">
            <v>0</v>
          </cell>
        </row>
        <row r="266">
          <cell r="A266" t="str">
            <v>27JB88GQB005IDE064</v>
          </cell>
          <cell r="B266" t="str">
            <v>Q3-23</v>
          </cell>
          <cell r="C266" t="str">
            <v>Europe Operations OU</v>
          </cell>
          <cell r="D266">
            <v>2674345</v>
          </cell>
          <cell r="E266" t="str">
            <v>Amazon EU SARL, succursale Italiana</v>
          </cell>
          <cell r="F266" t="str">
            <v>27JB88GQ</v>
          </cell>
          <cell r="G266" t="str">
            <v>B005IDE064</v>
          </cell>
          <cell r="H266" t="str">
            <v>920-002440</v>
          </cell>
          <cell r="I266" t="str">
            <v>OE INVOICES</v>
          </cell>
          <cell r="J266">
            <v>44422122410</v>
          </cell>
          <cell r="K266">
            <v>44882</v>
          </cell>
          <cell r="L266">
            <v>2</v>
          </cell>
          <cell r="M266" t="str">
            <v>EUR</v>
          </cell>
          <cell r="N266">
            <v>278.44</v>
          </cell>
          <cell r="O266">
            <v>69.61</v>
          </cell>
          <cell r="P266">
            <v>4</v>
          </cell>
          <cell r="Q266">
            <v>4</v>
          </cell>
          <cell r="R266">
            <v>0</v>
          </cell>
        </row>
        <row r="267">
          <cell r="A267" t="str">
            <v>27JB88GQB0074486GA</v>
          </cell>
          <cell r="B267" t="str">
            <v>Q3-23</v>
          </cell>
          <cell r="C267" t="str">
            <v>Europe Operations OU</v>
          </cell>
          <cell r="D267">
            <v>2674345</v>
          </cell>
          <cell r="E267" t="str">
            <v>Amazon EU SARL, succursale Italiana</v>
          </cell>
          <cell r="F267" t="str">
            <v>27JB88GQ</v>
          </cell>
          <cell r="G267" t="str">
            <v>B0074486GA</v>
          </cell>
          <cell r="H267" t="str">
            <v>920-003745</v>
          </cell>
          <cell r="I267" t="str">
            <v>OE INVOICES</v>
          </cell>
          <cell r="J267">
            <v>44422122410</v>
          </cell>
          <cell r="K267">
            <v>44882</v>
          </cell>
          <cell r="L267">
            <v>3</v>
          </cell>
          <cell r="M267" t="str">
            <v>EUR</v>
          </cell>
          <cell r="N267">
            <v>93.68</v>
          </cell>
          <cell r="O267">
            <v>23.42</v>
          </cell>
          <cell r="P267">
            <v>4</v>
          </cell>
          <cell r="Q267">
            <v>4</v>
          </cell>
          <cell r="R267">
            <v>0</v>
          </cell>
        </row>
        <row r="268">
          <cell r="A268" t="str">
            <v>27JB88GQB0094QSF8U</v>
          </cell>
          <cell r="B268" t="str">
            <v>Q3-23</v>
          </cell>
          <cell r="C268" t="str">
            <v>Europe Operations OU</v>
          </cell>
          <cell r="D268">
            <v>2674345</v>
          </cell>
          <cell r="E268" t="str">
            <v>Amazon EU SARL, succursale Italiana</v>
          </cell>
          <cell r="F268" t="str">
            <v>27JB88GQ</v>
          </cell>
          <cell r="G268" t="str">
            <v>B0094QSF8U</v>
          </cell>
          <cell r="H268" t="str">
            <v>920-002645</v>
          </cell>
          <cell r="I268" t="str">
            <v>OE INVOICES</v>
          </cell>
          <cell r="J268">
            <v>44422122410</v>
          </cell>
          <cell r="K268">
            <v>44882</v>
          </cell>
          <cell r="L268">
            <v>4</v>
          </cell>
          <cell r="M268" t="str">
            <v>EUR</v>
          </cell>
          <cell r="N268">
            <v>374.4</v>
          </cell>
          <cell r="O268">
            <v>9.36</v>
          </cell>
          <cell r="P268">
            <v>40</v>
          </cell>
          <cell r="Q268">
            <v>40</v>
          </cell>
          <cell r="R268">
            <v>0</v>
          </cell>
        </row>
        <row r="269">
          <cell r="A269" t="str">
            <v>27JB88GQB009N6WMOY</v>
          </cell>
          <cell r="B269" t="str">
            <v>Q3-23</v>
          </cell>
          <cell r="C269" t="str">
            <v>Europe Operations OU</v>
          </cell>
          <cell r="D269">
            <v>2674345</v>
          </cell>
          <cell r="E269" t="str">
            <v>Amazon EU SARL, succursale Italiana</v>
          </cell>
          <cell r="F269" t="str">
            <v>27JB88GQ</v>
          </cell>
          <cell r="G269" t="str">
            <v>B009N6WMOY</v>
          </cell>
          <cell r="H269" t="str">
            <v>920-004484</v>
          </cell>
          <cell r="I269" t="str">
            <v>OE INVOICES</v>
          </cell>
          <cell r="J269">
            <v>44422122410</v>
          </cell>
          <cell r="K269">
            <v>44882</v>
          </cell>
          <cell r="L269">
            <v>5</v>
          </cell>
          <cell r="M269" t="str">
            <v>EUR</v>
          </cell>
          <cell r="N269">
            <v>286.93</v>
          </cell>
          <cell r="O269">
            <v>40.99</v>
          </cell>
          <cell r="P269">
            <v>7</v>
          </cell>
          <cell r="Q269">
            <v>7</v>
          </cell>
          <cell r="R269">
            <v>0</v>
          </cell>
        </row>
        <row r="270">
          <cell r="A270" t="str">
            <v>27JB88GQB00BT8QIJ4</v>
          </cell>
          <cell r="B270" t="str">
            <v>Q3-23</v>
          </cell>
          <cell r="C270" t="str">
            <v>Europe Operations OU</v>
          </cell>
          <cell r="D270">
            <v>2674345</v>
          </cell>
          <cell r="E270" t="str">
            <v>Amazon EU SARL, succursale Italiana</v>
          </cell>
          <cell r="F270" t="str">
            <v>27JB88GQ</v>
          </cell>
          <cell r="G270" t="str">
            <v>B00BT8QIJ4</v>
          </cell>
          <cell r="H270" t="str">
            <v>920-002522</v>
          </cell>
          <cell r="I270" t="str">
            <v>OE INVOICES</v>
          </cell>
          <cell r="J270">
            <v>44422122410</v>
          </cell>
          <cell r="K270">
            <v>44882</v>
          </cell>
          <cell r="L270">
            <v>6</v>
          </cell>
          <cell r="M270" t="str">
            <v>EUR</v>
          </cell>
          <cell r="N270">
            <v>187.2</v>
          </cell>
          <cell r="O270">
            <v>9.36</v>
          </cell>
          <cell r="P270">
            <v>20</v>
          </cell>
          <cell r="Q270">
            <v>20</v>
          </cell>
          <cell r="R270">
            <v>0</v>
          </cell>
        </row>
        <row r="271">
          <cell r="A271" t="str">
            <v>27JB88GQB00EJ3RMDM</v>
          </cell>
          <cell r="B271" t="str">
            <v>Q3-23</v>
          </cell>
          <cell r="C271" t="str">
            <v>Europe Operations OU</v>
          </cell>
          <cell r="D271">
            <v>2674345</v>
          </cell>
          <cell r="E271" t="str">
            <v>Amazon EU SARL, succursale Italiana</v>
          </cell>
          <cell r="F271" t="str">
            <v>27JB88GQ</v>
          </cell>
          <cell r="G271" t="str">
            <v>B00EJ3RMDM</v>
          </cell>
          <cell r="H271" t="str">
            <v>920-005210</v>
          </cell>
          <cell r="I271" t="str">
            <v>OE INVOICES</v>
          </cell>
          <cell r="J271">
            <v>44422122410</v>
          </cell>
          <cell r="K271">
            <v>44882</v>
          </cell>
          <cell r="L271">
            <v>7</v>
          </cell>
          <cell r="M271" t="str">
            <v>EUR</v>
          </cell>
          <cell r="N271">
            <v>1147.3</v>
          </cell>
          <cell r="O271">
            <v>16.39</v>
          </cell>
          <cell r="P271">
            <v>70</v>
          </cell>
          <cell r="Q271">
            <v>70</v>
          </cell>
          <cell r="R271">
            <v>0</v>
          </cell>
        </row>
        <row r="272">
          <cell r="A272" t="str">
            <v>27JB88GQB01D1Z00UK</v>
          </cell>
          <cell r="B272" t="str">
            <v>Q3-23</v>
          </cell>
          <cell r="C272" t="str">
            <v>Europe Operations OU</v>
          </cell>
          <cell r="D272">
            <v>2674345</v>
          </cell>
          <cell r="E272" t="str">
            <v>Amazon EU SARL, succursale Italiana</v>
          </cell>
          <cell r="F272" t="str">
            <v>27JB88GQ</v>
          </cell>
          <cell r="G272" t="str">
            <v>B01D1Z00UK</v>
          </cell>
          <cell r="H272" t="str">
            <v>920-007931</v>
          </cell>
          <cell r="I272" t="str">
            <v>OE INVOICES</v>
          </cell>
          <cell r="J272">
            <v>44422122410</v>
          </cell>
          <cell r="K272">
            <v>44882</v>
          </cell>
          <cell r="L272">
            <v>8</v>
          </cell>
          <cell r="M272" t="str">
            <v>EUR</v>
          </cell>
          <cell r="N272">
            <v>374.72</v>
          </cell>
          <cell r="O272">
            <v>23.42</v>
          </cell>
          <cell r="P272">
            <v>16</v>
          </cell>
          <cell r="Q272">
            <v>16</v>
          </cell>
          <cell r="R272">
            <v>0</v>
          </cell>
        </row>
        <row r="273">
          <cell r="A273" t="str">
            <v>27JB88GQB01I252A34</v>
          </cell>
          <cell r="B273" t="str">
            <v>Q3-23</v>
          </cell>
          <cell r="C273" t="str">
            <v>Europe Operations OU</v>
          </cell>
          <cell r="D273">
            <v>2674345</v>
          </cell>
          <cell r="E273" t="str">
            <v>Amazon EU SARL, succursale Italiana</v>
          </cell>
          <cell r="F273" t="str">
            <v>27JB88GQ</v>
          </cell>
          <cell r="G273" t="str">
            <v>B01I252A34</v>
          </cell>
          <cell r="H273" t="str">
            <v>920-005214</v>
          </cell>
          <cell r="I273" t="str">
            <v>OE INVOICES</v>
          </cell>
          <cell r="J273">
            <v>44422122410</v>
          </cell>
          <cell r="K273">
            <v>44882</v>
          </cell>
          <cell r="L273">
            <v>9</v>
          </cell>
          <cell r="M273" t="str">
            <v>EUR</v>
          </cell>
          <cell r="N273">
            <v>327.8</v>
          </cell>
          <cell r="O273">
            <v>16.39</v>
          </cell>
          <cell r="P273">
            <v>20</v>
          </cell>
          <cell r="Q273">
            <v>20</v>
          </cell>
          <cell r="R273">
            <v>0</v>
          </cell>
        </row>
        <row r="274">
          <cell r="A274" t="str">
            <v>27JB88GQB078MHS3SC</v>
          </cell>
          <cell r="B274" t="str">
            <v>Q3-23</v>
          </cell>
          <cell r="C274" t="str">
            <v>Europe Operations OU</v>
          </cell>
          <cell r="D274">
            <v>2674345</v>
          </cell>
          <cell r="E274" t="str">
            <v>Amazon EU SARL, succursale Italiana</v>
          </cell>
          <cell r="F274" t="str">
            <v>27JB88GQ</v>
          </cell>
          <cell r="G274" t="str">
            <v>B078MHS3SC</v>
          </cell>
          <cell r="H274" t="str">
            <v>988-000247</v>
          </cell>
          <cell r="I274" t="str">
            <v>OE INVOICES</v>
          </cell>
          <cell r="J274">
            <v>44422122410</v>
          </cell>
          <cell r="K274">
            <v>44882</v>
          </cell>
          <cell r="L274">
            <v>10</v>
          </cell>
          <cell r="M274" t="str">
            <v>EUR</v>
          </cell>
          <cell r="N274">
            <v>5727.24</v>
          </cell>
          <cell r="O274">
            <v>159.09</v>
          </cell>
          <cell r="P274">
            <v>36</v>
          </cell>
          <cell r="Q274">
            <v>36</v>
          </cell>
          <cell r="R274">
            <v>0</v>
          </cell>
        </row>
        <row r="275">
          <cell r="A275" t="str">
            <v>27JB88GQB07W4DGQSX</v>
          </cell>
          <cell r="B275" t="str">
            <v>Q3-23</v>
          </cell>
          <cell r="C275" t="str">
            <v>Europe Operations OU</v>
          </cell>
          <cell r="D275">
            <v>2674345</v>
          </cell>
          <cell r="E275" t="str">
            <v>Amazon EU SARL, succursale Italiana</v>
          </cell>
          <cell r="F275" t="str">
            <v>27JB88GQ</v>
          </cell>
          <cell r="G275" t="str">
            <v>B07W4DGQSX</v>
          </cell>
          <cell r="H275" t="str">
            <v>920-010967</v>
          </cell>
          <cell r="I275" t="str">
            <v>OE INVOICES</v>
          </cell>
          <cell r="J275">
            <v>44422122410</v>
          </cell>
          <cell r="K275">
            <v>44882</v>
          </cell>
          <cell r="L275">
            <v>11</v>
          </cell>
          <cell r="M275" t="str">
            <v>EUR</v>
          </cell>
          <cell r="N275">
            <v>644.20000000000005</v>
          </cell>
          <cell r="O275">
            <v>32.21</v>
          </cell>
          <cell r="P275">
            <v>20</v>
          </cell>
          <cell r="Q275">
            <v>20</v>
          </cell>
          <cell r="R275">
            <v>0</v>
          </cell>
        </row>
        <row r="276">
          <cell r="A276" t="str">
            <v>27JB88GQB07W4DHMXB</v>
          </cell>
          <cell r="B276" t="str">
            <v>Q3-23</v>
          </cell>
          <cell r="C276" t="str">
            <v>Europe Operations OU</v>
          </cell>
          <cell r="D276">
            <v>2674345</v>
          </cell>
          <cell r="E276" t="str">
            <v>Amazon EU SARL, succursale Italiana</v>
          </cell>
          <cell r="F276" t="str">
            <v>27JB88GQ</v>
          </cell>
          <cell r="G276" t="str">
            <v>B07W4DHMXB</v>
          </cell>
          <cell r="H276" t="str">
            <v>920-009168</v>
          </cell>
          <cell r="I276" t="str">
            <v>OE INVOICES</v>
          </cell>
          <cell r="J276">
            <v>44422122410</v>
          </cell>
          <cell r="K276">
            <v>44882</v>
          </cell>
          <cell r="L276">
            <v>12</v>
          </cell>
          <cell r="M276" t="str">
            <v>EUR</v>
          </cell>
          <cell r="N276">
            <v>598.72</v>
          </cell>
          <cell r="O276">
            <v>74.84</v>
          </cell>
          <cell r="P276">
            <v>8</v>
          </cell>
          <cell r="Q276">
            <v>8</v>
          </cell>
          <cell r="R276">
            <v>0</v>
          </cell>
        </row>
        <row r="277">
          <cell r="A277" t="str">
            <v>27JB88GQB07W4DHWYM</v>
          </cell>
          <cell r="B277" t="str">
            <v>Q3-23</v>
          </cell>
          <cell r="C277" t="str">
            <v>Europe Operations OU</v>
          </cell>
          <cell r="D277">
            <v>2674345</v>
          </cell>
          <cell r="E277" t="str">
            <v>Amazon EU SARL, succursale Italiana</v>
          </cell>
          <cell r="F277" t="str">
            <v>27JB88GQ</v>
          </cell>
          <cell r="G277" t="str">
            <v>B07W4DHWYM</v>
          </cell>
          <cell r="H277" t="str">
            <v>920-009824</v>
          </cell>
          <cell r="I277" t="str">
            <v>OE INVOICES</v>
          </cell>
          <cell r="J277">
            <v>44422122410</v>
          </cell>
          <cell r="K277">
            <v>44882</v>
          </cell>
          <cell r="L277">
            <v>13</v>
          </cell>
          <cell r="M277" t="str">
            <v>EUR</v>
          </cell>
          <cell r="N277">
            <v>174</v>
          </cell>
          <cell r="O277">
            <v>29</v>
          </cell>
          <cell r="P277">
            <v>6</v>
          </cell>
          <cell r="Q277">
            <v>6</v>
          </cell>
          <cell r="R277">
            <v>0</v>
          </cell>
        </row>
        <row r="278">
          <cell r="A278" t="str">
            <v>27JB88GQB07W4DHXFT</v>
          </cell>
          <cell r="B278" t="str">
            <v>Q3-23</v>
          </cell>
          <cell r="C278" t="str">
            <v>Europe Operations OU</v>
          </cell>
          <cell r="D278">
            <v>2674345</v>
          </cell>
          <cell r="E278" t="str">
            <v>Amazon EU SARL, succursale Italiana</v>
          </cell>
          <cell r="F278" t="str">
            <v>27JB88GQ</v>
          </cell>
          <cell r="G278" t="str">
            <v>B07W4DHXFT</v>
          </cell>
          <cell r="H278" t="str">
            <v>920-010913</v>
          </cell>
          <cell r="I278" t="str">
            <v>OE INVOICES</v>
          </cell>
          <cell r="J278">
            <v>44422122410</v>
          </cell>
          <cell r="K278">
            <v>44882</v>
          </cell>
          <cell r="L278">
            <v>14</v>
          </cell>
          <cell r="M278" t="str">
            <v>EUR</v>
          </cell>
          <cell r="N278">
            <v>4251.72</v>
          </cell>
          <cell r="O278">
            <v>32.21</v>
          </cell>
          <cell r="P278">
            <v>132</v>
          </cell>
          <cell r="Q278">
            <v>132</v>
          </cell>
          <cell r="R278">
            <v>0</v>
          </cell>
        </row>
        <row r="279">
          <cell r="A279" t="str">
            <v>27JB88GQB07W6GVS5P</v>
          </cell>
          <cell r="B279" t="str">
            <v>Q3-23</v>
          </cell>
          <cell r="C279" t="str">
            <v>Europe Operations OU</v>
          </cell>
          <cell r="D279">
            <v>2674345</v>
          </cell>
          <cell r="E279" t="str">
            <v>Amazon EU SARL, succursale Italiana</v>
          </cell>
          <cell r="F279" t="str">
            <v>27JB88GQ</v>
          </cell>
          <cell r="G279" t="str">
            <v>B07W6GVS5P</v>
          </cell>
          <cell r="H279" t="str">
            <v>920-010914</v>
          </cell>
          <cell r="I279" t="str">
            <v>OE INVOICES</v>
          </cell>
          <cell r="J279">
            <v>44422122410</v>
          </cell>
          <cell r="K279">
            <v>44882</v>
          </cell>
          <cell r="L279">
            <v>15</v>
          </cell>
          <cell r="M279" t="str">
            <v>EUR</v>
          </cell>
          <cell r="N279">
            <v>257.68</v>
          </cell>
          <cell r="O279">
            <v>32.21</v>
          </cell>
          <cell r="P279">
            <v>8</v>
          </cell>
          <cell r="Q279">
            <v>8</v>
          </cell>
          <cell r="R279">
            <v>0</v>
          </cell>
        </row>
        <row r="280">
          <cell r="A280" t="str">
            <v>27JB88GQB07W6JPZBL</v>
          </cell>
          <cell r="B280" t="str">
            <v>Q3-23</v>
          </cell>
          <cell r="C280" t="str">
            <v>Europe Operations OU</v>
          </cell>
          <cell r="D280">
            <v>2674345</v>
          </cell>
          <cell r="E280" t="str">
            <v>Amazon EU SARL, succursale Italiana</v>
          </cell>
          <cell r="F280" t="str">
            <v>27JB88GQ</v>
          </cell>
          <cell r="G280" t="str">
            <v>B07W6JPZBL</v>
          </cell>
          <cell r="H280" t="str">
            <v>984-001804</v>
          </cell>
          <cell r="I280" t="str">
            <v>OE INVOICES</v>
          </cell>
          <cell r="J280">
            <v>44422122410</v>
          </cell>
          <cell r="K280">
            <v>44882</v>
          </cell>
          <cell r="L280">
            <v>16</v>
          </cell>
          <cell r="M280" t="str">
            <v>EUR</v>
          </cell>
          <cell r="N280">
            <v>720.81</v>
          </cell>
          <cell r="O280">
            <v>240.27</v>
          </cell>
          <cell r="P280">
            <v>3</v>
          </cell>
          <cell r="Q280">
            <v>3</v>
          </cell>
          <cell r="R280">
            <v>0</v>
          </cell>
        </row>
        <row r="281">
          <cell r="A281" t="str">
            <v>27JB88GQB07W7KFFFF</v>
          </cell>
          <cell r="B281" t="str">
            <v>Q3-23</v>
          </cell>
          <cell r="C281" t="str">
            <v>Europe Operations OU</v>
          </cell>
          <cell r="D281">
            <v>2674345</v>
          </cell>
          <cell r="E281" t="str">
            <v>Amazon EU SARL, succursale Italiana</v>
          </cell>
          <cell r="F281" t="str">
            <v>27JB88GQ</v>
          </cell>
          <cell r="G281" t="str">
            <v>B07W7KFFFF</v>
          </cell>
          <cell r="H281" t="str">
            <v>941-000149</v>
          </cell>
          <cell r="I281" t="str">
            <v>OE INVOICES</v>
          </cell>
          <cell r="J281">
            <v>44422122410</v>
          </cell>
          <cell r="K281">
            <v>44882</v>
          </cell>
          <cell r="L281">
            <v>17</v>
          </cell>
          <cell r="M281" t="str">
            <v>EUR</v>
          </cell>
          <cell r="N281">
            <v>1358.1</v>
          </cell>
          <cell r="O281">
            <v>226.35</v>
          </cell>
          <cell r="P281">
            <v>6</v>
          </cell>
          <cell r="Q281">
            <v>6</v>
          </cell>
          <cell r="R281">
            <v>0</v>
          </cell>
        </row>
        <row r="282">
          <cell r="A282" t="str">
            <v>27JB88GQB07W7KMLQ9</v>
          </cell>
          <cell r="B282" t="str">
            <v>Q3-23</v>
          </cell>
          <cell r="C282" t="str">
            <v>Europe Operations OU</v>
          </cell>
          <cell r="D282">
            <v>2674345</v>
          </cell>
          <cell r="E282" t="str">
            <v>Amazon EU SARL, succursale Italiana</v>
          </cell>
          <cell r="F282" t="str">
            <v>27JB88GQ</v>
          </cell>
          <cell r="G282" t="str">
            <v>B07W7KMLQ9</v>
          </cell>
          <cell r="H282" t="str">
            <v>920-009352</v>
          </cell>
          <cell r="I282" t="str">
            <v>OE INVOICES</v>
          </cell>
          <cell r="J282">
            <v>44422157420</v>
          </cell>
          <cell r="K282">
            <v>44904</v>
          </cell>
          <cell r="L282">
            <v>1</v>
          </cell>
          <cell r="M282" t="str">
            <v>EUR</v>
          </cell>
          <cell r="N282">
            <v>272.24</v>
          </cell>
          <cell r="O282">
            <v>68.06</v>
          </cell>
          <cell r="P282">
            <v>4</v>
          </cell>
          <cell r="Q282">
            <v>4</v>
          </cell>
          <cell r="R282">
            <v>0</v>
          </cell>
        </row>
        <row r="283">
          <cell r="A283" t="str">
            <v>27JB88GQB07W7KNWK5</v>
          </cell>
          <cell r="B283" t="str">
            <v>Q3-23</v>
          </cell>
          <cell r="C283" t="str">
            <v>Europe Operations OU</v>
          </cell>
          <cell r="D283">
            <v>2674345</v>
          </cell>
          <cell r="E283" t="str">
            <v>Amazon EU SARL, succursale Italiana</v>
          </cell>
          <cell r="F283" t="str">
            <v>27JB88GQ</v>
          </cell>
          <cell r="G283" t="str">
            <v>B07W7KNWK5</v>
          </cell>
          <cell r="H283" t="str">
            <v>920-009340</v>
          </cell>
          <cell r="I283" t="str">
            <v>OE INVOICES</v>
          </cell>
          <cell r="J283">
            <v>44422122410</v>
          </cell>
          <cell r="K283">
            <v>44882</v>
          </cell>
          <cell r="L283">
            <v>18</v>
          </cell>
          <cell r="M283" t="str">
            <v>EUR</v>
          </cell>
          <cell r="N283">
            <v>377.76</v>
          </cell>
          <cell r="O283">
            <v>94.44</v>
          </cell>
          <cell r="P283">
            <v>4</v>
          </cell>
          <cell r="Q283">
            <v>4</v>
          </cell>
          <cell r="R283">
            <v>0</v>
          </cell>
        </row>
        <row r="284">
          <cell r="A284" t="str">
            <v>29YOVOGFB000EOPQ7E</v>
          </cell>
          <cell r="B284" t="str">
            <v>Q3-23</v>
          </cell>
          <cell r="C284" t="str">
            <v>Europe Operations OU</v>
          </cell>
          <cell r="D284">
            <v>2674345</v>
          </cell>
          <cell r="E284" t="str">
            <v>Amazon EU SARL, succursale Italiana</v>
          </cell>
          <cell r="F284" t="str">
            <v>29YOVOGF</v>
          </cell>
          <cell r="G284" t="str">
            <v>B000EOPQ7E</v>
          </cell>
          <cell r="H284" t="str">
            <v>988-000187</v>
          </cell>
          <cell r="I284" t="str">
            <v>OE INVOICES</v>
          </cell>
          <cell r="J284">
            <v>44422163656</v>
          </cell>
          <cell r="K284">
            <v>44909</v>
          </cell>
          <cell r="L284">
            <v>1</v>
          </cell>
          <cell r="M284" t="str">
            <v>EUR</v>
          </cell>
          <cell r="N284">
            <v>6114.16</v>
          </cell>
          <cell r="O284">
            <v>58.79</v>
          </cell>
          <cell r="P284">
            <v>104</v>
          </cell>
          <cell r="Q284">
            <v>104</v>
          </cell>
          <cell r="R284">
            <v>0</v>
          </cell>
        </row>
        <row r="285">
          <cell r="A285" t="str">
            <v>29YOVOGFB07W4DHMVC</v>
          </cell>
          <cell r="B285" t="str">
            <v>Q3-23</v>
          </cell>
          <cell r="C285" t="str">
            <v>Europe Operations OU</v>
          </cell>
          <cell r="D285">
            <v>2674345</v>
          </cell>
          <cell r="E285" t="str">
            <v>Amazon EU SARL, succursale Italiana</v>
          </cell>
          <cell r="F285" t="str">
            <v>29YOVOGF</v>
          </cell>
          <cell r="G285" t="str">
            <v>B07W4DHMVC</v>
          </cell>
          <cell r="H285" t="str">
            <v>920-009588</v>
          </cell>
          <cell r="I285" t="str">
            <v>OE INVOICES</v>
          </cell>
          <cell r="J285">
            <v>44422158456</v>
          </cell>
          <cell r="K285">
            <v>44907</v>
          </cell>
          <cell r="L285">
            <v>1</v>
          </cell>
          <cell r="M285" t="str">
            <v>EUR</v>
          </cell>
          <cell r="N285">
            <v>62873.919999999998</v>
          </cell>
          <cell r="O285">
            <v>32.21</v>
          </cell>
          <cell r="P285">
            <v>1952</v>
          </cell>
          <cell r="Q285">
            <v>1952</v>
          </cell>
          <cell r="R285">
            <v>0</v>
          </cell>
        </row>
        <row r="286">
          <cell r="A286" t="str">
            <v>29YOVOGFB07W6HKDNR</v>
          </cell>
          <cell r="B286" t="str">
            <v>Q3-23</v>
          </cell>
          <cell r="C286" t="str">
            <v>Europe Operations OU</v>
          </cell>
          <cell r="D286">
            <v>2674345</v>
          </cell>
          <cell r="E286" t="str">
            <v>Amazon EU SARL, succursale Italiana</v>
          </cell>
          <cell r="F286" t="str">
            <v>29YOVOGF</v>
          </cell>
          <cell r="G286" t="str">
            <v>B07W6HKDNR</v>
          </cell>
          <cell r="H286" t="str">
            <v>988-000485</v>
          </cell>
          <cell r="I286" t="str">
            <v>OE INVOICES</v>
          </cell>
          <cell r="J286">
            <v>44422158456</v>
          </cell>
          <cell r="K286">
            <v>44907</v>
          </cell>
          <cell r="L286">
            <v>2</v>
          </cell>
          <cell r="M286" t="str">
            <v>EUR</v>
          </cell>
          <cell r="N286">
            <v>2866.56</v>
          </cell>
          <cell r="O286">
            <v>179.16</v>
          </cell>
          <cell r="P286">
            <v>16</v>
          </cell>
          <cell r="Q286">
            <v>16</v>
          </cell>
          <cell r="R286">
            <v>0</v>
          </cell>
        </row>
        <row r="287">
          <cell r="A287" t="str">
            <v>2C2WXZKYB07W5JKPJN</v>
          </cell>
          <cell r="B287" t="str">
            <v>Q3-23</v>
          </cell>
          <cell r="C287" t="str">
            <v>Europe Operations OU</v>
          </cell>
          <cell r="D287">
            <v>2674345</v>
          </cell>
          <cell r="E287" t="str">
            <v>Amazon EU SARL, succursale Italiana</v>
          </cell>
          <cell r="F287" t="str">
            <v>2C2WXZKY</v>
          </cell>
          <cell r="G287" t="str">
            <v>B07W5JKPJN</v>
          </cell>
          <cell r="H287" t="str">
            <v>920-009324</v>
          </cell>
          <cell r="I287" t="str">
            <v>OE INVOICES</v>
          </cell>
          <cell r="J287">
            <v>44422142931</v>
          </cell>
          <cell r="K287">
            <v>44896</v>
          </cell>
          <cell r="L287">
            <v>1</v>
          </cell>
          <cell r="M287" t="str">
            <v>EUR</v>
          </cell>
          <cell r="N287">
            <v>1888.8</v>
          </cell>
          <cell r="O287">
            <v>94.44</v>
          </cell>
          <cell r="P287">
            <v>20</v>
          </cell>
          <cell r="Q287">
            <v>20</v>
          </cell>
          <cell r="R287">
            <v>0</v>
          </cell>
        </row>
        <row r="288">
          <cell r="A288" t="str">
            <v>2CLMXQWQB00CJ5FP04</v>
          </cell>
          <cell r="B288" t="str">
            <v>Q3-23</v>
          </cell>
          <cell r="C288" t="str">
            <v>Europe Operations OU</v>
          </cell>
          <cell r="D288">
            <v>2674345</v>
          </cell>
          <cell r="E288" t="str">
            <v>Amazon EU SARL, succursale Italiana</v>
          </cell>
          <cell r="F288" t="str">
            <v>2CLMXQWQ</v>
          </cell>
          <cell r="G288" t="str">
            <v>B00CJ5FP04</v>
          </cell>
          <cell r="H288" t="str">
            <v>940-000135</v>
          </cell>
          <cell r="I288" t="str">
            <v>OE INVOICES</v>
          </cell>
          <cell r="J288">
            <v>44422144949</v>
          </cell>
          <cell r="K288">
            <v>44897</v>
          </cell>
          <cell r="L288">
            <v>1</v>
          </cell>
          <cell r="M288" t="str">
            <v>EUR</v>
          </cell>
          <cell r="N288">
            <v>253.2</v>
          </cell>
          <cell r="O288">
            <v>21.1</v>
          </cell>
          <cell r="P288">
            <v>12</v>
          </cell>
          <cell r="Q288">
            <v>12</v>
          </cell>
          <cell r="R288">
            <v>0</v>
          </cell>
        </row>
        <row r="289">
          <cell r="A289" t="str">
            <v>2CLMXQWQB00ZOZZM4U</v>
          </cell>
          <cell r="B289" t="str">
            <v>Q3-23</v>
          </cell>
          <cell r="C289" t="str">
            <v>Europe Operations OU</v>
          </cell>
          <cell r="D289">
            <v>2674345</v>
          </cell>
          <cell r="E289" t="str">
            <v>Amazon EU SARL, succursale Italiana</v>
          </cell>
          <cell r="F289" t="str">
            <v>2CLMXQWQ</v>
          </cell>
          <cell r="G289" t="str">
            <v>B00ZOZZM4U</v>
          </cell>
          <cell r="H289" t="str">
            <v>981-000593</v>
          </cell>
          <cell r="I289" t="str">
            <v>OE INVOICES</v>
          </cell>
          <cell r="J289">
            <v>44422144949</v>
          </cell>
          <cell r="K289">
            <v>44897</v>
          </cell>
          <cell r="L289">
            <v>2</v>
          </cell>
          <cell r="M289" t="str">
            <v>EUR</v>
          </cell>
          <cell r="N289">
            <v>1030.4000000000001</v>
          </cell>
          <cell r="O289">
            <v>12.88</v>
          </cell>
          <cell r="P289">
            <v>80</v>
          </cell>
          <cell r="Q289">
            <v>80</v>
          </cell>
          <cell r="R289">
            <v>0</v>
          </cell>
        </row>
        <row r="290">
          <cell r="A290" t="str">
            <v>2CLMXQWQB01BGBJ8Y0</v>
          </cell>
          <cell r="B290" t="str">
            <v>Q3-23</v>
          </cell>
          <cell r="C290" t="str">
            <v>Europe Operations OU</v>
          </cell>
          <cell r="D290">
            <v>2674345</v>
          </cell>
          <cell r="E290" t="str">
            <v>Amazon EU SARL, succursale Italiana</v>
          </cell>
          <cell r="F290" t="str">
            <v>2CLMXQWQ</v>
          </cell>
          <cell r="G290" t="str">
            <v>B01BGBJ8Y0</v>
          </cell>
          <cell r="H290" t="str">
            <v>960-001063</v>
          </cell>
          <cell r="I290" t="str">
            <v>OE INVOICES</v>
          </cell>
          <cell r="J290">
            <v>44422144949</v>
          </cell>
          <cell r="K290">
            <v>44897</v>
          </cell>
          <cell r="L290">
            <v>3</v>
          </cell>
          <cell r="M290" t="str">
            <v>EUR</v>
          </cell>
          <cell r="N290">
            <v>3372.48</v>
          </cell>
          <cell r="O290">
            <v>23.42</v>
          </cell>
          <cell r="P290">
            <v>144</v>
          </cell>
          <cell r="Q290">
            <v>144</v>
          </cell>
          <cell r="R290">
            <v>0</v>
          </cell>
        </row>
        <row r="291">
          <cell r="A291" t="str">
            <v>2CLMXQWQB01M3TTXMY</v>
          </cell>
          <cell r="B291" t="str">
            <v>Q3-23</v>
          </cell>
          <cell r="C291" t="str">
            <v>Europe Operations OU</v>
          </cell>
          <cell r="D291">
            <v>2674345</v>
          </cell>
          <cell r="E291" t="str">
            <v>Amazon EU SARL, succursale Italiana</v>
          </cell>
          <cell r="F291" t="str">
            <v>2CLMXQWQ</v>
          </cell>
          <cell r="G291" t="str">
            <v>B01M3TTXMY</v>
          </cell>
          <cell r="H291" t="str">
            <v>945-000008</v>
          </cell>
          <cell r="I291" t="str">
            <v>OE INVOICES</v>
          </cell>
          <cell r="J291">
            <v>44422144949</v>
          </cell>
          <cell r="K291">
            <v>44897</v>
          </cell>
          <cell r="L291">
            <v>4</v>
          </cell>
          <cell r="M291" t="str">
            <v>EUR</v>
          </cell>
          <cell r="N291">
            <v>1342.24</v>
          </cell>
          <cell r="O291">
            <v>83.89</v>
          </cell>
          <cell r="P291">
            <v>16</v>
          </cell>
          <cell r="Q291">
            <v>16</v>
          </cell>
          <cell r="R291">
            <v>0</v>
          </cell>
        </row>
        <row r="292">
          <cell r="A292" t="str">
            <v>2CLMXQWQB01MQ0GFUH</v>
          </cell>
          <cell r="B292" t="str">
            <v>Q3-23</v>
          </cell>
          <cell r="C292" t="str">
            <v>Europe Operations OU</v>
          </cell>
          <cell r="D292">
            <v>2674345</v>
          </cell>
          <cell r="E292" t="str">
            <v>Amazon EU SARL, succursale Italiana</v>
          </cell>
          <cell r="F292" t="str">
            <v>2CLMXQWQ</v>
          </cell>
          <cell r="G292" t="str">
            <v>B01MQ0GFUH</v>
          </cell>
          <cell r="H292" t="str">
            <v>945-000012</v>
          </cell>
          <cell r="I292" t="str">
            <v>OE INVOICES</v>
          </cell>
          <cell r="J292">
            <v>44422144949</v>
          </cell>
          <cell r="K292">
            <v>44897</v>
          </cell>
          <cell r="L292">
            <v>5</v>
          </cell>
          <cell r="M292" t="str">
            <v>EUR</v>
          </cell>
          <cell r="N292">
            <v>179.36</v>
          </cell>
          <cell r="O292">
            <v>44.84</v>
          </cell>
          <cell r="P292">
            <v>4</v>
          </cell>
          <cell r="Q292">
            <v>4</v>
          </cell>
          <cell r="R292">
            <v>0</v>
          </cell>
        </row>
        <row r="293">
          <cell r="A293" t="str">
            <v>2CLMXQWQB071ZFMC9Q</v>
          </cell>
          <cell r="B293" t="str">
            <v>Q3-23</v>
          </cell>
          <cell r="C293" t="str">
            <v>Europe Operations OU</v>
          </cell>
          <cell r="D293">
            <v>2674345</v>
          </cell>
          <cell r="E293" t="str">
            <v>Amazon EU SARL, succursale Italiana</v>
          </cell>
          <cell r="F293" t="str">
            <v>2CLMXQWQ</v>
          </cell>
          <cell r="G293" t="str">
            <v>B071ZFMC9Q</v>
          </cell>
          <cell r="H293" t="str">
            <v>939-001498</v>
          </cell>
          <cell r="I293" t="str">
            <v>OE INVOICES</v>
          </cell>
          <cell r="J293">
            <v>44422144949</v>
          </cell>
          <cell r="K293">
            <v>44897</v>
          </cell>
          <cell r="L293">
            <v>6</v>
          </cell>
          <cell r="M293" t="str">
            <v>EUR</v>
          </cell>
          <cell r="N293">
            <v>799.92</v>
          </cell>
          <cell r="O293">
            <v>66.66</v>
          </cell>
          <cell r="P293">
            <v>12</v>
          </cell>
          <cell r="Q293">
            <v>12</v>
          </cell>
          <cell r="R293">
            <v>0</v>
          </cell>
        </row>
        <row r="294">
          <cell r="A294" t="str">
            <v>2CLMXQWQB07CGNP3RH</v>
          </cell>
          <cell r="B294" t="str">
            <v>Q3-23</v>
          </cell>
          <cell r="C294" t="str">
            <v>Europe Operations OU</v>
          </cell>
          <cell r="D294">
            <v>2674345</v>
          </cell>
          <cell r="E294" t="str">
            <v>Amazon EU SARL, succursale Italiana</v>
          </cell>
          <cell r="F294" t="str">
            <v>2CLMXQWQ</v>
          </cell>
          <cell r="G294" t="str">
            <v>B07CGNP3RH</v>
          </cell>
          <cell r="H294" t="str">
            <v>910-005292</v>
          </cell>
          <cell r="I294" t="str">
            <v>OE INVOICES</v>
          </cell>
          <cell r="J294">
            <v>44422145276</v>
          </cell>
          <cell r="K294">
            <v>44897</v>
          </cell>
          <cell r="L294">
            <v>1</v>
          </cell>
          <cell r="M294" t="str">
            <v>EUR</v>
          </cell>
          <cell r="N294">
            <v>2068.08</v>
          </cell>
          <cell r="O294">
            <v>36.93</v>
          </cell>
          <cell r="P294">
            <v>56</v>
          </cell>
          <cell r="Q294">
            <v>56</v>
          </cell>
          <cell r="R294">
            <v>0</v>
          </cell>
        </row>
        <row r="295">
          <cell r="A295" t="str">
            <v>2CLMXQWQB07CGPZ3ZQ</v>
          </cell>
          <cell r="B295" t="str">
            <v>Q3-23</v>
          </cell>
          <cell r="C295" t="str">
            <v>Europe Operations OU</v>
          </cell>
          <cell r="D295">
            <v>2674345</v>
          </cell>
          <cell r="E295" t="str">
            <v>Amazon EU SARL, succursale Italiana</v>
          </cell>
          <cell r="F295" t="str">
            <v>2CLMXQWQ</v>
          </cell>
          <cell r="G295" t="str">
            <v>B07CGPZ3ZQ</v>
          </cell>
          <cell r="H295" t="str">
            <v>910-005283</v>
          </cell>
          <cell r="I295" t="str">
            <v>OE INVOICES</v>
          </cell>
          <cell r="J295">
            <v>44422145276</v>
          </cell>
          <cell r="K295">
            <v>44897</v>
          </cell>
          <cell r="L295">
            <v>2</v>
          </cell>
          <cell r="M295" t="str">
            <v>EUR</v>
          </cell>
          <cell r="N295">
            <v>9897.24</v>
          </cell>
          <cell r="O295">
            <v>36.93</v>
          </cell>
          <cell r="P295">
            <v>268</v>
          </cell>
          <cell r="Q295">
            <v>268</v>
          </cell>
          <cell r="R295">
            <v>0</v>
          </cell>
        </row>
        <row r="296">
          <cell r="A296" t="str">
            <v>2CLMXQWQB07QKC4WWD</v>
          </cell>
          <cell r="B296" t="str">
            <v>Q3-23</v>
          </cell>
          <cell r="C296" t="str">
            <v>Europe Operations OU</v>
          </cell>
          <cell r="D296">
            <v>2674345</v>
          </cell>
          <cell r="E296" t="str">
            <v>Amazon EU SARL, succursale Italiana</v>
          </cell>
          <cell r="F296" t="str">
            <v>2CLMXQWQ</v>
          </cell>
          <cell r="G296" t="str">
            <v>B07QKC4WWD</v>
          </cell>
          <cell r="H296" t="str">
            <v>910-005568</v>
          </cell>
          <cell r="I296" t="str">
            <v>OE INVOICES</v>
          </cell>
          <cell r="J296">
            <v>44422145276</v>
          </cell>
          <cell r="K296">
            <v>44897</v>
          </cell>
          <cell r="L296">
            <v>3</v>
          </cell>
          <cell r="M296" t="str">
            <v>EUR</v>
          </cell>
          <cell r="N296">
            <v>2013.36</v>
          </cell>
          <cell r="O296">
            <v>83.89</v>
          </cell>
          <cell r="P296">
            <v>24</v>
          </cell>
          <cell r="Q296">
            <v>24</v>
          </cell>
          <cell r="R296">
            <v>0</v>
          </cell>
        </row>
        <row r="297">
          <cell r="A297" t="str">
            <v>2CLMXQWQB07W4DHK3P</v>
          </cell>
          <cell r="B297" t="str">
            <v>Q3-23</v>
          </cell>
          <cell r="C297" t="str">
            <v>Europe Operations OU</v>
          </cell>
          <cell r="D297">
            <v>2674345</v>
          </cell>
          <cell r="E297" t="str">
            <v>Amazon EU SARL, succursale Italiana</v>
          </cell>
          <cell r="F297" t="str">
            <v>2CLMXQWQ</v>
          </cell>
          <cell r="G297" t="str">
            <v>B07W4DHK3P</v>
          </cell>
          <cell r="H297" t="str">
            <v>943-000806</v>
          </cell>
          <cell r="I297" t="str">
            <v>OE INVOICES</v>
          </cell>
          <cell r="J297">
            <v>44422144949</v>
          </cell>
          <cell r="K297">
            <v>44897</v>
          </cell>
          <cell r="L297">
            <v>7</v>
          </cell>
          <cell r="M297" t="str">
            <v>EUR</v>
          </cell>
          <cell r="N297">
            <v>506.4</v>
          </cell>
          <cell r="O297">
            <v>21.1</v>
          </cell>
          <cell r="P297">
            <v>24</v>
          </cell>
          <cell r="Q297">
            <v>24</v>
          </cell>
          <cell r="R297">
            <v>0</v>
          </cell>
        </row>
        <row r="298">
          <cell r="A298" t="str">
            <v>2CLMXQWQB07W6H83LD</v>
          </cell>
          <cell r="B298" t="str">
            <v>Q3-23</v>
          </cell>
          <cell r="C298" t="str">
            <v>Europe Operations OU</v>
          </cell>
          <cell r="D298">
            <v>2674345</v>
          </cell>
          <cell r="E298" t="str">
            <v>Amazon EU SARL, succursale Italiana</v>
          </cell>
          <cell r="F298" t="str">
            <v>2CLMXQWQ</v>
          </cell>
          <cell r="G298" t="str">
            <v>B07W6H83LD</v>
          </cell>
          <cell r="H298" t="str">
            <v>943-000798</v>
          </cell>
          <cell r="I298" t="str">
            <v>OE INVOICES</v>
          </cell>
          <cell r="J298">
            <v>44422144949</v>
          </cell>
          <cell r="K298">
            <v>44897</v>
          </cell>
          <cell r="L298">
            <v>8</v>
          </cell>
          <cell r="M298" t="str">
            <v>EUR</v>
          </cell>
          <cell r="N298">
            <v>73.84</v>
          </cell>
          <cell r="O298">
            <v>18.46</v>
          </cell>
          <cell r="P298">
            <v>4</v>
          </cell>
          <cell r="Q298">
            <v>4</v>
          </cell>
          <cell r="R298">
            <v>0</v>
          </cell>
        </row>
        <row r="299">
          <cell r="A299" t="str">
            <v>2CLMXQWQB07W6HPP3R</v>
          </cell>
          <cell r="B299" t="str">
            <v>Q3-23</v>
          </cell>
          <cell r="C299" t="str">
            <v>Europe Operations OU</v>
          </cell>
          <cell r="D299">
            <v>2674345</v>
          </cell>
          <cell r="E299" t="str">
            <v>Amazon EU SARL, succursale Italiana</v>
          </cell>
          <cell r="F299" t="str">
            <v>2CLMXQWQ</v>
          </cell>
          <cell r="G299" t="str">
            <v>B07W6HPP3R</v>
          </cell>
          <cell r="H299" t="str">
            <v>920-010303</v>
          </cell>
          <cell r="I299" t="str">
            <v>OE INVOICES</v>
          </cell>
          <cell r="J299">
            <v>44422144949</v>
          </cell>
          <cell r="K299">
            <v>44897</v>
          </cell>
          <cell r="L299">
            <v>9</v>
          </cell>
          <cell r="M299" t="str">
            <v>EUR</v>
          </cell>
          <cell r="N299">
            <v>5568.96</v>
          </cell>
          <cell r="O299">
            <v>116.02</v>
          </cell>
          <cell r="P299">
            <v>48</v>
          </cell>
          <cell r="Q299">
            <v>48</v>
          </cell>
          <cell r="R299">
            <v>0</v>
          </cell>
        </row>
        <row r="300">
          <cell r="A300" t="str">
            <v>2CLMXQWQB07W6JGH8Z</v>
          </cell>
          <cell r="B300" t="str">
            <v>Q3-23</v>
          </cell>
          <cell r="C300" t="str">
            <v>Europe Operations OU</v>
          </cell>
          <cell r="D300">
            <v>2674345</v>
          </cell>
          <cell r="E300" t="str">
            <v>Amazon EU SARL, succursale Italiana</v>
          </cell>
          <cell r="F300" t="str">
            <v>2CLMXQWQ</v>
          </cell>
          <cell r="G300" t="str">
            <v>B07W6JGH8Z</v>
          </cell>
          <cell r="H300" t="str">
            <v>981-001044</v>
          </cell>
          <cell r="I300" t="str">
            <v>OE INVOICES</v>
          </cell>
          <cell r="J300">
            <v>44422144949</v>
          </cell>
          <cell r="K300">
            <v>44897</v>
          </cell>
          <cell r="L300">
            <v>10</v>
          </cell>
          <cell r="M300" t="str">
            <v>EUR</v>
          </cell>
          <cell r="N300">
            <v>211.04</v>
          </cell>
          <cell r="O300">
            <v>52.76</v>
          </cell>
          <cell r="P300">
            <v>4</v>
          </cell>
          <cell r="Q300">
            <v>4</v>
          </cell>
          <cell r="R300">
            <v>0</v>
          </cell>
        </row>
        <row r="301">
          <cell r="A301" t="str">
            <v>2CLMXQWQB07W6JPM9P</v>
          </cell>
          <cell r="B301" t="str">
            <v>Q3-23</v>
          </cell>
          <cell r="C301" t="str">
            <v>Europe Operations OU</v>
          </cell>
          <cell r="D301">
            <v>2674345</v>
          </cell>
          <cell r="E301" t="str">
            <v>Amazon EU SARL, succursale Italiana</v>
          </cell>
          <cell r="F301" t="str">
            <v>2CLMXQWQ</v>
          </cell>
          <cell r="G301" t="str">
            <v>B07W6JPM9P</v>
          </cell>
          <cell r="H301" t="str">
            <v>943-000785</v>
          </cell>
          <cell r="I301" t="str">
            <v>OE INVOICES</v>
          </cell>
          <cell r="J301">
            <v>44422144949</v>
          </cell>
          <cell r="K301">
            <v>44897</v>
          </cell>
          <cell r="L301">
            <v>11</v>
          </cell>
          <cell r="M301" t="str">
            <v>EUR</v>
          </cell>
          <cell r="N301">
            <v>379.2</v>
          </cell>
          <cell r="O301">
            <v>6.32</v>
          </cell>
          <cell r="P301">
            <v>60</v>
          </cell>
          <cell r="Q301">
            <v>60</v>
          </cell>
          <cell r="R301">
            <v>0</v>
          </cell>
        </row>
        <row r="302">
          <cell r="A302" t="str">
            <v>2CLMXQWQB07W6JPVPF</v>
          </cell>
          <cell r="B302" t="str">
            <v>Q3-23</v>
          </cell>
          <cell r="C302" t="str">
            <v>Europe Operations OU</v>
          </cell>
          <cell r="D302">
            <v>2674345</v>
          </cell>
          <cell r="E302" t="str">
            <v>Amazon EU SARL, succursale Italiana</v>
          </cell>
          <cell r="F302" t="str">
            <v>2CLMXQWQ</v>
          </cell>
          <cell r="G302" t="str">
            <v>B07W6JPVPF</v>
          </cell>
          <cell r="H302" t="str">
            <v>943-000778</v>
          </cell>
          <cell r="I302" t="str">
            <v>OE INVOICES</v>
          </cell>
          <cell r="J302">
            <v>44422144949</v>
          </cell>
          <cell r="K302">
            <v>44897</v>
          </cell>
          <cell r="L302">
            <v>12</v>
          </cell>
          <cell r="M302" t="str">
            <v>EUR</v>
          </cell>
          <cell r="N302">
            <v>379.84</v>
          </cell>
          <cell r="O302">
            <v>23.74</v>
          </cell>
          <cell r="P302">
            <v>16</v>
          </cell>
          <cell r="Q302">
            <v>16</v>
          </cell>
          <cell r="R302">
            <v>0</v>
          </cell>
        </row>
        <row r="303">
          <cell r="A303" t="str">
            <v>2CLMXQWQB07W7K29YK</v>
          </cell>
          <cell r="B303" t="str">
            <v>Q3-23</v>
          </cell>
          <cell r="C303" t="str">
            <v>Europe Operations OU</v>
          </cell>
          <cell r="D303">
            <v>2674345</v>
          </cell>
          <cell r="E303" t="str">
            <v>Amazon EU SARL, succursale Italiana</v>
          </cell>
          <cell r="F303" t="str">
            <v>2CLMXQWQ</v>
          </cell>
          <cell r="G303" t="str">
            <v>B07W7K29YK</v>
          </cell>
          <cell r="H303" t="str">
            <v>943-000791</v>
          </cell>
          <cell r="I303" t="str">
            <v>OE INVOICES</v>
          </cell>
          <cell r="J303">
            <v>44422144949</v>
          </cell>
          <cell r="K303">
            <v>44897</v>
          </cell>
          <cell r="L303">
            <v>13</v>
          </cell>
          <cell r="M303" t="str">
            <v>EUR</v>
          </cell>
          <cell r="N303">
            <v>278.39999999999998</v>
          </cell>
          <cell r="O303">
            <v>11.6</v>
          </cell>
          <cell r="P303">
            <v>24</v>
          </cell>
          <cell r="Q303">
            <v>24</v>
          </cell>
          <cell r="R303">
            <v>0</v>
          </cell>
        </row>
        <row r="304">
          <cell r="A304" t="str">
            <v>2CLMXQWQB07W7LNTMC</v>
          </cell>
          <cell r="B304" t="str">
            <v>Q3-23</v>
          </cell>
          <cell r="C304" t="str">
            <v>Europe Operations OU</v>
          </cell>
          <cell r="D304">
            <v>2674345</v>
          </cell>
          <cell r="E304" t="str">
            <v>Amazon EU SARL, succursale Italiana</v>
          </cell>
          <cell r="F304" t="str">
            <v>2CLMXQWQ</v>
          </cell>
          <cell r="G304" t="str">
            <v>B07W7LNTMC</v>
          </cell>
          <cell r="H304" t="str">
            <v>943-000792</v>
          </cell>
          <cell r="I304" t="str">
            <v>OE INVOICES</v>
          </cell>
          <cell r="J304">
            <v>44422144949</v>
          </cell>
          <cell r="K304">
            <v>44897</v>
          </cell>
          <cell r="L304">
            <v>14</v>
          </cell>
          <cell r="M304" t="str">
            <v>EUR</v>
          </cell>
          <cell r="N304">
            <v>278.39999999999998</v>
          </cell>
          <cell r="O304">
            <v>11.6</v>
          </cell>
          <cell r="P304">
            <v>24</v>
          </cell>
          <cell r="Q304">
            <v>24</v>
          </cell>
          <cell r="R304">
            <v>0</v>
          </cell>
        </row>
        <row r="305">
          <cell r="A305" t="str">
            <v>2CS3RNQSB07W6JP8N2</v>
          </cell>
          <cell r="B305" t="str">
            <v>Q3-23</v>
          </cell>
          <cell r="C305" t="str">
            <v>Europe Operations OU</v>
          </cell>
          <cell r="D305">
            <v>2674345</v>
          </cell>
          <cell r="E305" t="str">
            <v>Amazon EU SARL, succursale Italiana</v>
          </cell>
          <cell r="F305" t="str">
            <v>2CS3RNQS</v>
          </cell>
          <cell r="G305" t="str">
            <v>B07W6JP8N2</v>
          </cell>
          <cell r="H305" t="str">
            <v>910-005729</v>
          </cell>
          <cell r="I305" t="str">
            <v>OE INVOICES</v>
          </cell>
          <cell r="J305">
            <v>44422129484</v>
          </cell>
          <cell r="K305">
            <v>44888</v>
          </cell>
          <cell r="L305">
            <v>1</v>
          </cell>
          <cell r="M305" t="str">
            <v>EUR</v>
          </cell>
          <cell r="N305">
            <v>100467.68</v>
          </cell>
          <cell r="O305">
            <v>47.48</v>
          </cell>
          <cell r="P305">
            <v>2116</v>
          </cell>
          <cell r="Q305">
            <v>2116</v>
          </cell>
          <cell r="R305">
            <v>0</v>
          </cell>
        </row>
        <row r="306">
          <cell r="A306" t="str">
            <v>2DDMOF4WB07W7L3HJP</v>
          </cell>
          <cell r="B306" t="str">
            <v>Q3-23</v>
          </cell>
          <cell r="C306" t="str">
            <v>Europe Operations OU</v>
          </cell>
          <cell r="D306">
            <v>2674345</v>
          </cell>
          <cell r="E306" t="str">
            <v>Amazon EU SARL, succursale Italiana</v>
          </cell>
          <cell r="F306" t="str">
            <v>2DDMOF4W</v>
          </cell>
          <cell r="G306" t="str">
            <v>B07W7L3HJP</v>
          </cell>
          <cell r="H306" t="str">
            <v>914-000074</v>
          </cell>
          <cell r="I306" t="str">
            <v>OE INVOICES</v>
          </cell>
          <cell r="J306">
            <v>44422144971</v>
          </cell>
          <cell r="K306">
            <v>44897</v>
          </cell>
          <cell r="L306">
            <v>1</v>
          </cell>
          <cell r="M306" t="str">
            <v>EUR</v>
          </cell>
          <cell r="N306">
            <v>661.2</v>
          </cell>
          <cell r="O306">
            <v>55.1</v>
          </cell>
          <cell r="P306">
            <v>12</v>
          </cell>
          <cell r="Q306">
            <v>12</v>
          </cell>
          <cell r="R306">
            <v>0</v>
          </cell>
        </row>
        <row r="307">
          <cell r="A307" t="str">
            <v>2DDMOF4WB07W7LTX74</v>
          </cell>
          <cell r="B307" t="str">
            <v>Q3-23</v>
          </cell>
          <cell r="C307" t="str">
            <v>Europe Operations OU</v>
          </cell>
          <cell r="D307">
            <v>2674345</v>
          </cell>
          <cell r="E307" t="str">
            <v>Amazon EU SARL, succursale Italiana</v>
          </cell>
          <cell r="F307" t="str">
            <v>2DDMOF4W</v>
          </cell>
          <cell r="G307" t="str">
            <v>B07W7LTX74</v>
          </cell>
          <cell r="H307" t="str">
            <v>920-011436</v>
          </cell>
          <cell r="I307" t="str">
            <v>OE INVOICES</v>
          </cell>
          <cell r="J307">
            <v>44422144971</v>
          </cell>
          <cell r="K307">
            <v>44897</v>
          </cell>
          <cell r="L307">
            <v>2</v>
          </cell>
          <cell r="M307" t="str">
            <v>EUR</v>
          </cell>
          <cell r="N307">
            <v>835.28</v>
          </cell>
          <cell r="O307">
            <v>104.41</v>
          </cell>
          <cell r="P307">
            <v>8</v>
          </cell>
          <cell r="Q307">
            <v>8</v>
          </cell>
          <cell r="R307">
            <v>0</v>
          </cell>
        </row>
        <row r="308">
          <cell r="A308" t="str">
            <v>2F7Y5WIXB000EOPQ7E</v>
          </cell>
          <cell r="B308" t="str">
            <v>Q3-23</v>
          </cell>
          <cell r="C308" t="str">
            <v>Europe Operations OU</v>
          </cell>
          <cell r="D308">
            <v>2674345</v>
          </cell>
          <cell r="E308" t="str">
            <v>Amazon EU SARL, succursale Italiana</v>
          </cell>
          <cell r="F308" t="str">
            <v>2F7Y5WIX</v>
          </cell>
          <cell r="G308" t="str">
            <v>B000EOPQ7E</v>
          </cell>
          <cell r="H308" t="str">
            <v>988-000187</v>
          </cell>
          <cell r="I308" t="str">
            <v>OE INVOICES</v>
          </cell>
          <cell r="J308">
            <v>44422145495</v>
          </cell>
          <cell r="K308">
            <v>44897</v>
          </cell>
          <cell r="L308">
            <v>1</v>
          </cell>
          <cell r="M308" t="str">
            <v>EUR</v>
          </cell>
          <cell r="N308">
            <v>470.32</v>
          </cell>
          <cell r="O308">
            <v>58.79</v>
          </cell>
          <cell r="P308">
            <v>8</v>
          </cell>
          <cell r="Q308">
            <v>8</v>
          </cell>
          <cell r="R308">
            <v>0</v>
          </cell>
        </row>
        <row r="309">
          <cell r="A309" t="str">
            <v>2F7Y5WIXB00544XFHC</v>
          </cell>
          <cell r="B309" t="str">
            <v>Q3-23</v>
          </cell>
          <cell r="C309" t="str">
            <v>Europe Operations OU</v>
          </cell>
          <cell r="D309">
            <v>2674345</v>
          </cell>
          <cell r="E309" t="str">
            <v>Amazon EU SARL, succursale Italiana</v>
          </cell>
          <cell r="F309" t="str">
            <v>2F7Y5WIX</v>
          </cell>
          <cell r="G309" t="str">
            <v>B00544XFHC</v>
          </cell>
          <cell r="H309" t="str">
            <v>910-002240</v>
          </cell>
          <cell r="I309" t="str">
            <v>OE INVOICES</v>
          </cell>
          <cell r="J309">
            <v>44422145495</v>
          </cell>
          <cell r="K309">
            <v>44897</v>
          </cell>
          <cell r="L309">
            <v>2</v>
          </cell>
          <cell r="M309" t="str">
            <v>EUR</v>
          </cell>
          <cell r="N309">
            <v>526.5</v>
          </cell>
          <cell r="O309">
            <v>10.53</v>
          </cell>
          <cell r="P309">
            <v>50</v>
          </cell>
          <cell r="Q309">
            <v>50</v>
          </cell>
          <cell r="R309">
            <v>0</v>
          </cell>
        </row>
        <row r="310">
          <cell r="A310" t="str">
            <v>2F7Y5WIXB00552K0GM</v>
          </cell>
          <cell r="B310" t="str">
            <v>Q3-23</v>
          </cell>
          <cell r="C310" t="str">
            <v>Europe Operations OU</v>
          </cell>
          <cell r="D310">
            <v>2674345</v>
          </cell>
          <cell r="E310" t="str">
            <v>Amazon EU SARL, succursale Italiana</v>
          </cell>
          <cell r="F310" t="str">
            <v>2F7Y5WIX</v>
          </cell>
          <cell r="G310" t="str">
            <v>B00552K0GM</v>
          </cell>
          <cell r="H310" t="str">
            <v>910-002235</v>
          </cell>
          <cell r="I310" t="str">
            <v>OE INVOICES</v>
          </cell>
          <cell r="J310">
            <v>44422145495</v>
          </cell>
          <cell r="K310">
            <v>44897</v>
          </cell>
          <cell r="L310">
            <v>3</v>
          </cell>
          <cell r="M310" t="str">
            <v>EUR</v>
          </cell>
          <cell r="N310">
            <v>5054.3999999999996</v>
          </cell>
          <cell r="O310">
            <v>10.53</v>
          </cell>
          <cell r="P310">
            <v>480</v>
          </cell>
          <cell r="Q310">
            <v>480</v>
          </cell>
          <cell r="R310">
            <v>0</v>
          </cell>
        </row>
        <row r="311">
          <cell r="A311" t="str">
            <v>2F7Y5WIXB008S1IOCY</v>
          </cell>
          <cell r="B311" t="str">
            <v>Q3-23</v>
          </cell>
          <cell r="C311" t="str">
            <v>Europe Operations OU</v>
          </cell>
          <cell r="D311">
            <v>2674345</v>
          </cell>
          <cell r="E311" t="str">
            <v>Amazon EU SARL, succursale Italiana</v>
          </cell>
          <cell r="F311" t="str">
            <v>2F7Y5WIX</v>
          </cell>
          <cell r="G311" t="str">
            <v>B008S1IOCY</v>
          </cell>
          <cell r="H311" t="str">
            <v>981-000475</v>
          </cell>
          <cell r="I311" t="str">
            <v>OE INVOICES</v>
          </cell>
          <cell r="J311">
            <v>44422146163</v>
          </cell>
          <cell r="K311">
            <v>44900</v>
          </cell>
          <cell r="L311">
            <v>1</v>
          </cell>
          <cell r="M311" t="str">
            <v>EUR</v>
          </cell>
          <cell r="N311">
            <v>10211.120000000001</v>
          </cell>
          <cell r="O311">
            <v>23.42</v>
          </cell>
          <cell r="P311">
            <v>436</v>
          </cell>
          <cell r="Q311">
            <v>436</v>
          </cell>
          <cell r="R311">
            <v>0</v>
          </cell>
        </row>
        <row r="312">
          <cell r="A312" t="str">
            <v>2F7Y5WIXB00EUUXBDE</v>
          </cell>
          <cell r="B312" t="str">
            <v>Q3-23</v>
          </cell>
          <cell r="C312" t="str">
            <v>Europe Operations OU</v>
          </cell>
          <cell r="D312">
            <v>2674345</v>
          </cell>
          <cell r="E312" t="str">
            <v>Amazon EU SARL, succursale Italiana</v>
          </cell>
          <cell r="F312" t="str">
            <v>2F7Y5WIX</v>
          </cell>
          <cell r="G312" t="str">
            <v>B00EUUXBDE</v>
          </cell>
          <cell r="H312" t="str">
            <v>980-000810</v>
          </cell>
          <cell r="I312" t="str">
            <v>OE INVOICES</v>
          </cell>
          <cell r="J312">
            <v>44422145495</v>
          </cell>
          <cell r="K312">
            <v>44897</v>
          </cell>
          <cell r="L312">
            <v>4</v>
          </cell>
          <cell r="M312" t="str">
            <v>EUR</v>
          </cell>
          <cell r="N312">
            <v>5621.76</v>
          </cell>
          <cell r="O312">
            <v>29.28</v>
          </cell>
          <cell r="P312">
            <v>192</v>
          </cell>
          <cell r="Q312">
            <v>192</v>
          </cell>
          <cell r="R312">
            <v>0</v>
          </cell>
        </row>
        <row r="313">
          <cell r="A313" t="str">
            <v>2F7Y5WIXB00IRCDT7Y</v>
          </cell>
          <cell r="B313" t="str">
            <v>Q3-23</v>
          </cell>
          <cell r="C313" t="str">
            <v>Europe Operations OU</v>
          </cell>
          <cell r="D313">
            <v>2674345</v>
          </cell>
          <cell r="E313" t="str">
            <v>Amazon EU SARL, succursale Italiana</v>
          </cell>
          <cell r="F313" t="str">
            <v>2F7Y5WIX</v>
          </cell>
          <cell r="G313" t="str">
            <v>B00IRCDT7Y</v>
          </cell>
          <cell r="H313" t="str">
            <v>980-000912</v>
          </cell>
          <cell r="I313" t="str">
            <v>OE INVOICES</v>
          </cell>
          <cell r="J313">
            <v>44422145084</v>
          </cell>
          <cell r="K313">
            <v>44897</v>
          </cell>
          <cell r="L313">
            <v>1</v>
          </cell>
          <cell r="M313" t="str">
            <v>EUR</v>
          </cell>
          <cell r="N313">
            <v>936.96</v>
          </cell>
          <cell r="O313">
            <v>29.28</v>
          </cell>
          <cell r="P313">
            <v>32</v>
          </cell>
          <cell r="Q313">
            <v>32</v>
          </cell>
          <cell r="R313">
            <v>0</v>
          </cell>
        </row>
        <row r="314">
          <cell r="A314" t="str">
            <v>2F7Y5WIXB013SL1ZU6</v>
          </cell>
          <cell r="B314" t="str">
            <v>Q3-23</v>
          </cell>
          <cell r="C314" t="str">
            <v>Europe Operations OU</v>
          </cell>
          <cell r="D314">
            <v>2674345</v>
          </cell>
          <cell r="E314" t="str">
            <v>Amazon EU SARL, succursale Italiana</v>
          </cell>
          <cell r="F314" t="str">
            <v>2F7Y5WIX</v>
          </cell>
          <cell r="G314" t="str">
            <v>B013SL1ZU6</v>
          </cell>
          <cell r="H314" t="str">
            <v>920-007566</v>
          </cell>
          <cell r="I314" t="str">
            <v>OE INVOICES</v>
          </cell>
          <cell r="J314">
            <v>44422145495</v>
          </cell>
          <cell r="K314">
            <v>44897</v>
          </cell>
          <cell r="L314">
            <v>5</v>
          </cell>
          <cell r="M314" t="str">
            <v>EUR</v>
          </cell>
          <cell r="N314">
            <v>257.68</v>
          </cell>
          <cell r="O314">
            <v>32.21</v>
          </cell>
          <cell r="P314">
            <v>8</v>
          </cell>
          <cell r="Q314">
            <v>8</v>
          </cell>
          <cell r="R314">
            <v>0</v>
          </cell>
        </row>
        <row r="315">
          <cell r="A315" t="str">
            <v>2F7Y5WIXB013SL26LS</v>
          </cell>
          <cell r="B315" t="str">
            <v>Q3-23</v>
          </cell>
          <cell r="C315" t="str">
            <v>Europe Operations OU</v>
          </cell>
          <cell r="D315">
            <v>2674345</v>
          </cell>
          <cell r="E315" t="str">
            <v>Amazon EU SARL, succursale Italiana</v>
          </cell>
          <cell r="F315" t="str">
            <v>2F7Y5WIX</v>
          </cell>
          <cell r="G315" t="str">
            <v>B013SL26LS</v>
          </cell>
          <cell r="H315" t="str">
            <v>920-007575</v>
          </cell>
          <cell r="I315" t="str">
            <v>OE INVOICES</v>
          </cell>
          <cell r="J315">
            <v>44422145495</v>
          </cell>
          <cell r="K315">
            <v>44897</v>
          </cell>
          <cell r="L315">
            <v>6</v>
          </cell>
          <cell r="M315" t="str">
            <v>EUR</v>
          </cell>
          <cell r="N315">
            <v>1030.72</v>
          </cell>
          <cell r="O315">
            <v>32.21</v>
          </cell>
          <cell r="P315">
            <v>32</v>
          </cell>
          <cell r="Q315">
            <v>32</v>
          </cell>
          <cell r="R315">
            <v>0</v>
          </cell>
        </row>
        <row r="316">
          <cell r="A316" t="str">
            <v>2F7Y5WIXB01K7GEAEI</v>
          </cell>
          <cell r="B316" t="str">
            <v>Q3-23</v>
          </cell>
          <cell r="C316" t="str">
            <v>Europe Operations OU</v>
          </cell>
          <cell r="D316">
            <v>2674345</v>
          </cell>
          <cell r="E316" t="str">
            <v>Amazon EU SARL, succursale Italiana</v>
          </cell>
          <cell r="F316" t="str">
            <v>2F7Y5WIX</v>
          </cell>
          <cell r="G316" t="str">
            <v>B01K7GEAEI</v>
          </cell>
          <cell r="H316" t="str">
            <v>910-004910</v>
          </cell>
          <cell r="I316" t="str">
            <v>OE INVOICES</v>
          </cell>
          <cell r="J316">
            <v>44422145495</v>
          </cell>
          <cell r="K316">
            <v>44897</v>
          </cell>
          <cell r="L316">
            <v>7</v>
          </cell>
          <cell r="M316" t="str">
            <v>EUR</v>
          </cell>
          <cell r="N316">
            <v>527</v>
          </cell>
          <cell r="O316">
            <v>26.35</v>
          </cell>
          <cell r="P316">
            <v>20</v>
          </cell>
          <cell r="Q316">
            <v>20</v>
          </cell>
          <cell r="R316">
            <v>0</v>
          </cell>
        </row>
        <row r="317">
          <cell r="A317" t="str">
            <v>2F7Y5WIXB01K7GEG9W</v>
          </cell>
          <cell r="B317" t="str">
            <v>Q3-23</v>
          </cell>
          <cell r="C317" t="str">
            <v>Europe Operations OU</v>
          </cell>
          <cell r="D317">
            <v>2674345</v>
          </cell>
          <cell r="E317" t="str">
            <v>Amazon EU SARL, succursale Italiana</v>
          </cell>
          <cell r="F317" t="str">
            <v>2F7Y5WIX</v>
          </cell>
          <cell r="G317" t="str">
            <v>B01K7GEG9W</v>
          </cell>
          <cell r="H317" t="str">
            <v>910-004878</v>
          </cell>
          <cell r="I317" t="str">
            <v>OE INVOICES</v>
          </cell>
          <cell r="J317">
            <v>44422145084</v>
          </cell>
          <cell r="K317">
            <v>44897</v>
          </cell>
          <cell r="L317">
            <v>2</v>
          </cell>
          <cell r="M317" t="str">
            <v>EUR</v>
          </cell>
          <cell r="N317">
            <v>2294.6</v>
          </cell>
          <cell r="O317">
            <v>16.39</v>
          </cell>
          <cell r="P317">
            <v>140</v>
          </cell>
          <cell r="Q317">
            <v>140</v>
          </cell>
          <cell r="R317">
            <v>0</v>
          </cell>
        </row>
        <row r="318">
          <cell r="A318" t="str">
            <v>2F7Y5WIXB01LY6Z2M6</v>
          </cell>
          <cell r="B318" t="str">
            <v>Q3-23</v>
          </cell>
          <cell r="C318" t="str">
            <v>Europe Operations OU</v>
          </cell>
          <cell r="D318">
            <v>2674345</v>
          </cell>
          <cell r="E318" t="str">
            <v>Amazon EU SARL, succursale Italiana</v>
          </cell>
          <cell r="F318" t="str">
            <v>2F7Y5WIX</v>
          </cell>
          <cell r="G318" t="str">
            <v>B01LY6Z2M6</v>
          </cell>
          <cell r="H318" t="str">
            <v>988-000232</v>
          </cell>
          <cell r="I318" t="str">
            <v>OE INVOICES</v>
          </cell>
          <cell r="J318">
            <v>44422145495</v>
          </cell>
          <cell r="K318">
            <v>44897</v>
          </cell>
          <cell r="L318">
            <v>8</v>
          </cell>
          <cell r="M318" t="str">
            <v>EUR</v>
          </cell>
          <cell r="N318">
            <v>29436.32</v>
          </cell>
          <cell r="O318">
            <v>96.83</v>
          </cell>
          <cell r="P318">
            <v>304</v>
          </cell>
          <cell r="Q318">
            <v>304</v>
          </cell>
          <cell r="R318">
            <v>0</v>
          </cell>
        </row>
        <row r="319">
          <cell r="A319" t="str">
            <v>2F7Y5WIXB074W227RK</v>
          </cell>
          <cell r="B319" t="str">
            <v>Q3-23</v>
          </cell>
          <cell r="C319" t="str">
            <v>Europe Operations OU</v>
          </cell>
          <cell r="D319">
            <v>2674345</v>
          </cell>
          <cell r="E319" t="str">
            <v>Amazon EU SARL, succursale Italiana</v>
          </cell>
          <cell r="F319" t="str">
            <v>2F7Y5WIX</v>
          </cell>
          <cell r="G319" t="str">
            <v>B074W227RK</v>
          </cell>
          <cell r="H319" t="str">
            <v>910-005179</v>
          </cell>
          <cell r="I319" t="str">
            <v>OE INVOICES</v>
          </cell>
          <cell r="J319">
            <v>44422145495</v>
          </cell>
          <cell r="K319">
            <v>44897</v>
          </cell>
          <cell r="L319">
            <v>9</v>
          </cell>
          <cell r="M319" t="str">
            <v>EUR</v>
          </cell>
          <cell r="N319">
            <v>278.44</v>
          </cell>
          <cell r="O319">
            <v>69.61</v>
          </cell>
          <cell r="P319">
            <v>4</v>
          </cell>
          <cell r="Q319">
            <v>4</v>
          </cell>
          <cell r="R319">
            <v>0</v>
          </cell>
        </row>
        <row r="320">
          <cell r="A320" t="str">
            <v>2F7Y5WIXB07SCMTKGB</v>
          </cell>
          <cell r="B320" t="str">
            <v>Q3-23</v>
          </cell>
          <cell r="C320" t="str">
            <v>Europe Operations OU</v>
          </cell>
          <cell r="D320">
            <v>2674345</v>
          </cell>
          <cell r="E320" t="str">
            <v>Amazon EU SARL, succursale Italiana</v>
          </cell>
          <cell r="F320" t="str">
            <v>2F7Y5WIX</v>
          </cell>
          <cell r="G320" t="str">
            <v>B07SCMTKGB</v>
          </cell>
          <cell r="H320" t="str">
            <v>910-005633</v>
          </cell>
          <cell r="I320" t="str">
            <v>OE INVOICES</v>
          </cell>
          <cell r="J320">
            <v>44422145495</v>
          </cell>
          <cell r="K320">
            <v>44897</v>
          </cell>
          <cell r="L320">
            <v>10</v>
          </cell>
          <cell r="M320" t="str">
            <v>EUR</v>
          </cell>
          <cell r="N320">
            <v>3006.56</v>
          </cell>
          <cell r="O320">
            <v>39.56</v>
          </cell>
          <cell r="P320">
            <v>76</v>
          </cell>
          <cell r="Q320">
            <v>76</v>
          </cell>
          <cell r="R320">
            <v>0</v>
          </cell>
        </row>
        <row r="321">
          <cell r="A321" t="str">
            <v>2F7Y5WIXB07TLX61W7</v>
          </cell>
          <cell r="B321" t="str">
            <v>Q3-23</v>
          </cell>
          <cell r="C321" t="str">
            <v>Europe Operations OU</v>
          </cell>
          <cell r="D321">
            <v>2674345</v>
          </cell>
          <cell r="E321" t="str">
            <v>Amazon EU SARL, succursale Italiana</v>
          </cell>
          <cell r="F321" t="str">
            <v>2F7Y5WIX</v>
          </cell>
          <cell r="G321" t="str">
            <v>B07TLX61W7</v>
          </cell>
          <cell r="H321" t="str">
            <v>981-000818</v>
          </cell>
          <cell r="I321" t="str">
            <v>OE INVOICES</v>
          </cell>
          <cell r="J321">
            <v>44422145495</v>
          </cell>
          <cell r="K321">
            <v>44897</v>
          </cell>
          <cell r="L321">
            <v>11</v>
          </cell>
          <cell r="M321" t="str">
            <v>EUR</v>
          </cell>
          <cell r="N321">
            <v>157534.32</v>
          </cell>
          <cell r="O321">
            <v>73.34</v>
          </cell>
          <cell r="P321">
            <v>2148</v>
          </cell>
          <cell r="Q321">
            <v>2148</v>
          </cell>
          <cell r="R321">
            <v>0</v>
          </cell>
        </row>
        <row r="322">
          <cell r="A322" t="str">
            <v>2F7Y5WIXB07TTB3SR2</v>
          </cell>
          <cell r="B322" t="str">
            <v>Q3-23</v>
          </cell>
          <cell r="C322" t="str">
            <v>Europe Operations OU</v>
          </cell>
          <cell r="D322">
            <v>2674345</v>
          </cell>
          <cell r="E322" t="str">
            <v>Amazon EU SARL, succursale Italiana</v>
          </cell>
          <cell r="F322" t="str">
            <v>2F7Y5WIX</v>
          </cell>
          <cell r="G322" t="str">
            <v>B07TTB3SR2</v>
          </cell>
          <cell r="H322" t="str">
            <v>939-001676</v>
          </cell>
          <cell r="I322" t="str">
            <v>OE INVOICES</v>
          </cell>
          <cell r="J322">
            <v>44422145495</v>
          </cell>
          <cell r="K322">
            <v>44897</v>
          </cell>
          <cell r="L322">
            <v>12</v>
          </cell>
          <cell r="M322" t="str">
            <v>EUR</v>
          </cell>
          <cell r="N322">
            <v>8441.2800000000007</v>
          </cell>
          <cell r="O322">
            <v>234.48</v>
          </cell>
          <cell r="P322">
            <v>36</v>
          </cell>
          <cell r="Q322">
            <v>36</v>
          </cell>
          <cell r="R322">
            <v>0</v>
          </cell>
        </row>
        <row r="323">
          <cell r="A323" t="str">
            <v>2F7Y5WIXB07W4DHKTD</v>
          </cell>
          <cell r="B323" t="str">
            <v>Q3-23</v>
          </cell>
          <cell r="C323" t="str">
            <v>Europe Operations OU</v>
          </cell>
          <cell r="D323">
            <v>2674345</v>
          </cell>
          <cell r="E323" t="str">
            <v>Amazon EU SARL, succursale Italiana</v>
          </cell>
          <cell r="F323" t="str">
            <v>2F7Y5WIX</v>
          </cell>
          <cell r="G323" t="str">
            <v>B07W4DHKTD</v>
          </cell>
          <cell r="H323" t="str">
            <v>910-005880</v>
          </cell>
          <cell r="I323" t="str">
            <v>OE INVOICES</v>
          </cell>
          <cell r="J323">
            <v>44422145495</v>
          </cell>
          <cell r="K323">
            <v>44897</v>
          </cell>
          <cell r="L323">
            <v>13</v>
          </cell>
          <cell r="M323" t="str">
            <v>EUR</v>
          </cell>
          <cell r="N323">
            <v>3020.04</v>
          </cell>
          <cell r="O323">
            <v>83.89</v>
          </cell>
          <cell r="P323">
            <v>36</v>
          </cell>
          <cell r="Q323">
            <v>36</v>
          </cell>
          <cell r="R323">
            <v>0</v>
          </cell>
        </row>
        <row r="324">
          <cell r="A324" t="str">
            <v>2F7Y5WIXB07W4DHZLS</v>
          </cell>
          <cell r="B324" t="str">
            <v>Q3-23</v>
          </cell>
          <cell r="C324" t="str">
            <v>Europe Operations OU</v>
          </cell>
          <cell r="D324">
            <v>2674345</v>
          </cell>
          <cell r="E324" t="str">
            <v>Amazon EU SARL, succursale Italiana</v>
          </cell>
          <cell r="F324" t="str">
            <v>2F7Y5WIX</v>
          </cell>
          <cell r="G324" t="str">
            <v>B07W4DHZLS</v>
          </cell>
          <cell r="H324" t="str">
            <v>920-010041</v>
          </cell>
          <cell r="I324" t="str">
            <v>OE INVOICES</v>
          </cell>
          <cell r="J324">
            <v>44422145495</v>
          </cell>
          <cell r="K324">
            <v>44897</v>
          </cell>
          <cell r="L324">
            <v>14</v>
          </cell>
          <cell r="M324" t="str">
            <v>EUR</v>
          </cell>
          <cell r="N324">
            <v>324.8</v>
          </cell>
          <cell r="O324">
            <v>40.6</v>
          </cell>
          <cell r="P324">
            <v>8</v>
          </cell>
          <cell r="Q324">
            <v>8</v>
          </cell>
          <cell r="R324">
            <v>0</v>
          </cell>
        </row>
        <row r="325">
          <cell r="A325" t="str">
            <v>2F7Y5WIXB07W4DJ16Z</v>
          </cell>
          <cell r="B325" t="str">
            <v>Q3-23</v>
          </cell>
          <cell r="C325" t="str">
            <v>Europe Operations OU</v>
          </cell>
          <cell r="D325">
            <v>2674345</v>
          </cell>
          <cell r="E325" t="str">
            <v>Amazon EU SARL, succursale Italiana</v>
          </cell>
          <cell r="F325" t="str">
            <v>2F7Y5WIX</v>
          </cell>
          <cell r="G325" t="str">
            <v>B07W4DJ16Z</v>
          </cell>
          <cell r="H325" t="str">
            <v>910-006128</v>
          </cell>
          <cell r="I325" t="str">
            <v>OE INVOICES</v>
          </cell>
          <cell r="J325">
            <v>44422145495</v>
          </cell>
          <cell r="K325">
            <v>44897</v>
          </cell>
          <cell r="L325">
            <v>15</v>
          </cell>
          <cell r="M325" t="str">
            <v>EUR</v>
          </cell>
          <cell r="N325">
            <v>1311.2</v>
          </cell>
          <cell r="O325">
            <v>16.39</v>
          </cell>
          <cell r="P325">
            <v>80</v>
          </cell>
          <cell r="Q325">
            <v>80</v>
          </cell>
          <cell r="R325">
            <v>0</v>
          </cell>
        </row>
        <row r="326">
          <cell r="A326" t="str">
            <v>2F7Y5WIXB07W5JHF5D</v>
          </cell>
          <cell r="B326" t="str">
            <v>Q3-23</v>
          </cell>
          <cell r="C326" t="str">
            <v>Europe Operations OU</v>
          </cell>
          <cell r="D326">
            <v>2674345</v>
          </cell>
          <cell r="E326" t="str">
            <v>Amazon EU SARL, succursale Italiana</v>
          </cell>
          <cell r="F326" t="str">
            <v>2F7Y5WIX</v>
          </cell>
          <cell r="G326" t="str">
            <v>B07W5JHF5D</v>
          </cell>
          <cell r="H326" t="str">
            <v>920-009866</v>
          </cell>
          <cell r="I326" t="str">
            <v>OE INVOICES</v>
          </cell>
          <cell r="J326">
            <v>44422145495</v>
          </cell>
          <cell r="K326">
            <v>44897</v>
          </cell>
          <cell r="L326">
            <v>16</v>
          </cell>
          <cell r="M326" t="str">
            <v>EUR</v>
          </cell>
          <cell r="N326">
            <v>1288.4000000000001</v>
          </cell>
          <cell r="O326">
            <v>32.21</v>
          </cell>
          <cell r="P326">
            <v>40</v>
          </cell>
          <cell r="Q326">
            <v>40</v>
          </cell>
          <cell r="R326">
            <v>0</v>
          </cell>
        </row>
        <row r="327">
          <cell r="A327" t="str">
            <v>2F7Y5WIXB07W5JHXF8</v>
          </cell>
          <cell r="B327" t="str">
            <v>Q3-23</v>
          </cell>
          <cell r="C327" t="str">
            <v>Europe Operations OU</v>
          </cell>
          <cell r="D327">
            <v>2674345</v>
          </cell>
          <cell r="E327" t="str">
            <v>Amazon EU SARL, succursale Italiana</v>
          </cell>
          <cell r="F327" t="str">
            <v>2F7Y5WIX</v>
          </cell>
          <cell r="G327" t="str">
            <v>B07W5JHXF8</v>
          </cell>
          <cell r="H327" t="str">
            <v>920-010398</v>
          </cell>
          <cell r="I327" t="str">
            <v>OE INVOICES</v>
          </cell>
          <cell r="J327">
            <v>44422145495</v>
          </cell>
          <cell r="K327">
            <v>44897</v>
          </cell>
          <cell r="L327">
            <v>17</v>
          </cell>
          <cell r="M327" t="str">
            <v>EUR</v>
          </cell>
          <cell r="N327">
            <v>257.68</v>
          </cell>
          <cell r="O327">
            <v>32.21</v>
          </cell>
          <cell r="P327">
            <v>8</v>
          </cell>
          <cell r="Q327">
            <v>8</v>
          </cell>
          <cell r="R327">
            <v>0</v>
          </cell>
        </row>
        <row r="328">
          <cell r="A328" t="str">
            <v>2F7Y5WIXB07W5JJ1WH</v>
          </cell>
          <cell r="B328" t="str">
            <v>Q3-23</v>
          </cell>
          <cell r="C328" t="str">
            <v>Europe Operations OU</v>
          </cell>
          <cell r="D328">
            <v>2674345</v>
          </cell>
          <cell r="E328" t="str">
            <v>Amazon EU SARL, succursale Italiana</v>
          </cell>
          <cell r="F328" t="str">
            <v>2F7Y5WIX</v>
          </cell>
          <cell r="G328" t="str">
            <v>B07W5JJ1WH</v>
          </cell>
          <cell r="H328" t="str">
            <v>920-009409</v>
          </cell>
          <cell r="I328" t="str">
            <v>OE INVOICES</v>
          </cell>
          <cell r="J328">
            <v>44422145495</v>
          </cell>
          <cell r="K328">
            <v>44897</v>
          </cell>
          <cell r="L328">
            <v>18</v>
          </cell>
          <cell r="M328" t="str">
            <v>EUR</v>
          </cell>
          <cell r="N328">
            <v>22623</v>
          </cell>
          <cell r="O328">
            <v>75.41</v>
          </cell>
          <cell r="P328">
            <v>300</v>
          </cell>
          <cell r="Q328">
            <v>300</v>
          </cell>
          <cell r="R328">
            <v>0</v>
          </cell>
        </row>
        <row r="329">
          <cell r="A329" t="str">
            <v>2F7Y5WIXB07W6H4R4G</v>
          </cell>
          <cell r="B329" t="str">
            <v>Q3-23</v>
          </cell>
          <cell r="C329" t="str">
            <v>Europe Operations OU</v>
          </cell>
          <cell r="D329">
            <v>2674345</v>
          </cell>
          <cell r="E329" t="str">
            <v>Amazon EU SARL, succursale Italiana</v>
          </cell>
          <cell r="F329" t="str">
            <v>2F7Y5WIX</v>
          </cell>
          <cell r="G329" t="str">
            <v>B07W6H4R4G</v>
          </cell>
          <cell r="H329" t="str">
            <v>910-006571</v>
          </cell>
          <cell r="I329" t="str">
            <v>OE INVOICES</v>
          </cell>
          <cell r="J329">
            <v>44422145495</v>
          </cell>
          <cell r="K329">
            <v>44897</v>
          </cell>
          <cell r="L329">
            <v>19</v>
          </cell>
          <cell r="M329" t="str">
            <v>EUR</v>
          </cell>
          <cell r="N329">
            <v>15383.64</v>
          </cell>
          <cell r="O329">
            <v>75.41</v>
          </cell>
          <cell r="P329">
            <v>204</v>
          </cell>
          <cell r="Q329">
            <v>204</v>
          </cell>
          <cell r="R329">
            <v>0</v>
          </cell>
        </row>
        <row r="330">
          <cell r="A330" t="str">
            <v>2F7Y5WIXB07W6JM35X</v>
          </cell>
          <cell r="B330" t="str">
            <v>Q3-23</v>
          </cell>
          <cell r="C330" t="str">
            <v>Europe Operations OU</v>
          </cell>
          <cell r="D330">
            <v>2674345</v>
          </cell>
          <cell r="E330" t="str">
            <v>Amazon EU SARL, succursale Italiana</v>
          </cell>
          <cell r="F330" t="str">
            <v>2F7Y5WIX</v>
          </cell>
          <cell r="G330" t="str">
            <v>B07W6JM35X</v>
          </cell>
          <cell r="H330" t="str">
            <v>981-001062</v>
          </cell>
          <cell r="I330" t="str">
            <v>OE INVOICES</v>
          </cell>
          <cell r="J330">
            <v>44422145495</v>
          </cell>
          <cell r="K330">
            <v>44897</v>
          </cell>
          <cell r="L330">
            <v>20</v>
          </cell>
          <cell r="M330" t="str">
            <v>EUR</v>
          </cell>
          <cell r="N330">
            <v>179.36</v>
          </cell>
          <cell r="O330">
            <v>44.84</v>
          </cell>
          <cell r="P330">
            <v>4</v>
          </cell>
          <cell r="Q330">
            <v>4</v>
          </cell>
          <cell r="R330">
            <v>0</v>
          </cell>
        </row>
        <row r="331">
          <cell r="A331" t="str">
            <v>2F7Y5WIXB07W7JYP9B</v>
          </cell>
          <cell r="B331" t="str">
            <v>Q3-23</v>
          </cell>
          <cell r="C331" t="str">
            <v>Europe Operations OU</v>
          </cell>
          <cell r="D331">
            <v>2674345</v>
          </cell>
          <cell r="E331" t="str">
            <v>Amazon EU SARL, succursale Italiana</v>
          </cell>
          <cell r="F331" t="str">
            <v>2F7Y5WIX</v>
          </cell>
          <cell r="G331" t="str">
            <v>B07W7JYP9B</v>
          </cell>
          <cell r="H331" t="str">
            <v>910-006784</v>
          </cell>
          <cell r="I331" t="str">
            <v>OE INVOICES</v>
          </cell>
          <cell r="J331">
            <v>44422145495</v>
          </cell>
          <cell r="K331">
            <v>44897</v>
          </cell>
          <cell r="L331">
            <v>21</v>
          </cell>
          <cell r="M331" t="str">
            <v>EUR</v>
          </cell>
          <cell r="N331">
            <v>2013.36</v>
          </cell>
          <cell r="O331">
            <v>83.89</v>
          </cell>
          <cell r="P331">
            <v>24</v>
          </cell>
          <cell r="Q331">
            <v>24</v>
          </cell>
          <cell r="R331">
            <v>0</v>
          </cell>
        </row>
        <row r="332">
          <cell r="A332" t="str">
            <v>2F7Y5WIXB07W7LHVBL</v>
          </cell>
          <cell r="B332" t="str">
            <v>Q3-23</v>
          </cell>
          <cell r="C332" t="str">
            <v>Europe Operations OU</v>
          </cell>
          <cell r="D332">
            <v>2674345</v>
          </cell>
          <cell r="E332" t="str">
            <v>Amazon EU SARL, succursale Italiana</v>
          </cell>
          <cell r="F332" t="str">
            <v>2F7Y5WIX</v>
          </cell>
          <cell r="G332" t="str">
            <v>B07W7LHVBL</v>
          </cell>
          <cell r="H332" t="str">
            <v>910-006129</v>
          </cell>
          <cell r="I332" t="str">
            <v>OE INVOICES</v>
          </cell>
          <cell r="J332">
            <v>44422145495</v>
          </cell>
          <cell r="K332">
            <v>44897</v>
          </cell>
          <cell r="L332">
            <v>22</v>
          </cell>
          <cell r="M332" t="str">
            <v>EUR</v>
          </cell>
          <cell r="N332">
            <v>3114.1</v>
          </cell>
          <cell r="O332">
            <v>16.39</v>
          </cell>
          <cell r="P332">
            <v>190</v>
          </cell>
          <cell r="Q332">
            <v>190</v>
          </cell>
          <cell r="R332">
            <v>0</v>
          </cell>
        </row>
        <row r="333">
          <cell r="A333" t="str">
            <v>2F7Y5WIXB07W7LNTM5</v>
          </cell>
          <cell r="B333" t="str">
            <v>Q3-23</v>
          </cell>
          <cell r="C333" t="str">
            <v>Europe Operations OU</v>
          </cell>
          <cell r="D333">
            <v>2674345</v>
          </cell>
          <cell r="E333" t="str">
            <v>Amazon EU SARL, succursale Italiana</v>
          </cell>
          <cell r="F333" t="str">
            <v>2F7Y5WIX</v>
          </cell>
          <cell r="G333" t="str">
            <v>B07W7LNTM5</v>
          </cell>
          <cell r="H333" t="str">
            <v>981-001050</v>
          </cell>
          <cell r="I333" t="str">
            <v>OE INVOICES</v>
          </cell>
          <cell r="J333">
            <v>44422145495</v>
          </cell>
          <cell r="K333">
            <v>44897</v>
          </cell>
          <cell r="L333">
            <v>23</v>
          </cell>
          <cell r="M333" t="str">
            <v>EUR</v>
          </cell>
          <cell r="N333">
            <v>4663.3599999999997</v>
          </cell>
          <cell r="O333">
            <v>44.84</v>
          </cell>
          <cell r="P333">
            <v>104</v>
          </cell>
          <cell r="Q333">
            <v>104</v>
          </cell>
          <cell r="R333">
            <v>0</v>
          </cell>
        </row>
        <row r="334">
          <cell r="A334" t="str">
            <v>2F7Y5WIXB07W7LW3VS</v>
          </cell>
          <cell r="B334" t="str">
            <v>Q3-23</v>
          </cell>
          <cell r="C334" t="str">
            <v>Europe Operations OU</v>
          </cell>
          <cell r="D334">
            <v>2674345</v>
          </cell>
          <cell r="E334" t="str">
            <v>Amazon EU SARL, succursale Italiana</v>
          </cell>
          <cell r="F334" t="str">
            <v>2F7Y5WIX</v>
          </cell>
          <cell r="G334" t="str">
            <v>B07W7LW3VS</v>
          </cell>
          <cell r="H334" t="str">
            <v>920-009707</v>
          </cell>
          <cell r="I334" t="str">
            <v>OE INVOICES</v>
          </cell>
          <cell r="J334">
            <v>44422145495</v>
          </cell>
          <cell r="K334">
            <v>44897</v>
          </cell>
          <cell r="L334">
            <v>24</v>
          </cell>
          <cell r="M334" t="str">
            <v>EUR</v>
          </cell>
          <cell r="N334">
            <v>3015.6</v>
          </cell>
          <cell r="O334">
            <v>75.39</v>
          </cell>
          <cell r="P334">
            <v>40</v>
          </cell>
          <cell r="Q334">
            <v>40</v>
          </cell>
          <cell r="R334">
            <v>0</v>
          </cell>
        </row>
        <row r="335">
          <cell r="A335" t="str">
            <v>2FPVCNJHB003L92O5Q</v>
          </cell>
          <cell r="B335" t="str">
            <v>Q3-23</v>
          </cell>
          <cell r="C335" t="str">
            <v>Europe Operations OU</v>
          </cell>
          <cell r="D335">
            <v>2674345</v>
          </cell>
          <cell r="E335" t="str">
            <v>Amazon EU SARL, succursale Italiana</v>
          </cell>
          <cell r="F335" t="str">
            <v>2FPVCNJH</v>
          </cell>
          <cell r="G335" t="str">
            <v>B003L92O5Q</v>
          </cell>
          <cell r="H335" t="str">
            <v>980-000447</v>
          </cell>
          <cell r="I335" t="str">
            <v>OE INVOICES</v>
          </cell>
          <cell r="J335">
            <v>44422158835</v>
          </cell>
          <cell r="K335">
            <v>44907</v>
          </cell>
          <cell r="L335">
            <v>1</v>
          </cell>
          <cell r="M335" t="str">
            <v>EUR</v>
          </cell>
          <cell r="N335">
            <v>210.78</v>
          </cell>
          <cell r="O335">
            <v>35.130000000000003</v>
          </cell>
          <cell r="P335">
            <v>6</v>
          </cell>
          <cell r="Q335">
            <v>6</v>
          </cell>
          <cell r="R335">
            <v>0</v>
          </cell>
        </row>
        <row r="336">
          <cell r="A336" t="str">
            <v>2FPVCNJHB01A9HC69G</v>
          </cell>
          <cell r="B336" t="str">
            <v>Q3-23</v>
          </cell>
          <cell r="C336" t="str">
            <v>Europe Operations OU</v>
          </cell>
          <cell r="D336">
            <v>2674345</v>
          </cell>
          <cell r="E336" t="str">
            <v>Amazon EU SARL, succursale Italiana</v>
          </cell>
          <cell r="F336" t="str">
            <v>2FPVCNJH</v>
          </cell>
          <cell r="G336" t="str">
            <v>B01A9HC69G</v>
          </cell>
          <cell r="H336" t="str">
            <v>910-004640</v>
          </cell>
          <cell r="I336" t="str">
            <v>OE INVOICES</v>
          </cell>
          <cell r="J336">
            <v>44422158784</v>
          </cell>
          <cell r="K336">
            <v>44907</v>
          </cell>
          <cell r="L336">
            <v>1</v>
          </cell>
          <cell r="M336" t="str">
            <v>EUR</v>
          </cell>
          <cell r="N336">
            <v>187.2</v>
          </cell>
          <cell r="O336">
            <v>9.36</v>
          </cell>
          <cell r="P336">
            <v>20</v>
          </cell>
          <cell r="Q336">
            <v>20</v>
          </cell>
          <cell r="R336">
            <v>0</v>
          </cell>
        </row>
        <row r="337">
          <cell r="A337" t="str">
            <v>2FPVCNJHB07W4DH5GL</v>
          </cell>
          <cell r="B337" t="str">
            <v>Q3-23</v>
          </cell>
          <cell r="C337" t="str">
            <v>Europe Operations OU</v>
          </cell>
          <cell r="D337">
            <v>2674345</v>
          </cell>
          <cell r="E337" t="str">
            <v>Amazon EU SARL, succursale Italiana</v>
          </cell>
          <cell r="F337" t="str">
            <v>2FPVCNJH</v>
          </cell>
          <cell r="G337" t="str">
            <v>B07W4DH5GL</v>
          </cell>
          <cell r="H337" t="str">
            <v>920-010808</v>
          </cell>
          <cell r="I337" t="str">
            <v>OE INVOICES</v>
          </cell>
          <cell r="J337">
            <v>44422158784</v>
          </cell>
          <cell r="K337">
            <v>44907</v>
          </cell>
          <cell r="L337">
            <v>2</v>
          </cell>
          <cell r="M337" t="str">
            <v>EUR</v>
          </cell>
          <cell r="N337">
            <v>337.6</v>
          </cell>
          <cell r="O337">
            <v>42.2</v>
          </cell>
          <cell r="P337">
            <v>8</v>
          </cell>
          <cell r="Q337">
            <v>8</v>
          </cell>
          <cell r="R337">
            <v>0</v>
          </cell>
        </row>
        <row r="338">
          <cell r="A338" t="str">
            <v>2JG1PBDCB07W4DG81W</v>
          </cell>
          <cell r="B338" t="str">
            <v>Q3-23</v>
          </cell>
          <cell r="C338" t="str">
            <v>Europe Operations OU</v>
          </cell>
          <cell r="D338">
            <v>2674345</v>
          </cell>
          <cell r="E338" t="str">
            <v>Amazon EU SARL, succursale Italiana</v>
          </cell>
          <cell r="F338" t="str">
            <v>2JG1PBDC</v>
          </cell>
          <cell r="G338" t="str">
            <v>B07W4DG81W</v>
          </cell>
          <cell r="H338" t="str">
            <v>941-000158</v>
          </cell>
          <cell r="I338" t="str">
            <v>OE INVOICES</v>
          </cell>
          <cell r="J338">
            <v>44422156282</v>
          </cell>
          <cell r="K338">
            <v>44904</v>
          </cell>
          <cell r="L338">
            <v>1</v>
          </cell>
          <cell r="M338" t="str">
            <v>EUR</v>
          </cell>
          <cell r="N338">
            <v>6111.45</v>
          </cell>
          <cell r="O338">
            <v>226.35</v>
          </cell>
          <cell r="P338">
            <v>27</v>
          </cell>
          <cell r="Q338">
            <v>27</v>
          </cell>
          <cell r="R338">
            <v>0</v>
          </cell>
        </row>
        <row r="339">
          <cell r="A339" t="str">
            <v>2LZI7R4TB003PO22H2</v>
          </cell>
          <cell r="B339" t="str">
            <v>Q4-23</v>
          </cell>
          <cell r="C339" t="str">
            <v>Europe Operations OU</v>
          </cell>
          <cell r="D339">
            <v>2674345</v>
          </cell>
          <cell r="E339" t="str">
            <v>Amazon EU SARL, succursale Italiana</v>
          </cell>
          <cell r="F339" t="str">
            <v>2LZI7R4T</v>
          </cell>
          <cell r="G339" t="str">
            <v>B003PO22H2</v>
          </cell>
          <cell r="H339" t="str">
            <v>920-002501</v>
          </cell>
          <cell r="I339" t="str">
            <v>OE INVOICES</v>
          </cell>
          <cell r="J339">
            <v>44422188439</v>
          </cell>
          <cell r="K339">
            <v>44931</v>
          </cell>
          <cell r="L339">
            <v>1</v>
          </cell>
          <cell r="M339" t="str">
            <v>EUR</v>
          </cell>
          <cell r="N339">
            <v>105.3</v>
          </cell>
          <cell r="O339">
            <v>10.53</v>
          </cell>
          <cell r="P339">
            <v>10</v>
          </cell>
          <cell r="Q339">
            <v>10</v>
          </cell>
          <cell r="R339">
            <v>0</v>
          </cell>
        </row>
        <row r="340">
          <cell r="A340" t="str">
            <v>2LZI7R4TB003UL1RGC</v>
          </cell>
          <cell r="B340" t="str">
            <v>Q4-23</v>
          </cell>
          <cell r="C340" t="str">
            <v>Europe Operations OU</v>
          </cell>
          <cell r="D340">
            <v>2674345</v>
          </cell>
          <cell r="E340" t="str">
            <v>Amazon EU SARL, succursale Italiana</v>
          </cell>
          <cell r="F340" t="str">
            <v>2LZI7R4T</v>
          </cell>
          <cell r="G340" t="str">
            <v>B003UL1RGC</v>
          </cell>
          <cell r="H340" t="str">
            <v>920-002516</v>
          </cell>
          <cell r="I340" t="str">
            <v>OE INVOICES</v>
          </cell>
          <cell r="J340">
            <v>44422188439</v>
          </cell>
          <cell r="K340">
            <v>44931</v>
          </cell>
          <cell r="L340">
            <v>2</v>
          </cell>
          <cell r="M340" t="str">
            <v>EUR</v>
          </cell>
          <cell r="N340">
            <v>93.6</v>
          </cell>
          <cell r="O340">
            <v>9.36</v>
          </cell>
          <cell r="P340">
            <v>10</v>
          </cell>
          <cell r="Q340">
            <v>10</v>
          </cell>
          <cell r="R340">
            <v>0</v>
          </cell>
        </row>
        <row r="341">
          <cell r="A341" t="str">
            <v>2LZI7R4TB003ZY9Z40</v>
          </cell>
          <cell r="B341" t="str">
            <v>Q4-23</v>
          </cell>
          <cell r="C341" t="str">
            <v>Europe Operations OU</v>
          </cell>
          <cell r="D341">
            <v>2674345</v>
          </cell>
          <cell r="E341" t="str">
            <v>Amazon EU SARL, succursale Italiana</v>
          </cell>
          <cell r="F341" t="str">
            <v>2LZI7R4T</v>
          </cell>
          <cell r="G341" t="str">
            <v>B003ZY9Z40</v>
          </cell>
          <cell r="H341" t="str">
            <v>920-002524</v>
          </cell>
          <cell r="I341" t="str">
            <v>OE INVOICES</v>
          </cell>
          <cell r="J341">
            <v>44422188439</v>
          </cell>
          <cell r="K341">
            <v>44931</v>
          </cell>
          <cell r="L341">
            <v>3</v>
          </cell>
          <cell r="M341" t="str">
            <v>EUR</v>
          </cell>
          <cell r="N341">
            <v>280.8</v>
          </cell>
          <cell r="O341">
            <v>9.36</v>
          </cell>
          <cell r="P341">
            <v>30</v>
          </cell>
          <cell r="Q341">
            <v>30</v>
          </cell>
          <cell r="R341">
            <v>0</v>
          </cell>
        </row>
        <row r="342">
          <cell r="A342" t="str">
            <v>2LZI7R4TB004APAH40</v>
          </cell>
          <cell r="B342" t="str">
            <v>Q4-23</v>
          </cell>
          <cell r="C342" t="str">
            <v>Europe Operations OU</v>
          </cell>
          <cell r="D342">
            <v>2674345</v>
          </cell>
          <cell r="E342" t="str">
            <v>Amazon EU SARL, succursale Italiana</v>
          </cell>
          <cell r="F342" t="str">
            <v>2LZI7R4T</v>
          </cell>
          <cell r="G342" t="str">
            <v>B004APAH40</v>
          </cell>
          <cell r="H342" t="str">
            <v>920-002492</v>
          </cell>
          <cell r="I342" t="str">
            <v>OE INVOICES</v>
          </cell>
          <cell r="J342">
            <v>44422188439</v>
          </cell>
          <cell r="K342">
            <v>44931</v>
          </cell>
          <cell r="L342">
            <v>4</v>
          </cell>
          <cell r="M342" t="str">
            <v>EUR</v>
          </cell>
          <cell r="N342">
            <v>105.3</v>
          </cell>
          <cell r="O342">
            <v>10.53</v>
          </cell>
          <cell r="P342">
            <v>10</v>
          </cell>
          <cell r="Q342">
            <v>10</v>
          </cell>
          <cell r="R342">
            <v>0</v>
          </cell>
        </row>
        <row r="343">
          <cell r="A343" t="str">
            <v>2LZI7R4TB0074486GA</v>
          </cell>
          <cell r="B343" t="str">
            <v>Q4-23</v>
          </cell>
          <cell r="C343" t="str">
            <v>Europe Operations OU</v>
          </cell>
          <cell r="D343">
            <v>2674345</v>
          </cell>
          <cell r="E343" t="str">
            <v>Amazon EU SARL, succursale Italiana</v>
          </cell>
          <cell r="F343" t="str">
            <v>2LZI7R4T</v>
          </cell>
          <cell r="G343" t="str">
            <v>B0074486GA</v>
          </cell>
          <cell r="H343" t="str">
            <v>920-003745</v>
          </cell>
          <cell r="I343" t="str">
            <v>OE INVOICES</v>
          </cell>
          <cell r="J343">
            <v>44422188439</v>
          </cell>
          <cell r="K343">
            <v>44931</v>
          </cell>
          <cell r="L343">
            <v>5</v>
          </cell>
          <cell r="M343" t="str">
            <v>EUR</v>
          </cell>
          <cell r="N343">
            <v>374.72</v>
          </cell>
          <cell r="O343">
            <v>23.42</v>
          </cell>
          <cell r="P343">
            <v>16</v>
          </cell>
          <cell r="Q343">
            <v>16</v>
          </cell>
          <cell r="R343">
            <v>0</v>
          </cell>
        </row>
        <row r="344">
          <cell r="A344" t="str">
            <v>2LZI7R4TB007BNE3QQ</v>
          </cell>
          <cell r="B344" t="str">
            <v>Q4-23</v>
          </cell>
          <cell r="C344" t="str">
            <v>Europe Operations OU</v>
          </cell>
          <cell r="D344">
            <v>2674345</v>
          </cell>
          <cell r="E344" t="str">
            <v>Amazon EU SARL, succursale Italiana</v>
          </cell>
          <cell r="F344" t="str">
            <v>2LZI7R4T</v>
          </cell>
          <cell r="G344" t="str">
            <v>B007BNE3QQ</v>
          </cell>
          <cell r="H344" t="str">
            <v>920-003736</v>
          </cell>
          <cell r="I344" t="str">
            <v>OE INVOICES</v>
          </cell>
          <cell r="J344">
            <v>44422188439</v>
          </cell>
          <cell r="K344">
            <v>44931</v>
          </cell>
          <cell r="L344">
            <v>6</v>
          </cell>
          <cell r="M344" t="str">
            <v>EUR</v>
          </cell>
          <cell r="N344">
            <v>93.68</v>
          </cell>
          <cell r="O344">
            <v>23.42</v>
          </cell>
          <cell r="P344">
            <v>4</v>
          </cell>
          <cell r="Q344">
            <v>4</v>
          </cell>
          <cell r="R344">
            <v>0</v>
          </cell>
        </row>
        <row r="345">
          <cell r="A345" t="str">
            <v>2LZI7R4TB007C0YQLA</v>
          </cell>
          <cell r="B345" t="str">
            <v>Q3-23</v>
          </cell>
          <cell r="C345" t="str">
            <v>Europe Operations OU</v>
          </cell>
          <cell r="D345">
            <v>2674345</v>
          </cell>
          <cell r="E345" t="str">
            <v>Amazon EU SARL, succursale Italiana</v>
          </cell>
          <cell r="F345" t="str">
            <v>2LZI7R4T</v>
          </cell>
          <cell r="G345" t="str">
            <v>B007C0YQLA</v>
          </cell>
          <cell r="H345" t="str">
            <v>920-002563</v>
          </cell>
          <cell r="I345" t="str">
            <v>OE INVOICES</v>
          </cell>
          <cell r="J345">
            <v>44422176509</v>
          </cell>
          <cell r="K345">
            <v>44922</v>
          </cell>
          <cell r="L345">
            <v>1</v>
          </cell>
          <cell r="M345" t="str">
            <v>EUR</v>
          </cell>
          <cell r="N345">
            <v>175.6</v>
          </cell>
          <cell r="O345">
            <v>17.559999999999999</v>
          </cell>
          <cell r="P345">
            <v>10</v>
          </cell>
          <cell r="Q345">
            <v>10</v>
          </cell>
          <cell r="R345">
            <v>0</v>
          </cell>
        </row>
        <row r="346">
          <cell r="A346" t="str">
            <v>2LZI7R4TB00BF5QDZU</v>
          </cell>
          <cell r="B346" t="str">
            <v>Q4-23</v>
          </cell>
          <cell r="C346" t="str">
            <v>Europe Operations OU</v>
          </cell>
          <cell r="D346">
            <v>2674345</v>
          </cell>
          <cell r="E346" t="str">
            <v>Amazon EU SARL, succursale Italiana</v>
          </cell>
          <cell r="F346" t="str">
            <v>2LZI7R4T</v>
          </cell>
          <cell r="G346" t="str">
            <v>B00BF5QDZU</v>
          </cell>
          <cell r="H346" t="str">
            <v>920-004510</v>
          </cell>
          <cell r="I346" t="str">
            <v>OE INVOICES</v>
          </cell>
          <cell r="J346">
            <v>44422188439</v>
          </cell>
          <cell r="K346">
            <v>44931</v>
          </cell>
          <cell r="L346">
            <v>7</v>
          </cell>
          <cell r="M346" t="str">
            <v>EUR</v>
          </cell>
          <cell r="N346">
            <v>158.1</v>
          </cell>
          <cell r="O346">
            <v>26.35</v>
          </cell>
          <cell r="P346">
            <v>6</v>
          </cell>
          <cell r="Q346">
            <v>6</v>
          </cell>
          <cell r="R346">
            <v>0</v>
          </cell>
        </row>
        <row r="347">
          <cell r="A347" t="str">
            <v>2LZI7R4TB00EJ3RMDM</v>
          </cell>
          <cell r="B347" t="str">
            <v>Q4-23</v>
          </cell>
          <cell r="C347" t="str">
            <v>Europe Operations OU</v>
          </cell>
          <cell r="D347">
            <v>2674345</v>
          </cell>
          <cell r="E347" t="str">
            <v>Amazon EU SARL, succursale Italiana</v>
          </cell>
          <cell r="F347" t="str">
            <v>2LZI7R4T</v>
          </cell>
          <cell r="G347" t="str">
            <v>B00EJ3RMDM</v>
          </cell>
          <cell r="H347" t="str">
            <v>920-005210</v>
          </cell>
          <cell r="I347" t="str">
            <v>OE INVOICES</v>
          </cell>
          <cell r="J347">
            <v>44422188439</v>
          </cell>
          <cell r="K347">
            <v>44931</v>
          </cell>
          <cell r="L347">
            <v>8</v>
          </cell>
          <cell r="M347" t="str">
            <v>EUR</v>
          </cell>
          <cell r="N347">
            <v>491.7</v>
          </cell>
          <cell r="O347">
            <v>16.39</v>
          </cell>
          <cell r="P347">
            <v>30</v>
          </cell>
          <cell r="Q347">
            <v>30</v>
          </cell>
          <cell r="R347">
            <v>0</v>
          </cell>
        </row>
        <row r="348">
          <cell r="A348" t="str">
            <v>2LZI7R4TB00YUIM2J0</v>
          </cell>
          <cell r="B348" t="str">
            <v>Q4-23</v>
          </cell>
          <cell r="C348" t="str">
            <v>Europe Operations OU</v>
          </cell>
          <cell r="D348">
            <v>2674345</v>
          </cell>
          <cell r="E348" t="str">
            <v>Amazon EU SARL, succursale Italiana</v>
          </cell>
          <cell r="F348" t="str">
            <v>2LZI7R4T</v>
          </cell>
          <cell r="G348" t="str">
            <v>B00YUIM2J0</v>
          </cell>
          <cell r="H348" t="str">
            <v>941-000112</v>
          </cell>
          <cell r="I348" t="str">
            <v>OE INVOICES</v>
          </cell>
          <cell r="J348">
            <v>44422188439</v>
          </cell>
          <cell r="K348">
            <v>44931</v>
          </cell>
          <cell r="L348">
            <v>9</v>
          </cell>
          <cell r="M348" t="str">
            <v>EUR</v>
          </cell>
          <cell r="N348">
            <v>24980.91</v>
          </cell>
          <cell r="O348">
            <v>221.07</v>
          </cell>
          <cell r="P348">
            <v>113</v>
          </cell>
          <cell r="Q348">
            <v>113</v>
          </cell>
          <cell r="R348">
            <v>0</v>
          </cell>
        </row>
        <row r="349">
          <cell r="A349" t="str">
            <v>2LZI7R4TB016QPMN84</v>
          </cell>
          <cell r="B349" t="str">
            <v>Q4-23</v>
          </cell>
          <cell r="C349" t="str">
            <v>Europe Operations OU</v>
          </cell>
          <cell r="D349">
            <v>2674345</v>
          </cell>
          <cell r="E349" t="str">
            <v>Amazon EU SARL, succursale Italiana</v>
          </cell>
          <cell r="F349" t="str">
            <v>2LZI7R4T</v>
          </cell>
          <cell r="G349" t="str">
            <v>B016QPMN84</v>
          </cell>
          <cell r="H349" t="str">
            <v>920-006483</v>
          </cell>
          <cell r="I349" t="str">
            <v>OE INVOICES</v>
          </cell>
          <cell r="J349">
            <v>44422188439</v>
          </cell>
          <cell r="K349">
            <v>44931</v>
          </cell>
          <cell r="L349">
            <v>10</v>
          </cell>
          <cell r="M349" t="str">
            <v>EUR</v>
          </cell>
          <cell r="N349">
            <v>140.52000000000001</v>
          </cell>
          <cell r="O349">
            <v>35.130000000000003</v>
          </cell>
          <cell r="P349">
            <v>4</v>
          </cell>
          <cell r="Q349">
            <v>4</v>
          </cell>
          <cell r="R349">
            <v>0</v>
          </cell>
        </row>
        <row r="350">
          <cell r="A350" t="str">
            <v>2LZI7R4TB01C47ZFLK</v>
          </cell>
          <cell r="B350" t="str">
            <v>Q4-23</v>
          </cell>
          <cell r="C350" t="str">
            <v>Europe Operations OU</v>
          </cell>
          <cell r="D350">
            <v>2674345</v>
          </cell>
          <cell r="E350" t="str">
            <v>Amazon EU SARL, succursale Italiana</v>
          </cell>
          <cell r="F350" t="str">
            <v>2LZI7R4T</v>
          </cell>
          <cell r="G350" t="str">
            <v>B01C47ZFLK</v>
          </cell>
          <cell r="H350" t="str">
            <v>920-007913</v>
          </cell>
          <cell r="I350" t="str">
            <v>OE INVOICES</v>
          </cell>
          <cell r="J350">
            <v>44422188439</v>
          </cell>
          <cell r="K350">
            <v>44931</v>
          </cell>
          <cell r="L350">
            <v>11</v>
          </cell>
          <cell r="M350" t="str">
            <v>EUR</v>
          </cell>
          <cell r="N350">
            <v>374.72</v>
          </cell>
          <cell r="O350">
            <v>23.42</v>
          </cell>
          <cell r="P350">
            <v>16</v>
          </cell>
          <cell r="Q350">
            <v>16</v>
          </cell>
          <cell r="R350">
            <v>0</v>
          </cell>
        </row>
        <row r="351">
          <cell r="A351" t="str">
            <v>2LZI7R4TB01D1Z00UK</v>
          </cell>
          <cell r="B351" t="str">
            <v>Q4-23</v>
          </cell>
          <cell r="C351" t="str">
            <v>Europe Operations OU</v>
          </cell>
          <cell r="D351">
            <v>2674345</v>
          </cell>
          <cell r="E351" t="str">
            <v>Amazon EU SARL, succursale Italiana</v>
          </cell>
          <cell r="F351" t="str">
            <v>2LZI7R4T</v>
          </cell>
          <cell r="G351" t="str">
            <v>B01D1Z00UK</v>
          </cell>
          <cell r="H351" t="str">
            <v>920-007931</v>
          </cell>
          <cell r="I351" t="str">
            <v>OE INVOICES</v>
          </cell>
          <cell r="J351">
            <v>44422188439</v>
          </cell>
          <cell r="K351">
            <v>44931</v>
          </cell>
          <cell r="L351">
            <v>12</v>
          </cell>
          <cell r="M351" t="str">
            <v>EUR</v>
          </cell>
          <cell r="N351">
            <v>1498.88</v>
          </cell>
          <cell r="O351">
            <v>23.42</v>
          </cell>
          <cell r="P351">
            <v>64</v>
          </cell>
          <cell r="Q351">
            <v>64</v>
          </cell>
          <cell r="R351">
            <v>0</v>
          </cell>
        </row>
        <row r="352">
          <cell r="A352" t="str">
            <v>2LZI7R4TB01G7AWZEA</v>
          </cell>
          <cell r="B352" t="str">
            <v>Q4-23</v>
          </cell>
          <cell r="C352" t="str">
            <v>Europe Operations OU</v>
          </cell>
          <cell r="D352">
            <v>2674345</v>
          </cell>
          <cell r="E352" t="str">
            <v>Amazon EU SARL, succursale Italiana</v>
          </cell>
          <cell r="F352" t="str">
            <v>2LZI7R4T</v>
          </cell>
          <cell r="G352" t="str">
            <v>B01G7AWZEA</v>
          </cell>
          <cell r="H352" t="str">
            <v>920-008018</v>
          </cell>
          <cell r="I352" t="str">
            <v>OE INVOICES</v>
          </cell>
          <cell r="J352">
            <v>44422188439</v>
          </cell>
          <cell r="K352">
            <v>44931</v>
          </cell>
          <cell r="L352">
            <v>13</v>
          </cell>
          <cell r="M352" t="str">
            <v>EUR</v>
          </cell>
          <cell r="N352">
            <v>1680</v>
          </cell>
          <cell r="O352">
            <v>105</v>
          </cell>
          <cell r="P352">
            <v>16</v>
          </cell>
          <cell r="Q352">
            <v>16</v>
          </cell>
          <cell r="R352">
            <v>0</v>
          </cell>
        </row>
        <row r="353">
          <cell r="A353" t="str">
            <v>2LZI7R4TB077BT728N</v>
          </cell>
          <cell r="B353" t="str">
            <v>Q3-23</v>
          </cell>
          <cell r="C353" t="str">
            <v>Europe Operations OU</v>
          </cell>
          <cell r="D353">
            <v>2674345</v>
          </cell>
          <cell r="E353" t="str">
            <v>Amazon EU SARL, succursale Italiana</v>
          </cell>
          <cell r="F353" t="str">
            <v>2LZI7R4T</v>
          </cell>
          <cell r="G353" t="str">
            <v>B077BT728N</v>
          </cell>
          <cell r="H353" t="str">
            <v>920-008669</v>
          </cell>
          <cell r="I353" t="str">
            <v>OE INVOICES</v>
          </cell>
          <cell r="J353">
            <v>44422176509</v>
          </cell>
          <cell r="K353">
            <v>44922</v>
          </cell>
          <cell r="L353">
            <v>2</v>
          </cell>
          <cell r="M353" t="str">
            <v>EUR</v>
          </cell>
          <cell r="N353">
            <v>46219.8</v>
          </cell>
          <cell r="O353">
            <v>16.39</v>
          </cell>
          <cell r="P353">
            <v>2820</v>
          </cell>
          <cell r="Q353">
            <v>2820</v>
          </cell>
          <cell r="R353">
            <v>0</v>
          </cell>
        </row>
        <row r="354">
          <cell r="A354" t="str">
            <v>2LZI7R4TB07VCS1895</v>
          </cell>
          <cell r="B354" t="str">
            <v>Q4-23</v>
          </cell>
          <cell r="C354" t="str">
            <v>Europe Operations OU</v>
          </cell>
          <cell r="D354">
            <v>2674345</v>
          </cell>
          <cell r="E354" t="str">
            <v>Amazon EU SARL, succursale Italiana</v>
          </cell>
          <cell r="F354" t="str">
            <v>2LZI7R4T</v>
          </cell>
          <cell r="G354" t="str">
            <v>B07VCS1895</v>
          </cell>
          <cell r="H354" t="str">
            <v>920-009188</v>
          </cell>
          <cell r="I354" t="str">
            <v>OE INVOICES</v>
          </cell>
          <cell r="J354">
            <v>44422188439</v>
          </cell>
          <cell r="K354">
            <v>44931</v>
          </cell>
          <cell r="L354">
            <v>14</v>
          </cell>
          <cell r="M354" t="str">
            <v>EUR</v>
          </cell>
          <cell r="N354">
            <v>7166.52</v>
          </cell>
          <cell r="O354">
            <v>35.130000000000003</v>
          </cell>
          <cell r="P354">
            <v>204</v>
          </cell>
          <cell r="Q354">
            <v>204</v>
          </cell>
          <cell r="R354">
            <v>0</v>
          </cell>
        </row>
        <row r="355">
          <cell r="A355" t="str">
            <v>2LZI7R4TB07VTTBDSV</v>
          </cell>
          <cell r="B355" t="str">
            <v>Q4-23</v>
          </cell>
          <cell r="C355" t="str">
            <v>Europe Operations OU</v>
          </cell>
          <cell r="D355">
            <v>2674345</v>
          </cell>
          <cell r="E355" t="str">
            <v>Amazon EU SARL, succursale Italiana</v>
          </cell>
          <cell r="F355" t="str">
            <v>2LZI7R4T</v>
          </cell>
          <cell r="G355" t="str">
            <v>B07VTTBDSV</v>
          </cell>
          <cell r="H355" t="str">
            <v>920-008962</v>
          </cell>
          <cell r="I355" t="str">
            <v>OE INVOICES</v>
          </cell>
          <cell r="J355">
            <v>44422188439</v>
          </cell>
          <cell r="K355">
            <v>44931</v>
          </cell>
          <cell r="L355">
            <v>15</v>
          </cell>
          <cell r="M355" t="str">
            <v>EUR</v>
          </cell>
          <cell r="N355">
            <v>2270.88</v>
          </cell>
          <cell r="O355">
            <v>141.93</v>
          </cell>
          <cell r="P355">
            <v>16</v>
          </cell>
          <cell r="Q355">
            <v>16</v>
          </cell>
          <cell r="R355">
            <v>0</v>
          </cell>
        </row>
        <row r="356">
          <cell r="A356" t="str">
            <v>2LZI7R4TB07W6GBB1F</v>
          </cell>
          <cell r="B356" t="str">
            <v>Q4-23</v>
          </cell>
          <cell r="C356" t="str">
            <v>Europe Operations OU</v>
          </cell>
          <cell r="D356">
            <v>2674345</v>
          </cell>
          <cell r="E356" t="str">
            <v>Amazon EU SARL, succursale Italiana</v>
          </cell>
          <cell r="F356" t="str">
            <v>2LZI7R4T</v>
          </cell>
          <cell r="G356" t="str">
            <v>B07W6GBB1F</v>
          </cell>
          <cell r="H356" t="str">
            <v>920-009823</v>
          </cell>
          <cell r="I356" t="str">
            <v>OE INVOICES</v>
          </cell>
          <cell r="J356">
            <v>44422193171</v>
          </cell>
          <cell r="K356">
            <v>44936</v>
          </cell>
          <cell r="L356">
            <v>1</v>
          </cell>
          <cell r="M356" t="str">
            <v>EUR</v>
          </cell>
          <cell r="N356">
            <v>3132</v>
          </cell>
          <cell r="O356">
            <v>29</v>
          </cell>
          <cell r="P356">
            <v>108</v>
          </cell>
          <cell r="Q356">
            <v>108</v>
          </cell>
          <cell r="R356">
            <v>0</v>
          </cell>
        </row>
        <row r="357">
          <cell r="A357" t="str">
            <v>2LZI7R4TB07W6HCYTR</v>
          </cell>
          <cell r="B357" t="str">
            <v>Q4-23</v>
          </cell>
          <cell r="C357" t="str">
            <v>Europe Operations OU</v>
          </cell>
          <cell r="D357">
            <v>2674345</v>
          </cell>
          <cell r="E357" t="str">
            <v>Amazon EU SARL, succursale Italiana</v>
          </cell>
          <cell r="F357" t="str">
            <v>2LZI7R4T</v>
          </cell>
          <cell r="G357" t="str">
            <v>B07W6HCYTR</v>
          </cell>
          <cell r="H357" t="str">
            <v>920-009325</v>
          </cell>
          <cell r="I357" t="str">
            <v>OE INVOICES</v>
          </cell>
          <cell r="J357">
            <v>44422188439</v>
          </cell>
          <cell r="K357">
            <v>44931</v>
          </cell>
          <cell r="L357">
            <v>16</v>
          </cell>
          <cell r="M357" t="str">
            <v>EUR</v>
          </cell>
          <cell r="N357">
            <v>3399.84</v>
          </cell>
          <cell r="O357">
            <v>94.44</v>
          </cell>
          <cell r="P357">
            <v>36</v>
          </cell>
          <cell r="Q357">
            <v>36</v>
          </cell>
          <cell r="R357">
            <v>0</v>
          </cell>
        </row>
        <row r="358">
          <cell r="A358" t="str">
            <v>2LZI7R4TB07W6HPVTK</v>
          </cell>
          <cell r="B358" t="str">
            <v>Q4-23</v>
          </cell>
          <cell r="C358" t="str">
            <v>Europe Operations OU</v>
          </cell>
          <cell r="D358">
            <v>2674345</v>
          </cell>
          <cell r="E358" t="str">
            <v>Amazon EU SARL, succursale Italiana</v>
          </cell>
          <cell r="F358" t="str">
            <v>2LZI7R4T</v>
          </cell>
          <cell r="G358" t="str">
            <v>B07W6HPVTK</v>
          </cell>
          <cell r="H358" t="str">
            <v>920-009350</v>
          </cell>
          <cell r="I358" t="str">
            <v>OE INVOICES</v>
          </cell>
          <cell r="J358">
            <v>44422193171</v>
          </cell>
          <cell r="K358">
            <v>44936</v>
          </cell>
          <cell r="L358">
            <v>2</v>
          </cell>
          <cell r="M358" t="str">
            <v>EUR</v>
          </cell>
          <cell r="N358">
            <v>2994.64</v>
          </cell>
          <cell r="O358">
            <v>68.06</v>
          </cell>
          <cell r="P358">
            <v>44</v>
          </cell>
          <cell r="Q358">
            <v>44</v>
          </cell>
          <cell r="R358">
            <v>0</v>
          </cell>
        </row>
        <row r="359">
          <cell r="A359" t="str">
            <v>2LZI7R4TB07W6JGH91</v>
          </cell>
          <cell r="B359" t="str">
            <v>Q4-23</v>
          </cell>
          <cell r="C359" t="str">
            <v>Europe Operations OU</v>
          </cell>
          <cell r="D359">
            <v>2674345</v>
          </cell>
          <cell r="E359" t="str">
            <v>Amazon EU SARL, succursale Italiana</v>
          </cell>
          <cell r="F359" t="str">
            <v>2LZI7R4T</v>
          </cell>
          <cell r="G359" t="str">
            <v>B07W6JGH91</v>
          </cell>
          <cell r="H359" t="str">
            <v>920-011022</v>
          </cell>
          <cell r="I359" t="str">
            <v>OE INVOICES</v>
          </cell>
          <cell r="J359">
            <v>44422188439</v>
          </cell>
          <cell r="K359">
            <v>44931</v>
          </cell>
          <cell r="L359">
            <v>17</v>
          </cell>
          <cell r="M359" t="str">
            <v>EUR</v>
          </cell>
          <cell r="N359">
            <v>733.44</v>
          </cell>
          <cell r="O359">
            <v>61.12</v>
          </cell>
          <cell r="P359">
            <v>12</v>
          </cell>
          <cell r="Q359">
            <v>12</v>
          </cell>
          <cell r="R359">
            <v>0</v>
          </cell>
        </row>
        <row r="360">
          <cell r="A360" t="str">
            <v>2LZI7R4TB07W7JYP96</v>
          </cell>
          <cell r="B360" t="str">
            <v>Q4-23</v>
          </cell>
          <cell r="C360" t="str">
            <v>Europe Operations OU</v>
          </cell>
          <cell r="D360">
            <v>2674345</v>
          </cell>
          <cell r="E360" t="str">
            <v>Amazon EU SARL, succursale Italiana</v>
          </cell>
          <cell r="F360" t="str">
            <v>2LZI7R4T</v>
          </cell>
          <cell r="G360" t="str">
            <v>B07W7JYP96</v>
          </cell>
          <cell r="H360" t="str">
            <v>920-010968</v>
          </cell>
          <cell r="I360" t="str">
            <v>OE INVOICES</v>
          </cell>
          <cell r="J360">
            <v>44422188439</v>
          </cell>
          <cell r="K360">
            <v>44931</v>
          </cell>
          <cell r="L360">
            <v>18</v>
          </cell>
          <cell r="M360" t="str">
            <v>EUR</v>
          </cell>
          <cell r="N360">
            <v>257.68</v>
          </cell>
          <cell r="O360">
            <v>32.21</v>
          </cell>
          <cell r="P360">
            <v>8</v>
          </cell>
          <cell r="Q360">
            <v>8</v>
          </cell>
          <cell r="R360">
            <v>0</v>
          </cell>
        </row>
        <row r="361">
          <cell r="A361" t="str">
            <v>2LZI7R4TB07W7LF6F1</v>
          </cell>
          <cell r="B361" t="str">
            <v>Q4-23</v>
          </cell>
          <cell r="C361" t="str">
            <v>Europe Operations OU</v>
          </cell>
          <cell r="D361">
            <v>2674345</v>
          </cell>
          <cell r="E361" t="str">
            <v>Amazon EU SARL, succursale Italiana</v>
          </cell>
          <cell r="F361" t="str">
            <v>2LZI7R4T</v>
          </cell>
          <cell r="G361" t="str">
            <v>B07W7LF6F1</v>
          </cell>
          <cell r="H361" t="str">
            <v>920-009795</v>
          </cell>
          <cell r="I361" t="str">
            <v>OE INVOICES</v>
          </cell>
          <cell r="J361">
            <v>44422188439</v>
          </cell>
          <cell r="K361">
            <v>44931</v>
          </cell>
          <cell r="L361">
            <v>19</v>
          </cell>
          <cell r="M361" t="str">
            <v>EUR</v>
          </cell>
          <cell r="N361">
            <v>4698</v>
          </cell>
          <cell r="O361">
            <v>29</v>
          </cell>
          <cell r="P361">
            <v>162</v>
          </cell>
          <cell r="Q361">
            <v>162</v>
          </cell>
          <cell r="R361">
            <v>0</v>
          </cell>
        </row>
        <row r="362">
          <cell r="A362" t="str">
            <v>2M7QFTCOB005KSYPGW</v>
          </cell>
          <cell r="B362" t="str">
            <v>Q3-23</v>
          </cell>
          <cell r="C362" t="str">
            <v>Europe Operations OU</v>
          </cell>
          <cell r="D362">
            <v>2674345</v>
          </cell>
          <cell r="E362" t="str">
            <v>Amazon EU SARL, succursale Italiana</v>
          </cell>
          <cell r="F362" t="str">
            <v>2M7QFTCO</v>
          </cell>
          <cell r="G362" t="str">
            <v>B005KSYPGW</v>
          </cell>
          <cell r="H362" t="str">
            <v>920-003075</v>
          </cell>
          <cell r="I362" t="str">
            <v>OE INVOICES</v>
          </cell>
          <cell r="J362">
            <v>44422176559</v>
          </cell>
          <cell r="K362">
            <v>44922</v>
          </cell>
          <cell r="L362">
            <v>1</v>
          </cell>
          <cell r="M362" t="str">
            <v>EUR</v>
          </cell>
          <cell r="N362">
            <v>351.36</v>
          </cell>
          <cell r="O362">
            <v>29.28</v>
          </cell>
          <cell r="P362">
            <v>12</v>
          </cell>
          <cell r="Q362">
            <v>12</v>
          </cell>
          <cell r="R362">
            <v>0</v>
          </cell>
        </row>
        <row r="363">
          <cell r="A363" t="str">
            <v>2M7QFTCOB0078M385M</v>
          </cell>
          <cell r="B363" t="str">
            <v>Q3-23</v>
          </cell>
          <cell r="C363" t="str">
            <v>Europe Operations OU</v>
          </cell>
          <cell r="D363">
            <v>2674345</v>
          </cell>
          <cell r="E363" t="str">
            <v>Amazon EU SARL, succursale Italiana</v>
          </cell>
          <cell r="F363" t="str">
            <v>2M7QFTCO</v>
          </cell>
          <cell r="G363" t="str">
            <v>B0078M385M</v>
          </cell>
          <cell r="H363" t="str">
            <v>920-003748</v>
          </cell>
          <cell r="I363" t="str">
            <v>OE INVOICES</v>
          </cell>
          <cell r="J363">
            <v>44422170752</v>
          </cell>
          <cell r="K363">
            <v>44915</v>
          </cell>
          <cell r="L363">
            <v>1</v>
          </cell>
          <cell r="M363" t="str">
            <v>EUR</v>
          </cell>
          <cell r="N363">
            <v>187.36</v>
          </cell>
          <cell r="O363">
            <v>23.42</v>
          </cell>
          <cell r="P363">
            <v>8</v>
          </cell>
          <cell r="Q363">
            <v>8</v>
          </cell>
          <cell r="R363">
            <v>0</v>
          </cell>
        </row>
        <row r="364">
          <cell r="A364" t="str">
            <v>2M7QFTCOB00MWNDUDM</v>
          </cell>
          <cell r="B364" t="str">
            <v>Q3-23</v>
          </cell>
          <cell r="C364" t="str">
            <v>Europe Operations OU</v>
          </cell>
          <cell r="D364">
            <v>2674345</v>
          </cell>
          <cell r="E364" t="str">
            <v>Amazon EU SARL, succursale Italiana</v>
          </cell>
          <cell r="F364" t="str">
            <v>2M7QFTCO</v>
          </cell>
          <cell r="G364" t="str">
            <v>B00MWNDUDM</v>
          </cell>
          <cell r="H364" t="str">
            <v>920-006350</v>
          </cell>
          <cell r="I364" t="str">
            <v>OE INVOICES</v>
          </cell>
          <cell r="J364">
            <v>44422176559</v>
          </cell>
          <cell r="K364">
            <v>44922</v>
          </cell>
          <cell r="L364">
            <v>2</v>
          </cell>
          <cell r="M364" t="str">
            <v>EUR</v>
          </cell>
          <cell r="N364">
            <v>257.68</v>
          </cell>
          <cell r="O364">
            <v>32.21</v>
          </cell>
          <cell r="P364">
            <v>8</v>
          </cell>
          <cell r="Q364">
            <v>8</v>
          </cell>
          <cell r="R364">
            <v>0</v>
          </cell>
        </row>
        <row r="365">
          <cell r="A365" t="str">
            <v>2M7QFTCOB00P7RAI8A</v>
          </cell>
          <cell r="B365" t="str">
            <v>Q3-23</v>
          </cell>
          <cell r="C365" t="str">
            <v>Europe Operations OU</v>
          </cell>
          <cell r="D365">
            <v>2674345</v>
          </cell>
          <cell r="E365" t="str">
            <v>Amazon EU SARL, succursale Italiana</v>
          </cell>
          <cell r="F365" t="str">
            <v>2M7QFTCO</v>
          </cell>
          <cell r="G365" t="str">
            <v>B00P7RAI8A</v>
          </cell>
          <cell r="H365" t="str">
            <v>920-002526</v>
          </cell>
          <cell r="I365" t="str">
            <v>OE INVOICES</v>
          </cell>
          <cell r="J365">
            <v>44422170752</v>
          </cell>
          <cell r="K365">
            <v>44915</v>
          </cell>
          <cell r="L365">
            <v>2</v>
          </cell>
          <cell r="M365" t="str">
            <v>EUR</v>
          </cell>
          <cell r="N365">
            <v>93.6</v>
          </cell>
          <cell r="O365">
            <v>9.36</v>
          </cell>
          <cell r="P365">
            <v>10</v>
          </cell>
          <cell r="Q365">
            <v>10</v>
          </cell>
          <cell r="R365">
            <v>0</v>
          </cell>
        </row>
        <row r="366">
          <cell r="A366" t="str">
            <v>2M7QFTCOB013SL1ZU6</v>
          </cell>
          <cell r="B366" t="str">
            <v>Q3-23</v>
          </cell>
          <cell r="C366" t="str">
            <v>Europe Operations OU</v>
          </cell>
          <cell r="D366">
            <v>2674345</v>
          </cell>
          <cell r="E366" t="str">
            <v>Amazon EU SARL, succursale Italiana</v>
          </cell>
          <cell r="F366" t="str">
            <v>2M7QFTCO</v>
          </cell>
          <cell r="G366" t="str">
            <v>B013SL1ZU6</v>
          </cell>
          <cell r="H366" t="str">
            <v>920-007566</v>
          </cell>
          <cell r="I366" t="str">
            <v>OE INVOICES</v>
          </cell>
          <cell r="J366">
            <v>44422170752</v>
          </cell>
          <cell r="K366">
            <v>44915</v>
          </cell>
          <cell r="L366">
            <v>3</v>
          </cell>
          <cell r="M366" t="str">
            <v>EUR</v>
          </cell>
          <cell r="N366">
            <v>7988.08</v>
          </cell>
          <cell r="O366">
            <v>32.21</v>
          </cell>
          <cell r="P366">
            <v>248</v>
          </cell>
          <cell r="Q366">
            <v>248</v>
          </cell>
          <cell r="R366">
            <v>0</v>
          </cell>
        </row>
        <row r="367">
          <cell r="A367" t="str">
            <v>2M7QFTCOB013SL2050</v>
          </cell>
          <cell r="B367" t="str">
            <v>Q3-23</v>
          </cell>
          <cell r="C367" t="str">
            <v>Europe Operations OU</v>
          </cell>
          <cell r="D367">
            <v>2674345</v>
          </cell>
          <cell r="E367" t="str">
            <v>Amazon EU SARL, succursale Italiana</v>
          </cell>
          <cell r="F367" t="str">
            <v>2M7QFTCO</v>
          </cell>
          <cell r="G367" t="str">
            <v>B013SL2050</v>
          </cell>
          <cell r="H367" t="str">
            <v>920-007574</v>
          </cell>
          <cell r="I367" t="str">
            <v>OE INVOICES</v>
          </cell>
          <cell r="J367">
            <v>44422170752</v>
          </cell>
          <cell r="K367">
            <v>44915</v>
          </cell>
          <cell r="L367">
            <v>4</v>
          </cell>
          <cell r="M367" t="str">
            <v>EUR</v>
          </cell>
          <cell r="N367">
            <v>1030.72</v>
          </cell>
          <cell r="O367">
            <v>32.21</v>
          </cell>
          <cell r="P367">
            <v>32</v>
          </cell>
          <cell r="Q367">
            <v>32</v>
          </cell>
          <cell r="R367">
            <v>0</v>
          </cell>
        </row>
        <row r="368">
          <cell r="A368" t="str">
            <v>2M7QFTCOB014KH8BRW</v>
          </cell>
          <cell r="B368" t="str">
            <v>Q3-23</v>
          </cell>
          <cell r="C368" t="str">
            <v>Europe Operations OU</v>
          </cell>
          <cell r="D368">
            <v>2674345</v>
          </cell>
          <cell r="E368" t="str">
            <v>Amazon EU SARL, succursale Italiana</v>
          </cell>
          <cell r="F368" t="str">
            <v>2M7QFTCO</v>
          </cell>
          <cell r="G368" t="str">
            <v>B014KH8BRW</v>
          </cell>
          <cell r="H368" t="str">
            <v>960-001056</v>
          </cell>
          <cell r="I368" t="str">
            <v>OE INVOICES</v>
          </cell>
          <cell r="J368">
            <v>44422170752</v>
          </cell>
          <cell r="K368">
            <v>44915</v>
          </cell>
          <cell r="L368">
            <v>5</v>
          </cell>
          <cell r="M368" t="str">
            <v>EUR</v>
          </cell>
          <cell r="N368">
            <v>19207.68</v>
          </cell>
          <cell r="O368">
            <v>58.56</v>
          </cell>
          <cell r="P368">
            <v>328</v>
          </cell>
          <cell r="Q368">
            <v>328</v>
          </cell>
          <cell r="R368">
            <v>0</v>
          </cell>
        </row>
        <row r="369">
          <cell r="A369" t="str">
            <v>2M7QFTCOB01K7GEFWK</v>
          </cell>
          <cell r="B369" t="str">
            <v>Q3-23</v>
          </cell>
          <cell r="C369" t="str">
            <v>Europe Operations OU</v>
          </cell>
          <cell r="D369">
            <v>2674345</v>
          </cell>
          <cell r="E369" t="str">
            <v>Amazon EU SARL, succursale Italiana</v>
          </cell>
          <cell r="F369" t="str">
            <v>2M7QFTCO</v>
          </cell>
          <cell r="G369" t="str">
            <v>B01K7GEFWK</v>
          </cell>
          <cell r="H369" t="str">
            <v>910-004880</v>
          </cell>
          <cell r="I369" t="str">
            <v>OE INVOICES</v>
          </cell>
          <cell r="J369">
            <v>44422170752</v>
          </cell>
          <cell r="K369">
            <v>44915</v>
          </cell>
          <cell r="L369">
            <v>6</v>
          </cell>
          <cell r="M369" t="str">
            <v>EUR</v>
          </cell>
          <cell r="N369">
            <v>3605.8</v>
          </cell>
          <cell r="O369">
            <v>16.39</v>
          </cell>
          <cell r="P369">
            <v>220</v>
          </cell>
          <cell r="Q369">
            <v>220</v>
          </cell>
          <cell r="R369">
            <v>0</v>
          </cell>
        </row>
        <row r="370">
          <cell r="A370" t="str">
            <v>2M7QFTCOB01M9EWQ2W</v>
          </cell>
          <cell r="B370" t="str">
            <v>Q3-23</v>
          </cell>
          <cell r="C370" t="str">
            <v>Europe Operations OU</v>
          </cell>
          <cell r="D370">
            <v>2674345</v>
          </cell>
          <cell r="E370" t="str">
            <v>Amazon EU SARL, succursale Italiana</v>
          </cell>
          <cell r="F370" t="str">
            <v>2M7QFTCO</v>
          </cell>
          <cell r="G370" t="str">
            <v>B01M9EWQ2W</v>
          </cell>
          <cell r="H370" t="str">
            <v>945-000006</v>
          </cell>
          <cell r="I370" t="str">
            <v>OE INVOICES</v>
          </cell>
          <cell r="J370">
            <v>44422170752</v>
          </cell>
          <cell r="K370">
            <v>44915</v>
          </cell>
          <cell r="L370">
            <v>7</v>
          </cell>
          <cell r="M370" t="str">
            <v>EUR</v>
          </cell>
          <cell r="N370">
            <v>188.88</v>
          </cell>
          <cell r="O370">
            <v>94.44</v>
          </cell>
          <cell r="P370">
            <v>2</v>
          </cell>
          <cell r="Q370">
            <v>2</v>
          </cell>
          <cell r="R370">
            <v>0</v>
          </cell>
        </row>
        <row r="371">
          <cell r="A371" t="str">
            <v>2M7QFTCOB01MYW8COY</v>
          </cell>
          <cell r="B371" t="str">
            <v>Q3-23</v>
          </cell>
          <cell r="C371" t="str">
            <v>Europe Operations OU</v>
          </cell>
          <cell r="D371">
            <v>2674345</v>
          </cell>
          <cell r="E371" t="str">
            <v>Amazon EU SARL, succursale Italiana</v>
          </cell>
          <cell r="F371" t="str">
            <v>2M7QFTCO</v>
          </cell>
          <cell r="G371" t="str">
            <v>B01MYW8COY</v>
          </cell>
          <cell r="H371" t="str">
            <v>981-000634</v>
          </cell>
          <cell r="I371" t="str">
            <v>OE INVOICES</v>
          </cell>
          <cell r="J371">
            <v>44422170752</v>
          </cell>
          <cell r="K371">
            <v>44915</v>
          </cell>
          <cell r="L371">
            <v>8</v>
          </cell>
          <cell r="M371" t="str">
            <v>EUR</v>
          </cell>
          <cell r="N371">
            <v>1257.92</v>
          </cell>
          <cell r="O371">
            <v>78.62</v>
          </cell>
          <cell r="P371">
            <v>16</v>
          </cell>
          <cell r="Q371">
            <v>16</v>
          </cell>
          <cell r="R371">
            <v>0</v>
          </cell>
        </row>
        <row r="372">
          <cell r="A372" t="str">
            <v>2M7QFTCOB07CGNDZR3</v>
          </cell>
          <cell r="B372" t="str">
            <v>Q3-23</v>
          </cell>
          <cell r="C372" t="str">
            <v>Europe Operations OU</v>
          </cell>
          <cell r="D372">
            <v>2674345</v>
          </cell>
          <cell r="E372" t="str">
            <v>Amazon EU SARL, succursale Italiana</v>
          </cell>
          <cell r="F372" t="str">
            <v>2M7QFTCO</v>
          </cell>
          <cell r="G372" t="str">
            <v>B07CGNDZR3</v>
          </cell>
          <cell r="H372" t="str">
            <v>910-005282</v>
          </cell>
          <cell r="I372" t="str">
            <v>OE INVOICES</v>
          </cell>
          <cell r="J372">
            <v>44422170752</v>
          </cell>
          <cell r="K372">
            <v>44915</v>
          </cell>
          <cell r="L372">
            <v>9</v>
          </cell>
          <cell r="M372" t="str">
            <v>EUR</v>
          </cell>
          <cell r="N372">
            <v>36191.4</v>
          </cell>
          <cell r="O372">
            <v>36.93</v>
          </cell>
          <cell r="P372">
            <v>980</v>
          </cell>
          <cell r="Q372">
            <v>980</v>
          </cell>
          <cell r="R372">
            <v>0</v>
          </cell>
        </row>
        <row r="373">
          <cell r="A373" t="str">
            <v>2M7QFTCOB07DTTGZ7M</v>
          </cell>
          <cell r="B373" t="str">
            <v>Q3-23</v>
          </cell>
          <cell r="C373" t="str">
            <v>Europe Operations OU</v>
          </cell>
          <cell r="D373">
            <v>2674345</v>
          </cell>
          <cell r="E373" t="str">
            <v>Amazon EU SARL, succursale Italiana</v>
          </cell>
          <cell r="F373" t="str">
            <v>2M7QFTCO</v>
          </cell>
          <cell r="G373" t="str">
            <v>B07DTTGZ7M</v>
          </cell>
          <cell r="H373" t="str">
            <v>988-000205</v>
          </cell>
          <cell r="I373" t="str">
            <v>OE INVOICES</v>
          </cell>
          <cell r="J373">
            <v>44422170752</v>
          </cell>
          <cell r="K373">
            <v>44915</v>
          </cell>
          <cell r="L373">
            <v>10</v>
          </cell>
          <cell r="M373" t="str">
            <v>EUR</v>
          </cell>
          <cell r="N373">
            <v>5312</v>
          </cell>
          <cell r="O373">
            <v>83</v>
          </cell>
          <cell r="P373">
            <v>64</v>
          </cell>
          <cell r="Q373">
            <v>64</v>
          </cell>
          <cell r="R373">
            <v>0</v>
          </cell>
        </row>
        <row r="374">
          <cell r="A374" t="str">
            <v>2M7QFTCOB07G6MBCG3</v>
          </cell>
          <cell r="B374" t="str">
            <v>Q3-23</v>
          </cell>
          <cell r="C374" t="str">
            <v>Europe Operations OU</v>
          </cell>
          <cell r="D374">
            <v>2674345</v>
          </cell>
          <cell r="E374" t="str">
            <v>Amazon EU SARL, succursale Italiana</v>
          </cell>
          <cell r="F374" t="str">
            <v>2M7QFTCO</v>
          </cell>
          <cell r="G374" t="str">
            <v>B07G6MBCG3</v>
          </cell>
          <cell r="H374" t="str">
            <v>984-001360</v>
          </cell>
          <cell r="I374" t="str">
            <v>OE INVOICES</v>
          </cell>
          <cell r="J374">
            <v>44422170752</v>
          </cell>
          <cell r="K374">
            <v>44915</v>
          </cell>
          <cell r="L374">
            <v>11</v>
          </cell>
          <cell r="M374" t="str">
            <v>EUR</v>
          </cell>
          <cell r="N374">
            <v>4464.88</v>
          </cell>
          <cell r="O374">
            <v>79.73</v>
          </cell>
          <cell r="P374">
            <v>56</v>
          </cell>
          <cell r="Q374">
            <v>56</v>
          </cell>
          <cell r="R374">
            <v>0</v>
          </cell>
        </row>
        <row r="375">
          <cell r="A375" t="str">
            <v>2M7QFTCOB07GS6ZS8J</v>
          </cell>
          <cell r="B375" t="str">
            <v>Q3-23</v>
          </cell>
          <cell r="C375" t="str">
            <v>Europe Operations OU</v>
          </cell>
          <cell r="D375">
            <v>2674345</v>
          </cell>
          <cell r="E375" t="str">
            <v>Amazon EU SARL, succursale Italiana</v>
          </cell>
          <cell r="F375" t="str">
            <v>2M7QFTCO</v>
          </cell>
          <cell r="G375" t="str">
            <v>B07GS6ZS8J</v>
          </cell>
          <cell r="H375" t="str">
            <v>910-005470</v>
          </cell>
          <cell r="I375" t="str">
            <v>OE INVOICES</v>
          </cell>
          <cell r="J375">
            <v>44422170752</v>
          </cell>
          <cell r="K375">
            <v>44915</v>
          </cell>
          <cell r="L375">
            <v>12</v>
          </cell>
          <cell r="M375" t="str">
            <v>EUR</v>
          </cell>
          <cell r="N375">
            <v>7596.8</v>
          </cell>
          <cell r="O375">
            <v>47.48</v>
          </cell>
          <cell r="P375">
            <v>160</v>
          </cell>
          <cell r="Q375">
            <v>160</v>
          </cell>
          <cell r="R375">
            <v>0</v>
          </cell>
        </row>
        <row r="376">
          <cell r="A376" t="str">
            <v>2M7QFTCOB07H3HGVDW</v>
          </cell>
          <cell r="B376" t="str">
            <v>Q3-23</v>
          </cell>
          <cell r="C376" t="str">
            <v>Europe Operations OU</v>
          </cell>
          <cell r="D376">
            <v>2674345</v>
          </cell>
          <cell r="E376" t="str">
            <v>Amazon EU SARL, succursale Italiana</v>
          </cell>
          <cell r="F376" t="str">
            <v>2M7QFTCO</v>
          </cell>
          <cell r="G376" t="str">
            <v>B07H3HGVDW</v>
          </cell>
          <cell r="H376" t="str">
            <v>914-000034</v>
          </cell>
          <cell r="I376" t="str">
            <v>OE INVOICES</v>
          </cell>
          <cell r="J376">
            <v>44422170752</v>
          </cell>
          <cell r="K376">
            <v>44915</v>
          </cell>
          <cell r="L376">
            <v>13</v>
          </cell>
          <cell r="M376" t="str">
            <v>EUR</v>
          </cell>
          <cell r="N376">
            <v>9257.76</v>
          </cell>
          <cell r="O376">
            <v>42.86</v>
          </cell>
          <cell r="P376">
            <v>216</v>
          </cell>
          <cell r="Q376">
            <v>216</v>
          </cell>
          <cell r="R376">
            <v>0</v>
          </cell>
        </row>
        <row r="377">
          <cell r="A377" t="str">
            <v>2M7QFTCOB07MTY7N22</v>
          </cell>
          <cell r="B377" t="str">
            <v>Q3-23</v>
          </cell>
          <cell r="C377" t="str">
            <v>Europe Operations OU</v>
          </cell>
          <cell r="D377">
            <v>2674345</v>
          </cell>
          <cell r="E377" t="str">
            <v>Amazon EU SARL, succursale Italiana</v>
          </cell>
          <cell r="F377" t="str">
            <v>2M7QFTCO</v>
          </cell>
          <cell r="G377" t="str">
            <v>B07MTY7N22</v>
          </cell>
          <cell r="H377" t="str">
            <v>981-000744</v>
          </cell>
          <cell r="I377" t="str">
            <v>OE INVOICES</v>
          </cell>
          <cell r="J377">
            <v>44422170752</v>
          </cell>
          <cell r="K377">
            <v>44915</v>
          </cell>
          <cell r="L377">
            <v>14</v>
          </cell>
          <cell r="M377" t="str">
            <v>EUR</v>
          </cell>
          <cell r="N377">
            <v>5460</v>
          </cell>
          <cell r="O377">
            <v>105</v>
          </cell>
          <cell r="P377">
            <v>52</v>
          </cell>
          <cell r="Q377">
            <v>52</v>
          </cell>
          <cell r="R377">
            <v>0</v>
          </cell>
        </row>
        <row r="378">
          <cell r="A378" t="str">
            <v>2M7QFTCOB07PPNT9B2</v>
          </cell>
          <cell r="B378" t="str">
            <v>Q3-23</v>
          </cell>
          <cell r="C378" t="str">
            <v>Europe Operations OU</v>
          </cell>
          <cell r="D378">
            <v>2674345</v>
          </cell>
          <cell r="E378" t="str">
            <v>Amazon EU SARL, succursale Italiana</v>
          </cell>
          <cell r="F378" t="str">
            <v>2M7QFTCO</v>
          </cell>
          <cell r="G378" t="str">
            <v>B07PPNT9B2</v>
          </cell>
          <cell r="H378" t="str">
            <v>939-001731</v>
          </cell>
          <cell r="I378" t="str">
            <v>OE INVOICES</v>
          </cell>
          <cell r="J378">
            <v>44422170752</v>
          </cell>
          <cell r="K378">
            <v>44915</v>
          </cell>
          <cell r="L378">
            <v>15</v>
          </cell>
          <cell r="M378" t="str">
            <v>EUR</v>
          </cell>
          <cell r="N378">
            <v>824.48</v>
          </cell>
          <cell r="O378">
            <v>103.06</v>
          </cell>
          <cell r="P378">
            <v>8</v>
          </cell>
          <cell r="Q378">
            <v>8</v>
          </cell>
          <cell r="R378">
            <v>0</v>
          </cell>
        </row>
        <row r="379">
          <cell r="A379" t="str">
            <v>2M7QFTCOB07S69F4HC</v>
          </cell>
          <cell r="B379" t="str">
            <v>Q3-23</v>
          </cell>
          <cell r="C379" t="str">
            <v>Europe Operations OU</v>
          </cell>
          <cell r="D379">
            <v>2674345</v>
          </cell>
          <cell r="E379" t="str">
            <v>Amazon EU SARL, succursale Italiana</v>
          </cell>
          <cell r="F379" t="str">
            <v>2M7QFTCO</v>
          </cell>
          <cell r="G379" t="str">
            <v>B07S69F4HC</v>
          </cell>
          <cell r="H379" t="str">
            <v>910-005632</v>
          </cell>
          <cell r="I379" t="str">
            <v>OE INVOICES</v>
          </cell>
          <cell r="J379">
            <v>44422170752</v>
          </cell>
          <cell r="K379">
            <v>44915</v>
          </cell>
          <cell r="L379">
            <v>16</v>
          </cell>
          <cell r="M379" t="str">
            <v>EUR</v>
          </cell>
          <cell r="N379">
            <v>4272.4799999999996</v>
          </cell>
          <cell r="O379">
            <v>39.56</v>
          </cell>
          <cell r="P379">
            <v>108</v>
          </cell>
          <cell r="Q379">
            <v>108</v>
          </cell>
          <cell r="R379">
            <v>0</v>
          </cell>
        </row>
        <row r="380">
          <cell r="A380" t="str">
            <v>2M7QFTCOB07TLX61W7</v>
          </cell>
          <cell r="B380" t="str">
            <v>Q3-23</v>
          </cell>
          <cell r="C380" t="str">
            <v>Europe Operations OU</v>
          </cell>
          <cell r="D380">
            <v>2674345</v>
          </cell>
          <cell r="E380" t="str">
            <v>Amazon EU SARL, succursale Italiana</v>
          </cell>
          <cell r="F380" t="str">
            <v>2M7QFTCO</v>
          </cell>
          <cell r="G380" t="str">
            <v>B07TLX61W7</v>
          </cell>
          <cell r="H380" t="str">
            <v>981-000818</v>
          </cell>
          <cell r="I380" t="str">
            <v>OE INVOICES</v>
          </cell>
          <cell r="J380">
            <v>44422170752</v>
          </cell>
          <cell r="K380">
            <v>44915</v>
          </cell>
          <cell r="L380">
            <v>17</v>
          </cell>
          <cell r="M380" t="str">
            <v>EUR</v>
          </cell>
          <cell r="N380">
            <v>27282.48</v>
          </cell>
          <cell r="O380">
            <v>73.34</v>
          </cell>
          <cell r="P380">
            <v>372</v>
          </cell>
          <cell r="Q380">
            <v>372</v>
          </cell>
          <cell r="R380">
            <v>0</v>
          </cell>
        </row>
        <row r="381">
          <cell r="A381" t="str">
            <v>2M7QFTCOB07TQ6G276</v>
          </cell>
          <cell r="B381" t="str">
            <v>Q3-23</v>
          </cell>
          <cell r="C381" t="str">
            <v>Europe Operations OU</v>
          </cell>
          <cell r="D381">
            <v>2674345</v>
          </cell>
          <cell r="E381" t="str">
            <v>Amazon EU SARL, succursale Italiana</v>
          </cell>
          <cell r="F381" t="str">
            <v>2M7QFTCO</v>
          </cell>
          <cell r="G381" t="str">
            <v>B07TQ6G276</v>
          </cell>
          <cell r="H381" t="str">
            <v>981-000812</v>
          </cell>
          <cell r="I381" t="str">
            <v>OE INVOICES</v>
          </cell>
          <cell r="J381">
            <v>44422170752</v>
          </cell>
          <cell r="K381">
            <v>44915</v>
          </cell>
          <cell r="L381">
            <v>18</v>
          </cell>
          <cell r="M381" t="str">
            <v>EUR</v>
          </cell>
          <cell r="N381">
            <v>230.04</v>
          </cell>
          <cell r="O381">
            <v>57.51</v>
          </cell>
          <cell r="P381">
            <v>4</v>
          </cell>
          <cell r="Q381">
            <v>4</v>
          </cell>
          <cell r="R381">
            <v>0</v>
          </cell>
        </row>
        <row r="382">
          <cell r="A382" t="str">
            <v>2M7QFTCOB07VL9YHC9</v>
          </cell>
          <cell r="B382" t="str">
            <v>Q3-23</v>
          </cell>
          <cell r="C382" t="str">
            <v>Europe Operations OU</v>
          </cell>
          <cell r="D382">
            <v>2674345</v>
          </cell>
          <cell r="E382" t="str">
            <v>Amazon EU SARL, succursale Italiana</v>
          </cell>
          <cell r="F382" t="str">
            <v>2M7QFTCO</v>
          </cell>
          <cell r="G382" t="str">
            <v>B07VL9YHC9</v>
          </cell>
          <cell r="H382" t="str">
            <v>920-009189</v>
          </cell>
          <cell r="I382" t="str">
            <v>OE INVOICES</v>
          </cell>
          <cell r="J382">
            <v>44422170752</v>
          </cell>
          <cell r="K382">
            <v>44915</v>
          </cell>
          <cell r="L382">
            <v>19</v>
          </cell>
          <cell r="M382" t="str">
            <v>EUR</v>
          </cell>
          <cell r="N382">
            <v>421.56</v>
          </cell>
          <cell r="O382">
            <v>35.130000000000003</v>
          </cell>
          <cell r="P382">
            <v>12</v>
          </cell>
          <cell r="Q382">
            <v>12</v>
          </cell>
          <cell r="R382">
            <v>0</v>
          </cell>
        </row>
        <row r="383">
          <cell r="A383" t="str">
            <v>2M7QFTCOB07VRLJHFH</v>
          </cell>
          <cell r="B383" t="str">
            <v>Q3-23</v>
          </cell>
          <cell r="C383" t="str">
            <v>Europe Operations OU</v>
          </cell>
          <cell r="D383">
            <v>2674345</v>
          </cell>
          <cell r="E383" t="str">
            <v>Amazon EU SARL, succursale Italiana</v>
          </cell>
          <cell r="F383" t="str">
            <v>2M7QFTCO</v>
          </cell>
          <cell r="G383" t="str">
            <v>B07VRLJHFH</v>
          </cell>
          <cell r="H383" t="str">
            <v>920-009203</v>
          </cell>
          <cell r="I383" t="str">
            <v>OE INVOICES</v>
          </cell>
          <cell r="J383">
            <v>44422170752</v>
          </cell>
          <cell r="K383">
            <v>44915</v>
          </cell>
          <cell r="L383">
            <v>20</v>
          </cell>
          <cell r="M383" t="str">
            <v>EUR</v>
          </cell>
          <cell r="N383">
            <v>140.52000000000001</v>
          </cell>
          <cell r="O383">
            <v>35.130000000000003</v>
          </cell>
          <cell r="P383">
            <v>4</v>
          </cell>
          <cell r="Q383">
            <v>4</v>
          </cell>
          <cell r="R383">
            <v>0</v>
          </cell>
        </row>
        <row r="384">
          <cell r="A384" t="str">
            <v>2M7QFTCOB07W4DHKTB</v>
          </cell>
          <cell r="B384" t="str">
            <v>Q3-23</v>
          </cell>
          <cell r="C384" t="str">
            <v>Europe Operations OU</v>
          </cell>
          <cell r="D384">
            <v>2674345</v>
          </cell>
          <cell r="E384" t="str">
            <v>Amazon EU SARL, succursale Italiana</v>
          </cell>
          <cell r="F384" t="str">
            <v>2M7QFTCO</v>
          </cell>
          <cell r="G384" t="str">
            <v>B07W4DHKTB</v>
          </cell>
          <cell r="H384" t="str">
            <v>981-001041</v>
          </cell>
          <cell r="I384" t="str">
            <v>OE INVOICES</v>
          </cell>
          <cell r="J384">
            <v>44422170752</v>
          </cell>
          <cell r="K384">
            <v>44915</v>
          </cell>
          <cell r="L384">
            <v>21</v>
          </cell>
          <cell r="M384" t="str">
            <v>EUR</v>
          </cell>
          <cell r="N384">
            <v>263.7</v>
          </cell>
          <cell r="O384">
            <v>26.37</v>
          </cell>
          <cell r="P384">
            <v>10</v>
          </cell>
          <cell r="Q384">
            <v>10</v>
          </cell>
          <cell r="R384">
            <v>0</v>
          </cell>
        </row>
        <row r="385">
          <cell r="A385" t="str">
            <v>2M7QFTCOB07W4DHKTD</v>
          </cell>
          <cell r="B385" t="str">
            <v>Q3-23</v>
          </cell>
          <cell r="C385" t="str">
            <v>Europe Operations OU</v>
          </cell>
          <cell r="D385">
            <v>2674345</v>
          </cell>
          <cell r="E385" t="str">
            <v>Amazon EU SARL, succursale Italiana</v>
          </cell>
          <cell r="F385" t="str">
            <v>2M7QFTCO</v>
          </cell>
          <cell r="G385" t="str">
            <v>B07W4DHKTD</v>
          </cell>
          <cell r="H385" t="str">
            <v>910-005880</v>
          </cell>
          <cell r="I385" t="str">
            <v>OE INVOICES</v>
          </cell>
          <cell r="J385">
            <v>44422170752</v>
          </cell>
          <cell r="K385">
            <v>44915</v>
          </cell>
          <cell r="L385">
            <v>22</v>
          </cell>
          <cell r="M385" t="str">
            <v>EUR</v>
          </cell>
          <cell r="N385">
            <v>4026.72</v>
          </cell>
          <cell r="O385">
            <v>83.89</v>
          </cell>
          <cell r="P385">
            <v>48</v>
          </cell>
          <cell r="Q385">
            <v>48</v>
          </cell>
          <cell r="R385">
            <v>0</v>
          </cell>
        </row>
        <row r="386">
          <cell r="A386" t="str">
            <v>2M7QFTCOB07W4DHQJ9</v>
          </cell>
          <cell r="B386" t="str">
            <v>Q3-23</v>
          </cell>
          <cell r="C386" t="str">
            <v>Europe Operations OU</v>
          </cell>
          <cell r="D386">
            <v>2674345</v>
          </cell>
          <cell r="E386" t="str">
            <v>Amazon EU SARL, succursale Italiana</v>
          </cell>
          <cell r="F386" t="str">
            <v>2M7QFTCO</v>
          </cell>
          <cell r="G386" t="str">
            <v>B07W4DHQJ9</v>
          </cell>
          <cell r="H386" t="str">
            <v>910-005872</v>
          </cell>
          <cell r="I386" t="str">
            <v>OE INVOICES</v>
          </cell>
          <cell r="J386">
            <v>44422170752</v>
          </cell>
          <cell r="K386">
            <v>44915</v>
          </cell>
          <cell r="L386">
            <v>23</v>
          </cell>
          <cell r="M386" t="str">
            <v>EUR</v>
          </cell>
          <cell r="N386">
            <v>319</v>
          </cell>
          <cell r="O386">
            <v>31.9</v>
          </cell>
          <cell r="P386">
            <v>10</v>
          </cell>
          <cell r="Q386">
            <v>10</v>
          </cell>
          <cell r="R386">
            <v>0</v>
          </cell>
        </row>
        <row r="387">
          <cell r="A387" t="str">
            <v>2M7QFTCOB07W4DHT47</v>
          </cell>
          <cell r="B387" t="str">
            <v>Q3-23</v>
          </cell>
          <cell r="C387" t="str">
            <v>Europe Operations OU</v>
          </cell>
          <cell r="D387">
            <v>2674345</v>
          </cell>
          <cell r="E387" t="str">
            <v>Amazon EU SARL, succursale Italiana</v>
          </cell>
          <cell r="F387" t="str">
            <v>2M7QFTCO</v>
          </cell>
          <cell r="G387" t="str">
            <v>B07W4DHT47</v>
          </cell>
          <cell r="H387" t="str">
            <v>910-006034</v>
          </cell>
          <cell r="I387" t="str">
            <v>OE INVOICES</v>
          </cell>
          <cell r="J387">
            <v>44422170752</v>
          </cell>
          <cell r="K387">
            <v>44915</v>
          </cell>
          <cell r="L387">
            <v>24</v>
          </cell>
          <cell r="M387" t="str">
            <v>EUR</v>
          </cell>
          <cell r="N387">
            <v>1932.6</v>
          </cell>
          <cell r="O387">
            <v>32.21</v>
          </cell>
          <cell r="P387">
            <v>60</v>
          </cell>
          <cell r="Q387">
            <v>60</v>
          </cell>
          <cell r="R387">
            <v>0</v>
          </cell>
        </row>
        <row r="388">
          <cell r="A388" t="str">
            <v>2M7QFTCOB07W5JHX84</v>
          </cell>
          <cell r="B388" t="str">
            <v>Q3-23</v>
          </cell>
          <cell r="C388" t="str">
            <v>Europe Operations OU</v>
          </cell>
          <cell r="D388">
            <v>2674345</v>
          </cell>
          <cell r="E388" t="str">
            <v>Amazon EU SARL, succursale Italiana</v>
          </cell>
          <cell r="F388" t="str">
            <v>2M7QFTCO</v>
          </cell>
          <cell r="G388" t="str">
            <v>B07W5JHX84</v>
          </cell>
          <cell r="H388" t="str">
            <v>910-006023</v>
          </cell>
          <cell r="I388" t="str">
            <v>OE INVOICES</v>
          </cell>
          <cell r="J388">
            <v>44422170752</v>
          </cell>
          <cell r="K388">
            <v>44915</v>
          </cell>
          <cell r="L388">
            <v>25</v>
          </cell>
          <cell r="M388" t="str">
            <v>EUR</v>
          </cell>
          <cell r="N388">
            <v>1624.92</v>
          </cell>
          <cell r="O388">
            <v>36.93</v>
          </cell>
          <cell r="P388">
            <v>44</v>
          </cell>
          <cell r="Q388">
            <v>44</v>
          </cell>
          <cell r="R388">
            <v>0</v>
          </cell>
        </row>
        <row r="389">
          <cell r="A389" t="str">
            <v>2M7QFTCOB07W5JKKHL</v>
          </cell>
          <cell r="B389" t="str">
            <v>Q3-23</v>
          </cell>
          <cell r="C389" t="str">
            <v>Europe Operations OU</v>
          </cell>
          <cell r="D389">
            <v>2674345</v>
          </cell>
          <cell r="E389" t="str">
            <v>Amazon EU SARL, succursale Italiana</v>
          </cell>
          <cell r="F389" t="str">
            <v>2M7QFTCO</v>
          </cell>
          <cell r="G389" t="str">
            <v>B07W5JKKHL</v>
          </cell>
          <cell r="H389" t="str">
            <v>920-009583</v>
          </cell>
          <cell r="I389" t="str">
            <v>OE INVOICES</v>
          </cell>
          <cell r="J389">
            <v>44422170752</v>
          </cell>
          <cell r="K389">
            <v>44915</v>
          </cell>
          <cell r="L389">
            <v>26</v>
          </cell>
          <cell r="M389" t="str">
            <v>EUR</v>
          </cell>
          <cell r="N389">
            <v>515.36</v>
          </cell>
          <cell r="O389">
            <v>32.21</v>
          </cell>
          <cell r="P389">
            <v>16</v>
          </cell>
          <cell r="Q389">
            <v>16</v>
          </cell>
          <cell r="R389">
            <v>0</v>
          </cell>
        </row>
        <row r="390">
          <cell r="A390" t="str">
            <v>2M7QFTCOB07W5JKWTH</v>
          </cell>
          <cell r="B390" t="str">
            <v>Q3-23</v>
          </cell>
          <cell r="C390" t="str">
            <v>Europe Operations OU</v>
          </cell>
          <cell r="D390">
            <v>2674345</v>
          </cell>
          <cell r="E390" t="str">
            <v>Amazon EU SARL, succursale Italiana</v>
          </cell>
          <cell r="F390" t="str">
            <v>2M7QFTCO</v>
          </cell>
          <cell r="G390" t="str">
            <v>B07W5JKWTH</v>
          </cell>
          <cell r="H390" t="str">
            <v>920-009686</v>
          </cell>
          <cell r="I390" t="str">
            <v>OE INVOICES</v>
          </cell>
          <cell r="J390">
            <v>44422170752</v>
          </cell>
          <cell r="K390">
            <v>44915</v>
          </cell>
          <cell r="L390">
            <v>27</v>
          </cell>
          <cell r="M390" t="str">
            <v>EUR</v>
          </cell>
          <cell r="N390">
            <v>556.64</v>
          </cell>
          <cell r="O390">
            <v>69.58</v>
          </cell>
          <cell r="P390">
            <v>8</v>
          </cell>
          <cell r="Q390">
            <v>8</v>
          </cell>
          <cell r="R390">
            <v>0</v>
          </cell>
        </row>
        <row r="391">
          <cell r="A391" t="str">
            <v>2M7QFTCOB07W6GVZFL</v>
          </cell>
          <cell r="B391" t="str">
            <v>Q3-23</v>
          </cell>
          <cell r="C391" t="str">
            <v>Europe Operations OU</v>
          </cell>
          <cell r="D391">
            <v>2674345</v>
          </cell>
          <cell r="E391" t="str">
            <v>Amazon EU SARL, succursale Italiana</v>
          </cell>
          <cell r="F391" t="str">
            <v>2M7QFTCO</v>
          </cell>
          <cell r="G391" t="str">
            <v>B07W6GVZFL</v>
          </cell>
          <cell r="H391" t="str">
            <v>910-006752</v>
          </cell>
          <cell r="I391" t="str">
            <v>OE INVOICES</v>
          </cell>
          <cell r="J391">
            <v>44422170752</v>
          </cell>
          <cell r="K391">
            <v>44915</v>
          </cell>
          <cell r="L391">
            <v>28</v>
          </cell>
          <cell r="M391" t="str">
            <v>EUR</v>
          </cell>
          <cell r="N391">
            <v>327.8</v>
          </cell>
          <cell r="O391">
            <v>16.39</v>
          </cell>
          <cell r="P391">
            <v>20</v>
          </cell>
          <cell r="Q391">
            <v>20</v>
          </cell>
          <cell r="R391">
            <v>0</v>
          </cell>
        </row>
        <row r="392">
          <cell r="A392" t="str">
            <v>2M7QFTCOB07W6HJ5L5</v>
          </cell>
          <cell r="B392" t="str">
            <v>Q3-23</v>
          </cell>
          <cell r="C392" t="str">
            <v>Europe Operations OU</v>
          </cell>
          <cell r="D392">
            <v>2674345</v>
          </cell>
          <cell r="E392" t="str">
            <v>Amazon EU SARL, succursale Italiana</v>
          </cell>
          <cell r="F392" t="str">
            <v>2M7QFTCO</v>
          </cell>
          <cell r="G392" t="str">
            <v>B07W6HJ5L5</v>
          </cell>
          <cell r="H392" t="str">
            <v>920-010102</v>
          </cell>
          <cell r="I392" t="str">
            <v>OE INVOICES</v>
          </cell>
          <cell r="J392">
            <v>44422170752</v>
          </cell>
          <cell r="K392">
            <v>44915</v>
          </cell>
          <cell r="L392">
            <v>29</v>
          </cell>
          <cell r="M392" t="str">
            <v>EUR</v>
          </cell>
          <cell r="N392">
            <v>812.1</v>
          </cell>
          <cell r="O392">
            <v>81.209999999999994</v>
          </cell>
          <cell r="P392">
            <v>10</v>
          </cell>
          <cell r="Q392">
            <v>10</v>
          </cell>
          <cell r="R392">
            <v>0</v>
          </cell>
        </row>
        <row r="393">
          <cell r="A393" t="str">
            <v>2M7QFTCOB07W6HKDNR</v>
          </cell>
          <cell r="B393" t="str">
            <v>Q3-23</v>
          </cell>
          <cell r="C393" t="str">
            <v>Europe Operations OU</v>
          </cell>
          <cell r="D393">
            <v>2674345</v>
          </cell>
          <cell r="E393" t="str">
            <v>Amazon EU SARL, succursale Italiana</v>
          </cell>
          <cell r="F393" t="str">
            <v>2M7QFTCO</v>
          </cell>
          <cell r="G393" t="str">
            <v>B07W6HKDNR</v>
          </cell>
          <cell r="H393" t="str">
            <v>988-000485</v>
          </cell>
          <cell r="I393" t="str">
            <v>OE INVOICES</v>
          </cell>
          <cell r="J393">
            <v>44422170752</v>
          </cell>
          <cell r="K393">
            <v>44915</v>
          </cell>
          <cell r="L393">
            <v>30</v>
          </cell>
          <cell r="M393" t="str">
            <v>EUR</v>
          </cell>
          <cell r="N393">
            <v>2866.56</v>
          </cell>
          <cell r="O393">
            <v>179.16</v>
          </cell>
          <cell r="P393">
            <v>16</v>
          </cell>
          <cell r="Q393">
            <v>16</v>
          </cell>
          <cell r="R393">
            <v>0</v>
          </cell>
        </row>
        <row r="394">
          <cell r="A394" t="str">
            <v>2M7QFTCOB07W6HKMCN</v>
          </cell>
          <cell r="B394" t="str">
            <v>Q3-23</v>
          </cell>
          <cell r="C394" t="str">
            <v>Europe Operations OU</v>
          </cell>
          <cell r="D394">
            <v>2674345</v>
          </cell>
          <cell r="E394" t="str">
            <v>Amazon EU SARL, succursale Italiana</v>
          </cell>
          <cell r="F394" t="str">
            <v>2M7QFTCO</v>
          </cell>
          <cell r="G394" t="str">
            <v>B07W6HKMCN</v>
          </cell>
          <cell r="H394" t="str">
            <v>910-005870</v>
          </cell>
          <cell r="I394" t="str">
            <v>OE INVOICES</v>
          </cell>
          <cell r="J394">
            <v>44422170752</v>
          </cell>
          <cell r="K394">
            <v>44915</v>
          </cell>
          <cell r="L394">
            <v>31</v>
          </cell>
          <cell r="M394" t="str">
            <v>EUR</v>
          </cell>
          <cell r="N394">
            <v>957</v>
          </cell>
          <cell r="O394">
            <v>31.9</v>
          </cell>
          <cell r="P394">
            <v>30</v>
          </cell>
          <cell r="Q394">
            <v>30</v>
          </cell>
          <cell r="R394">
            <v>0</v>
          </cell>
        </row>
        <row r="395">
          <cell r="A395" t="str">
            <v>2M7QFTCOB07W6HLJJT</v>
          </cell>
          <cell r="B395" t="str">
            <v>Q3-23</v>
          </cell>
          <cell r="C395" t="str">
            <v>Europe Operations OU</v>
          </cell>
          <cell r="D395">
            <v>2674345</v>
          </cell>
          <cell r="E395" t="str">
            <v>Amazon EU SARL, succursale Italiana</v>
          </cell>
          <cell r="F395" t="str">
            <v>2M7QFTCO</v>
          </cell>
          <cell r="G395" t="str">
            <v>B07W6HLJJT</v>
          </cell>
          <cell r="H395" t="str">
            <v>920-010498</v>
          </cell>
          <cell r="I395" t="str">
            <v>OE INVOICES</v>
          </cell>
          <cell r="J395">
            <v>44422170752</v>
          </cell>
          <cell r="K395">
            <v>44915</v>
          </cell>
          <cell r="L395">
            <v>32</v>
          </cell>
          <cell r="M395" t="str">
            <v>EUR</v>
          </cell>
          <cell r="N395">
            <v>552.24</v>
          </cell>
          <cell r="O395">
            <v>69.03</v>
          </cell>
          <cell r="P395">
            <v>8</v>
          </cell>
          <cell r="Q395">
            <v>8</v>
          </cell>
          <cell r="R395">
            <v>0</v>
          </cell>
        </row>
        <row r="396">
          <cell r="A396" t="str">
            <v>2M7QFTCOB07W6HVXXN</v>
          </cell>
          <cell r="B396" t="str">
            <v>Q3-23</v>
          </cell>
          <cell r="C396" t="str">
            <v>Europe Operations OU</v>
          </cell>
          <cell r="D396">
            <v>2674345</v>
          </cell>
          <cell r="E396" t="str">
            <v>Amazon EU SARL, succursale Italiana</v>
          </cell>
          <cell r="F396" t="str">
            <v>2M7QFTCO</v>
          </cell>
          <cell r="G396" t="str">
            <v>B07W6HVXXN</v>
          </cell>
          <cell r="H396" t="str">
            <v>920-009404</v>
          </cell>
          <cell r="I396" t="str">
            <v>OE INVOICES</v>
          </cell>
          <cell r="J396">
            <v>44422170752</v>
          </cell>
          <cell r="K396">
            <v>44915</v>
          </cell>
          <cell r="L396">
            <v>33</v>
          </cell>
          <cell r="M396" t="str">
            <v>EUR</v>
          </cell>
          <cell r="N396">
            <v>22089.119999999999</v>
          </cell>
          <cell r="O396">
            <v>81.209999999999994</v>
          </cell>
          <cell r="P396">
            <v>272</v>
          </cell>
          <cell r="Q396">
            <v>272</v>
          </cell>
          <cell r="R396">
            <v>0</v>
          </cell>
        </row>
        <row r="397">
          <cell r="A397" t="str">
            <v>2M7QFTCOB07W6J6WYH</v>
          </cell>
          <cell r="B397" t="str">
            <v>Q3-23</v>
          </cell>
          <cell r="C397" t="str">
            <v>Europe Operations OU</v>
          </cell>
          <cell r="D397">
            <v>2674345</v>
          </cell>
          <cell r="E397" t="str">
            <v>Amazon EU SARL, succursale Italiana</v>
          </cell>
          <cell r="F397" t="str">
            <v>2M7QFTCO</v>
          </cell>
          <cell r="G397" t="str">
            <v>B07W6J6WYH</v>
          </cell>
          <cell r="H397" t="str">
            <v>920-010727</v>
          </cell>
          <cell r="I397" t="str">
            <v>OE INVOICES</v>
          </cell>
          <cell r="J397">
            <v>44422170752</v>
          </cell>
          <cell r="K397">
            <v>44915</v>
          </cell>
          <cell r="L397">
            <v>34</v>
          </cell>
          <cell r="M397" t="str">
            <v>EUR</v>
          </cell>
          <cell r="N397">
            <v>505.84</v>
          </cell>
          <cell r="O397">
            <v>63.23</v>
          </cell>
          <cell r="P397">
            <v>8</v>
          </cell>
          <cell r="Q397">
            <v>8</v>
          </cell>
          <cell r="R397">
            <v>0</v>
          </cell>
        </row>
        <row r="398">
          <cell r="A398" t="str">
            <v>2M7QFTCOB07W6J829F</v>
          </cell>
          <cell r="B398" t="str">
            <v>Q3-23</v>
          </cell>
          <cell r="C398" t="str">
            <v>Europe Operations OU</v>
          </cell>
          <cell r="D398">
            <v>2674345</v>
          </cell>
          <cell r="E398" t="str">
            <v>Amazon EU SARL, succursale Italiana</v>
          </cell>
          <cell r="F398" t="str">
            <v>2M7QFTCO</v>
          </cell>
          <cell r="G398" t="str">
            <v>B07W6J829F</v>
          </cell>
          <cell r="H398" t="str">
            <v>910-005784</v>
          </cell>
          <cell r="I398" t="str">
            <v>OE INVOICES</v>
          </cell>
          <cell r="J398">
            <v>44422170752</v>
          </cell>
          <cell r="K398">
            <v>44915</v>
          </cell>
          <cell r="L398">
            <v>35</v>
          </cell>
          <cell r="M398" t="str">
            <v>EUR</v>
          </cell>
          <cell r="N398">
            <v>4743</v>
          </cell>
          <cell r="O398">
            <v>26.35</v>
          </cell>
          <cell r="P398">
            <v>180</v>
          </cell>
          <cell r="Q398">
            <v>180</v>
          </cell>
          <cell r="R398">
            <v>0</v>
          </cell>
        </row>
        <row r="399">
          <cell r="A399" t="str">
            <v>2M7QFTCOB07W6JHB2P</v>
          </cell>
          <cell r="B399" t="str">
            <v>Q3-23</v>
          </cell>
          <cell r="C399" t="str">
            <v>Europe Operations OU</v>
          </cell>
          <cell r="D399">
            <v>2674345</v>
          </cell>
          <cell r="E399" t="str">
            <v>Amazon EU SARL, succursale Italiana</v>
          </cell>
          <cell r="F399" t="str">
            <v>2M7QFTCO</v>
          </cell>
          <cell r="G399" t="str">
            <v>B07W6JHB2P</v>
          </cell>
          <cell r="H399" t="str">
            <v>910-006254</v>
          </cell>
          <cell r="I399" t="str">
            <v>OE INVOICES</v>
          </cell>
          <cell r="J399">
            <v>44422170752</v>
          </cell>
          <cell r="K399">
            <v>44915</v>
          </cell>
          <cell r="L399">
            <v>36</v>
          </cell>
          <cell r="M399" t="str">
            <v>EUR</v>
          </cell>
          <cell r="N399">
            <v>292.8</v>
          </cell>
          <cell r="O399">
            <v>29.28</v>
          </cell>
          <cell r="P399">
            <v>10</v>
          </cell>
          <cell r="Q399">
            <v>10</v>
          </cell>
          <cell r="R399">
            <v>0</v>
          </cell>
        </row>
        <row r="400">
          <cell r="A400" t="str">
            <v>2M7QFTCOB07W6JKH1B</v>
          </cell>
          <cell r="B400" t="str">
            <v>Q3-23</v>
          </cell>
          <cell r="C400" t="str">
            <v>Europe Operations OU</v>
          </cell>
          <cell r="D400">
            <v>2674345</v>
          </cell>
          <cell r="E400" t="str">
            <v>Amazon EU SARL, succursale Italiana</v>
          </cell>
          <cell r="F400" t="str">
            <v>2M7QFTCO</v>
          </cell>
          <cell r="G400" t="str">
            <v>B07W6JKH1B</v>
          </cell>
          <cell r="H400" t="str">
            <v>920-011176</v>
          </cell>
          <cell r="I400" t="str">
            <v>OE INVOICES</v>
          </cell>
          <cell r="J400">
            <v>44422170752</v>
          </cell>
          <cell r="K400">
            <v>44915</v>
          </cell>
          <cell r="L400">
            <v>37</v>
          </cell>
          <cell r="M400" t="str">
            <v>EUR</v>
          </cell>
          <cell r="N400">
            <v>257.68</v>
          </cell>
          <cell r="O400">
            <v>32.21</v>
          </cell>
          <cell r="P400">
            <v>8</v>
          </cell>
          <cell r="Q400">
            <v>8</v>
          </cell>
          <cell r="R400">
            <v>0</v>
          </cell>
        </row>
        <row r="401">
          <cell r="A401" t="str">
            <v>2M7QFTCOB07W6JM289</v>
          </cell>
          <cell r="B401" t="str">
            <v>Q3-23</v>
          </cell>
          <cell r="C401" t="str">
            <v>Europe Operations OU</v>
          </cell>
          <cell r="D401">
            <v>2674345</v>
          </cell>
          <cell r="E401" t="str">
            <v>Amazon EU SARL, succursale Italiana</v>
          </cell>
          <cell r="F401" t="str">
            <v>2M7QFTCO</v>
          </cell>
          <cell r="G401" t="str">
            <v>B07W6JM289</v>
          </cell>
          <cell r="H401" t="str">
            <v>920-009584</v>
          </cell>
          <cell r="I401" t="str">
            <v>OE INVOICES</v>
          </cell>
          <cell r="J401">
            <v>44422170752</v>
          </cell>
          <cell r="K401">
            <v>44915</v>
          </cell>
          <cell r="L401">
            <v>38</v>
          </cell>
          <cell r="M401" t="str">
            <v>EUR</v>
          </cell>
          <cell r="N401">
            <v>2061.44</v>
          </cell>
          <cell r="O401">
            <v>32.21</v>
          </cell>
          <cell r="P401">
            <v>64</v>
          </cell>
          <cell r="Q401">
            <v>64</v>
          </cell>
          <cell r="R401">
            <v>0</v>
          </cell>
        </row>
        <row r="402">
          <cell r="A402" t="str">
            <v>2M7QFTCOB07W6JNF81</v>
          </cell>
          <cell r="B402" t="str">
            <v>Q3-23</v>
          </cell>
          <cell r="C402" t="str">
            <v>Europe Operations OU</v>
          </cell>
          <cell r="D402">
            <v>2674345</v>
          </cell>
          <cell r="E402" t="str">
            <v>Amazon EU SARL, succursale Italiana</v>
          </cell>
          <cell r="F402" t="str">
            <v>2M7QFTCO</v>
          </cell>
          <cell r="G402" t="str">
            <v>B07W6JNF81</v>
          </cell>
          <cell r="H402" t="str">
            <v>920-010212</v>
          </cell>
          <cell r="I402" t="str">
            <v>OE INVOICES</v>
          </cell>
          <cell r="J402">
            <v>44422170752</v>
          </cell>
          <cell r="K402">
            <v>44915</v>
          </cell>
          <cell r="L402">
            <v>39</v>
          </cell>
          <cell r="M402" t="str">
            <v>EUR</v>
          </cell>
          <cell r="N402">
            <v>1067.3599999999999</v>
          </cell>
          <cell r="O402">
            <v>133.41999999999999</v>
          </cell>
          <cell r="P402">
            <v>8</v>
          </cell>
          <cell r="Q402">
            <v>8</v>
          </cell>
          <cell r="R402">
            <v>0</v>
          </cell>
        </row>
        <row r="403">
          <cell r="A403" t="str">
            <v>2M7QFTCOB07W6JNQ82</v>
          </cell>
          <cell r="B403" t="str">
            <v>Q3-23</v>
          </cell>
          <cell r="C403" t="str">
            <v>Europe Operations OU</v>
          </cell>
          <cell r="D403">
            <v>2674345</v>
          </cell>
          <cell r="E403" t="str">
            <v>Amazon EU SARL, succursale Italiana</v>
          </cell>
          <cell r="F403" t="str">
            <v>2M7QFTCO</v>
          </cell>
          <cell r="G403" t="str">
            <v>B07W6JNQ82</v>
          </cell>
          <cell r="H403" t="str">
            <v>920-009392</v>
          </cell>
          <cell r="I403" t="str">
            <v>OE INVOICES</v>
          </cell>
          <cell r="J403">
            <v>44422170752</v>
          </cell>
          <cell r="K403">
            <v>44915</v>
          </cell>
          <cell r="L403">
            <v>40</v>
          </cell>
          <cell r="M403" t="str">
            <v>EUR</v>
          </cell>
          <cell r="N403">
            <v>880.08</v>
          </cell>
          <cell r="O403">
            <v>73.34</v>
          </cell>
          <cell r="P403">
            <v>12</v>
          </cell>
          <cell r="Q403">
            <v>12</v>
          </cell>
          <cell r="R403">
            <v>0</v>
          </cell>
        </row>
        <row r="404">
          <cell r="A404" t="str">
            <v>2M7QFTCOB07W7JYN4P</v>
          </cell>
          <cell r="B404" t="str">
            <v>Q3-23</v>
          </cell>
          <cell r="C404" t="str">
            <v>Europe Operations OU</v>
          </cell>
          <cell r="D404">
            <v>2674345</v>
          </cell>
          <cell r="E404" t="str">
            <v>Amazon EU SARL, succursale Italiana</v>
          </cell>
          <cell r="F404" t="str">
            <v>2M7QFTCO</v>
          </cell>
          <cell r="G404" t="str">
            <v>B07W7JYN4P</v>
          </cell>
          <cell r="H404" t="str">
            <v>981-001213</v>
          </cell>
          <cell r="I404" t="str">
            <v>OE INVOICES</v>
          </cell>
          <cell r="J404">
            <v>44422170752</v>
          </cell>
          <cell r="K404">
            <v>44915</v>
          </cell>
          <cell r="L404">
            <v>41</v>
          </cell>
          <cell r="M404" t="str">
            <v>EUR</v>
          </cell>
          <cell r="N404">
            <v>276.12</v>
          </cell>
          <cell r="O404">
            <v>69.03</v>
          </cell>
          <cell r="P404">
            <v>4</v>
          </cell>
          <cell r="Q404">
            <v>4</v>
          </cell>
          <cell r="R404">
            <v>0</v>
          </cell>
        </row>
        <row r="405">
          <cell r="A405" t="str">
            <v>2M7QFTCOB07W7JYP91</v>
          </cell>
          <cell r="B405" t="str">
            <v>Q3-23</v>
          </cell>
          <cell r="C405" t="str">
            <v>Europe Operations OU</v>
          </cell>
          <cell r="D405">
            <v>2674345</v>
          </cell>
          <cell r="E405" t="str">
            <v>Amazon EU SARL, succursale Italiana</v>
          </cell>
          <cell r="F405" t="str">
            <v>2M7QFTCO</v>
          </cell>
          <cell r="G405" t="str">
            <v>B07W7JYP91</v>
          </cell>
          <cell r="H405" t="str">
            <v>910-005720</v>
          </cell>
          <cell r="I405" t="str">
            <v>OE INVOICES</v>
          </cell>
          <cell r="J405">
            <v>44422170752</v>
          </cell>
          <cell r="K405">
            <v>44915</v>
          </cell>
          <cell r="L405">
            <v>42</v>
          </cell>
          <cell r="M405" t="str">
            <v>EUR</v>
          </cell>
          <cell r="N405">
            <v>655.6</v>
          </cell>
          <cell r="O405">
            <v>16.39</v>
          </cell>
          <cell r="P405">
            <v>40</v>
          </cell>
          <cell r="Q405">
            <v>40</v>
          </cell>
          <cell r="R405">
            <v>0</v>
          </cell>
        </row>
        <row r="406">
          <cell r="A406" t="str">
            <v>2M7QFTCOB07W7L3DSX</v>
          </cell>
          <cell r="B406" t="str">
            <v>Q3-23</v>
          </cell>
          <cell r="C406" t="str">
            <v>Europe Operations OU</v>
          </cell>
          <cell r="D406">
            <v>2674345</v>
          </cell>
          <cell r="E406" t="str">
            <v>Amazon EU SARL, succursale Italiana</v>
          </cell>
          <cell r="F406" t="str">
            <v>2M7QFTCO</v>
          </cell>
          <cell r="G406" t="str">
            <v>B07W7L3DSX</v>
          </cell>
          <cell r="H406" t="str">
            <v>920-010399</v>
          </cell>
          <cell r="I406" t="str">
            <v>OE INVOICES</v>
          </cell>
          <cell r="J406">
            <v>44422170752</v>
          </cell>
          <cell r="K406">
            <v>44915</v>
          </cell>
          <cell r="L406">
            <v>43</v>
          </cell>
          <cell r="M406" t="str">
            <v>EUR</v>
          </cell>
          <cell r="N406">
            <v>2319.12</v>
          </cell>
          <cell r="O406">
            <v>32.21</v>
          </cell>
          <cell r="P406">
            <v>72</v>
          </cell>
          <cell r="Q406">
            <v>72</v>
          </cell>
          <cell r="R406">
            <v>0</v>
          </cell>
        </row>
        <row r="407">
          <cell r="A407" t="str">
            <v>2M7QFTCOB07W7L3HJP</v>
          </cell>
          <cell r="B407" t="str">
            <v>Q3-23</v>
          </cell>
          <cell r="C407" t="str">
            <v>Europe Operations OU</v>
          </cell>
          <cell r="D407">
            <v>2674345</v>
          </cell>
          <cell r="E407" t="str">
            <v>Amazon EU SARL, succursale Italiana</v>
          </cell>
          <cell r="F407" t="str">
            <v>2M7QFTCO</v>
          </cell>
          <cell r="G407" t="str">
            <v>B07W7L3HJP</v>
          </cell>
          <cell r="H407" t="str">
            <v>914-000074</v>
          </cell>
          <cell r="I407" t="str">
            <v>OE INVOICES</v>
          </cell>
          <cell r="J407">
            <v>44422170752</v>
          </cell>
          <cell r="K407">
            <v>44915</v>
          </cell>
          <cell r="L407">
            <v>44</v>
          </cell>
          <cell r="M407" t="str">
            <v>EUR</v>
          </cell>
          <cell r="N407">
            <v>661.2</v>
          </cell>
          <cell r="O407">
            <v>55.1</v>
          </cell>
          <cell r="P407">
            <v>12</v>
          </cell>
          <cell r="Q407">
            <v>12</v>
          </cell>
          <cell r="R407">
            <v>0</v>
          </cell>
        </row>
        <row r="408">
          <cell r="A408" t="str">
            <v>2M7QFTCOB07W7LFHH9</v>
          </cell>
          <cell r="B408" t="str">
            <v>Q3-23</v>
          </cell>
          <cell r="C408" t="str">
            <v>Europe Operations OU</v>
          </cell>
          <cell r="D408">
            <v>2674345</v>
          </cell>
          <cell r="E408" t="str">
            <v>Amazon EU SARL, succursale Italiana</v>
          </cell>
          <cell r="F408" t="str">
            <v>2M7QFTCO</v>
          </cell>
          <cell r="G408" t="str">
            <v>B07W7LFHH9</v>
          </cell>
          <cell r="H408" t="str">
            <v>920-010725</v>
          </cell>
          <cell r="I408" t="str">
            <v>OE INVOICES</v>
          </cell>
          <cell r="J408">
            <v>44422170752</v>
          </cell>
          <cell r="K408">
            <v>44915</v>
          </cell>
          <cell r="L408">
            <v>45</v>
          </cell>
          <cell r="M408" t="str">
            <v>EUR</v>
          </cell>
          <cell r="N408">
            <v>252.92</v>
          </cell>
          <cell r="O408">
            <v>63.23</v>
          </cell>
          <cell r="P408">
            <v>4</v>
          </cell>
          <cell r="Q408">
            <v>4</v>
          </cell>
          <cell r="R408">
            <v>0</v>
          </cell>
        </row>
        <row r="409">
          <cell r="A409" t="str">
            <v>2M7QFTCOB07W7LNRN6</v>
          </cell>
          <cell r="B409" t="str">
            <v>Q3-23</v>
          </cell>
          <cell r="C409" t="str">
            <v>Europe Operations OU</v>
          </cell>
          <cell r="D409">
            <v>2674345</v>
          </cell>
          <cell r="E409" t="str">
            <v>Amazon EU SARL, succursale Italiana</v>
          </cell>
          <cell r="F409" t="str">
            <v>2M7QFTCO</v>
          </cell>
          <cell r="G409" t="str">
            <v>B07W7LNRN6</v>
          </cell>
          <cell r="H409" t="str">
            <v>920-010042</v>
          </cell>
          <cell r="I409" t="str">
            <v>OE INVOICES</v>
          </cell>
          <cell r="J409">
            <v>44422170752</v>
          </cell>
          <cell r="K409">
            <v>44915</v>
          </cell>
          <cell r="L409">
            <v>46</v>
          </cell>
          <cell r="M409" t="str">
            <v>EUR</v>
          </cell>
          <cell r="N409">
            <v>974.4</v>
          </cell>
          <cell r="O409">
            <v>40.6</v>
          </cell>
          <cell r="P409">
            <v>24</v>
          </cell>
          <cell r="Q409">
            <v>24</v>
          </cell>
          <cell r="R409">
            <v>0</v>
          </cell>
        </row>
        <row r="410">
          <cell r="A410" t="str">
            <v>2M7QFTCOB07W7MKLNT</v>
          </cell>
          <cell r="B410" t="str">
            <v>Q3-23</v>
          </cell>
          <cell r="C410" t="str">
            <v>Europe Operations OU</v>
          </cell>
          <cell r="D410">
            <v>2674345</v>
          </cell>
          <cell r="E410" t="str">
            <v>Amazon EU SARL, succursale Italiana</v>
          </cell>
          <cell r="F410" t="str">
            <v>2M7QFTCO</v>
          </cell>
          <cell r="G410" t="str">
            <v>B07W7MKLNT</v>
          </cell>
          <cell r="H410" t="str">
            <v>910-005943</v>
          </cell>
          <cell r="I410" t="str">
            <v>OE INVOICES</v>
          </cell>
          <cell r="J410">
            <v>44422170752</v>
          </cell>
          <cell r="K410">
            <v>44915</v>
          </cell>
          <cell r="L410">
            <v>47</v>
          </cell>
          <cell r="M410" t="str">
            <v>EUR</v>
          </cell>
          <cell r="N410">
            <v>22482.52</v>
          </cell>
          <cell r="O410">
            <v>83.89</v>
          </cell>
          <cell r="P410">
            <v>268</v>
          </cell>
          <cell r="Q410">
            <v>268</v>
          </cell>
          <cell r="R410">
            <v>0</v>
          </cell>
        </row>
        <row r="411">
          <cell r="A411" t="str">
            <v>2NHJ23TZB07CGNDZR3</v>
          </cell>
          <cell r="B411" t="str">
            <v>Q3-23</v>
          </cell>
          <cell r="C411" t="str">
            <v>Europe Operations OU</v>
          </cell>
          <cell r="D411">
            <v>2674345</v>
          </cell>
          <cell r="E411" t="str">
            <v>Amazon EU SARL, succursale Italiana</v>
          </cell>
          <cell r="F411" t="str">
            <v>2NHJ23TZ</v>
          </cell>
          <cell r="G411" t="str">
            <v>B07CGNDZR3</v>
          </cell>
          <cell r="H411" t="str">
            <v>910-005282</v>
          </cell>
          <cell r="I411" t="str">
            <v>OE INVOICES</v>
          </cell>
          <cell r="J411">
            <v>44422170778</v>
          </cell>
          <cell r="K411">
            <v>44915</v>
          </cell>
          <cell r="L411">
            <v>1</v>
          </cell>
          <cell r="M411" t="str">
            <v>EUR</v>
          </cell>
          <cell r="N411">
            <v>19646.759999999998</v>
          </cell>
          <cell r="O411">
            <v>36.93</v>
          </cell>
          <cell r="P411">
            <v>532</v>
          </cell>
          <cell r="Q411">
            <v>532</v>
          </cell>
          <cell r="R411">
            <v>0</v>
          </cell>
        </row>
        <row r="412">
          <cell r="A412" t="str">
            <v>2NHJ23TZB07G6CQQYG</v>
          </cell>
          <cell r="B412" t="str">
            <v>Q3-23</v>
          </cell>
          <cell r="C412" t="str">
            <v>Europe Operations OU</v>
          </cell>
          <cell r="D412">
            <v>2674345</v>
          </cell>
          <cell r="E412" t="str">
            <v>Amazon EU SARL, succursale Italiana</v>
          </cell>
          <cell r="F412" t="str">
            <v>2NHJ23TZ</v>
          </cell>
          <cell r="G412" t="str">
            <v>B07G6CQQYG</v>
          </cell>
          <cell r="H412" t="str">
            <v>984-001362</v>
          </cell>
          <cell r="I412" t="str">
            <v>OE INVOICES</v>
          </cell>
          <cell r="J412">
            <v>44422170778</v>
          </cell>
          <cell r="K412">
            <v>44915</v>
          </cell>
          <cell r="L412">
            <v>2</v>
          </cell>
          <cell r="M412" t="str">
            <v>EUR</v>
          </cell>
          <cell r="N412">
            <v>13394.64</v>
          </cell>
          <cell r="O412">
            <v>79.73</v>
          </cell>
          <cell r="P412">
            <v>168</v>
          </cell>
          <cell r="Q412">
            <v>168</v>
          </cell>
          <cell r="R412">
            <v>0</v>
          </cell>
        </row>
        <row r="413">
          <cell r="A413" t="str">
            <v>2NHJ23TZB07W4DHQJ9</v>
          </cell>
          <cell r="B413" t="str">
            <v>Q3-23</v>
          </cell>
          <cell r="C413" t="str">
            <v>Europe Operations OU</v>
          </cell>
          <cell r="D413">
            <v>2674345</v>
          </cell>
          <cell r="E413" t="str">
            <v>Amazon EU SARL, succursale Italiana</v>
          </cell>
          <cell r="F413" t="str">
            <v>2NHJ23TZ</v>
          </cell>
          <cell r="G413" t="str">
            <v>B07W4DHQJ9</v>
          </cell>
          <cell r="H413" t="str">
            <v>910-005872</v>
          </cell>
          <cell r="I413" t="str">
            <v>OE INVOICES</v>
          </cell>
          <cell r="J413">
            <v>44422170778</v>
          </cell>
          <cell r="K413">
            <v>44915</v>
          </cell>
          <cell r="L413">
            <v>3</v>
          </cell>
          <cell r="M413" t="str">
            <v>EUR</v>
          </cell>
          <cell r="N413">
            <v>2871</v>
          </cell>
          <cell r="O413">
            <v>31.9</v>
          </cell>
          <cell r="P413">
            <v>90</v>
          </cell>
          <cell r="Q413">
            <v>90</v>
          </cell>
          <cell r="R413">
            <v>0</v>
          </cell>
        </row>
        <row r="414">
          <cell r="A414" t="str">
            <v>2R6FMUZDB006A2Q81M</v>
          </cell>
          <cell r="B414" t="str">
            <v>Q3-23</v>
          </cell>
          <cell r="C414" t="str">
            <v>Europe Operations OU</v>
          </cell>
          <cell r="D414">
            <v>2674345</v>
          </cell>
          <cell r="E414" t="str">
            <v>Amazon EU SARL, succursale Italiana</v>
          </cell>
          <cell r="F414" t="str">
            <v>2R6FMUZD</v>
          </cell>
          <cell r="G414" t="str">
            <v>B006A2Q81M</v>
          </cell>
          <cell r="H414" t="str">
            <v>960-001055</v>
          </cell>
          <cell r="I414" t="str">
            <v>OE INVOICES</v>
          </cell>
          <cell r="J414">
            <v>44422163473</v>
          </cell>
          <cell r="K414">
            <v>44909</v>
          </cell>
          <cell r="L414">
            <v>1</v>
          </cell>
          <cell r="M414" t="str">
            <v>EUR</v>
          </cell>
          <cell r="N414">
            <v>505.84</v>
          </cell>
          <cell r="O414">
            <v>63.23</v>
          </cell>
          <cell r="P414">
            <v>8</v>
          </cell>
          <cell r="Q414">
            <v>8</v>
          </cell>
          <cell r="R414">
            <v>0</v>
          </cell>
        </row>
        <row r="415">
          <cell r="A415" t="str">
            <v>2R6FMUZDB00CJ5FP04</v>
          </cell>
          <cell r="B415" t="str">
            <v>Q3-23</v>
          </cell>
          <cell r="C415" t="str">
            <v>Europe Operations OU</v>
          </cell>
          <cell r="D415">
            <v>2674345</v>
          </cell>
          <cell r="E415" t="str">
            <v>Amazon EU SARL, succursale Italiana</v>
          </cell>
          <cell r="F415" t="str">
            <v>2R6FMUZD</v>
          </cell>
          <cell r="G415" t="str">
            <v>B00CJ5FP04</v>
          </cell>
          <cell r="H415" t="str">
            <v>940-000135</v>
          </cell>
          <cell r="I415" t="str">
            <v>OE INVOICES</v>
          </cell>
          <cell r="J415">
            <v>44422157989</v>
          </cell>
          <cell r="K415">
            <v>44907</v>
          </cell>
          <cell r="L415">
            <v>1</v>
          </cell>
          <cell r="M415" t="str">
            <v>EUR</v>
          </cell>
          <cell r="N415">
            <v>168.8</v>
          </cell>
          <cell r="O415">
            <v>21.1</v>
          </cell>
          <cell r="P415">
            <v>8</v>
          </cell>
          <cell r="Q415">
            <v>8</v>
          </cell>
          <cell r="R415">
            <v>0</v>
          </cell>
        </row>
        <row r="416">
          <cell r="A416" t="str">
            <v>2R6FMUZDB01M3TTXMY</v>
          </cell>
          <cell r="B416" t="str">
            <v>Q3-23</v>
          </cell>
          <cell r="C416" t="str">
            <v>Europe Operations OU</v>
          </cell>
          <cell r="D416">
            <v>2674345</v>
          </cell>
          <cell r="E416" t="str">
            <v>Amazon EU SARL, succursale Italiana</v>
          </cell>
          <cell r="F416" t="str">
            <v>2R6FMUZD</v>
          </cell>
          <cell r="G416" t="str">
            <v>B01M3TTXMY</v>
          </cell>
          <cell r="H416" t="str">
            <v>945-000008</v>
          </cell>
          <cell r="I416" t="str">
            <v>OE INVOICES</v>
          </cell>
          <cell r="J416">
            <v>44422157989</v>
          </cell>
          <cell r="K416">
            <v>44907</v>
          </cell>
          <cell r="L416">
            <v>2</v>
          </cell>
          <cell r="M416" t="str">
            <v>EUR</v>
          </cell>
          <cell r="N416">
            <v>335.56</v>
          </cell>
          <cell r="O416">
            <v>83.89</v>
          </cell>
          <cell r="P416">
            <v>4</v>
          </cell>
          <cell r="Q416">
            <v>4</v>
          </cell>
          <cell r="R416">
            <v>0</v>
          </cell>
        </row>
        <row r="417">
          <cell r="A417" t="str">
            <v>2R6FMUZDB01MFBNN9J</v>
          </cell>
          <cell r="B417" t="str">
            <v>Q3-23</v>
          </cell>
          <cell r="C417" t="str">
            <v>Europe Operations OU</v>
          </cell>
          <cell r="D417">
            <v>2674345</v>
          </cell>
          <cell r="E417" t="str">
            <v>Amazon EU SARL, succursale Italiana</v>
          </cell>
          <cell r="F417" t="str">
            <v>2R6FMUZD</v>
          </cell>
          <cell r="G417" t="str">
            <v>B01MFBNN9J</v>
          </cell>
          <cell r="H417" t="str">
            <v>945-000009</v>
          </cell>
          <cell r="I417" t="str">
            <v>OE INVOICES</v>
          </cell>
          <cell r="J417">
            <v>44422157989</v>
          </cell>
          <cell r="K417">
            <v>44907</v>
          </cell>
          <cell r="L417">
            <v>3</v>
          </cell>
          <cell r="M417" t="str">
            <v>EUR</v>
          </cell>
          <cell r="N417">
            <v>230.04</v>
          </cell>
          <cell r="O417">
            <v>57.51</v>
          </cell>
          <cell r="P417">
            <v>4</v>
          </cell>
          <cell r="Q417">
            <v>4</v>
          </cell>
          <cell r="R417">
            <v>0</v>
          </cell>
        </row>
        <row r="418">
          <cell r="A418" t="str">
            <v>2R6FMUZDB071W18JHM</v>
          </cell>
          <cell r="B418" t="str">
            <v>Q3-23</v>
          </cell>
          <cell r="C418" t="str">
            <v>Europe Operations OU</v>
          </cell>
          <cell r="D418">
            <v>2674345</v>
          </cell>
          <cell r="E418" t="str">
            <v>Amazon EU SARL, succursale Italiana</v>
          </cell>
          <cell r="F418" t="str">
            <v>2R6FMUZD</v>
          </cell>
          <cell r="G418" t="str">
            <v>B071W18JHM</v>
          </cell>
          <cell r="H418" t="str">
            <v>939-001490</v>
          </cell>
          <cell r="I418" t="str">
            <v>OE INVOICES</v>
          </cell>
          <cell r="J418">
            <v>44422157989</v>
          </cell>
          <cell r="K418">
            <v>44907</v>
          </cell>
          <cell r="L418">
            <v>4</v>
          </cell>
          <cell r="M418" t="str">
            <v>EUR</v>
          </cell>
          <cell r="N418">
            <v>1194.03</v>
          </cell>
          <cell r="O418">
            <v>132.66999999999999</v>
          </cell>
          <cell r="P418">
            <v>9</v>
          </cell>
          <cell r="Q418">
            <v>9</v>
          </cell>
          <cell r="R418">
            <v>0</v>
          </cell>
        </row>
        <row r="419">
          <cell r="A419" t="str">
            <v>2R6FMUZDB07CGNP3RH</v>
          </cell>
          <cell r="B419" t="str">
            <v>Q3-23</v>
          </cell>
          <cell r="C419" t="str">
            <v>Europe Operations OU</v>
          </cell>
          <cell r="D419">
            <v>2674345</v>
          </cell>
          <cell r="E419" t="str">
            <v>Amazon EU SARL, succursale Italiana</v>
          </cell>
          <cell r="F419" t="str">
            <v>2R6FMUZD</v>
          </cell>
          <cell r="G419" t="str">
            <v>B07CGNP3RH</v>
          </cell>
          <cell r="H419" t="str">
            <v>910-005292</v>
          </cell>
          <cell r="I419" t="str">
            <v>OE INVOICES</v>
          </cell>
          <cell r="J419">
            <v>44422163653</v>
          </cell>
          <cell r="K419">
            <v>44909</v>
          </cell>
          <cell r="L419">
            <v>1</v>
          </cell>
          <cell r="M419" t="str">
            <v>EUR</v>
          </cell>
          <cell r="N419">
            <v>443.16</v>
          </cell>
          <cell r="O419">
            <v>36.93</v>
          </cell>
          <cell r="P419">
            <v>12</v>
          </cell>
          <cell r="Q419">
            <v>12</v>
          </cell>
          <cell r="R419">
            <v>0</v>
          </cell>
        </row>
        <row r="420">
          <cell r="A420" t="str">
            <v>2R6FMUZDB07G5XJLWK</v>
          </cell>
          <cell r="B420" t="str">
            <v>Q3-23</v>
          </cell>
          <cell r="C420" t="str">
            <v>Europe Operations OU</v>
          </cell>
          <cell r="D420">
            <v>2674345</v>
          </cell>
          <cell r="E420" t="str">
            <v>Amazon EU SARL, succursale Italiana</v>
          </cell>
          <cell r="F420" t="str">
            <v>2R6FMUZD</v>
          </cell>
          <cell r="G420" t="str">
            <v>B07G5XJLWK</v>
          </cell>
          <cell r="H420" t="str">
            <v>910-005273</v>
          </cell>
          <cell r="I420" t="str">
            <v>OE INVOICES</v>
          </cell>
          <cell r="J420">
            <v>44422157989</v>
          </cell>
          <cell r="K420">
            <v>44907</v>
          </cell>
          <cell r="L420">
            <v>5</v>
          </cell>
          <cell r="M420" t="str">
            <v>EUR</v>
          </cell>
          <cell r="N420">
            <v>12614.48</v>
          </cell>
          <cell r="O420">
            <v>73.34</v>
          </cell>
          <cell r="P420">
            <v>172</v>
          </cell>
          <cell r="Q420">
            <v>172</v>
          </cell>
          <cell r="R420">
            <v>0</v>
          </cell>
        </row>
        <row r="421">
          <cell r="A421" t="str">
            <v>2R6FMUZDB07J9Q68CK</v>
          </cell>
          <cell r="B421" t="str">
            <v>Q3-23</v>
          </cell>
          <cell r="C421" t="str">
            <v>Europe Operations OU</v>
          </cell>
          <cell r="D421">
            <v>2674345</v>
          </cell>
          <cell r="E421" t="str">
            <v>Amazon EU SARL, succursale Italiana</v>
          </cell>
          <cell r="F421" t="str">
            <v>2R6FMUZD</v>
          </cell>
          <cell r="G421" t="str">
            <v>B07J9Q68CK</v>
          </cell>
          <cell r="H421" t="str">
            <v>943-000125</v>
          </cell>
          <cell r="I421" t="str">
            <v>OE INVOICES</v>
          </cell>
          <cell r="J421">
            <v>44422163653</v>
          </cell>
          <cell r="K421">
            <v>44909</v>
          </cell>
          <cell r="L421">
            <v>2</v>
          </cell>
          <cell r="M421" t="str">
            <v>EUR</v>
          </cell>
          <cell r="N421">
            <v>193.6</v>
          </cell>
          <cell r="O421">
            <v>24.2</v>
          </cell>
          <cell r="P421">
            <v>8</v>
          </cell>
          <cell r="Q421">
            <v>8</v>
          </cell>
          <cell r="R421">
            <v>0</v>
          </cell>
        </row>
        <row r="422">
          <cell r="A422" t="str">
            <v>2R6FMUZDB07MM4V7NR</v>
          </cell>
          <cell r="B422" t="str">
            <v>Q3-23</v>
          </cell>
          <cell r="C422" t="str">
            <v>Europe Operations OU</v>
          </cell>
          <cell r="D422">
            <v>2674345</v>
          </cell>
          <cell r="E422" t="str">
            <v>Amazon EU SARL, succursale Italiana</v>
          </cell>
          <cell r="F422" t="str">
            <v>2R6FMUZD</v>
          </cell>
          <cell r="G422" t="str">
            <v>B07MM4V7NR</v>
          </cell>
          <cell r="H422" t="str">
            <v>960-001252</v>
          </cell>
          <cell r="I422" t="str">
            <v>OE INVOICES</v>
          </cell>
          <cell r="J422">
            <v>44422157989</v>
          </cell>
          <cell r="K422">
            <v>44907</v>
          </cell>
          <cell r="L422">
            <v>6</v>
          </cell>
          <cell r="M422" t="str">
            <v>EUR</v>
          </cell>
          <cell r="N422">
            <v>11044.8</v>
          </cell>
          <cell r="O422">
            <v>69.03</v>
          </cell>
          <cell r="P422">
            <v>160</v>
          </cell>
          <cell r="Q422">
            <v>160</v>
          </cell>
          <cell r="R422">
            <v>0</v>
          </cell>
        </row>
        <row r="423">
          <cell r="A423" t="str">
            <v>2R6FMUZDB07PMKHMFS</v>
          </cell>
          <cell r="B423" t="str">
            <v>Q3-23</v>
          </cell>
          <cell r="C423" t="str">
            <v>Europe Operations OU</v>
          </cell>
          <cell r="D423">
            <v>2674345</v>
          </cell>
          <cell r="E423" t="str">
            <v>Amazon EU SARL, succursale Italiana</v>
          </cell>
          <cell r="F423" t="str">
            <v>2R6FMUZD</v>
          </cell>
          <cell r="G423" t="str">
            <v>B07PMKHMFS</v>
          </cell>
          <cell r="H423" t="str">
            <v>939-001830</v>
          </cell>
          <cell r="I423" t="str">
            <v>OE INVOICES</v>
          </cell>
          <cell r="J423">
            <v>44422157989</v>
          </cell>
          <cell r="K423">
            <v>44907</v>
          </cell>
          <cell r="L423">
            <v>7</v>
          </cell>
          <cell r="M423" t="str">
            <v>EUR</v>
          </cell>
          <cell r="N423">
            <v>3272.92</v>
          </cell>
          <cell r="O423">
            <v>116.89</v>
          </cell>
          <cell r="P423">
            <v>28</v>
          </cell>
          <cell r="Q423">
            <v>28</v>
          </cell>
          <cell r="R423">
            <v>0</v>
          </cell>
        </row>
        <row r="424">
          <cell r="A424" t="str">
            <v>2R6FMUZDB07QKC4WWD</v>
          </cell>
          <cell r="B424" t="str">
            <v>Q3-23</v>
          </cell>
          <cell r="C424" t="str">
            <v>Europe Operations OU</v>
          </cell>
          <cell r="D424">
            <v>2674345</v>
          </cell>
          <cell r="E424" t="str">
            <v>Amazon EU SARL, succursale Italiana</v>
          </cell>
          <cell r="F424" t="str">
            <v>2R6FMUZD</v>
          </cell>
          <cell r="G424" t="str">
            <v>B07QKC4WWD</v>
          </cell>
          <cell r="H424" t="str">
            <v>910-005568</v>
          </cell>
          <cell r="I424" t="str">
            <v>OE INVOICES</v>
          </cell>
          <cell r="J424">
            <v>44422157989</v>
          </cell>
          <cell r="K424">
            <v>44907</v>
          </cell>
          <cell r="L424">
            <v>8</v>
          </cell>
          <cell r="M424" t="str">
            <v>EUR</v>
          </cell>
          <cell r="N424">
            <v>1006.68</v>
          </cell>
          <cell r="O424">
            <v>83.89</v>
          </cell>
          <cell r="P424">
            <v>12</v>
          </cell>
          <cell r="Q424">
            <v>12</v>
          </cell>
          <cell r="R424">
            <v>0</v>
          </cell>
        </row>
        <row r="425">
          <cell r="A425" t="str">
            <v>2R6FMUZDB07W4DH65R</v>
          </cell>
          <cell r="B425" t="str">
            <v>Q3-23</v>
          </cell>
          <cell r="C425" t="str">
            <v>Europe Operations OU</v>
          </cell>
          <cell r="D425">
            <v>2674345</v>
          </cell>
          <cell r="E425" t="str">
            <v>Amazon EU SARL, succursale Italiana</v>
          </cell>
          <cell r="F425" t="str">
            <v>2R6FMUZD</v>
          </cell>
          <cell r="G425" t="str">
            <v>B07W4DH65R</v>
          </cell>
          <cell r="H425" t="str">
            <v>920-011429</v>
          </cell>
          <cell r="I425" t="str">
            <v>OE INVOICES</v>
          </cell>
          <cell r="J425">
            <v>44422157989</v>
          </cell>
          <cell r="K425">
            <v>44907</v>
          </cell>
          <cell r="L425">
            <v>9</v>
          </cell>
          <cell r="M425" t="str">
            <v>EUR</v>
          </cell>
          <cell r="N425">
            <v>1113.76</v>
          </cell>
          <cell r="O425">
            <v>69.61</v>
          </cell>
          <cell r="P425">
            <v>16</v>
          </cell>
          <cell r="Q425">
            <v>16</v>
          </cell>
          <cell r="R425">
            <v>0</v>
          </cell>
        </row>
        <row r="426">
          <cell r="A426" t="str">
            <v>2R6FMUZDB07W5JHLCB</v>
          </cell>
          <cell r="B426" t="str">
            <v>Q3-23</v>
          </cell>
          <cell r="C426" t="str">
            <v>Europe Operations OU</v>
          </cell>
          <cell r="D426">
            <v>2674345</v>
          </cell>
          <cell r="E426" t="str">
            <v>Amazon EU SARL, succursale Italiana</v>
          </cell>
          <cell r="F426" t="str">
            <v>2R6FMUZD</v>
          </cell>
          <cell r="G426" t="str">
            <v>B07W5JHLCB</v>
          </cell>
          <cell r="H426" t="str">
            <v>910-005988</v>
          </cell>
          <cell r="I426" t="str">
            <v>OE INVOICES</v>
          </cell>
          <cell r="J426">
            <v>44422157989</v>
          </cell>
          <cell r="K426">
            <v>44907</v>
          </cell>
          <cell r="L426">
            <v>10</v>
          </cell>
          <cell r="M426" t="str">
            <v>EUR</v>
          </cell>
          <cell r="N426">
            <v>1740</v>
          </cell>
          <cell r="O426">
            <v>58</v>
          </cell>
          <cell r="P426">
            <v>30</v>
          </cell>
          <cell r="Q426">
            <v>30</v>
          </cell>
          <cell r="R426">
            <v>0</v>
          </cell>
        </row>
        <row r="427">
          <cell r="A427" t="str">
            <v>2R6FMUZDB07W5JKBMG</v>
          </cell>
          <cell r="B427" t="str">
            <v>Q3-23</v>
          </cell>
          <cell r="C427" t="str">
            <v>Europe Operations OU</v>
          </cell>
          <cell r="D427">
            <v>2674345</v>
          </cell>
          <cell r="E427" t="str">
            <v>Amazon EU SARL, succursale Italiana</v>
          </cell>
          <cell r="F427" t="str">
            <v>2R6FMUZD</v>
          </cell>
          <cell r="G427" t="str">
            <v>B07W5JKBMG</v>
          </cell>
          <cell r="H427" t="str">
            <v>943-000450</v>
          </cell>
          <cell r="I427" t="str">
            <v>OE INVOICES</v>
          </cell>
          <cell r="J427">
            <v>44422157989</v>
          </cell>
          <cell r="K427">
            <v>44907</v>
          </cell>
          <cell r="L427">
            <v>11</v>
          </cell>
          <cell r="M427" t="str">
            <v>EUR</v>
          </cell>
          <cell r="N427">
            <v>3112</v>
          </cell>
          <cell r="O427">
            <v>31.12</v>
          </cell>
          <cell r="P427">
            <v>100</v>
          </cell>
          <cell r="Q427">
            <v>100</v>
          </cell>
          <cell r="R427">
            <v>0</v>
          </cell>
        </row>
        <row r="428">
          <cell r="A428" t="str">
            <v>2R6FMUZDB07W5JKFQC</v>
          </cell>
          <cell r="B428" t="str">
            <v>Q3-23</v>
          </cell>
          <cell r="C428" t="str">
            <v>Europe Operations OU</v>
          </cell>
          <cell r="D428">
            <v>2674345</v>
          </cell>
          <cell r="E428" t="str">
            <v>Amazon EU SARL, succursale Italiana</v>
          </cell>
          <cell r="F428" t="str">
            <v>2R6FMUZD</v>
          </cell>
          <cell r="G428" t="str">
            <v>B07W5JKFQC</v>
          </cell>
          <cell r="H428" t="str">
            <v>910-005796</v>
          </cell>
          <cell r="I428" t="str">
            <v>OE INVOICES</v>
          </cell>
          <cell r="J428">
            <v>44422157989</v>
          </cell>
          <cell r="K428">
            <v>44907</v>
          </cell>
          <cell r="L428">
            <v>12</v>
          </cell>
          <cell r="M428" t="str">
            <v>EUR</v>
          </cell>
          <cell r="N428">
            <v>1899.2</v>
          </cell>
          <cell r="O428">
            <v>23.74</v>
          </cell>
          <cell r="P428">
            <v>80</v>
          </cell>
          <cell r="Q428">
            <v>80</v>
          </cell>
          <cell r="R428">
            <v>0</v>
          </cell>
        </row>
        <row r="429">
          <cell r="A429" t="str">
            <v>2R6FMUZDB07W5JKLRF</v>
          </cell>
          <cell r="B429" t="str">
            <v>Q3-23</v>
          </cell>
          <cell r="C429" t="str">
            <v>Europe Operations OU</v>
          </cell>
          <cell r="D429">
            <v>2674345</v>
          </cell>
          <cell r="E429" t="str">
            <v>Amazon EU SARL, succursale Italiana</v>
          </cell>
          <cell r="F429" t="str">
            <v>2R6FMUZD</v>
          </cell>
          <cell r="G429" t="str">
            <v>B07W5JKLRF</v>
          </cell>
          <cell r="H429" t="str">
            <v>939-002064</v>
          </cell>
          <cell r="I429" t="str">
            <v>OE INVOICES</v>
          </cell>
          <cell r="J429">
            <v>44422157989</v>
          </cell>
          <cell r="K429">
            <v>44907</v>
          </cell>
          <cell r="L429">
            <v>13</v>
          </cell>
          <cell r="M429" t="str">
            <v>EUR</v>
          </cell>
          <cell r="N429">
            <v>179.8</v>
          </cell>
          <cell r="O429">
            <v>44.95</v>
          </cell>
          <cell r="P429">
            <v>4</v>
          </cell>
          <cell r="Q429">
            <v>4</v>
          </cell>
          <cell r="R429">
            <v>0</v>
          </cell>
        </row>
        <row r="430">
          <cell r="A430" t="str">
            <v>2R6FMUZDB07W5JKR75</v>
          </cell>
          <cell r="B430" t="str">
            <v>Q3-23</v>
          </cell>
          <cell r="C430" t="str">
            <v>Europe Operations OU</v>
          </cell>
          <cell r="D430">
            <v>2674345</v>
          </cell>
          <cell r="E430" t="str">
            <v>Amazon EU SARL, succursale Italiana</v>
          </cell>
          <cell r="F430" t="str">
            <v>2R6FMUZD</v>
          </cell>
          <cell r="G430" t="str">
            <v>B07W5JKR75</v>
          </cell>
          <cell r="H430" t="str">
            <v>943-000799</v>
          </cell>
          <cell r="I430" t="str">
            <v>OE INVOICES</v>
          </cell>
          <cell r="J430">
            <v>44422163653</v>
          </cell>
          <cell r="K430">
            <v>44909</v>
          </cell>
          <cell r="L430">
            <v>3</v>
          </cell>
          <cell r="M430" t="str">
            <v>EUR</v>
          </cell>
          <cell r="N430">
            <v>812.24</v>
          </cell>
          <cell r="O430">
            <v>18.46</v>
          </cell>
          <cell r="P430">
            <v>44</v>
          </cell>
          <cell r="Q430">
            <v>44</v>
          </cell>
          <cell r="R430">
            <v>0</v>
          </cell>
        </row>
        <row r="431">
          <cell r="A431" t="str">
            <v>2R6FMUZDB07W6HJPSW</v>
          </cell>
          <cell r="B431" t="str">
            <v>Q3-23</v>
          </cell>
          <cell r="C431" t="str">
            <v>Europe Operations OU</v>
          </cell>
          <cell r="D431">
            <v>2674345</v>
          </cell>
          <cell r="E431" t="str">
            <v>Amazon EU SARL, succursale Italiana</v>
          </cell>
          <cell r="F431" t="str">
            <v>2R6FMUZD</v>
          </cell>
          <cell r="G431" t="str">
            <v>B07W6HJPSW</v>
          </cell>
          <cell r="H431" t="str">
            <v>981-001106</v>
          </cell>
          <cell r="I431" t="str">
            <v>OE INVOICES</v>
          </cell>
          <cell r="J431">
            <v>44422157989</v>
          </cell>
          <cell r="K431">
            <v>44907</v>
          </cell>
          <cell r="L431">
            <v>14</v>
          </cell>
          <cell r="M431" t="str">
            <v>EUR</v>
          </cell>
          <cell r="N431">
            <v>272.24</v>
          </cell>
          <cell r="O431">
            <v>68.06</v>
          </cell>
          <cell r="P431">
            <v>4</v>
          </cell>
          <cell r="Q431">
            <v>4</v>
          </cell>
          <cell r="R431">
            <v>0</v>
          </cell>
        </row>
        <row r="432">
          <cell r="A432" t="str">
            <v>2R6FMUZDB07W6HPP3R</v>
          </cell>
          <cell r="B432" t="str">
            <v>Q3-23</v>
          </cell>
          <cell r="C432" t="str">
            <v>Europe Operations OU</v>
          </cell>
          <cell r="D432">
            <v>2674345</v>
          </cell>
          <cell r="E432" t="str">
            <v>Amazon EU SARL, succursale Italiana</v>
          </cell>
          <cell r="F432" t="str">
            <v>2R6FMUZD</v>
          </cell>
          <cell r="G432" t="str">
            <v>B07W6HPP3R</v>
          </cell>
          <cell r="H432" t="str">
            <v>920-010303</v>
          </cell>
          <cell r="I432" t="str">
            <v>OE INVOICES</v>
          </cell>
          <cell r="J432">
            <v>44422157989</v>
          </cell>
          <cell r="K432">
            <v>44907</v>
          </cell>
          <cell r="L432">
            <v>15</v>
          </cell>
          <cell r="M432" t="str">
            <v>EUR</v>
          </cell>
          <cell r="N432">
            <v>2784.48</v>
          </cell>
          <cell r="O432">
            <v>116.02</v>
          </cell>
          <cell r="P432">
            <v>24</v>
          </cell>
          <cell r="Q432">
            <v>24</v>
          </cell>
          <cell r="R432">
            <v>0</v>
          </cell>
        </row>
        <row r="433">
          <cell r="A433" t="str">
            <v>2R6FMUZDB07W6JGH8Z</v>
          </cell>
          <cell r="B433" t="str">
            <v>Q3-23</v>
          </cell>
          <cell r="C433" t="str">
            <v>Europe Operations OU</v>
          </cell>
          <cell r="D433">
            <v>2674345</v>
          </cell>
          <cell r="E433" t="str">
            <v>Amazon EU SARL, succursale Italiana</v>
          </cell>
          <cell r="F433" t="str">
            <v>2R6FMUZD</v>
          </cell>
          <cell r="G433" t="str">
            <v>B07W6JGH8Z</v>
          </cell>
          <cell r="H433" t="str">
            <v>981-001044</v>
          </cell>
          <cell r="I433" t="str">
            <v>OE INVOICES</v>
          </cell>
          <cell r="J433">
            <v>44422157989</v>
          </cell>
          <cell r="K433">
            <v>44907</v>
          </cell>
          <cell r="L433">
            <v>16</v>
          </cell>
          <cell r="M433" t="str">
            <v>EUR</v>
          </cell>
          <cell r="N433">
            <v>211.04</v>
          </cell>
          <cell r="O433">
            <v>52.76</v>
          </cell>
          <cell r="P433">
            <v>4</v>
          </cell>
          <cell r="Q433">
            <v>4</v>
          </cell>
          <cell r="R433">
            <v>0</v>
          </cell>
        </row>
        <row r="434">
          <cell r="A434" t="str">
            <v>2R6FMUZDB07W6JPVPF</v>
          </cell>
          <cell r="B434" t="str">
            <v>Q3-23</v>
          </cell>
          <cell r="C434" t="str">
            <v>Europe Operations OU</v>
          </cell>
          <cell r="D434">
            <v>2674345</v>
          </cell>
          <cell r="E434" t="str">
            <v>Amazon EU SARL, succursale Italiana</v>
          </cell>
          <cell r="F434" t="str">
            <v>2R6FMUZD</v>
          </cell>
          <cell r="G434" t="str">
            <v>B07W6JPVPF</v>
          </cell>
          <cell r="H434" t="str">
            <v>943-000778</v>
          </cell>
          <cell r="I434" t="str">
            <v>OE INVOICES</v>
          </cell>
          <cell r="J434">
            <v>44422157989</v>
          </cell>
          <cell r="K434">
            <v>44907</v>
          </cell>
          <cell r="L434">
            <v>17</v>
          </cell>
          <cell r="M434" t="str">
            <v>EUR</v>
          </cell>
          <cell r="N434">
            <v>94.96</v>
          </cell>
          <cell r="O434">
            <v>23.74</v>
          </cell>
          <cell r="P434">
            <v>4</v>
          </cell>
          <cell r="Q434">
            <v>4</v>
          </cell>
          <cell r="R434">
            <v>0</v>
          </cell>
        </row>
        <row r="435">
          <cell r="A435" t="str">
            <v>2R6FMUZDB07W7K29YK</v>
          </cell>
          <cell r="B435" t="str">
            <v>Q3-23</v>
          </cell>
          <cell r="C435" t="str">
            <v>Europe Operations OU</v>
          </cell>
          <cell r="D435">
            <v>2674345</v>
          </cell>
          <cell r="E435" t="str">
            <v>Amazon EU SARL, succursale Italiana</v>
          </cell>
          <cell r="F435" t="str">
            <v>2R6FMUZD</v>
          </cell>
          <cell r="G435" t="str">
            <v>B07W7K29YK</v>
          </cell>
          <cell r="H435" t="str">
            <v>943-000791</v>
          </cell>
          <cell r="I435" t="str">
            <v>OE INVOICES</v>
          </cell>
          <cell r="J435">
            <v>44422157989</v>
          </cell>
          <cell r="K435">
            <v>44907</v>
          </cell>
          <cell r="L435">
            <v>18</v>
          </cell>
          <cell r="M435" t="str">
            <v>EUR</v>
          </cell>
          <cell r="N435">
            <v>371.2</v>
          </cell>
          <cell r="O435">
            <v>11.6</v>
          </cell>
          <cell r="P435">
            <v>32</v>
          </cell>
          <cell r="Q435">
            <v>32</v>
          </cell>
          <cell r="R435">
            <v>0</v>
          </cell>
        </row>
        <row r="436">
          <cell r="A436" t="str">
            <v>2R6FMUZDB07W7LNTMC</v>
          </cell>
          <cell r="B436" t="str">
            <v>Q3-23</v>
          </cell>
          <cell r="C436" t="str">
            <v>Europe Operations OU</v>
          </cell>
          <cell r="D436">
            <v>2674345</v>
          </cell>
          <cell r="E436" t="str">
            <v>Amazon EU SARL, succursale Italiana</v>
          </cell>
          <cell r="F436" t="str">
            <v>2R6FMUZD</v>
          </cell>
          <cell r="G436" t="str">
            <v>B07W7LNTMC</v>
          </cell>
          <cell r="H436" t="str">
            <v>943-000792</v>
          </cell>
          <cell r="I436" t="str">
            <v>OE INVOICES</v>
          </cell>
          <cell r="J436">
            <v>44422157989</v>
          </cell>
          <cell r="K436">
            <v>44907</v>
          </cell>
          <cell r="L436">
            <v>19</v>
          </cell>
          <cell r="M436" t="str">
            <v>EUR</v>
          </cell>
          <cell r="N436">
            <v>464</v>
          </cell>
          <cell r="O436">
            <v>11.6</v>
          </cell>
          <cell r="P436">
            <v>40</v>
          </cell>
          <cell r="Q436">
            <v>40</v>
          </cell>
          <cell r="R436">
            <v>0</v>
          </cell>
        </row>
        <row r="437">
          <cell r="A437" t="str">
            <v>2R6FMUZDB07W7M4MZP</v>
          </cell>
          <cell r="B437" t="str">
            <v>Q3-23</v>
          </cell>
          <cell r="C437" t="str">
            <v>Europe Operations OU</v>
          </cell>
          <cell r="D437">
            <v>2674345</v>
          </cell>
          <cell r="E437" t="str">
            <v>Amazon EU SARL, succursale Italiana</v>
          </cell>
          <cell r="F437" t="str">
            <v>2R6FMUZD</v>
          </cell>
          <cell r="G437" t="str">
            <v>B07W7M4MZP</v>
          </cell>
          <cell r="H437" t="str">
            <v>920-010301</v>
          </cell>
          <cell r="I437" t="str">
            <v>OE INVOICES</v>
          </cell>
          <cell r="J437">
            <v>44422157989</v>
          </cell>
          <cell r="K437">
            <v>44907</v>
          </cell>
          <cell r="L437">
            <v>20</v>
          </cell>
          <cell r="M437" t="str">
            <v>EUR</v>
          </cell>
          <cell r="N437">
            <v>12066.08</v>
          </cell>
          <cell r="O437">
            <v>116.02</v>
          </cell>
          <cell r="P437">
            <v>104</v>
          </cell>
          <cell r="Q437">
            <v>104</v>
          </cell>
          <cell r="R437">
            <v>0</v>
          </cell>
        </row>
        <row r="438">
          <cell r="A438" t="str">
            <v>2SN9AZGVB01L6L46LK</v>
          </cell>
          <cell r="B438" t="str">
            <v>Q3-23</v>
          </cell>
          <cell r="C438" t="str">
            <v>Europe Operations OU</v>
          </cell>
          <cell r="D438">
            <v>2674345</v>
          </cell>
          <cell r="E438" t="str">
            <v>Amazon EU SARL, succursale Italiana</v>
          </cell>
          <cell r="F438" t="str">
            <v>2SN9AZGV</v>
          </cell>
          <cell r="G438" t="str">
            <v>B01L6L46LK</v>
          </cell>
          <cell r="H438" t="str">
            <v>920-008087</v>
          </cell>
          <cell r="I438" t="str">
            <v>OE INVOICES</v>
          </cell>
          <cell r="J438">
            <v>44422140940</v>
          </cell>
          <cell r="K438">
            <v>44895</v>
          </cell>
          <cell r="L438">
            <v>1</v>
          </cell>
          <cell r="M438" t="str">
            <v>EUR</v>
          </cell>
          <cell r="N438">
            <v>358.72</v>
          </cell>
          <cell r="O438">
            <v>44.84</v>
          </cell>
          <cell r="P438">
            <v>8</v>
          </cell>
          <cell r="Q438">
            <v>8</v>
          </cell>
          <cell r="R438">
            <v>0</v>
          </cell>
        </row>
        <row r="439">
          <cell r="A439" t="str">
            <v>2TEPPOLQB01MCXJWD1</v>
          </cell>
          <cell r="B439" t="str">
            <v>Q3-23</v>
          </cell>
          <cell r="C439" t="str">
            <v>Europe Operations OU</v>
          </cell>
          <cell r="D439">
            <v>2674345</v>
          </cell>
          <cell r="E439" t="str">
            <v>Amazon EU SARL, succursale Italiana</v>
          </cell>
          <cell r="F439" t="str">
            <v>2TEPPOLQ</v>
          </cell>
          <cell r="G439" t="str">
            <v>B01MCXJWD1</v>
          </cell>
          <cell r="H439" t="str">
            <v>945-000004</v>
          </cell>
          <cell r="I439" t="str">
            <v>OE INVOICES</v>
          </cell>
          <cell r="J439">
            <v>44422177164</v>
          </cell>
          <cell r="K439">
            <v>44922</v>
          </cell>
          <cell r="L439">
            <v>1</v>
          </cell>
          <cell r="M439" t="str">
            <v>EUR</v>
          </cell>
          <cell r="N439">
            <v>25145.94</v>
          </cell>
          <cell r="O439">
            <v>89.17</v>
          </cell>
          <cell r="P439">
            <v>282</v>
          </cell>
          <cell r="Q439">
            <v>282</v>
          </cell>
          <cell r="R439">
            <v>0</v>
          </cell>
        </row>
        <row r="440">
          <cell r="A440" t="str">
            <v>2TMBDXBKB002VA464S</v>
          </cell>
          <cell r="B440" t="str">
            <v>Q3-23</v>
          </cell>
          <cell r="C440" t="str">
            <v>Europe Operations OU</v>
          </cell>
          <cell r="D440">
            <v>2674345</v>
          </cell>
          <cell r="E440" t="str">
            <v>Amazon EU SARL, succursale Italiana</v>
          </cell>
          <cell r="F440" t="str">
            <v>2TMBDXBK</v>
          </cell>
          <cell r="G440" t="str">
            <v>B002VA464S</v>
          </cell>
          <cell r="H440" t="str">
            <v>988-000238</v>
          </cell>
          <cell r="I440" t="str">
            <v>OE INVOICES</v>
          </cell>
          <cell r="J440">
            <v>44422159449</v>
          </cell>
          <cell r="K440">
            <v>44907</v>
          </cell>
          <cell r="L440">
            <v>1</v>
          </cell>
          <cell r="M440" t="str">
            <v>EUR</v>
          </cell>
          <cell r="N440">
            <v>1549.28</v>
          </cell>
          <cell r="O440">
            <v>96.83</v>
          </cell>
          <cell r="P440">
            <v>16</v>
          </cell>
          <cell r="Q440">
            <v>16</v>
          </cell>
          <cell r="R440">
            <v>0</v>
          </cell>
        </row>
        <row r="441">
          <cell r="A441" t="str">
            <v>2TMBDXBKB00544XFHC</v>
          </cell>
          <cell r="B441" t="str">
            <v>Q3-23</v>
          </cell>
          <cell r="C441" t="str">
            <v>Europe Operations OU</v>
          </cell>
          <cell r="D441">
            <v>2674345</v>
          </cell>
          <cell r="E441" t="str">
            <v>Amazon EU SARL, succursale Italiana</v>
          </cell>
          <cell r="F441" t="str">
            <v>2TMBDXBK</v>
          </cell>
          <cell r="G441" t="str">
            <v>B00544XFHC</v>
          </cell>
          <cell r="H441" t="str">
            <v>910-002240</v>
          </cell>
          <cell r="I441" t="str">
            <v>OE INVOICES</v>
          </cell>
          <cell r="J441">
            <v>44422159449</v>
          </cell>
          <cell r="K441">
            <v>44907</v>
          </cell>
          <cell r="L441">
            <v>2</v>
          </cell>
          <cell r="M441" t="str">
            <v>EUR</v>
          </cell>
          <cell r="N441">
            <v>315.89999999999998</v>
          </cell>
          <cell r="O441">
            <v>10.53</v>
          </cell>
          <cell r="P441">
            <v>30</v>
          </cell>
          <cell r="Q441">
            <v>30</v>
          </cell>
          <cell r="R441">
            <v>0</v>
          </cell>
        </row>
        <row r="442">
          <cell r="A442" t="str">
            <v>2TMBDXBKB0099P55SY</v>
          </cell>
          <cell r="B442" t="str">
            <v>Q3-23</v>
          </cell>
          <cell r="C442" t="str">
            <v>Europe Operations OU</v>
          </cell>
          <cell r="D442">
            <v>2674345</v>
          </cell>
          <cell r="E442" t="str">
            <v>Amazon EU SARL, succursale Italiana</v>
          </cell>
          <cell r="F442" t="str">
            <v>2TMBDXBK</v>
          </cell>
          <cell r="G442" t="str">
            <v>B0099P55SY</v>
          </cell>
          <cell r="H442" t="str">
            <v>920-003971</v>
          </cell>
          <cell r="I442" t="str">
            <v>OE INVOICES</v>
          </cell>
          <cell r="J442">
            <v>44422159449</v>
          </cell>
          <cell r="K442">
            <v>44907</v>
          </cell>
          <cell r="L442">
            <v>3</v>
          </cell>
          <cell r="M442" t="str">
            <v>EUR</v>
          </cell>
          <cell r="N442">
            <v>702.6</v>
          </cell>
          <cell r="O442">
            <v>35.130000000000003</v>
          </cell>
          <cell r="P442">
            <v>20</v>
          </cell>
          <cell r="Q442">
            <v>20</v>
          </cell>
          <cell r="R442">
            <v>0</v>
          </cell>
        </row>
        <row r="443">
          <cell r="A443" t="str">
            <v>2TMBDXBKB00CGX8Q46</v>
          </cell>
          <cell r="B443" t="str">
            <v>Q3-23</v>
          </cell>
          <cell r="C443" t="str">
            <v>Europe Operations OU</v>
          </cell>
          <cell r="D443">
            <v>2674345</v>
          </cell>
          <cell r="E443" t="str">
            <v>Amazon EU SARL, succursale Italiana</v>
          </cell>
          <cell r="F443" t="str">
            <v>2TMBDXBK</v>
          </cell>
          <cell r="G443" t="str">
            <v>B00CGX8Q46</v>
          </cell>
          <cell r="H443" t="str">
            <v>981-000517</v>
          </cell>
          <cell r="I443" t="str">
            <v>OE INVOICES</v>
          </cell>
          <cell r="J443">
            <v>44422159449</v>
          </cell>
          <cell r="K443">
            <v>44907</v>
          </cell>
          <cell r="L443">
            <v>4</v>
          </cell>
          <cell r="M443" t="str">
            <v>EUR</v>
          </cell>
          <cell r="N443">
            <v>1512</v>
          </cell>
          <cell r="O443">
            <v>126</v>
          </cell>
          <cell r="P443">
            <v>12</v>
          </cell>
          <cell r="Q443">
            <v>12</v>
          </cell>
          <cell r="R443">
            <v>0</v>
          </cell>
        </row>
        <row r="444">
          <cell r="A444" t="str">
            <v>2TMBDXBKB00CJ5FPTA</v>
          </cell>
          <cell r="B444" t="str">
            <v>Q3-23</v>
          </cell>
          <cell r="C444" t="str">
            <v>Europe Operations OU</v>
          </cell>
          <cell r="D444">
            <v>2674345</v>
          </cell>
          <cell r="E444" t="str">
            <v>Amazon EU SARL, succursale Italiana</v>
          </cell>
          <cell r="F444" t="str">
            <v>2TMBDXBK</v>
          </cell>
          <cell r="G444" t="str">
            <v>B00CJ5FPTA</v>
          </cell>
          <cell r="H444" t="str">
            <v>942-000031</v>
          </cell>
          <cell r="I444" t="str">
            <v>OE INVOICES</v>
          </cell>
          <cell r="J444">
            <v>44422159449</v>
          </cell>
          <cell r="K444">
            <v>44907</v>
          </cell>
          <cell r="L444">
            <v>5</v>
          </cell>
          <cell r="M444" t="str">
            <v>EUR</v>
          </cell>
          <cell r="N444">
            <v>1371.6</v>
          </cell>
          <cell r="O444">
            <v>34.29</v>
          </cell>
          <cell r="P444">
            <v>40</v>
          </cell>
          <cell r="Q444">
            <v>40</v>
          </cell>
          <cell r="R444">
            <v>0</v>
          </cell>
        </row>
        <row r="445">
          <cell r="A445" t="str">
            <v>2TMBDXBKB00L8VNQ88</v>
          </cell>
          <cell r="B445" t="str">
            <v>Q3-23</v>
          </cell>
          <cell r="C445" t="str">
            <v>Europe Operations OU</v>
          </cell>
          <cell r="D445">
            <v>2674345</v>
          </cell>
          <cell r="E445" t="str">
            <v>Amazon EU SARL, succursale Italiana</v>
          </cell>
          <cell r="F445" t="str">
            <v>2TMBDXBK</v>
          </cell>
          <cell r="G445" t="str">
            <v>B00L8VNQ88</v>
          </cell>
          <cell r="H445" t="str">
            <v>910-004067</v>
          </cell>
          <cell r="I445" t="str">
            <v>OE INVOICES</v>
          </cell>
          <cell r="J445">
            <v>44422159449</v>
          </cell>
          <cell r="K445">
            <v>44907</v>
          </cell>
          <cell r="L445">
            <v>6</v>
          </cell>
          <cell r="M445" t="str">
            <v>EUR</v>
          </cell>
          <cell r="N445">
            <v>3164.8</v>
          </cell>
          <cell r="O445">
            <v>39.56</v>
          </cell>
          <cell r="P445">
            <v>80</v>
          </cell>
          <cell r="Q445">
            <v>80</v>
          </cell>
          <cell r="R445">
            <v>0</v>
          </cell>
        </row>
        <row r="446">
          <cell r="A446" t="str">
            <v>2TMBDXBKB00M6MLYZU</v>
          </cell>
          <cell r="B446" t="str">
            <v>Q3-23</v>
          </cell>
          <cell r="C446" t="str">
            <v>Europe Operations OU</v>
          </cell>
          <cell r="D446">
            <v>2674345</v>
          </cell>
          <cell r="E446" t="str">
            <v>Amazon EU SARL, succursale Italiana</v>
          </cell>
          <cell r="F446" t="str">
            <v>2TMBDXBK</v>
          </cell>
          <cell r="G446" t="str">
            <v>B00M6MLYZU</v>
          </cell>
          <cell r="H446" t="str">
            <v>981-000575</v>
          </cell>
          <cell r="I446" t="str">
            <v>OE INVOICES</v>
          </cell>
          <cell r="J446">
            <v>44422159449</v>
          </cell>
          <cell r="K446">
            <v>44907</v>
          </cell>
          <cell r="L446">
            <v>7</v>
          </cell>
          <cell r="M446" t="str">
            <v>EUR</v>
          </cell>
          <cell r="N446">
            <v>3959.28</v>
          </cell>
          <cell r="O446">
            <v>36.659999999999997</v>
          </cell>
          <cell r="P446">
            <v>108</v>
          </cell>
          <cell r="Q446">
            <v>108</v>
          </cell>
          <cell r="R446">
            <v>0</v>
          </cell>
        </row>
        <row r="447">
          <cell r="A447" t="str">
            <v>2TMBDXBKB00VHHWNMI</v>
          </cell>
          <cell r="B447" t="str">
            <v>Q3-23</v>
          </cell>
          <cell r="C447" t="str">
            <v>Europe Operations OU</v>
          </cell>
          <cell r="D447">
            <v>2674345</v>
          </cell>
          <cell r="E447" t="str">
            <v>Amazon EU SARL, succursale Italiana</v>
          </cell>
          <cell r="F447" t="str">
            <v>2TMBDXBK</v>
          </cell>
          <cell r="G447" t="str">
            <v>B00VHHWNMI</v>
          </cell>
          <cell r="H447" t="str">
            <v>920-007127</v>
          </cell>
          <cell r="I447" t="str">
            <v>OE INVOICES</v>
          </cell>
          <cell r="J447">
            <v>44422159449</v>
          </cell>
          <cell r="K447">
            <v>44907</v>
          </cell>
          <cell r="L447">
            <v>8</v>
          </cell>
          <cell r="M447" t="str">
            <v>EUR</v>
          </cell>
          <cell r="N447">
            <v>19648.099999999999</v>
          </cell>
          <cell r="O447">
            <v>32.21</v>
          </cell>
          <cell r="P447">
            <v>610</v>
          </cell>
          <cell r="Q447">
            <v>610</v>
          </cell>
          <cell r="R447">
            <v>0</v>
          </cell>
        </row>
        <row r="448">
          <cell r="A448" t="str">
            <v>2TMBDXBKB0105Y2T5Y</v>
          </cell>
          <cell r="B448" t="str">
            <v>Q3-23</v>
          </cell>
          <cell r="C448" t="str">
            <v>Europe Operations OU</v>
          </cell>
          <cell r="D448">
            <v>2674345</v>
          </cell>
          <cell r="E448" t="str">
            <v>Amazon EU SARL, succursale Italiana</v>
          </cell>
          <cell r="F448" t="str">
            <v>2TMBDXBK</v>
          </cell>
          <cell r="G448" t="str">
            <v>B0105Y2T5Y</v>
          </cell>
          <cell r="H448" t="str">
            <v>980-001055</v>
          </cell>
          <cell r="I448" t="str">
            <v>OE INVOICES</v>
          </cell>
          <cell r="J448">
            <v>44422159449</v>
          </cell>
          <cell r="K448">
            <v>44907</v>
          </cell>
          <cell r="L448">
            <v>9</v>
          </cell>
          <cell r="M448" t="str">
            <v>EUR</v>
          </cell>
          <cell r="N448">
            <v>162.82</v>
          </cell>
          <cell r="O448">
            <v>81.41</v>
          </cell>
          <cell r="P448">
            <v>2</v>
          </cell>
          <cell r="Q448">
            <v>2</v>
          </cell>
          <cell r="R448">
            <v>0</v>
          </cell>
        </row>
        <row r="449">
          <cell r="A449" t="str">
            <v>2TMBDXBKB014S0DVDK</v>
          </cell>
          <cell r="B449" t="str">
            <v>Q3-23</v>
          </cell>
          <cell r="C449" t="str">
            <v>Europe Operations OU</v>
          </cell>
          <cell r="D449">
            <v>2674345</v>
          </cell>
          <cell r="E449" t="str">
            <v>Amazon EU SARL, succursale Italiana</v>
          </cell>
          <cell r="F449" t="str">
            <v>2TMBDXBK</v>
          </cell>
          <cell r="G449" t="str">
            <v>B014S0DVDK</v>
          </cell>
          <cell r="H449" t="str">
            <v>939-001544</v>
          </cell>
          <cell r="I449" t="str">
            <v>OE INVOICES</v>
          </cell>
          <cell r="J449">
            <v>44422159449</v>
          </cell>
          <cell r="K449">
            <v>44907</v>
          </cell>
          <cell r="L449">
            <v>10</v>
          </cell>
          <cell r="M449" t="str">
            <v>EUR</v>
          </cell>
          <cell r="N449">
            <v>359.6</v>
          </cell>
          <cell r="O449">
            <v>44.95</v>
          </cell>
          <cell r="P449">
            <v>8</v>
          </cell>
          <cell r="Q449">
            <v>8</v>
          </cell>
          <cell r="R449">
            <v>0</v>
          </cell>
        </row>
        <row r="450">
          <cell r="A450" t="str">
            <v>2TMBDXBKB01A9GXEOI</v>
          </cell>
          <cell r="B450" t="str">
            <v>Q3-23</v>
          </cell>
          <cell r="C450" t="str">
            <v>Europe Operations OU</v>
          </cell>
          <cell r="D450">
            <v>2674345</v>
          </cell>
          <cell r="E450" t="str">
            <v>Amazon EU SARL, succursale Italiana</v>
          </cell>
          <cell r="F450" t="str">
            <v>2TMBDXBK</v>
          </cell>
          <cell r="G450" t="str">
            <v>B01A9GXEOI</v>
          </cell>
          <cell r="H450" t="str">
            <v>910-004424</v>
          </cell>
          <cell r="I450" t="str">
            <v>OE INVOICES</v>
          </cell>
          <cell r="J450">
            <v>44422159449</v>
          </cell>
          <cell r="K450">
            <v>44907</v>
          </cell>
          <cell r="L450">
            <v>11</v>
          </cell>
          <cell r="M450" t="str">
            <v>EUR</v>
          </cell>
          <cell r="N450">
            <v>655.20000000000005</v>
          </cell>
          <cell r="O450">
            <v>9.36</v>
          </cell>
          <cell r="P450">
            <v>70</v>
          </cell>
          <cell r="Q450">
            <v>70</v>
          </cell>
          <cell r="R450">
            <v>0</v>
          </cell>
        </row>
        <row r="451">
          <cell r="A451" t="str">
            <v>2TMBDXBKB01K7GEG9W</v>
          </cell>
          <cell r="B451" t="str">
            <v>Q3-23</v>
          </cell>
          <cell r="C451" t="str">
            <v>Europe Operations OU</v>
          </cell>
          <cell r="D451">
            <v>2674345</v>
          </cell>
          <cell r="E451" t="str">
            <v>Amazon EU SARL, succursale Italiana</v>
          </cell>
          <cell r="F451" t="str">
            <v>2TMBDXBK</v>
          </cell>
          <cell r="G451" t="str">
            <v>B01K7GEG9W</v>
          </cell>
          <cell r="H451" t="str">
            <v>910-004878</v>
          </cell>
          <cell r="I451" t="str">
            <v>OE INVOICES</v>
          </cell>
          <cell r="J451">
            <v>44422163471</v>
          </cell>
          <cell r="K451">
            <v>44909</v>
          </cell>
          <cell r="L451">
            <v>1</v>
          </cell>
          <cell r="M451" t="str">
            <v>EUR</v>
          </cell>
          <cell r="N451">
            <v>7375.5</v>
          </cell>
          <cell r="O451">
            <v>16.39</v>
          </cell>
          <cell r="P451">
            <v>450</v>
          </cell>
          <cell r="Q451">
            <v>450</v>
          </cell>
          <cell r="R451">
            <v>0</v>
          </cell>
        </row>
        <row r="452">
          <cell r="A452" t="str">
            <v>2TMBDXBKB01KZVQB42</v>
          </cell>
          <cell r="B452" t="str">
            <v>Q3-23</v>
          </cell>
          <cell r="C452" t="str">
            <v>Europe Operations OU</v>
          </cell>
          <cell r="D452">
            <v>2674345</v>
          </cell>
          <cell r="E452" t="str">
            <v>Amazon EU SARL, succursale Italiana</v>
          </cell>
          <cell r="F452" t="str">
            <v>2TMBDXBK</v>
          </cell>
          <cell r="G452" t="str">
            <v>B01KZVQB42</v>
          </cell>
          <cell r="H452" t="str">
            <v>910-004791</v>
          </cell>
          <cell r="I452" t="str">
            <v>OE INVOICES</v>
          </cell>
          <cell r="J452">
            <v>44422163471</v>
          </cell>
          <cell r="K452">
            <v>44909</v>
          </cell>
          <cell r="L452">
            <v>2</v>
          </cell>
          <cell r="M452" t="str">
            <v>EUR</v>
          </cell>
          <cell r="N452">
            <v>4831.2</v>
          </cell>
          <cell r="O452">
            <v>43.92</v>
          </cell>
          <cell r="P452">
            <v>110</v>
          </cell>
          <cell r="Q452">
            <v>110</v>
          </cell>
          <cell r="R452">
            <v>0</v>
          </cell>
        </row>
        <row r="453">
          <cell r="A453" t="str">
            <v>2TMBDXBKB0728J7D3B</v>
          </cell>
          <cell r="B453" t="str">
            <v>Q3-23</v>
          </cell>
          <cell r="C453" t="str">
            <v>Europe Operations OU</v>
          </cell>
          <cell r="D453">
            <v>2674345</v>
          </cell>
          <cell r="E453" t="str">
            <v>Amazon EU SARL, succursale Italiana</v>
          </cell>
          <cell r="F453" t="str">
            <v>2TMBDXBK</v>
          </cell>
          <cell r="G453" t="str">
            <v>B0728J7D3B</v>
          </cell>
          <cell r="H453" t="str">
            <v>981-000668</v>
          </cell>
          <cell r="I453" t="str">
            <v>OE INVOICES</v>
          </cell>
          <cell r="J453">
            <v>44422159449</v>
          </cell>
          <cell r="K453">
            <v>44907</v>
          </cell>
          <cell r="L453">
            <v>12</v>
          </cell>
          <cell r="M453" t="str">
            <v>EUR</v>
          </cell>
          <cell r="N453">
            <v>880.08</v>
          </cell>
          <cell r="O453">
            <v>73.34</v>
          </cell>
          <cell r="P453">
            <v>12</v>
          </cell>
          <cell r="Q453">
            <v>12</v>
          </cell>
          <cell r="R453">
            <v>0</v>
          </cell>
        </row>
        <row r="454">
          <cell r="A454" t="str">
            <v>2TMBDXBKB07DTTGZ7M</v>
          </cell>
          <cell r="B454" t="str">
            <v>Q3-23</v>
          </cell>
          <cell r="C454" t="str">
            <v>Europe Operations OU</v>
          </cell>
          <cell r="D454">
            <v>2674345</v>
          </cell>
          <cell r="E454" t="str">
            <v>Amazon EU SARL, succursale Italiana</v>
          </cell>
          <cell r="F454" t="str">
            <v>2TMBDXBK</v>
          </cell>
          <cell r="G454" t="str">
            <v>B07DTTGZ7M</v>
          </cell>
          <cell r="H454" t="str">
            <v>988-000205</v>
          </cell>
          <cell r="I454" t="str">
            <v>OE INVOICES</v>
          </cell>
          <cell r="J454">
            <v>44422159449</v>
          </cell>
          <cell r="K454">
            <v>44907</v>
          </cell>
          <cell r="L454">
            <v>13</v>
          </cell>
          <cell r="M454" t="str">
            <v>EUR</v>
          </cell>
          <cell r="N454">
            <v>1328</v>
          </cell>
          <cell r="O454">
            <v>83</v>
          </cell>
          <cell r="P454">
            <v>16</v>
          </cell>
          <cell r="Q454">
            <v>16</v>
          </cell>
          <cell r="R454">
            <v>0</v>
          </cell>
        </row>
        <row r="455">
          <cell r="A455" t="str">
            <v>2TMBDXBKB07G6LWTG6</v>
          </cell>
          <cell r="B455" t="str">
            <v>Q3-23</v>
          </cell>
          <cell r="C455" t="str">
            <v>Europe Operations OU</v>
          </cell>
          <cell r="D455">
            <v>2674345</v>
          </cell>
          <cell r="E455" t="str">
            <v>Amazon EU SARL, succursale Italiana</v>
          </cell>
          <cell r="F455" t="str">
            <v>2TMBDXBK</v>
          </cell>
          <cell r="G455" t="str">
            <v>B07G6LWTG6</v>
          </cell>
          <cell r="H455" t="str">
            <v>984-001404</v>
          </cell>
          <cell r="I455" t="str">
            <v>OE INVOICES</v>
          </cell>
          <cell r="J455">
            <v>44422159449</v>
          </cell>
          <cell r="K455">
            <v>44907</v>
          </cell>
          <cell r="L455">
            <v>14</v>
          </cell>
          <cell r="M455" t="str">
            <v>EUR</v>
          </cell>
          <cell r="N455">
            <v>425.96</v>
          </cell>
          <cell r="O455">
            <v>106.49</v>
          </cell>
          <cell r="P455">
            <v>4</v>
          </cell>
          <cell r="Q455">
            <v>4</v>
          </cell>
          <cell r="R455">
            <v>0</v>
          </cell>
        </row>
        <row r="456">
          <cell r="A456" t="str">
            <v>2TMBDXBKB07G6MYMKD</v>
          </cell>
          <cell r="B456" t="str">
            <v>Q3-23</v>
          </cell>
          <cell r="C456" t="str">
            <v>Europe Operations OU</v>
          </cell>
          <cell r="D456">
            <v>2674345</v>
          </cell>
          <cell r="E456" t="str">
            <v>Amazon EU SARL, succursale Italiana</v>
          </cell>
          <cell r="F456" t="str">
            <v>2TMBDXBK</v>
          </cell>
          <cell r="G456" t="str">
            <v>B07G6MYMKD</v>
          </cell>
          <cell r="H456" t="str">
            <v>984-001402</v>
          </cell>
          <cell r="I456" t="str">
            <v>OE INVOICES</v>
          </cell>
          <cell r="J456">
            <v>44422159449</v>
          </cell>
          <cell r="K456">
            <v>44907</v>
          </cell>
          <cell r="L456">
            <v>15</v>
          </cell>
          <cell r="M456" t="str">
            <v>EUR</v>
          </cell>
          <cell r="N456">
            <v>4046.62</v>
          </cell>
          <cell r="O456">
            <v>106.49</v>
          </cell>
          <cell r="P456">
            <v>38</v>
          </cell>
          <cell r="Q456">
            <v>38</v>
          </cell>
          <cell r="R456">
            <v>0</v>
          </cell>
        </row>
        <row r="457">
          <cell r="A457" t="str">
            <v>2TMBDXBKB07MTY7N22</v>
          </cell>
          <cell r="B457" t="str">
            <v>Q3-23</v>
          </cell>
          <cell r="C457" t="str">
            <v>Europe Operations OU</v>
          </cell>
          <cell r="D457">
            <v>2674345</v>
          </cell>
          <cell r="E457" t="str">
            <v>Amazon EU SARL, succursale Italiana</v>
          </cell>
          <cell r="F457" t="str">
            <v>2TMBDXBK</v>
          </cell>
          <cell r="G457" t="str">
            <v>B07MTY7N22</v>
          </cell>
          <cell r="H457" t="str">
            <v>981-000744</v>
          </cell>
          <cell r="I457" t="str">
            <v>OE INVOICES</v>
          </cell>
          <cell r="J457">
            <v>44422159449</v>
          </cell>
          <cell r="K457">
            <v>44907</v>
          </cell>
          <cell r="L457">
            <v>16</v>
          </cell>
          <cell r="M457" t="str">
            <v>EUR</v>
          </cell>
          <cell r="N457">
            <v>4200</v>
          </cell>
          <cell r="O457">
            <v>105</v>
          </cell>
          <cell r="P457">
            <v>40</v>
          </cell>
          <cell r="Q457">
            <v>40</v>
          </cell>
          <cell r="R457">
            <v>0</v>
          </cell>
        </row>
        <row r="458">
          <cell r="A458" t="str">
            <v>2TMBDXBKB07PPNT9B2</v>
          </cell>
          <cell r="B458" t="str">
            <v>Q3-23</v>
          </cell>
          <cell r="C458" t="str">
            <v>Europe Operations OU</v>
          </cell>
          <cell r="D458">
            <v>2674345</v>
          </cell>
          <cell r="E458" t="str">
            <v>Amazon EU SARL, succursale Italiana</v>
          </cell>
          <cell r="F458" t="str">
            <v>2TMBDXBK</v>
          </cell>
          <cell r="G458" t="str">
            <v>B07PPNT9B2</v>
          </cell>
          <cell r="H458" t="str">
            <v>939-001731</v>
          </cell>
          <cell r="I458" t="str">
            <v>OE INVOICES</v>
          </cell>
          <cell r="J458">
            <v>44422159449</v>
          </cell>
          <cell r="K458">
            <v>44907</v>
          </cell>
          <cell r="L458">
            <v>17</v>
          </cell>
          <cell r="M458" t="str">
            <v>EUR</v>
          </cell>
          <cell r="N458">
            <v>2473.44</v>
          </cell>
          <cell r="O458">
            <v>103.06</v>
          </cell>
          <cell r="P458">
            <v>24</v>
          </cell>
          <cell r="Q458">
            <v>24</v>
          </cell>
          <cell r="R458">
            <v>0</v>
          </cell>
        </row>
        <row r="459">
          <cell r="A459" t="str">
            <v>2TMBDXBKB07TTB3SR2</v>
          </cell>
          <cell r="B459" t="str">
            <v>Q3-23</v>
          </cell>
          <cell r="C459" t="str">
            <v>Europe Operations OU</v>
          </cell>
          <cell r="D459">
            <v>2674345</v>
          </cell>
          <cell r="E459" t="str">
            <v>Amazon EU SARL, succursale Italiana</v>
          </cell>
          <cell r="F459" t="str">
            <v>2TMBDXBK</v>
          </cell>
          <cell r="G459" t="str">
            <v>B07TTB3SR2</v>
          </cell>
          <cell r="H459" t="str">
            <v>939-001676</v>
          </cell>
          <cell r="I459" t="str">
            <v>OE INVOICES</v>
          </cell>
          <cell r="J459">
            <v>44422159449</v>
          </cell>
          <cell r="K459">
            <v>44907</v>
          </cell>
          <cell r="L459">
            <v>18</v>
          </cell>
          <cell r="M459" t="str">
            <v>EUR</v>
          </cell>
          <cell r="N459">
            <v>4689.6000000000004</v>
          </cell>
          <cell r="O459">
            <v>234.48</v>
          </cell>
          <cell r="P459">
            <v>20</v>
          </cell>
          <cell r="Q459">
            <v>20</v>
          </cell>
          <cell r="R459">
            <v>0</v>
          </cell>
        </row>
        <row r="460">
          <cell r="A460" t="str">
            <v>2TMBDXBKB07VL9YHC9</v>
          </cell>
          <cell r="B460" t="str">
            <v>Q3-23</v>
          </cell>
          <cell r="C460" t="str">
            <v>Europe Operations OU</v>
          </cell>
          <cell r="D460">
            <v>2674345</v>
          </cell>
          <cell r="E460" t="str">
            <v>Amazon EU SARL, succursale Italiana</v>
          </cell>
          <cell r="F460" t="str">
            <v>2TMBDXBK</v>
          </cell>
          <cell r="G460" t="str">
            <v>B07VL9YHC9</v>
          </cell>
          <cell r="H460" t="str">
            <v>920-009189</v>
          </cell>
          <cell r="I460" t="str">
            <v>OE INVOICES</v>
          </cell>
          <cell r="J460">
            <v>44422159449</v>
          </cell>
          <cell r="K460">
            <v>44907</v>
          </cell>
          <cell r="L460">
            <v>19</v>
          </cell>
          <cell r="M460" t="str">
            <v>EUR</v>
          </cell>
          <cell r="N460">
            <v>4075.08</v>
          </cell>
          <cell r="O460">
            <v>35.130000000000003</v>
          </cell>
          <cell r="P460">
            <v>116</v>
          </cell>
          <cell r="Q460">
            <v>116</v>
          </cell>
          <cell r="R460">
            <v>0</v>
          </cell>
        </row>
        <row r="461">
          <cell r="A461" t="str">
            <v>2TMBDXBKB07W4DGC27</v>
          </cell>
          <cell r="B461" t="str">
            <v>Q3-23</v>
          </cell>
          <cell r="C461" t="str">
            <v>Europe Operations OU</v>
          </cell>
          <cell r="D461">
            <v>2674345</v>
          </cell>
          <cell r="E461" t="str">
            <v>Amazon EU SARL, succursale Italiana</v>
          </cell>
          <cell r="F461" t="str">
            <v>2TMBDXBK</v>
          </cell>
          <cell r="G461" t="str">
            <v>B07W4DGC27</v>
          </cell>
          <cell r="H461" t="str">
            <v>910-006473</v>
          </cell>
          <cell r="I461" t="str">
            <v>OE INVOICES</v>
          </cell>
          <cell r="J461">
            <v>44422163471</v>
          </cell>
          <cell r="K461">
            <v>44909</v>
          </cell>
          <cell r="L461">
            <v>3</v>
          </cell>
          <cell r="M461" t="str">
            <v>EUR</v>
          </cell>
          <cell r="N461">
            <v>9280</v>
          </cell>
          <cell r="O461">
            <v>46.4</v>
          </cell>
          <cell r="P461">
            <v>200</v>
          </cell>
          <cell r="Q461">
            <v>200</v>
          </cell>
          <cell r="R461">
            <v>0</v>
          </cell>
        </row>
        <row r="462">
          <cell r="A462" t="str">
            <v>2TMBDXBKB07W4DGQC1</v>
          </cell>
          <cell r="B462" t="str">
            <v>Q3-23</v>
          </cell>
          <cell r="C462" t="str">
            <v>Europe Operations OU</v>
          </cell>
          <cell r="D462">
            <v>2674345</v>
          </cell>
          <cell r="E462" t="str">
            <v>Amazon EU SARL, succursale Italiana</v>
          </cell>
          <cell r="F462" t="str">
            <v>2TMBDXBK</v>
          </cell>
          <cell r="G462" t="str">
            <v>B07W4DGQC1</v>
          </cell>
          <cell r="H462" t="str">
            <v>961-000501</v>
          </cell>
          <cell r="I462" t="str">
            <v>OE INVOICES</v>
          </cell>
          <cell r="J462">
            <v>44422159449</v>
          </cell>
          <cell r="K462">
            <v>44907</v>
          </cell>
          <cell r="L462">
            <v>20</v>
          </cell>
          <cell r="M462" t="str">
            <v>EUR</v>
          </cell>
          <cell r="N462">
            <v>3056.36</v>
          </cell>
          <cell r="O462">
            <v>764.09</v>
          </cell>
          <cell r="P462">
            <v>4</v>
          </cell>
          <cell r="Q462">
            <v>4</v>
          </cell>
          <cell r="R462">
            <v>0</v>
          </cell>
        </row>
        <row r="463">
          <cell r="A463" t="str">
            <v>2TMBDXBKB07W4DH9CY</v>
          </cell>
          <cell r="B463" t="str">
            <v>Q3-23</v>
          </cell>
          <cell r="C463" t="str">
            <v>Europe Operations OU</v>
          </cell>
          <cell r="D463">
            <v>2674345</v>
          </cell>
          <cell r="E463" t="str">
            <v>Amazon EU SARL, succursale Italiana</v>
          </cell>
          <cell r="F463" t="str">
            <v>2TMBDXBK</v>
          </cell>
          <cell r="G463" t="str">
            <v>B07W4DH9CY</v>
          </cell>
          <cell r="H463" t="str">
            <v>981-000890</v>
          </cell>
          <cell r="I463" t="str">
            <v>OE INVOICES</v>
          </cell>
          <cell r="J463">
            <v>44422159449</v>
          </cell>
          <cell r="K463">
            <v>44907</v>
          </cell>
          <cell r="L463">
            <v>21</v>
          </cell>
          <cell r="M463" t="str">
            <v>EUR</v>
          </cell>
          <cell r="N463">
            <v>25838.12</v>
          </cell>
          <cell r="O463">
            <v>83.89</v>
          </cell>
          <cell r="P463">
            <v>308</v>
          </cell>
          <cell r="Q463">
            <v>308</v>
          </cell>
          <cell r="R463">
            <v>0</v>
          </cell>
        </row>
        <row r="464">
          <cell r="A464" t="str">
            <v>2TMBDXBKB07W4DHZLS</v>
          </cell>
          <cell r="B464" t="str">
            <v>Q3-23</v>
          </cell>
          <cell r="C464" t="str">
            <v>Europe Operations OU</v>
          </cell>
          <cell r="D464">
            <v>2674345</v>
          </cell>
          <cell r="E464" t="str">
            <v>Amazon EU SARL, succursale Italiana</v>
          </cell>
          <cell r="F464" t="str">
            <v>2TMBDXBK</v>
          </cell>
          <cell r="G464" t="str">
            <v>B07W4DHZLS</v>
          </cell>
          <cell r="H464" t="str">
            <v>920-010041</v>
          </cell>
          <cell r="I464" t="str">
            <v>OE INVOICES</v>
          </cell>
          <cell r="J464">
            <v>44422159449</v>
          </cell>
          <cell r="K464">
            <v>44907</v>
          </cell>
          <cell r="L464">
            <v>22</v>
          </cell>
          <cell r="M464" t="str">
            <v>EUR</v>
          </cell>
          <cell r="N464">
            <v>324.8</v>
          </cell>
          <cell r="O464">
            <v>40.6</v>
          </cell>
          <cell r="P464">
            <v>8</v>
          </cell>
          <cell r="Q464">
            <v>8</v>
          </cell>
          <cell r="R464">
            <v>0</v>
          </cell>
        </row>
        <row r="465">
          <cell r="A465" t="str">
            <v>2TMBDXBKB07W5JHV5C</v>
          </cell>
          <cell r="B465" t="str">
            <v>Q3-23</v>
          </cell>
          <cell r="C465" t="str">
            <v>Europe Operations OU</v>
          </cell>
          <cell r="D465">
            <v>2674345</v>
          </cell>
          <cell r="E465" t="str">
            <v>Amazon EU SARL, succursale Italiana</v>
          </cell>
          <cell r="F465" t="str">
            <v>2TMBDXBK</v>
          </cell>
          <cell r="G465" t="str">
            <v>B07W5JHV5C</v>
          </cell>
          <cell r="H465" t="str">
            <v>920-011154</v>
          </cell>
          <cell r="I465" t="str">
            <v>OE INVOICES</v>
          </cell>
          <cell r="J465">
            <v>44422159449</v>
          </cell>
          <cell r="K465">
            <v>44907</v>
          </cell>
          <cell r="L465">
            <v>23</v>
          </cell>
          <cell r="M465" t="str">
            <v>EUR</v>
          </cell>
          <cell r="N465">
            <v>515.36</v>
          </cell>
          <cell r="O465">
            <v>32.21</v>
          </cell>
          <cell r="P465">
            <v>16</v>
          </cell>
          <cell r="Q465">
            <v>16</v>
          </cell>
          <cell r="R465">
            <v>0</v>
          </cell>
        </row>
        <row r="466">
          <cell r="A466" t="str">
            <v>2TMBDXBKB07W5JJSBK</v>
          </cell>
          <cell r="B466" t="str">
            <v>Q3-23</v>
          </cell>
          <cell r="C466" t="str">
            <v>Europe Operations OU</v>
          </cell>
          <cell r="D466">
            <v>2674345</v>
          </cell>
          <cell r="E466" t="str">
            <v>Amazon EU SARL, succursale Italiana</v>
          </cell>
          <cell r="F466" t="str">
            <v>2TMBDXBK</v>
          </cell>
          <cell r="G466" t="str">
            <v>B07W5JJSBK</v>
          </cell>
          <cell r="H466" t="str">
            <v>910-005956</v>
          </cell>
          <cell r="I466" t="str">
            <v>OE INVOICES</v>
          </cell>
          <cell r="J466">
            <v>44422159449</v>
          </cell>
          <cell r="K466">
            <v>44907</v>
          </cell>
          <cell r="L466">
            <v>24</v>
          </cell>
          <cell r="M466" t="str">
            <v>EUR</v>
          </cell>
          <cell r="N466">
            <v>335.56</v>
          </cell>
          <cell r="O466">
            <v>83.89</v>
          </cell>
          <cell r="P466">
            <v>4</v>
          </cell>
          <cell r="Q466">
            <v>4</v>
          </cell>
          <cell r="R466">
            <v>0</v>
          </cell>
        </row>
        <row r="467">
          <cell r="A467" t="str">
            <v>2TMBDXBKB07W5JK1JN</v>
          </cell>
          <cell r="B467" t="str">
            <v>Q3-23</v>
          </cell>
          <cell r="C467" t="str">
            <v>Europe Operations OU</v>
          </cell>
          <cell r="D467">
            <v>2674345</v>
          </cell>
          <cell r="E467" t="str">
            <v>Amazon EU SARL, succursale Italiana</v>
          </cell>
          <cell r="F467" t="str">
            <v>2TMBDXBK</v>
          </cell>
          <cell r="G467" t="str">
            <v>B07W5JK1JN</v>
          </cell>
          <cell r="H467" t="str">
            <v>920-009415</v>
          </cell>
          <cell r="I467" t="str">
            <v>OE INVOICES</v>
          </cell>
          <cell r="J467">
            <v>44422159449</v>
          </cell>
          <cell r="K467">
            <v>44907</v>
          </cell>
          <cell r="L467">
            <v>25</v>
          </cell>
          <cell r="M467" t="str">
            <v>EUR</v>
          </cell>
          <cell r="N467">
            <v>2111.48</v>
          </cell>
          <cell r="O467">
            <v>75.41</v>
          </cell>
          <cell r="P467">
            <v>28</v>
          </cell>
          <cell r="Q467">
            <v>28</v>
          </cell>
          <cell r="R467">
            <v>0</v>
          </cell>
        </row>
        <row r="468">
          <cell r="A468" t="str">
            <v>2TMBDXBKB07W5JK221</v>
          </cell>
          <cell r="B468" t="str">
            <v>Q3-23</v>
          </cell>
          <cell r="C468" t="str">
            <v>Europe Operations OU</v>
          </cell>
          <cell r="D468">
            <v>2674345</v>
          </cell>
          <cell r="E468" t="str">
            <v>Amazon EU SARL, succursale Italiana</v>
          </cell>
          <cell r="F468" t="str">
            <v>2TMBDXBK</v>
          </cell>
          <cell r="G468" t="str">
            <v>B07W5JK221</v>
          </cell>
          <cell r="H468" t="str">
            <v>920-009389</v>
          </cell>
          <cell r="I468" t="str">
            <v>OE INVOICES</v>
          </cell>
          <cell r="J468">
            <v>44422159449</v>
          </cell>
          <cell r="K468">
            <v>44907</v>
          </cell>
          <cell r="L468">
            <v>26</v>
          </cell>
          <cell r="M468" t="str">
            <v>EUR</v>
          </cell>
          <cell r="N468">
            <v>1466.8</v>
          </cell>
          <cell r="O468">
            <v>73.34</v>
          </cell>
          <cell r="P468">
            <v>20</v>
          </cell>
          <cell r="Q468">
            <v>20</v>
          </cell>
          <cell r="R468">
            <v>0</v>
          </cell>
        </row>
        <row r="469">
          <cell r="A469" t="str">
            <v>2TMBDXBKB07W5JK2S4</v>
          </cell>
          <cell r="B469" t="str">
            <v>Q3-23</v>
          </cell>
          <cell r="C469" t="str">
            <v>Europe Operations OU</v>
          </cell>
          <cell r="D469">
            <v>2674345</v>
          </cell>
          <cell r="E469" t="str">
            <v>Amazon EU SARL, succursale Italiana</v>
          </cell>
          <cell r="F469" t="str">
            <v>2TMBDXBK</v>
          </cell>
          <cell r="G469" t="str">
            <v>B07W5JK2S4</v>
          </cell>
          <cell r="H469" t="str">
            <v>920-010812</v>
          </cell>
          <cell r="I469" t="str">
            <v>OE INVOICES</v>
          </cell>
          <cell r="J469">
            <v>44422159449</v>
          </cell>
          <cell r="K469">
            <v>44907</v>
          </cell>
          <cell r="L469">
            <v>27</v>
          </cell>
          <cell r="M469" t="str">
            <v>EUR</v>
          </cell>
          <cell r="N469">
            <v>1932.84</v>
          </cell>
          <cell r="O469">
            <v>69.03</v>
          </cell>
          <cell r="P469">
            <v>28</v>
          </cell>
          <cell r="Q469">
            <v>28</v>
          </cell>
          <cell r="R469">
            <v>0</v>
          </cell>
        </row>
        <row r="470">
          <cell r="A470" t="str">
            <v>2TMBDXBKB07W5JK3M6</v>
          </cell>
          <cell r="B470" t="str">
            <v>Q3-23</v>
          </cell>
          <cell r="C470" t="str">
            <v>Europe Operations OU</v>
          </cell>
          <cell r="D470">
            <v>2674345</v>
          </cell>
          <cell r="E470" t="str">
            <v>Amazon EU SARL, succursale Italiana</v>
          </cell>
          <cell r="F470" t="str">
            <v>2TMBDXBK</v>
          </cell>
          <cell r="G470" t="str">
            <v>B07W5JK3M6</v>
          </cell>
          <cell r="H470" t="str">
            <v>988-000401</v>
          </cell>
          <cell r="I470" t="str">
            <v>OE INVOICES</v>
          </cell>
          <cell r="J470">
            <v>44422159449</v>
          </cell>
          <cell r="K470">
            <v>44907</v>
          </cell>
          <cell r="L470">
            <v>28</v>
          </cell>
          <cell r="M470" t="str">
            <v>EUR</v>
          </cell>
          <cell r="N470">
            <v>1328</v>
          </cell>
          <cell r="O470">
            <v>83</v>
          </cell>
          <cell r="P470">
            <v>16</v>
          </cell>
          <cell r="Q470">
            <v>16</v>
          </cell>
          <cell r="R470">
            <v>0</v>
          </cell>
        </row>
        <row r="471">
          <cell r="A471" t="str">
            <v>2TMBDXBKB07W5JKPFG</v>
          </cell>
          <cell r="B471" t="str">
            <v>Q3-23</v>
          </cell>
          <cell r="C471" t="str">
            <v>Europe Operations OU</v>
          </cell>
          <cell r="D471">
            <v>2674345</v>
          </cell>
          <cell r="E471" t="str">
            <v>Amazon EU SARL, succursale Italiana</v>
          </cell>
          <cell r="F471" t="str">
            <v>2TMBDXBK</v>
          </cell>
          <cell r="G471" t="str">
            <v>B07W5JKPFG</v>
          </cell>
          <cell r="H471" t="str">
            <v>920-011160</v>
          </cell>
          <cell r="I471" t="str">
            <v>OE INVOICES</v>
          </cell>
          <cell r="J471">
            <v>44422159449</v>
          </cell>
          <cell r="K471">
            <v>44907</v>
          </cell>
          <cell r="L471">
            <v>29</v>
          </cell>
          <cell r="M471" t="str">
            <v>EUR</v>
          </cell>
          <cell r="N471">
            <v>257.68</v>
          </cell>
          <cell r="O471">
            <v>32.21</v>
          </cell>
          <cell r="P471">
            <v>8</v>
          </cell>
          <cell r="Q471">
            <v>8</v>
          </cell>
          <cell r="R471">
            <v>0</v>
          </cell>
        </row>
        <row r="472">
          <cell r="A472" t="str">
            <v>2TMBDXBKB07W6GW9BJ</v>
          </cell>
          <cell r="B472" t="str">
            <v>Q3-23</v>
          </cell>
          <cell r="C472" t="str">
            <v>Europe Operations OU</v>
          </cell>
          <cell r="D472">
            <v>2674345</v>
          </cell>
          <cell r="E472" t="str">
            <v>Amazon EU SARL, succursale Italiana</v>
          </cell>
          <cell r="F472" t="str">
            <v>2TMBDXBK</v>
          </cell>
          <cell r="G472" t="str">
            <v>B07W6GW9BJ</v>
          </cell>
          <cell r="H472" t="str">
            <v>910-006022</v>
          </cell>
          <cell r="I472" t="str">
            <v>OE INVOICES</v>
          </cell>
          <cell r="J472">
            <v>44422159449</v>
          </cell>
          <cell r="K472">
            <v>44907</v>
          </cell>
          <cell r="L472">
            <v>30</v>
          </cell>
          <cell r="M472" t="str">
            <v>EUR</v>
          </cell>
          <cell r="N472">
            <v>590.88</v>
          </cell>
          <cell r="O472">
            <v>36.93</v>
          </cell>
          <cell r="P472">
            <v>16</v>
          </cell>
          <cell r="Q472">
            <v>16</v>
          </cell>
          <cell r="R472">
            <v>0</v>
          </cell>
        </row>
        <row r="473">
          <cell r="A473" t="str">
            <v>2TMBDXBKB07W6H4R4D</v>
          </cell>
          <cell r="B473" t="str">
            <v>Q3-23</v>
          </cell>
          <cell r="C473" t="str">
            <v>Europe Operations OU</v>
          </cell>
          <cell r="D473">
            <v>2674345</v>
          </cell>
          <cell r="E473" t="str">
            <v>Amazon EU SARL, succursale Italiana</v>
          </cell>
          <cell r="F473" t="str">
            <v>2TMBDXBK</v>
          </cell>
          <cell r="G473" t="str">
            <v>B07W6H4R4D</v>
          </cell>
          <cell r="H473" t="str">
            <v>920-009962</v>
          </cell>
          <cell r="I473" t="str">
            <v>OE INVOICES</v>
          </cell>
          <cell r="J473">
            <v>44422159449</v>
          </cell>
          <cell r="K473">
            <v>44907</v>
          </cell>
          <cell r="L473">
            <v>31</v>
          </cell>
          <cell r="M473" t="str">
            <v>EUR</v>
          </cell>
          <cell r="N473">
            <v>18448</v>
          </cell>
          <cell r="O473">
            <v>92.24</v>
          </cell>
          <cell r="P473">
            <v>200</v>
          </cell>
          <cell r="Q473">
            <v>200</v>
          </cell>
          <cell r="R473">
            <v>0</v>
          </cell>
        </row>
        <row r="474">
          <cell r="A474" t="str">
            <v>2TMBDXBKB07W6HXZ5J</v>
          </cell>
          <cell r="B474" t="str">
            <v>Q3-23</v>
          </cell>
          <cell r="C474" t="str">
            <v>Europe Operations OU</v>
          </cell>
          <cell r="D474">
            <v>2674345</v>
          </cell>
          <cell r="E474" t="str">
            <v>Amazon EU SARL, succursale Italiana</v>
          </cell>
          <cell r="F474" t="str">
            <v>2TMBDXBK</v>
          </cell>
          <cell r="G474" t="str">
            <v>B07W6HXZ5J</v>
          </cell>
          <cell r="H474" t="str">
            <v>920-009413</v>
          </cell>
          <cell r="I474" t="str">
            <v>OE INVOICES</v>
          </cell>
          <cell r="J474">
            <v>44422159449</v>
          </cell>
          <cell r="K474">
            <v>44907</v>
          </cell>
          <cell r="L474">
            <v>32</v>
          </cell>
          <cell r="M474" t="str">
            <v>EUR</v>
          </cell>
          <cell r="N474">
            <v>904.92</v>
          </cell>
          <cell r="O474">
            <v>75.41</v>
          </cell>
          <cell r="P474">
            <v>12</v>
          </cell>
          <cell r="Q474">
            <v>12</v>
          </cell>
          <cell r="R474">
            <v>0</v>
          </cell>
        </row>
        <row r="475">
          <cell r="A475" t="str">
            <v>2TMBDXBKB07W6J24VW</v>
          </cell>
          <cell r="B475" t="str">
            <v>Q3-23</v>
          </cell>
          <cell r="C475" t="str">
            <v>Europe Operations OU</v>
          </cell>
          <cell r="D475">
            <v>2674345</v>
          </cell>
          <cell r="E475" t="str">
            <v>Amazon EU SARL, succursale Italiana</v>
          </cell>
          <cell r="F475" t="str">
            <v>2TMBDXBK</v>
          </cell>
          <cell r="G475" t="str">
            <v>B07W6J24VW</v>
          </cell>
          <cell r="H475" t="str">
            <v>920-010416</v>
          </cell>
          <cell r="I475" t="str">
            <v>OE INVOICES</v>
          </cell>
          <cell r="J475">
            <v>44422159449</v>
          </cell>
          <cell r="K475">
            <v>44907</v>
          </cell>
          <cell r="L475">
            <v>33</v>
          </cell>
          <cell r="M475" t="str">
            <v>EUR</v>
          </cell>
          <cell r="N475">
            <v>755.52</v>
          </cell>
          <cell r="O475">
            <v>94.44</v>
          </cell>
          <cell r="P475">
            <v>8</v>
          </cell>
          <cell r="Q475">
            <v>8</v>
          </cell>
          <cell r="R475">
            <v>0</v>
          </cell>
        </row>
        <row r="476">
          <cell r="A476" t="str">
            <v>2TMBDXBKB07W6J51XR</v>
          </cell>
          <cell r="B476" t="str">
            <v>Q3-23</v>
          </cell>
          <cell r="C476" t="str">
            <v>Europe Operations OU</v>
          </cell>
          <cell r="D476">
            <v>2674345</v>
          </cell>
          <cell r="E476" t="str">
            <v>Amazon EU SARL, succursale Italiana</v>
          </cell>
          <cell r="F476" t="str">
            <v>2TMBDXBK</v>
          </cell>
          <cell r="G476" t="str">
            <v>B07W6J51XR</v>
          </cell>
          <cell r="H476" t="str">
            <v>910-005942</v>
          </cell>
          <cell r="I476" t="str">
            <v>OE INVOICES</v>
          </cell>
          <cell r="J476">
            <v>44422159449</v>
          </cell>
          <cell r="K476">
            <v>44907</v>
          </cell>
          <cell r="L476">
            <v>34</v>
          </cell>
          <cell r="M476" t="str">
            <v>EUR</v>
          </cell>
          <cell r="N476">
            <v>3020.04</v>
          </cell>
          <cell r="O476">
            <v>83.89</v>
          </cell>
          <cell r="P476">
            <v>36</v>
          </cell>
          <cell r="Q476">
            <v>36</v>
          </cell>
          <cell r="R476">
            <v>0</v>
          </cell>
        </row>
        <row r="477">
          <cell r="A477" t="str">
            <v>2TMBDXBKB07W6JKH1B</v>
          </cell>
          <cell r="B477" t="str">
            <v>Q3-23</v>
          </cell>
          <cell r="C477" t="str">
            <v>Europe Operations OU</v>
          </cell>
          <cell r="D477">
            <v>2674345</v>
          </cell>
          <cell r="E477" t="str">
            <v>Amazon EU SARL, succursale Italiana</v>
          </cell>
          <cell r="F477" t="str">
            <v>2TMBDXBK</v>
          </cell>
          <cell r="G477" t="str">
            <v>B07W6JKH1B</v>
          </cell>
          <cell r="H477" t="str">
            <v>920-011176</v>
          </cell>
          <cell r="I477" t="str">
            <v>OE INVOICES</v>
          </cell>
          <cell r="J477">
            <v>44422159449</v>
          </cell>
          <cell r="K477">
            <v>44907</v>
          </cell>
          <cell r="L477">
            <v>35</v>
          </cell>
          <cell r="M477" t="str">
            <v>EUR</v>
          </cell>
          <cell r="N477">
            <v>773.04</v>
          </cell>
          <cell r="O477">
            <v>32.21</v>
          </cell>
          <cell r="P477">
            <v>24</v>
          </cell>
          <cell r="Q477">
            <v>24</v>
          </cell>
          <cell r="R477">
            <v>0</v>
          </cell>
        </row>
        <row r="478">
          <cell r="A478" t="str">
            <v>2TMBDXBKB07W6JLFZ2</v>
          </cell>
          <cell r="B478" t="str">
            <v>Q3-23</v>
          </cell>
          <cell r="C478" t="str">
            <v>Europe Operations OU</v>
          </cell>
          <cell r="D478">
            <v>2674345</v>
          </cell>
          <cell r="E478" t="str">
            <v>Amazon EU SARL, succursale Italiana</v>
          </cell>
          <cell r="F478" t="str">
            <v>2TMBDXBK</v>
          </cell>
          <cell r="G478" t="str">
            <v>B07W6JLFZ2</v>
          </cell>
          <cell r="H478" t="str">
            <v>910-006105</v>
          </cell>
          <cell r="I478" t="str">
            <v>OE INVOICES</v>
          </cell>
          <cell r="J478">
            <v>44422159449</v>
          </cell>
          <cell r="K478">
            <v>44907</v>
          </cell>
          <cell r="L478">
            <v>36</v>
          </cell>
          <cell r="M478" t="str">
            <v>EUR</v>
          </cell>
          <cell r="N478">
            <v>293.36</v>
          </cell>
          <cell r="O478">
            <v>73.34</v>
          </cell>
          <cell r="P478">
            <v>4</v>
          </cell>
          <cell r="Q478">
            <v>4</v>
          </cell>
          <cell r="R478">
            <v>0</v>
          </cell>
        </row>
        <row r="479">
          <cell r="A479" t="str">
            <v>2TMBDXBKB07W6JNF81</v>
          </cell>
          <cell r="B479" t="str">
            <v>Q3-23</v>
          </cell>
          <cell r="C479" t="str">
            <v>Europe Operations OU</v>
          </cell>
          <cell r="D479">
            <v>2674345</v>
          </cell>
          <cell r="E479" t="str">
            <v>Amazon EU SARL, succursale Italiana</v>
          </cell>
          <cell r="F479" t="str">
            <v>2TMBDXBK</v>
          </cell>
          <cell r="G479" t="str">
            <v>B07W6JNF81</v>
          </cell>
          <cell r="H479" t="str">
            <v>920-010212</v>
          </cell>
          <cell r="I479" t="str">
            <v>OE INVOICES</v>
          </cell>
          <cell r="J479">
            <v>44422159449</v>
          </cell>
          <cell r="K479">
            <v>44907</v>
          </cell>
          <cell r="L479">
            <v>37</v>
          </cell>
          <cell r="M479" t="str">
            <v>EUR</v>
          </cell>
          <cell r="N479">
            <v>1067.3599999999999</v>
          </cell>
          <cell r="O479">
            <v>133.41999999999999</v>
          </cell>
          <cell r="P479">
            <v>8</v>
          </cell>
          <cell r="Q479">
            <v>8</v>
          </cell>
          <cell r="R479">
            <v>0</v>
          </cell>
        </row>
        <row r="480">
          <cell r="A480" t="str">
            <v>2TMBDXBKB07W7JYN4P</v>
          </cell>
          <cell r="B480" t="str">
            <v>Q3-23</v>
          </cell>
          <cell r="C480" t="str">
            <v>Europe Operations OU</v>
          </cell>
          <cell r="D480">
            <v>2674345</v>
          </cell>
          <cell r="E480" t="str">
            <v>Amazon EU SARL, succursale Italiana</v>
          </cell>
          <cell r="F480" t="str">
            <v>2TMBDXBK</v>
          </cell>
          <cell r="G480" t="str">
            <v>B07W7JYN4P</v>
          </cell>
          <cell r="H480" t="str">
            <v>981-001213</v>
          </cell>
          <cell r="I480" t="str">
            <v>OE INVOICES</v>
          </cell>
          <cell r="J480">
            <v>44422159449</v>
          </cell>
          <cell r="K480">
            <v>44907</v>
          </cell>
          <cell r="L480">
            <v>38</v>
          </cell>
          <cell r="M480" t="str">
            <v>EUR</v>
          </cell>
          <cell r="N480">
            <v>552.24</v>
          </cell>
          <cell r="O480">
            <v>69.03</v>
          </cell>
          <cell r="P480">
            <v>8</v>
          </cell>
          <cell r="Q480">
            <v>8</v>
          </cell>
          <cell r="R480">
            <v>0</v>
          </cell>
        </row>
        <row r="481">
          <cell r="A481" t="str">
            <v>2TMBDXBKB07W7KT2B3</v>
          </cell>
          <cell r="B481" t="str">
            <v>Q3-23</v>
          </cell>
          <cell r="C481" t="str">
            <v>Europe Operations OU</v>
          </cell>
          <cell r="D481">
            <v>2674345</v>
          </cell>
          <cell r="E481" t="str">
            <v>Amazon EU SARL, succursale Italiana</v>
          </cell>
          <cell r="F481" t="str">
            <v>2TMBDXBK</v>
          </cell>
          <cell r="G481" t="str">
            <v>B07W7KT2B3</v>
          </cell>
          <cell r="H481" t="str">
            <v>981-000864</v>
          </cell>
          <cell r="I481" t="str">
            <v>OE INVOICES</v>
          </cell>
          <cell r="J481">
            <v>44422159449</v>
          </cell>
          <cell r="K481">
            <v>44907</v>
          </cell>
          <cell r="L481">
            <v>39</v>
          </cell>
          <cell r="M481" t="str">
            <v>EUR</v>
          </cell>
          <cell r="N481">
            <v>5704.52</v>
          </cell>
          <cell r="O481">
            <v>83.89</v>
          </cell>
          <cell r="P481">
            <v>68</v>
          </cell>
          <cell r="Q481">
            <v>68</v>
          </cell>
          <cell r="R481">
            <v>0</v>
          </cell>
        </row>
        <row r="482">
          <cell r="A482" t="str">
            <v>2TMBDXBKB07W7L3HJP</v>
          </cell>
          <cell r="B482" t="str">
            <v>Q3-23</v>
          </cell>
          <cell r="C482" t="str">
            <v>Europe Operations OU</v>
          </cell>
          <cell r="D482">
            <v>2674345</v>
          </cell>
          <cell r="E482" t="str">
            <v>Amazon EU SARL, succursale Italiana</v>
          </cell>
          <cell r="F482" t="str">
            <v>2TMBDXBK</v>
          </cell>
          <cell r="G482" t="str">
            <v>B07W7L3HJP</v>
          </cell>
          <cell r="H482" t="str">
            <v>914-000074</v>
          </cell>
          <cell r="I482" t="str">
            <v>OE INVOICES</v>
          </cell>
          <cell r="J482">
            <v>44422159449</v>
          </cell>
          <cell r="K482">
            <v>44907</v>
          </cell>
          <cell r="L482">
            <v>40</v>
          </cell>
          <cell r="M482" t="str">
            <v>EUR</v>
          </cell>
          <cell r="N482">
            <v>1322.4</v>
          </cell>
          <cell r="O482">
            <v>55.1</v>
          </cell>
          <cell r="P482">
            <v>24</v>
          </cell>
          <cell r="Q482">
            <v>24</v>
          </cell>
          <cell r="R482">
            <v>0</v>
          </cell>
        </row>
        <row r="483">
          <cell r="A483" t="str">
            <v>2TMBDXBKB07W7LFHH9</v>
          </cell>
          <cell r="B483" t="str">
            <v>Q3-23</v>
          </cell>
          <cell r="C483" t="str">
            <v>Europe Operations OU</v>
          </cell>
          <cell r="D483">
            <v>2674345</v>
          </cell>
          <cell r="E483" t="str">
            <v>Amazon EU SARL, succursale Italiana</v>
          </cell>
          <cell r="F483" t="str">
            <v>2TMBDXBK</v>
          </cell>
          <cell r="G483" t="str">
            <v>B07W7LFHH9</v>
          </cell>
          <cell r="H483" t="str">
            <v>920-010725</v>
          </cell>
          <cell r="I483" t="str">
            <v>OE INVOICES</v>
          </cell>
          <cell r="J483">
            <v>44422159449</v>
          </cell>
          <cell r="K483">
            <v>44907</v>
          </cell>
          <cell r="L483">
            <v>41</v>
          </cell>
          <cell r="M483" t="str">
            <v>EUR</v>
          </cell>
          <cell r="N483">
            <v>4299.6400000000003</v>
          </cell>
          <cell r="O483">
            <v>63.23</v>
          </cell>
          <cell r="P483">
            <v>68</v>
          </cell>
          <cell r="Q483">
            <v>68</v>
          </cell>
          <cell r="R483">
            <v>0</v>
          </cell>
        </row>
        <row r="484">
          <cell r="A484" t="str">
            <v>2TMBDXBKB07W7LNRN6</v>
          </cell>
          <cell r="B484" t="str">
            <v>Q3-23</v>
          </cell>
          <cell r="C484" t="str">
            <v>Europe Operations OU</v>
          </cell>
          <cell r="D484">
            <v>2674345</v>
          </cell>
          <cell r="E484" t="str">
            <v>Amazon EU SARL, succursale Italiana</v>
          </cell>
          <cell r="F484" t="str">
            <v>2TMBDXBK</v>
          </cell>
          <cell r="G484" t="str">
            <v>B07W7LNRN6</v>
          </cell>
          <cell r="H484" t="str">
            <v>920-010042</v>
          </cell>
          <cell r="I484" t="str">
            <v>OE INVOICES</v>
          </cell>
          <cell r="J484">
            <v>44422159449</v>
          </cell>
          <cell r="K484">
            <v>44907</v>
          </cell>
          <cell r="L484">
            <v>42</v>
          </cell>
          <cell r="M484" t="str">
            <v>EUR</v>
          </cell>
          <cell r="N484">
            <v>974.4</v>
          </cell>
          <cell r="O484">
            <v>40.6</v>
          </cell>
          <cell r="P484">
            <v>24</v>
          </cell>
          <cell r="Q484">
            <v>24</v>
          </cell>
          <cell r="R484">
            <v>0</v>
          </cell>
        </row>
        <row r="485">
          <cell r="A485" t="str">
            <v>2TMBDXBKB07W7LW3VS</v>
          </cell>
          <cell r="B485" t="str">
            <v>Q3-23</v>
          </cell>
          <cell r="C485" t="str">
            <v>Europe Operations OU</v>
          </cell>
          <cell r="D485">
            <v>2674345</v>
          </cell>
          <cell r="E485" t="str">
            <v>Amazon EU SARL, succursale Italiana</v>
          </cell>
          <cell r="F485" t="str">
            <v>2TMBDXBK</v>
          </cell>
          <cell r="G485" t="str">
            <v>B07W7LW3VS</v>
          </cell>
          <cell r="H485" t="str">
            <v>920-009707</v>
          </cell>
          <cell r="I485" t="str">
            <v>OE INVOICES</v>
          </cell>
          <cell r="J485">
            <v>44422159449</v>
          </cell>
          <cell r="K485">
            <v>44907</v>
          </cell>
          <cell r="L485">
            <v>43</v>
          </cell>
          <cell r="M485" t="str">
            <v>EUR</v>
          </cell>
          <cell r="N485">
            <v>603.12</v>
          </cell>
          <cell r="O485">
            <v>75.39</v>
          </cell>
          <cell r="P485">
            <v>8</v>
          </cell>
          <cell r="Q485">
            <v>8</v>
          </cell>
          <cell r="R485">
            <v>0</v>
          </cell>
        </row>
        <row r="486">
          <cell r="A486" t="str">
            <v>2TMBDXBKB07W8P4PDD</v>
          </cell>
          <cell r="B486" t="str">
            <v>Q3-23</v>
          </cell>
          <cell r="C486" t="str">
            <v>Europe Operations OU</v>
          </cell>
          <cell r="D486">
            <v>2674345</v>
          </cell>
          <cell r="E486" t="str">
            <v>Amazon EU SARL, succursale Italiana</v>
          </cell>
          <cell r="F486" t="str">
            <v>2TMBDXBK</v>
          </cell>
          <cell r="G486" t="str">
            <v>B07W8P4PDD</v>
          </cell>
          <cell r="H486" t="str">
            <v>910-006474</v>
          </cell>
          <cell r="I486" t="str">
            <v>OE INVOICES</v>
          </cell>
          <cell r="J486">
            <v>44422159449</v>
          </cell>
          <cell r="K486">
            <v>44907</v>
          </cell>
          <cell r="L486">
            <v>44</v>
          </cell>
          <cell r="M486" t="str">
            <v>EUR</v>
          </cell>
          <cell r="N486">
            <v>556.79999999999995</v>
          </cell>
          <cell r="O486">
            <v>46.4</v>
          </cell>
          <cell r="P486">
            <v>12</v>
          </cell>
          <cell r="Q486">
            <v>12</v>
          </cell>
          <cell r="R486">
            <v>0</v>
          </cell>
        </row>
        <row r="487">
          <cell r="A487" t="str">
            <v>2W68T8TOB006A2Q81M</v>
          </cell>
          <cell r="B487" t="str">
            <v>Q3-23</v>
          </cell>
          <cell r="C487" t="str">
            <v>Europe Operations OU</v>
          </cell>
          <cell r="D487">
            <v>2674345</v>
          </cell>
          <cell r="E487" t="str">
            <v>Amazon EU SARL, succursale Italiana</v>
          </cell>
          <cell r="F487" t="str">
            <v>2W68T8TO</v>
          </cell>
          <cell r="G487" t="str">
            <v>B006A2Q81M</v>
          </cell>
          <cell r="H487" t="str">
            <v>960-001055</v>
          </cell>
          <cell r="I487" t="str">
            <v>OE INVOICES</v>
          </cell>
          <cell r="J487">
            <v>44422163641</v>
          </cell>
          <cell r="K487">
            <v>44909</v>
          </cell>
          <cell r="L487">
            <v>1</v>
          </cell>
          <cell r="M487" t="str">
            <v>EUR</v>
          </cell>
          <cell r="N487">
            <v>1011.68</v>
          </cell>
          <cell r="O487">
            <v>63.23</v>
          </cell>
          <cell r="P487">
            <v>16</v>
          </cell>
          <cell r="Q487">
            <v>16</v>
          </cell>
          <cell r="R487">
            <v>0</v>
          </cell>
        </row>
        <row r="488">
          <cell r="A488" t="str">
            <v>2W68T8TOB00CJ5FP04</v>
          </cell>
          <cell r="B488" t="str">
            <v>Q3-23</v>
          </cell>
          <cell r="C488" t="str">
            <v>Europe Operations OU</v>
          </cell>
          <cell r="D488">
            <v>2674345</v>
          </cell>
          <cell r="E488" t="str">
            <v>Amazon EU SARL, succursale Italiana</v>
          </cell>
          <cell r="F488" t="str">
            <v>2W68T8TO</v>
          </cell>
          <cell r="G488" t="str">
            <v>B00CJ5FP04</v>
          </cell>
          <cell r="H488" t="str">
            <v>940-000135</v>
          </cell>
          <cell r="I488" t="str">
            <v>OE INVOICES</v>
          </cell>
          <cell r="J488">
            <v>44422163485</v>
          </cell>
          <cell r="K488">
            <v>44909</v>
          </cell>
          <cell r="L488">
            <v>1</v>
          </cell>
          <cell r="M488" t="str">
            <v>EUR</v>
          </cell>
          <cell r="N488">
            <v>759.6</v>
          </cell>
          <cell r="O488">
            <v>21.1</v>
          </cell>
          <cell r="P488">
            <v>36</v>
          </cell>
          <cell r="Q488">
            <v>36</v>
          </cell>
          <cell r="R488">
            <v>0</v>
          </cell>
        </row>
        <row r="489">
          <cell r="A489" t="str">
            <v>2W68T8TOB01M3TTXMY</v>
          </cell>
          <cell r="B489" t="str">
            <v>Q3-23</v>
          </cell>
          <cell r="C489" t="str">
            <v>Europe Operations OU</v>
          </cell>
          <cell r="D489">
            <v>2674345</v>
          </cell>
          <cell r="E489" t="str">
            <v>Amazon EU SARL, succursale Italiana</v>
          </cell>
          <cell r="F489" t="str">
            <v>2W68T8TO</v>
          </cell>
          <cell r="G489" t="str">
            <v>B01M3TTXMY</v>
          </cell>
          <cell r="H489" t="str">
            <v>945-000008</v>
          </cell>
          <cell r="I489" t="str">
            <v>OE INVOICES</v>
          </cell>
          <cell r="J489">
            <v>44422163485</v>
          </cell>
          <cell r="K489">
            <v>44909</v>
          </cell>
          <cell r="L489">
            <v>2</v>
          </cell>
          <cell r="M489" t="str">
            <v>EUR</v>
          </cell>
          <cell r="N489">
            <v>1342.24</v>
          </cell>
          <cell r="O489">
            <v>83.89</v>
          </cell>
          <cell r="P489">
            <v>16</v>
          </cell>
          <cell r="Q489">
            <v>16</v>
          </cell>
          <cell r="R489">
            <v>0</v>
          </cell>
        </row>
        <row r="490">
          <cell r="A490" t="str">
            <v>2W68T8TOB01MFBNN9J</v>
          </cell>
          <cell r="B490" t="str">
            <v>Q3-23</v>
          </cell>
          <cell r="C490" t="str">
            <v>Europe Operations OU</v>
          </cell>
          <cell r="D490">
            <v>2674345</v>
          </cell>
          <cell r="E490" t="str">
            <v>Amazon EU SARL, succursale Italiana</v>
          </cell>
          <cell r="F490" t="str">
            <v>2W68T8TO</v>
          </cell>
          <cell r="G490" t="str">
            <v>B01MFBNN9J</v>
          </cell>
          <cell r="H490" t="str">
            <v>945-000009</v>
          </cell>
          <cell r="I490" t="str">
            <v>OE INVOICES</v>
          </cell>
          <cell r="J490">
            <v>44422163485</v>
          </cell>
          <cell r="K490">
            <v>44909</v>
          </cell>
          <cell r="L490">
            <v>3</v>
          </cell>
          <cell r="M490" t="str">
            <v>EUR</v>
          </cell>
          <cell r="N490">
            <v>230.04</v>
          </cell>
          <cell r="O490">
            <v>57.51</v>
          </cell>
          <cell r="P490">
            <v>4</v>
          </cell>
          <cell r="Q490">
            <v>4</v>
          </cell>
          <cell r="R490">
            <v>0</v>
          </cell>
        </row>
        <row r="491">
          <cell r="A491" t="str">
            <v>2W68T8TOB071ZFMC9Q</v>
          </cell>
          <cell r="B491" t="str">
            <v>Q3-23</v>
          </cell>
          <cell r="C491" t="str">
            <v>Europe Operations OU</v>
          </cell>
          <cell r="D491">
            <v>2674345</v>
          </cell>
          <cell r="E491" t="str">
            <v>Amazon EU SARL, succursale Italiana</v>
          </cell>
          <cell r="F491" t="str">
            <v>2W68T8TO</v>
          </cell>
          <cell r="G491" t="str">
            <v>B071ZFMC9Q</v>
          </cell>
          <cell r="H491" t="str">
            <v>939-001498</v>
          </cell>
          <cell r="I491" t="str">
            <v>OE INVOICES</v>
          </cell>
          <cell r="J491">
            <v>44422163485</v>
          </cell>
          <cell r="K491">
            <v>44909</v>
          </cell>
          <cell r="L491">
            <v>4</v>
          </cell>
          <cell r="M491" t="str">
            <v>EUR</v>
          </cell>
          <cell r="N491">
            <v>399.96</v>
          </cell>
          <cell r="O491">
            <v>66.66</v>
          </cell>
          <cell r="P491">
            <v>6</v>
          </cell>
          <cell r="Q491">
            <v>6</v>
          </cell>
          <cell r="R491">
            <v>0</v>
          </cell>
        </row>
        <row r="492">
          <cell r="A492" t="str">
            <v>2W68T8TOB07G5XJLWK</v>
          </cell>
          <cell r="B492" t="str">
            <v>Q3-23</v>
          </cell>
          <cell r="C492" t="str">
            <v>Europe Operations OU</v>
          </cell>
          <cell r="D492">
            <v>2674345</v>
          </cell>
          <cell r="E492" t="str">
            <v>Amazon EU SARL, succursale Italiana</v>
          </cell>
          <cell r="F492" t="str">
            <v>2W68T8TO</v>
          </cell>
          <cell r="G492" t="str">
            <v>B07G5XJLWK</v>
          </cell>
          <cell r="H492" t="str">
            <v>910-005273</v>
          </cell>
          <cell r="I492" t="str">
            <v>OE INVOICES</v>
          </cell>
          <cell r="J492">
            <v>44422163485</v>
          </cell>
          <cell r="K492">
            <v>44909</v>
          </cell>
          <cell r="L492">
            <v>5</v>
          </cell>
          <cell r="M492" t="str">
            <v>EUR</v>
          </cell>
          <cell r="N492">
            <v>21121.919999999998</v>
          </cell>
          <cell r="O492">
            <v>73.34</v>
          </cell>
          <cell r="P492">
            <v>288</v>
          </cell>
          <cell r="Q492">
            <v>288</v>
          </cell>
          <cell r="R492">
            <v>0</v>
          </cell>
        </row>
        <row r="493">
          <cell r="A493" t="str">
            <v>2W68T8TOB07MM4V7NR</v>
          </cell>
          <cell r="B493" t="str">
            <v>Q3-23</v>
          </cell>
          <cell r="C493" t="str">
            <v>Europe Operations OU</v>
          </cell>
          <cell r="D493">
            <v>2674345</v>
          </cell>
          <cell r="E493" t="str">
            <v>Amazon EU SARL, succursale Italiana</v>
          </cell>
          <cell r="F493" t="str">
            <v>2W68T8TO</v>
          </cell>
          <cell r="G493" t="str">
            <v>B07MM4V7NR</v>
          </cell>
          <cell r="H493" t="str">
            <v>960-001252</v>
          </cell>
          <cell r="I493" t="str">
            <v>OE INVOICES</v>
          </cell>
          <cell r="J493">
            <v>44422163485</v>
          </cell>
          <cell r="K493">
            <v>44909</v>
          </cell>
          <cell r="L493">
            <v>6</v>
          </cell>
          <cell r="M493" t="str">
            <v>EUR</v>
          </cell>
          <cell r="N493">
            <v>32582.16</v>
          </cell>
          <cell r="O493">
            <v>69.03</v>
          </cell>
          <cell r="P493">
            <v>472</v>
          </cell>
          <cell r="Q493">
            <v>472</v>
          </cell>
          <cell r="R493">
            <v>0</v>
          </cell>
        </row>
        <row r="494">
          <cell r="A494" t="str">
            <v>2W68T8TOB07PMKHMFS</v>
          </cell>
          <cell r="B494" t="str">
            <v>Q3-23</v>
          </cell>
          <cell r="C494" t="str">
            <v>Europe Operations OU</v>
          </cell>
          <cell r="D494">
            <v>2674345</v>
          </cell>
          <cell r="E494" t="str">
            <v>Amazon EU SARL, succursale Italiana</v>
          </cell>
          <cell r="F494" t="str">
            <v>2W68T8TO</v>
          </cell>
          <cell r="G494" t="str">
            <v>B07PMKHMFS</v>
          </cell>
          <cell r="H494" t="str">
            <v>939-001830</v>
          </cell>
          <cell r="I494" t="str">
            <v>OE INVOICES</v>
          </cell>
          <cell r="J494">
            <v>44422163485</v>
          </cell>
          <cell r="K494">
            <v>44909</v>
          </cell>
          <cell r="L494">
            <v>7</v>
          </cell>
          <cell r="M494" t="str">
            <v>EUR</v>
          </cell>
          <cell r="N494">
            <v>935.12</v>
          </cell>
          <cell r="O494">
            <v>116.89</v>
          </cell>
          <cell r="P494">
            <v>8</v>
          </cell>
          <cell r="Q494">
            <v>8</v>
          </cell>
          <cell r="R494">
            <v>0</v>
          </cell>
        </row>
        <row r="495">
          <cell r="A495" t="str">
            <v>2W68T8TOB07QKC4WWD</v>
          </cell>
          <cell r="B495" t="str">
            <v>Q3-23</v>
          </cell>
          <cell r="C495" t="str">
            <v>Europe Operations OU</v>
          </cell>
          <cell r="D495">
            <v>2674345</v>
          </cell>
          <cell r="E495" t="str">
            <v>Amazon EU SARL, succursale Italiana</v>
          </cell>
          <cell r="F495" t="str">
            <v>2W68T8TO</v>
          </cell>
          <cell r="G495" t="str">
            <v>B07QKC4WWD</v>
          </cell>
          <cell r="H495" t="str">
            <v>910-005568</v>
          </cell>
          <cell r="I495" t="str">
            <v>OE INVOICES</v>
          </cell>
          <cell r="J495">
            <v>44422163641</v>
          </cell>
          <cell r="K495">
            <v>44909</v>
          </cell>
          <cell r="L495">
            <v>2</v>
          </cell>
          <cell r="M495" t="str">
            <v>EUR</v>
          </cell>
          <cell r="N495">
            <v>19126.919999999998</v>
          </cell>
          <cell r="O495">
            <v>83.89</v>
          </cell>
          <cell r="P495">
            <v>228</v>
          </cell>
          <cell r="Q495">
            <v>228</v>
          </cell>
          <cell r="R495">
            <v>0</v>
          </cell>
        </row>
        <row r="496">
          <cell r="A496" t="str">
            <v>2W68T8TOB07VWZHCNX</v>
          </cell>
          <cell r="B496" t="str">
            <v>Q3-23</v>
          </cell>
          <cell r="C496" t="str">
            <v>Europe Operations OU</v>
          </cell>
          <cell r="D496">
            <v>2674345</v>
          </cell>
          <cell r="E496" t="str">
            <v>Amazon EU SARL, succursale Italiana</v>
          </cell>
          <cell r="F496" t="str">
            <v>2W68T8TO</v>
          </cell>
          <cell r="G496" t="str">
            <v>B07VWZHCNX</v>
          </cell>
          <cell r="H496" t="str">
            <v>956-000001</v>
          </cell>
          <cell r="I496" t="str">
            <v>OE INVOICES</v>
          </cell>
          <cell r="J496">
            <v>44422163641</v>
          </cell>
          <cell r="K496">
            <v>44909</v>
          </cell>
          <cell r="L496">
            <v>3</v>
          </cell>
          <cell r="M496" t="str">
            <v>EUR</v>
          </cell>
          <cell r="N496">
            <v>834.48</v>
          </cell>
          <cell r="O496">
            <v>11.59</v>
          </cell>
          <cell r="P496">
            <v>72</v>
          </cell>
          <cell r="Q496">
            <v>72</v>
          </cell>
          <cell r="R496">
            <v>0</v>
          </cell>
        </row>
        <row r="497">
          <cell r="A497" t="str">
            <v>2W68T8TOB07W4DHK3P</v>
          </cell>
          <cell r="B497" t="str">
            <v>Q3-23</v>
          </cell>
          <cell r="C497" t="str">
            <v>Europe Operations OU</v>
          </cell>
          <cell r="D497">
            <v>2674345</v>
          </cell>
          <cell r="E497" t="str">
            <v>Amazon EU SARL, succursale Italiana</v>
          </cell>
          <cell r="F497" t="str">
            <v>2W68T8TO</v>
          </cell>
          <cell r="G497" t="str">
            <v>B07W4DHK3P</v>
          </cell>
          <cell r="H497" t="str">
            <v>943-000806</v>
          </cell>
          <cell r="I497" t="str">
            <v>OE INVOICES</v>
          </cell>
          <cell r="J497">
            <v>44422163485</v>
          </cell>
          <cell r="K497">
            <v>44909</v>
          </cell>
          <cell r="L497">
            <v>8</v>
          </cell>
          <cell r="M497" t="str">
            <v>EUR</v>
          </cell>
          <cell r="N497">
            <v>84.4</v>
          </cell>
          <cell r="O497">
            <v>21.1</v>
          </cell>
          <cell r="P497">
            <v>4</v>
          </cell>
          <cell r="Q497">
            <v>4</v>
          </cell>
          <cell r="R497">
            <v>0</v>
          </cell>
        </row>
        <row r="498">
          <cell r="A498" t="str">
            <v>2W68T8TOB07W5JHLCB</v>
          </cell>
          <cell r="B498" t="str">
            <v>Q3-23</v>
          </cell>
          <cell r="C498" t="str">
            <v>Europe Operations OU</v>
          </cell>
          <cell r="D498">
            <v>2674345</v>
          </cell>
          <cell r="E498" t="str">
            <v>Amazon EU SARL, succursale Italiana</v>
          </cell>
          <cell r="F498" t="str">
            <v>2W68T8TO</v>
          </cell>
          <cell r="G498" t="str">
            <v>B07W5JHLCB</v>
          </cell>
          <cell r="H498" t="str">
            <v>910-005988</v>
          </cell>
          <cell r="I498" t="str">
            <v>OE INVOICES</v>
          </cell>
          <cell r="J498">
            <v>44422163485</v>
          </cell>
          <cell r="K498">
            <v>44909</v>
          </cell>
          <cell r="L498">
            <v>9</v>
          </cell>
          <cell r="M498" t="str">
            <v>EUR</v>
          </cell>
          <cell r="N498">
            <v>5220</v>
          </cell>
          <cell r="O498">
            <v>58</v>
          </cell>
          <cell r="P498">
            <v>90</v>
          </cell>
          <cell r="Q498">
            <v>90</v>
          </cell>
          <cell r="R498">
            <v>0</v>
          </cell>
        </row>
        <row r="499">
          <cell r="A499" t="str">
            <v>2W68T8TOB07W5JJVFM</v>
          </cell>
          <cell r="B499" t="str">
            <v>Q3-23</v>
          </cell>
          <cell r="C499" t="str">
            <v>Europe Operations OU</v>
          </cell>
          <cell r="D499">
            <v>2674345</v>
          </cell>
          <cell r="E499" t="str">
            <v>Amazon EU SARL, succursale Italiana</v>
          </cell>
          <cell r="F499" t="str">
            <v>2W68T8TO</v>
          </cell>
          <cell r="G499" t="str">
            <v>B07W5JJVFM</v>
          </cell>
          <cell r="H499" t="str">
            <v>956-000053</v>
          </cell>
          <cell r="I499" t="str">
            <v>OE INVOICES</v>
          </cell>
          <cell r="J499">
            <v>44422163485</v>
          </cell>
          <cell r="K499">
            <v>44909</v>
          </cell>
          <cell r="L499">
            <v>10</v>
          </cell>
          <cell r="M499" t="str">
            <v>EUR</v>
          </cell>
          <cell r="N499">
            <v>177.8</v>
          </cell>
          <cell r="O499">
            <v>8.89</v>
          </cell>
          <cell r="P499">
            <v>20</v>
          </cell>
          <cell r="Q499">
            <v>20</v>
          </cell>
          <cell r="R499">
            <v>0</v>
          </cell>
        </row>
        <row r="500">
          <cell r="A500" t="str">
            <v>2W68T8TOB07W5JK3Z2</v>
          </cell>
          <cell r="B500" t="str">
            <v>Q3-23</v>
          </cell>
          <cell r="C500" t="str">
            <v>Europe Operations OU</v>
          </cell>
          <cell r="D500">
            <v>2674345</v>
          </cell>
          <cell r="E500" t="str">
            <v>Amazon EU SARL, succursale Italiana</v>
          </cell>
          <cell r="F500" t="str">
            <v>2W68T8TO</v>
          </cell>
          <cell r="G500" t="str">
            <v>B07W5JK3Z2</v>
          </cell>
          <cell r="H500" t="str">
            <v>956-000052</v>
          </cell>
          <cell r="I500" t="str">
            <v>OE INVOICES</v>
          </cell>
          <cell r="J500">
            <v>44422163641</v>
          </cell>
          <cell r="K500">
            <v>44909</v>
          </cell>
          <cell r="L500">
            <v>4</v>
          </cell>
          <cell r="M500" t="str">
            <v>EUR</v>
          </cell>
          <cell r="N500">
            <v>711.2</v>
          </cell>
          <cell r="O500">
            <v>8.89</v>
          </cell>
          <cell r="P500">
            <v>80</v>
          </cell>
          <cell r="Q500">
            <v>80</v>
          </cell>
          <cell r="R500">
            <v>0</v>
          </cell>
        </row>
        <row r="501">
          <cell r="A501" t="str">
            <v>2W68T8TOB07W5JKBMG</v>
          </cell>
          <cell r="B501" t="str">
            <v>Q3-23</v>
          </cell>
          <cell r="C501" t="str">
            <v>Europe Operations OU</v>
          </cell>
          <cell r="D501">
            <v>2674345</v>
          </cell>
          <cell r="E501" t="str">
            <v>Amazon EU SARL, succursale Italiana</v>
          </cell>
          <cell r="F501" t="str">
            <v>2W68T8TO</v>
          </cell>
          <cell r="G501" t="str">
            <v>B07W5JKBMG</v>
          </cell>
          <cell r="H501" t="str">
            <v>943-000450</v>
          </cell>
          <cell r="I501" t="str">
            <v>OE INVOICES</v>
          </cell>
          <cell r="J501">
            <v>44422163485</v>
          </cell>
          <cell r="K501">
            <v>44909</v>
          </cell>
          <cell r="L501">
            <v>11</v>
          </cell>
          <cell r="M501" t="str">
            <v>EUR</v>
          </cell>
          <cell r="N501">
            <v>1867.2</v>
          </cell>
          <cell r="O501">
            <v>31.12</v>
          </cell>
          <cell r="P501">
            <v>60</v>
          </cell>
          <cell r="Q501">
            <v>60</v>
          </cell>
          <cell r="R501">
            <v>0</v>
          </cell>
        </row>
        <row r="502">
          <cell r="A502" t="str">
            <v>2W68T8TOB07W5JKLRF</v>
          </cell>
          <cell r="B502" t="str">
            <v>Q3-23</v>
          </cell>
          <cell r="C502" t="str">
            <v>Europe Operations OU</v>
          </cell>
          <cell r="D502">
            <v>2674345</v>
          </cell>
          <cell r="E502" t="str">
            <v>Amazon EU SARL, succursale Italiana</v>
          </cell>
          <cell r="F502" t="str">
            <v>2W68T8TO</v>
          </cell>
          <cell r="G502" t="str">
            <v>B07W5JKLRF</v>
          </cell>
          <cell r="H502" t="str">
            <v>939-002064</v>
          </cell>
          <cell r="I502" t="str">
            <v>OE INVOICES</v>
          </cell>
          <cell r="J502">
            <v>44422163485</v>
          </cell>
          <cell r="K502">
            <v>44909</v>
          </cell>
          <cell r="L502">
            <v>12</v>
          </cell>
          <cell r="M502" t="str">
            <v>EUR</v>
          </cell>
          <cell r="N502">
            <v>179.8</v>
          </cell>
          <cell r="O502">
            <v>44.95</v>
          </cell>
          <cell r="P502">
            <v>4</v>
          </cell>
          <cell r="Q502">
            <v>4</v>
          </cell>
          <cell r="R502">
            <v>0</v>
          </cell>
        </row>
        <row r="503">
          <cell r="A503" t="str">
            <v>2W68T8TOB07W6GVZFJ</v>
          </cell>
          <cell r="B503" t="str">
            <v>Q3-23</v>
          </cell>
          <cell r="C503" t="str">
            <v>Europe Operations OU</v>
          </cell>
          <cell r="D503">
            <v>2674345</v>
          </cell>
          <cell r="E503" t="str">
            <v>Amazon EU SARL, succursale Italiana</v>
          </cell>
          <cell r="F503" t="str">
            <v>2W68T8TO</v>
          </cell>
          <cell r="G503" t="str">
            <v>B07W6GVZFJ</v>
          </cell>
          <cell r="H503" t="str">
            <v>943-000784</v>
          </cell>
          <cell r="I503" t="str">
            <v>OE INVOICES</v>
          </cell>
          <cell r="J503">
            <v>44422163641</v>
          </cell>
          <cell r="K503">
            <v>44909</v>
          </cell>
          <cell r="L503">
            <v>5</v>
          </cell>
          <cell r="M503" t="str">
            <v>EUR</v>
          </cell>
          <cell r="N503">
            <v>227.52</v>
          </cell>
          <cell r="O503">
            <v>6.32</v>
          </cell>
          <cell r="P503">
            <v>36</v>
          </cell>
          <cell r="Q503">
            <v>36</v>
          </cell>
          <cell r="R503">
            <v>0</v>
          </cell>
        </row>
        <row r="504">
          <cell r="A504" t="str">
            <v>2W68T8TOB07W6HBBMH</v>
          </cell>
          <cell r="B504" t="str">
            <v>Q3-23</v>
          </cell>
          <cell r="C504" t="str">
            <v>Europe Operations OU</v>
          </cell>
          <cell r="D504">
            <v>2674345</v>
          </cell>
          <cell r="E504" t="str">
            <v>Amazon EU SARL, succursale Italiana</v>
          </cell>
          <cell r="F504" t="str">
            <v>2W68T8TO</v>
          </cell>
          <cell r="G504" t="str">
            <v>B07W6HBBMH</v>
          </cell>
          <cell r="H504" t="str">
            <v>943-000777</v>
          </cell>
          <cell r="I504" t="str">
            <v>OE INVOICES</v>
          </cell>
          <cell r="J504">
            <v>44422163485</v>
          </cell>
          <cell r="K504">
            <v>44909</v>
          </cell>
          <cell r="L504">
            <v>13</v>
          </cell>
          <cell r="M504" t="str">
            <v>EUR</v>
          </cell>
          <cell r="N504">
            <v>94.96</v>
          </cell>
          <cell r="O504">
            <v>23.74</v>
          </cell>
          <cell r="P504">
            <v>4</v>
          </cell>
          <cell r="Q504">
            <v>4</v>
          </cell>
          <cell r="R504">
            <v>0</v>
          </cell>
        </row>
        <row r="505">
          <cell r="A505" t="str">
            <v>2W68T8TOB07W6HDNPG</v>
          </cell>
          <cell r="B505" t="str">
            <v>Q3-23</v>
          </cell>
          <cell r="C505" t="str">
            <v>Europe Operations OU</v>
          </cell>
          <cell r="D505">
            <v>2674345</v>
          </cell>
          <cell r="E505" t="str">
            <v>Amazon EU SARL, succursale Italiana</v>
          </cell>
          <cell r="F505" t="str">
            <v>2W68T8TO</v>
          </cell>
          <cell r="G505" t="str">
            <v>B07W6HDNPG</v>
          </cell>
          <cell r="H505" t="str">
            <v>939-002057</v>
          </cell>
          <cell r="I505" t="str">
            <v>OE INVOICES</v>
          </cell>
          <cell r="J505">
            <v>44422163485</v>
          </cell>
          <cell r="K505">
            <v>44909</v>
          </cell>
          <cell r="L505">
            <v>14</v>
          </cell>
          <cell r="M505" t="str">
            <v>EUR</v>
          </cell>
          <cell r="N505">
            <v>359.6</v>
          </cell>
          <cell r="O505">
            <v>44.95</v>
          </cell>
          <cell r="P505">
            <v>8</v>
          </cell>
          <cell r="Q505">
            <v>8</v>
          </cell>
          <cell r="R505">
            <v>0</v>
          </cell>
        </row>
        <row r="506">
          <cell r="A506" t="str">
            <v>2W68T8TOB07W6HJPSW</v>
          </cell>
          <cell r="B506" t="str">
            <v>Q3-23</v>
          </cell>
          <cell r="C506" t="str">
            <v>Europe Operations OU</v>
          </cell>
          <cell r="D506">
            <v>2674345</v>
          </cell>
          <cell r="E506" t="str">
            <v>Amazon EU SARL, succursale Italiana</v>
          </cell>
          <cell r="F506" t="str">
            <v>2W68T8TO</v>
          </cell>
          <cell r="G506" t="str">
            <v>B07W6HJPSW</v>
          </cell>
          <cell r="H506" t="str">
            <v>981-001106</v>
          </cell>
          <cell r="I506" t="str">
            <v>OE INVOICES</v>
          </cell>
          <cell r="J506">
            <v>44422163485</v>
          </cell>
          <cell r="K506">
            <v>44909</v>
          </cell>
          <cell r="L506">
            <v>15</v>
          </cell>
          <cell r="M506" t="str">
            <v>EUR</v>
          </cell>
          <cell r="N506">
            <v>272.24</v>
          </cell>
          <cell r="O506">
            <v>68.06</v>
          </cell>
          <cell r="P506">
            <v>4</v>
          </cell>
          <cell r="Q506">
            <v>4</v>
          </cell>
          <cell r="R506">
            <v>0</v>
          </cell>
        </row>
        <row r="507">
          <cell r="A507" t="str">
            <v>2W68T8TOB07W6HPP3R</v>
          </cell>
          <cell r="B507" t="str">
            <v>Q3-23</v>
          </cell>
          <cell r="C507" t="str">
            <v>Europe Operations OU</v>
          </cell>
          <cell r="D507">
            <v>2674345</v>
          </cell>
          <cell r="E507" t="str">
            <v>Amazon EU SARL, succursale Italiana</v>
          </cell>
          <cell r="F507" t="str">
            <v>2W68T8TO</v>
          </cell>
          <cell r="G507" t="str">
            <v>B07W6HPP3R</v>
          </cell>
          <cell r="H507" t="str">
            <v>920-010303</v>
          </cell>
          <cell r="I507" t="str">
            <v>OE INVOICES</v>
          </cell>
          <cell r="J507">
            <v>44422163485</v>
          </cell>
          <cell r="K507">
            <v>44909</v>
          </cell>
          <cell r="L507">
            <v>16</v>
          </cell>
          <cell r="M507" t="str">
            <v>EUR</v>
          </cell>
          <cell r="N507">
            <v>9281.6</v>
          </cell>
          <cell r="O507">
            <v>116.02</v>
          </cell>
          <cell r="P507">
            <v>80</v>
          </cell>
          <cell r="Q507">
            <v>80</v>
          </cell>
          <cell r="R507">
            <v>0</v>
          </cell>
        </row>
        <row r="508">
          <cell r="A508" t="str">
            <v>2W68T8TOB07W6J3W3B</v>
          </cell>
          <cell r="B508" t="str">
            <v>Q3-23</v>
          </cell>
          <cell r="C508" t="str">
            <v>Europe Operations OU</v>
          </cell>
          <cell r="D508">
            <v>2674345</v>
          </cell>
          <cell r="E508" t="str">
            <v>Amazon EU SARL, succursale Italiana</v>
          </cell>
          <cell r="F508" t="str">
            <v>2W68T8TO</v>
          </cell>
          <cell r="G508" t="str">
            <v>B07W6J3W3B</v>
          </cell>
          <cell r="H508" t="str">
            <v>920-011441</v>
          </cell>
          <cell r="I508" t="str">
            <v>OE INVOICES</v>
          </cell>
          <cell r="J508">
            <v>44422163485</v>
          </cell>
          <cell r="K508">
            <v>44909</v>
          </cell>
          <cell r="L508">
            <v>17</v>
          </cell>
          <cell r="M508" t="str">
            <v>EUR</v>
          </cell>
          <cell r="N508">
            <v>2505.84</v>
          </cell>
          <cell r="O508">
            <v>104.41</v>
          </cell>
          <cell r="P508">
            <v>24</v>
          </cell>
          <cell r="Q508">
            <v>24</v>
          </cell>
          <cell r="R508">
            <v>0</v>
          </cell>
        </row>
        <row r="509">
          <cell r="A509" t="str">
            <v>2W68T8TOB07W6J5VYB</v>
          </cell>
          <cell r="B509" t="str">
            <v>Q3-23</v>
          </cell>
          <cell r="C509" t="str">
            <v>Europe Operations OU</v>
          </cell>
          <cell r="D509">
            <v>2674345</v>
          </cell>
          <cell r="E509" t="str">
            <v>Amazon EU SARL, succursale Italiana</v>
          </cell>
          <cell r="F509" t="str">
            <v>2W68T8TO</v>
          </cell>
          <cell r="G509" t="str">
            <v>B07W6J5VYB</v>
          </cell>
          <cell r="H509" t="str">
            <v>988-000382</v>
          </cell>
          <cell r="I509" t="str">
            <v>OE INVOICES</v>
          </cell>
          <cell r="J509">
            <v>44422163485</v>
          </cell>
          <cell r="K509">
            <v>44909</v>
          </cell>
          <cell r="L509">
            <v>18</v>
          </cell>
          <cell r="M509" t="str">
            <v>EUR</v>
          </cell>
          <cell r="N509">
            <v>304.32</v>
          </cell>
          <cell r="O509">
            <v>76.08</v>
          </cell>
          <cell r="P509">
            <v>4</v>
          </cell>
          <cell r="Q509">
            <v>4</v>
          </cell>
          <cell r="R509">
            <v>0</v>
          </cell>
        </row>
        <row r="510">
          <cell r="A510" t="str">
            <v>2W68T8TOB07W6JGH8Z</v>
          </cell>
          <cell r="B510" t="str">
            <v>Q3-23</v>
          </cell>
          <cell r="C510" t="str">
            <v>Europe Operations OU</v>
          </cell>
          <cell r="D510">
            <v>2674345</v>
          </cell>
          <cell r="E510" t="str">
            <v>Amazon EU SARL, succursale Italiana</v>
          </cell>
          <cell r="F510" t="str">
            <v>2W68T8TO</v>
          </cell>
          <cell r="G510" t="str">
            <v>B07W6JGH8Z</v>
          </cell>
          <cell r="H510" t="str">
            <v>981-001044</v>
          </cell>
          <cell r="I510" t="str">
            <v>OE INVOICES</v>
          </cell>
          <cell r="J510">
            <v>44422163485</v>
          </cell>
          <cell r="K510">
            <v>44909</v>
          </cell>
          <cell r="L510">
            <v>19</v>
          </cell>
          <cell r="M510" t="str">
            <v>EUR</v>
          </cell>
          <cell r="N510">
            <v>422.08</v>
          </cell>
          <cell r="O510">
            <v>52.76</v>
          </cell>
          <cell r="P510">
            <v>8</v>
          </cell>
          <cell r="Q510">
            <v>8</v>
          </cell>
          <cell r="R510">
            <v>0</v>
          </cell>
        </row>
        <row r="511">
          <cell r="A511" t="str">
            <v>2W68T8TOB07W6JPVPF</v>
          </cell>
          <cell r="B511" t="str">
            <v>Q3-23</v>
          </cell>
          <cell r="C511" t="str">
            <v>Europe Operations OU</v>
          </cell>
          <cell r="D511">
            <v>2674345</v>
          </cell>
          <cell r="E511" t="str">
            <v>Amazon EU SARL, succursale Italiana</v>
          </cell>
          <cell r="F511" t="str">
            <v>2W68T8TO</v>
          </cell>
          <cell r="G511" t="str">
            <v>B07W6JPVPF</v>
          </cell>
          <cell r="H511" t="str">
            <v>943-000778</v>
          </cell>
          <cell r="I511" t="str">
            <v>OE INVOICES</v>
          </cell>
          <cell r="J511">
            <v>44422163485</v>
          </cell>
          <cell r="K511">
            <v>44909</v>
          </cell>
          <cell r="L511">
            <v>20</v>
          </cell>
          <cell r="M511" t="str">
            <v>EUR</v>
          </cell>
          <cell r="N511">
            <v>94.96</v>
          </cell>
          <cell r="O511">
            <v>23.74</v>
          </cell>
          <cell r="P511">
            <v>4</v>
          </cell>
          <cell r="Q511">
            <v>4</v>
          </cell>
          <cell r="R511">
            <v>0</v>
          </cell>
        </row>
        <row r="512">
          <cell r="A512" t="str">
            <v>2W68T8TOB08GX3XFYH</v>
          </cell>
          <cell r="B512" t="str">
            <v>Q3-23</v>
          </cell>
          <cell r="C512" t="str">
            <v>Europe Operations OU</v>
          </cell>
          <cell r="D512">
            <v>2674345</v>
          </cell>
          <cell r="E512" t="str">
            <v>Amazon EU SARL, succursale Italiana</v>
          </cell>
          <cell r="F512" t="str">
            <v>2W68T8TO</v>
          </cell>
          <cell r="G512" t="str">
            <v>B08GX3XFYH</v>
          </cell>
          <cell r="H512" t="str">
            <v>955-000006</v>
          </cell>
          <cell r="I512" t="str">
            <v>OE INVOICES</v>
          </cell>
          <cell r="J512">
            <v>44422163485</v>
          </cell>
          <cell r="K512">
            <v>44909</v>
          </cell>
          <cell r="L512">
            <v>21</v>
          </cell>
          <cell r="M512" t="str">
            <v>EUR</v>
          </cell>
          <cell r="N512">
            <v>382.98</v>
          </cell>
          <cell r="O512">
            <v>63.83</v>
          </cell>
          <cell r="P512">
            <v>6</v>
          </cell>
          <cell r="Q512">
            <v>6</v>
          </cell>
          <cell r="R512">
            <v>0</v>
          </cell>
        </row>
        <row r="513">
          <cell r="A513" t="str">
            <v>2XSDZ5YGB07W4DGCMW</v>
          </cell>
          <cell r="B513" t="str">
            <v>Q3-23</v>
          </cell>
          <cell r="C513" t="str">
            <v>Europe Operations OU</v>
          </cell>
          <cell r="D513">
            <v>2674345</v>
          </cell>
          <cell r="E513" t="str">
            <v>Amazon EU SARL, succursale Italiana</v>
          </cell>
          <cell r="F513" t="str">
            <v>2XSDZ5YG</v>
          </cell>
          <cell r="G513" t="str">
            <v>B07W4DGCMW</v>
          </cell>
          <cell r="H513" t="str">
            <v>920-010415</v>
          </cell>
          <cell r="I513" t="str">
            <v>OE INVOICES</v>
          </cell>
          <cell r="J513">
            <v>44422176568</v>
          </cell>
          <cell r="K513">
            <v>44922</v>
          </cell>
          <cell r="L513">
            <v>1</v>
          </cell>
          <cell r="M513" t="str">
            <v>EUR</v>
          </cell>
          <cell r="N513">
            <v>377.76</v>
          </cell>
          <cell r="O513">
            <v>94.44</v>
          </cell>
          <cell r="P513">
            <v>4</v>
          </cell>
          <cell r="Q513">
            <v>4</v>
          </cell>
          <cell r="R513">
            <v>0</v>
          </cell>
        </row>
        <row r="514">
          <cell r="A514" t="str">
            <v>31DJDC7QB002L3TSLQ</v>
          </cell>
          <cell r="B514" t="str">
            <v>Q3-23</v>
          </cell>
          <cell r="C514" t="str">
            <v>Europe Operations OU</v>
          </cell>
          <cell r="D514">
            <v>2674345</v>
          </cell>
          <cell r="E514" t="str">
            <v>Amazon EU SARL, succursale Italiana</v>
          </cell>
          <cell r="F514" t="str">
            <v>31DJDC7Q</v>
          </cell>
          <cell r="G514" t="str">
            <v>B002L3TSLQ</v>
          </cell>
          <cell r="H514" t="str">
            <v>910-001356</v>
          </cell>
          <cell r="I514" t="str">
            <v>OE INVOICES</v>
          </cell>
          <cell r="J514">
            <v>44422158763</v>
          </cell>
          <cell r="K514">
            <v>44907</v>
          </cell>
          <cell r="L514">
            <v>1</v>
          </cell>
          <cell r="M514" t="str">
            <v>EUR</v>
          </cell>
          <cell r="N514">
            <v>11316</v>
          </cell>
          <cell r="O514">
            <v>20.5</v>
          </cell>
          <cell r="P514">
            <v>552</v>
          </cell>
          <cell r="Q514">
            <v>552</v>
          </cell>
          <cell r="R514">
            <v>0</v>
          </cell>
        </row>
        <row r="515">
          <cell r="A515" t="str">
            <v>31DJDC7QB00552K0GM</v>
          </cell>
          <cell r="B515" t="str">
            <v>Q3-23</v>
          </cell>
          <cell r="C515" t="str">
            <v>Europe Operations OU</v>
          </cell>
          <cell r="D515">
            <v>2674345</v>
          </cell>
          <cell r="E515" t="str">
            <v>Amazon EU SARL, succursale Italiana</v>
          </cell>
          <cell r="F515" t="str">
            <v>31DJDC7Q</v>
          </cell>
          <cell r="G515" t="str">
            <v>B00552K0GM</v>
          </cell>
          <cell r="H515" t="str">
            <v>910-002235</v>
          </cell>
          <cell r="I515" t="str">
            <v>OE INVOICES</v>
          </cell>
          <cell r="J515">
            <v>44422157108</v>
          </cell>
          <cell r="K515">
            <v>44904</v>
          </cell>
          <cell r="L515">
            <v>1</v>
          </cell>
          <cell r="M515" t="str">
            <v>EUR</v>
          </cell>
          <cell r="N515">
            <v>11267.1</v>
          </cell>
          <cell r="O515">
            <v>10.53</v>
          </cell>
          <cell r="P515">
            <v>1070</v>
          </cell>
          <cell r="Q515">
            <v>1070</v>
          </cell>
          <cell r="R515">
            <v>0</v>
          </cell>
        </row>
        <row r="516">
          <cell r="A516" t="str">
            <v>31DJDC7QB00CJ5FP2C</v>
          </cell>
          <cell r="B516" t="str">
            <v>Q3-23</v>
          </cell>
          <cell r="C516" t="str">
            <v>Europe Operations OU</v>
          </cell>
          <cell r="D516">
            <v>2674345</v>
          </cell>
          <cell r="E516" t="str">
            <v>Amazon EU SARL, succursale Italiana</v>
          </cell>
          <cell r="F516" t="str">
            <v>31DJDC7Q</v>
          </cell>
          <cell r="G516" t="str">
            <v>B00CJ5FP2C</v>
          </cell>
          <cell r="H516" t="str">
            <v>940-000145</v>
          </cell>
          <cell r="I516" t="str">
            <v>OE INVOICES</v>
          </cell>
          <cell r="J516">
            <v>44422158763</v>
          </cell>
          <cell r="K516">
            <v>44907</v>
          </cell>
          <cell r="L516">
            <v>2</v>
          </cell>
          <cell r="M516" t="str">
            <v>EUR</v>
          </cell>
          <cell r="N516">
            <v>1972.68</v>
          </cell>
          <cell r="O516">
            <v>29.01</v>
          </cell>
          <cell r="P516">
            <v>68</v>
          </cell>
          <cell r="Q516">
            <v>68</v>
          </cell>
          <cell r="R516">
            <v>0</v>
          </cell>
        </row>
        <row r="517">
          <cell r="A517" t="str">
            <v>31DJDC7QB00CJ5FPTA</v>
          </cell>
          <cell r="B517" t="str">
            <v>Q3-23</v>
          </cell>
          <cell r="C517" t="str">
            <v>Europe Operations OU</v>
          </cell>
          <cell r="D517">
            <v>2674345</v>
          </cell>
          <cell r="E517" t="str">
            <v>Amazon EU SARL, succursale Italiana</v>
          </cell>
          <cell r="F517" t="str">
            <v>31DJDC7Q</v>
          </cell>
          <cell r="G517" t="str">
            <v>B00CJ5FPTA</v>
          </cell>
          <cell r="H517" t="str">
            <v>942-000031</v>
          </cell>
          <cell r="I517" t="str">
            <v>OE INVOICES</v>
          </cell>
          <cell r="J517">
            <v>44422158763</v>
          </cell>
          <cell r="K517">
            <v>44907</v>
          </cell>
          <cell r="L517">
            <v>3</v>
          </cell>
          <cell r="M517" t="str">
            <v>EUR</v>
          </cell>
          <cell r="N517">
            <v>1508.76</v>
          </cell>
          <cell r="O517">
            <v>34.29</v>
          </cell>
          <cell r="P517">
            <v>44</v>
          </cell>
          <cell r="Q517">
            <v>44</v>
          </cell>
          <cell r="R517">
            <v>0</v>
          </cell>
        </row>
        <row r="518">
          <cell r="A518" t="str">
            <v>31DJDC7QB00EUUXBDE</v>
          </cell>
          <cell r="B518" t="str">
            <v>Q3-23</v>
          </cell>
          <cell r="C518" t="str">
            <v>Europe Operations OU</v>
          </cell>
          <cell r="D518">
            <v>2674345</v>
          </cell>
          <cell r="E518" t="str">
            <v>Amazon EU SARL, succursale Italiana</v>
          </cell>
          <cell r="F518" t="str">
            <v>31DJDC7Q</v>
          </cell>
          <cell r="G518" t="str">
            <v>B00EUUXBDE</v>
          </cell>
          <cell r="H518" t="str">
            <v>980-000810</v>
          </cell>
          <cell r="I518" t="str">
            <v>OE INVOICES</v>
          </cell>
          <cell r="J518">
            <v>44422158763</v>
          </cell>
          <cell r="K518">
            <v>44907</v>
          </cell>
          <cell r="L518">
            <v>4</v>
          </cell>
          <cell r="M518" t="str">
            <v>EUR</v>
          </cell>
          <cell r="N518">
            <v>3045.12</v>
          </cell>
          <cell r="O518">
            <v>29.28</v>
          </cell>
          <cell r="P518">
            <v>104</v>
          </cell>
          <cell r="Q518">
            <v>104</v>
          </cell>
          <cell r="R518">
            <v>0</v>
          </cell>
        </row>
        <row r="519">
          <cell r="A519" t="str">
            <v>31DJDC7QB00G2Y44ZK</v>
          </cell>
          <cell r="B519" t="str">
            <v>Q3-23</v>
          </cell>
          <cell r="C519" t="str">
            <v>Europe Operations OU</v>
          </cell>
          <cell r="D519">
            <v>2674345</v>
          </cell>
          <cell r="E519" t="str">
            <v>Amazon EU SARL, succursale Italiana</v>
          </cell>
          <cell r="F519" t="str">
            <v>31DJDC7Q</v>
          </cell>
          <cell r="G519" t="str">
            <v>B00G2Y44ZK</v>
          </cell>
          <cell r="H519" t="str">
            <v>980-000742</v>
          </cell>
          <cell r="I519" t="str">
            <v>OE INVOICES</v>
          </cell>
          <cell r="J519">
            <v>44422158763</v>
          </cell>
          <cell r="K519">
            <v>44907</v>
          </cell>
          <cell r="L519">
            <v>5</v>
          </cell>
          <cell r="M519" t="str">
            <v>EUR</v>
          </cell>
          <cell r="N519">
            <v>1720</v>
          </cell>
          <cell r="O519">
            <v>86</v>
          </cell>
          <cell r="P519">
            <v>20</v>
          </cell>
          <cell r="Q519">
            <v>20</v>
          </cell>
          <cell r="R519">
            <v>0</v>
          </cell>
        </row>
        <row r="520">
          <cell r="A520" t="str">
            <v>31DJDC7QB00MWNDVIG</v>
          </cell>
          <cell r="B520" t="str">
            <v>Q3-23</v>
          </cell>
          <cell r="C520" t="str">
            <v>Europe Operations OU</v>
          </cell>
          <cell r="D520">
            <v>2674345</v>
          </cell>
          <cell r="E520" t="str">
            <v>Amazon EU SARL, succursale Italiana</v>
          </cell>
          <cell r="F520" t="str">
            <v>31DJDC7Q</v>
          </cell>
          <cell r="G520" t="str">
            <v>B00MWNDVIG</v>
          </cell>
          <cell r="H520" t="str">
            <v>920-006351</v>
          </cell>
          <cell r="I520" t="str">
            <v>OE INVOICES</v>
          </cell>
          <cell r="J520">
            <v>44422157108</v>
          </cell>
          <cell r="K520">
            <v>44904</v>
          </cell>
          <cell r="L520">
            <v>2</v>
          </cell>
          <cell r="M520" t="str">
            <v>EUR</v>
          </cell>
          <cell r="N520">
            <v>515.36</v>
          </cell>
          <cell r="O520">
            <v>32.21</v>
          </cell>
          <cell r="P520">
            <v>16</v>
          </cell>
          <cell r="Q520">
            <v>16</v>
          </cell>
          <cell r="R520">
            <v>0</v>
          </cell>
        </row>
        <row r="521">
          <cell r="A521" t="str">
            <v>31DJDC7QB00OK49SMI</v>
          </cell>
          <cell r="B521" t="str">
            <v>Q3-23</v>
          </cell>
          <cell r="C521" t="str">
            <v>Europe Operations OU</v>
          </cell>
          <cell r="D521">
            <v>2674345</v>
          </cell>
          <cell r="E521" t="str">
            <v>Amazon EU SARL, succursale Italiana</v>
          </cell>
          <cell r="F521" t="str">
            <v>31DJDC7Q</v>
          </cell>
          <cell r="G521" t="str">
            <v>B00OK49SMI</v>
          </cell>
          <cell r="H521" t="str">
            <v>920-006710</v>
          </cell>
          <cell r="I521" t="str">
            <v>OE INVOICES</v>
          </cell>
          <cell r="J521">
            <v>44422158798</v>
          </cell>
          <cell r="K521">
            <v>44907</v>
          </cell>
          <cell r="L521">
            <v>1</v>
          </cell>
          <cell r="M521" t="str">
            <v>EUR</v>
          </cell>
          <cell r="N521">
            <v>324.8</v>
          </cell>
          <cell r="O521">
            <v>40.6</v>
          </cell>
          <cell r="P521">
            <v>8</v>
          </cell>
          <cell r="Q521">
            <v>8</v>
          </cell>
          <cell r="R521">
            <v>0</v>
          </cell>
        </row>
        <row r="522">
          <cell r="A522" t="str">
            <v>31DJDC7QB00Q6MR0UO</v>
          </cell>
          <cell r="B522" t="str">
            <v>Q3-23</v>
          </cell>
          <cell r="C522" t="str">
            <v>Europe Operations OU</v>
          </cell>
          <cell r="D522">
            <v>2674345</v>
          </cell>
          <cell r="E522" t="str">
            <v>Amazon EU SARL, succursale Italiana</v>
          </cell>
          <cell r="F522" t="str">
            <v>31DJDC7Q</v>
          </cell>
          <cell r="G522" t="str">
            <v>B00Q6MR0UO</v>
          </cell>
          <cell r="H522" t="str">
            <v>910-004345</v>
          </cell>
          <cell r="I522" t="str">
            <v>OE INVOICES</v>
          </cell>
          <cell r="J522">
            <v>44422157108</v>
          </cell>
          <cell r="K522">
            <v>44904</v>
          </cell>
          <cell r="L522">
            <v>3</v>
          </cell>
          <cell r="M522" t="str">
            <v>EUR</v>
          </cell>
          <cell r="N522">
            <v>421.92</v>
          </cell>
          <cell r="O522">
            <v>26.37</v>
          </cell>
          <cell r="P522">
            <v>16</v>
          </cell>
          <cell r="Q522">
            <v>16</v>
          </cell>
          <cell r="R522">
            <v>0</v>
          </cell>
        </row>
        <row r="523">
          <cell r="A523" t="str">
            <v>31DJDC7QB013SL2050</v>
          </cell>
          <cell r="B523" t="str">
            <v>Q3-23</v>
          </cell>
          <cell r="C523" t="str">
            <v>Europe Operations OU</v>
          </cell>
          <cell r="D523">
            <v>2674345</v>
          </cell>
          <cell r="E523" t="str">
            <v>Amazon EU SARL, succursale Italiana</v>
          </cell>
          <cell r="F523" t="str">
            <v>31DJDC7Q</v>
          </cell>
          <cell r="G523" t="str">
            <v>B013SL2050</v>
          </cell>
          <cell r="H523" t="str">
            <v>920-007574</v>
          </cell>
          <cell r="I523" t="str">
            <v>OE INVOICES</v>
          </cell>
          <cell r="J523">
            <v>44422158763</v>
          </cell>
          <cell r="K523">
            <v>44907</v>
          </cell>
          <cell r="L523">
            <v>6</v>
          </cell>
          <cell r="M523" t="str">
            <v>EUR</v>
          </cell>
          <cell r="N523">
            <v>773.04</v>
          </cell>
          <cell r="O523">
            <v>32.21</v>
          </cell>
          <cell r="P523">
            <v>24</v>
          </cell>
          <cell r="Q523">
            <v>24</v>
          </cell>
          <cell r="R523">
            <v>0</v>
          </cell>
        </row>
        <row r="524">
          <cell r="A524" t="str">
            <v>31DJDC7QB014S0DVDK</v>
          </cell>
          <cell r="B524" t="str">
            <v>Q3-23</v>
          </cell>
          <cell r="C524" t="str">
            <v>Europe Operations OU</v>
          </cell>
          <cell r="D524">
            <v>2674345</v>
          </cell>
          <cell r="E524" t="str">
            <v>Amazon EU SARL, succursale Italiana</v>
          </cell>
          <cell r="F524" t="str">
            <v>31DJDC7Q</v>
          </cell>
          <cell r="G524" t="str">
            <v>B014S0DVDK</v>
          </cell>
          <cell r="H524" t="str">
            <v>939-001544</v>
          </cell>
          <cell r="I524" t="str">
            <v>OE INVOICES</v>
          </cell>
          <cell r="J524">
            <v>44422158763</v>
          </cell>
          <cell r="K524">
            <v>44907</v>
          </cell>
          <cell r="L524">
            <v>7</v>
          </cell>
          <cell r="M524" t="str">
            <v>EUR</v>
          </cell>
          <cell r="N524">
            <v>359.6</v>
          </cell>
          <cell r="O524">
            <v>44.95</v>
          </cell>
          <cell r="P524">
            <v>8</v>
          </cell>
          <cell r="Q524">
            <v>8</v>
          </cell>
          <cell r="R524">
            <v>0</v>
          </cell>
        </row>
        <row r="525">
          <cell r="A525" t="str">
            <v>31DJDC7QB0166J6EFS</v>
          </cell>
          <cell r="B525" t="str">
            <v>Q3-23</v>
          </cell>
          <cell r="C525" t="str">
            <v>Europe Operations OU</v>
          </cell>
          <cell r="D525">
            <v>2674345</v>
          </cell>
          <cell r="E525" t="str">
            <v>Amazon EU SARL, succursale Italiana</v>
          </cell>
          <cell r="F525" t="str">
            <v>31DJDC7Q</v>
          </cell>
          <cell r="G525" t="str">
            <v>B0166J6EFS</v>
          </cell>
          <cell r="H525" t="str">
            <v>920-007141</v>
          </cell>
          <cell r="I525" t="str">
            <v>OE INVOICES</v>
          </cell>
          <cell r="J525">
            <v>44422158763</v>
          </cell>
          <cell r="K525">
            <v>44907</v>
          </cell>
          <cell r="L525">
            <v>8</v>
          </cell>
          <cell r="M525" t="str">
            <v>EUR</v>
          </cell>
          <cell r="N525">
            <v>322.10000000000002</v>
          </cell>
          <cell r="O525">
            <v>32.21</v>
          </cell>
          <cell r="P525">
            <v>10</v>
          </cell>
          <cell r="Q525">
            <v>10</v>
          </cell>
          <cell r="R525">
            <v>0</v>
          </cell>
        </row>
        <row r="526">
          <cell r="A526" t="str">
            <v>31DJDC7QB01A9GXEOI</v>
          </cell>
          <cell r="B526" t="str">
            <v>Q3-23</v>
          </cell>
          <cell r="C526" t="str">
            <v>Europe Operations OU</v>
          </cell>
          <cell r="D526">
            <v>2674345</v>
          </cell>
          <cell r="E526" t="str">
            <v>Amazon EU SARL, succursale Italiana</v>
          </cell>
          <cell r="F526" t="str">
            <v>31DJDC7Q</v>
          </cell>
          <cell r="G526" t="str">
            <v>B01A9GXEOI</v>
          </cell>
          <cell r="H526" t="str">
            <v>910-004424</v>
          </cell>
          <cell r="I526" t="str">
            <v>OE INVOICES</v>
          </cell>
          <cell r="J526">
            <v>44422157108</v>
          </cell>
          <cell r="K526">
            <v>44904</v>
          </cell>
          <cell r="L526">
            <v>4</v>
          </cell>
          <cell r="M526" t="str">
            <v>EUR</v>
          </cell>
          <cell r="N526">
            <v>280.8</v>
          </cell>
          <cell r="O526">
            <v>9.36</v>
          </cell>
          <cell r="P526">
            <v>30</v>
          </cell>
          <cell r="Q526">
            <v>30</v>
          </cell>
          <cell r="R526">
            <v>0</v>
          </cell>
        </row>
        <row r="527">
          <cell r="A527" t="str">
            <v>31DJDC7QB01GNP4Y70</v>
          </cell>
          <cell r="B527" t="str">
            <v>Q3-23</v>
          </cell>
          <cell r="C527" t="str">
            <v>Europe Operations OU</v>
          </cell>
          <cell r="D527">
            <v>2674345</v>
          </cell>
          <cell r="E527" t="str">
            <v>Amazon EU SARL, succursale Italiana</v>
          </cell>
          <cell r="F527" t="str">
            <v>31DJDC7Q</v>
          </cell>
          <cell r="G527" t="str">
            <v>B01GNP4Y70</v>
          </cell>
          <cell r="H527" t="str">
            <v>920-008034</v>
          </cell>
          <cell r="I527" t="str">
            <v>OE INVOICES</v>
          </cell>
          <cell r="J527">
            <v>44422158798</v>
          </cell>
          <cell r="K527">
            <v>44907</v>
          </cell>
          <cell r="L527">
            <v>2</v>
          </cell>
          <cell r="M527" t="str">
            <v>EUR</v>
          </cell>
          <cell r="N527">
            <v>3898.16</v>
          </cell>
          <cell r="O527">
            <v>69.61</v>
          </cell>
          <cell r="P527">
            <v>56</v>
          </cell>
          <cell r="Q527">
            <v>56</v>
          </cell>
          <cell r="R527">
            <v>0</v>
          </cell>
        </row>
        <row r="528">
          <cell r="A528" t="str">
            <v>31DJDC7QB01K7GEAF2</v>
          </cell>
          <cell r="B528" t="str">
            <v>Q3-23</v>
          </cell>
          <cell r="C528" t="str">
            <v>Europe Operations OU</v>
          </cell>
          <cell r="D528">
            <v>2674345</v>
          </cell>
          <cell r="E528" t="str">
            <v>Amazon EU SARL, succursale Italiana</v>
          </cell>
          <cell r="F528" t="str">
            <v>31DJDC7Q</v>
          </cell>
          <cell r="G528" t="str">
            <v>B01K7GEAF2</v>
          </cell>
          <cell r="H528" t="str">
            <v>910-004879</v>
          </cell>
          <cell r="I528" t="str">
            <v>OE INVOICES</v>
          </cell>
          <cell r="J528">
            <v>44422158763</v>
          </cell>
          <cell r="K528">
            <v>44907</v>
          </cell>
          <cell r="L528">
            <v>9</v>
          </cell>
          <cell r="M528" t="str">
            <v>EUR</v>
          </cell>
          <cell r="N528">
            <v>1475.1</v>
          </cell>
          <cell r="O528">
            <v>16.39</v>
          </cell>
          <cell r="P528">
            <v>90</v>
          </cell>
          <cell r="Q528">
            <v>90</v>
          </cell>
          <cell r="R528">
            <v>0</v>
          </cell>
        </row>
        <row r="529">
          <cell r="A529" t="str">
            <v>31DJDC7QB0728J7D3B</v>
          </cell>
          <cell r="B529" t="str">
            <v>Q3-23</v>
          </cell>
          <cell r="C529" t="str">
            <v>Europe Operations OU</v>
          </cell>
          <cell r="D529">
            <v>2674345</v>
          </cell>
          <cell r="E529" t="str">
            <v>Amazon EU SARL, succursale Italiana</v>
          </cell>
          <cell r="F529" t="str">
            <v>31DJDC7Q</v>
          </cell>
          <cell r="G529" t="str">
            <v>B0728J7D3B</v>
          </cell>
          <cell r="H529" t="str">
            <v>981-000668</v>
          </cell>
          <cell r="I529" t="str">
            <v>OE INVOICES</v>
          </cell>
          <cell r="J529">
            <v>44422158798</v>
          </cell>
          <cell r="K529">
            <v>44907</v>
          </cell>
          <cell r="L529">
            <v>3</v>
          </cell>
          <cell r="M529" t="str">
            <v>EUR</v>
          </cell>
          <cell r="N529">
            <v>9387.52</v>
          </cell>
          <cell r="O529">
            <v>73.34</v>
          </cell>
          <cell r="P529">
            <v>128</v>
          </cell>
          <cell r="Q529">
            <v>128</v>
          </cell>
          <cell r="R529">
            <v>0</v>
          </cell>
        </row>
        <row r="530">
          <cell r="A530" t="str">
            <v>31DJDC7QB072R4BL6S</v>
          </cell>
          <cell r="B530" t="str">
            <v>Q3-23</v>
          </cell>
          <cell r="C530" t="str">
            <v>Europe Operations OU</v>
          </cell>
          <cell r="D530">
            <v>2674345</v>
          </cell>
          <cell r="E530" t="str">
            <v>Amazon EU SARL, succursale Italiana</v>
          </cell>
          <cell r="F530" t="str">
            <v>31DJDC7Q</v>
          </cell>
          <cell r="G530" t="str">
            <v>B072R4BL6S</v>
          </cell>
          <cell r="H530" t="str">
            <v>989-000405</v>
          </cell>
          <cell r="I530" t="str">
            <v>OE INVOICES</v>
          </cell>
          <cell r="J530">
            <v>44422158763</v>
          </cell>
          <cell r="K530">
            <v>44907</v>
          </cell>
          <cell r="L530">
            <v>10</v>
          </cell>
          <cell r="M530" t="str">
            <v>EUR</v>
          </cell>
          <cell r="N530">
            <v>664</v>
          </cell>
          <cell r="O530">
            <v>166</v>
          </cell>
          <cell r="P530">
            <v>4</v>
          </cell>
          <cell r="Q530">
            <v>4</v>
          </cell>
          <cell r="R530">
            <v>0</v>
          </cell>
        </row>
        <row r="531">
          <cell r="A531" t="str">
            <v>31DJDC7QB079Z3DSBK</v>
          </cell>
          <cell r="B531" t="str">
            <v>Q3-23</v>
          </cell>
          <cell r="C531" t="str">
            <v>Europe Operations OU</v>
          </cell>
          <cell r="D531">
            <v>2674345</v>
          </cell>
          <cell r="E531" t="str">
            <v>Amazon EU SARL, succursale Italiana</v>
          </cell>
          <cell r="F531" t="str">
            <v>31DJDC7Q</v>
          </cell>
          <cell r="G531" t="str">
            <v>B079Z3DSBK</v>
          </cell>
          <cell r="H531" t="str">
            <v>945-000059</v>
          </cell>
          <cell r="I531" t="str">
            <v>OE INVOICES</v>
          </cell>
          <cell r="J531">
            <v>44422157108</v>
          </cell>
          <cell r="K531">
            <v>44904</v>
          </cell>
          <cell r="L531">
            <v>5</v>
          </cell>
          <cell r="M531" t="str">
            <v>EUR</v>
          </cell>
          <cell r="N531">
            <v>4732.8</v>
          </cell>
          <cell r="O531">
            <v>157.76</v>
          </cell>
          <cell r="P531">
            <v>30</v>
          </cell>
          <cell r="Q531">
            <v>30</v>
          </cell>
          <cell r="R531">
            <v>0</v>
          </cell>
        </row>
        <row r="532">
          <cell r="A532" t="str">
            <v>31DJDC7QB07PNJ533Y</v>
          </cell>
          <cell r="B532" t="str">
            <v>Q3-23</v>
          </cell>
          <cell r="C532" t="str">
            <v>Europe Operations OU</v>
          </cell>
          <cell r="D532">
            <v>2674345</v>
          </cell>
          <cell r="E532" t="str">
            <v>Amazon EU SARL, succursale Italiana</v>
          </cell>
          <cell r="F532" t="str">
            <v>31DJDC7Q</v>
          </cell>
          <cell r="G532" t="str">
            <v>B07PNJ533Y</v>
          </cell>
          <cell r="H532" t="str">
            <v>939-001730</v>
          </cell>
          <cell r="I532" t="str">
            <v>OE INVOICES</v>
          </cell>
          <cell r="J532">
            <v>44422158763</v>
          </cell>
          <cell r="K532">
            <v>44907</v>
          </cell>
          <cell r="L532">
            <v>11</v>
          </cell>
          <cell r="M532" t="str">
            <v>EUR</v>
          </cell>
          <cell r="N532">
            <v>824.48</v>
          </cell>
          <cell r="O532">
            <v>103.06</v>
          </cell>
          <cell r="P532">
            <v>8</v>
          </cell>
          <cell r="Q532">
            <v>8</v>
          </cell>
          <cell r="R532">
            <v>0</v>
          </cell>
        </row>
        <row r="533">
          <cell r="A533" t="str">
            <v>31DJDC7QB07VFJT9NM</v>
          </cell>
          <cell r="B533" t="str">
            <v>Q3-23</v>
          </cell>
          <cell r="C533" t="str">
            <v>Europe Operations OU</v>
          </cell>
          <cell r="D533">
            <v>2674345</v>
          </cell>
          <cell r="E533" t="str">
            <v>Amazon EU SARL, succursale Italiana</v>
          </cell>
          <cell r="F533" t="str">
            <v>31DJDC7Q</v>
          </cell>
          <cell r="G533" t="str">
            <v>B07VFJT9NM</v>
          </cell>
          <cell r="H533" t="str">
            <v>910-005716</v>
          </cell>
          <cell r="I533" t="str">
            <v>OE INVOICES</v>
          </cell>
          <cell r="J533">
            <v>44422158763</v>
          </cell>
          <cell r="K533">
            <v>44907</v>
          </cell>
          <cell r="L533">
            <v>12</v>
          </cell>
          <cell r="M533" t="str">
            <v>EUR</v>
          </cell>
          <cell r="N533">
            <v>1311.2</v>
          </cell>
          <cell r="O533">
            <v>16.39</v>
          </cell>
          <cell r="P533">
            <v>80</v>
          </cell>
          <cell r="Q533">
            <v>80</v>
          </cell>
          <cell r="R533">
            <v>0</v>
          </cell>
        </row>
        <row r="534">
          <cell r="A534" t="str">
            <v>31DJDC7QB07VK1S68S</v>
          </cell>
          <cell r="B534" t="str">
            <v>Q3-23</v>
          </cell>
          <cell r="C534" t="str">
            <v>Europe Operations OU</v>
          </cell>
          <cell r="D534">
            <v>2674345</v>
          </cell>
          <cell r="E534" t="str">
            <v>Amazon EU SARL, succursale Italiana</v>
          </cell>
          <cell r="F534" t="str">
            <v>31DJDC7Q</v>
          </cell>
          <cell r="G534" t="str">
            <v>B07VK1S68S</v>
          </cell>
          <cell r="H534" t="str">
            <v>920-009196</v>
          </cell>
          <cell r="I534" t="str">
            <v>OE INVOICES</v>
          </cell>
          <cell r="J534">
            <v>44422158763</v>
          </cell>
          <cell r="K534">
            <v>44907</v>
          </cell>
          <cell r="L534">
            <v>13</v>
          </cell>
          <cell r="M534" t="str">
            <v>EUR</v>
          </cell>
          <cell r="N534">
            <v>1545.72</v>
          </cell>
          <cell r="O534">
            <v>35.130000000000003</v>
          </cell>
          <cell r="P534">
            <v>44</v>
          </cell>
          <cell r="Q534">
            <v>44</v>
          </cell>
          <cell r="R534">
            <v>0</v>
          </cell>
        </row>
        <row r="535">
          <cell r="A535" t="str">
            <v>31DJDC7QB07W4DG827</v>
          </cell>
          <cell r="B535" t="str">
            <v>Q3-23</v>
          </cell>
          <cell r="C535" t="str">
            <v>Europe Operations OU</v>
          </cell>
          <cell r="D535">
            <v>2674345</v>
          </cell>
          <cell r="E535" t="str">
            <v>Amazon EU SARL, succursale Italiana</v>
          </cell>
          <cell r="F535" t="str">
            <v>31DJDC7Q</v>
          </cell>
          <cell r="G535" t="str">
            <v>B07W4DG827</v>
          </cell>
          <cell r="H535" t="str">
            <v>910-006520</v>
          </cell>
          <cell r="I535" t="str">
            <v>OE INVOICES</v>
          </cell>
          <cell r="J535">
            <v>44422158798</v>
          </cell>
          <cell r="K535">
            <v>44907</v>
          </cell>
          <cell r="L535">
            <v>4</v>
          </cell>
          <cell r="M535" t="str">
            <v>EUR</v>
          </cell>
          <cell r="N535">
            <v>234.24</v>
          </cell>
          <cell r="O535">
            <v>29.28</v>
          </cell>
          <cell r="P535">
            <v>8</v>
          </cell>
          <cell r="Q535">
            <v>8</v>
          </cell>
          <cell r="R535">
            <v>0</v>
          </cell>
        </row>
        <row r="536">
          <cell r="A536" t="str">
            <v>31DJDC7QB07W4DGLJX</v>
          </cell>
          <cell r="B536" t="str">
            <v>Q3-23</v>
          </cell>
          <cell r="C536" t="str">
            <v>Europe Operations OU</v>
          </cell>
          <cell r="D536">
            <v>2674345</v>
          </cell>
          <cell r="E536" t="str">
            <v>Amazon EU SARL, succursale Italiana</v>
          </cell>
          <cell r="F536" t="str">
            <v>31DJDC7Q</v>
          </cell>
          <cell r="G536" t="str">
            <v>B07W4DGLJX</v>
          </cell>
          <cell r="H536" t="str">
            <v>920-009197</v>
          </cell>
          <cell r="I536" t="str">
            <v>OE INVOICES</v>
          </cell>
          <cell r="J536">
            <v>44422158763</v>
          </cell>
          <cell r="K536">
            <v>44907</v>
          </cell>
          <cell r="L536">
            <v>14</v>
          </cell>
          <cell r="M536" t="str">
            <v>EUR</v>
          </cell>
          <cell r="N536">
            <v>843.12</v>
          </cell>
          <cell r="O536">
            <v>35.130000000000003</v>
          </cell>
          <cell r="P536">
            <v>24</v>
          </cell>
          <cell r="Q536">
            <v>24</v>
          </cell>
          <cell r="R536">
            <v>0</v>
          </cell>
        </row>
        <row r="537">
          <cell r="A537" t="str">
            <v>31DJDC7QB07W4DHKTD</v>
          </cell>
          <cell r="B537" t="str">
            <v>Q3-23</v>
          </cell>
          <cell r="C537" t="str">
            <v>Europe Operations OU</v>
          </cell>
          <cell r="D537">
            <v>2674345</v>
          </cell>
          <cell r="E537" t="str">
            <v>Amazon EU SARL, succursale Italiana</v>
          </cell>
          <cell r="F537" t="str">
            <v>31DJDC7Q</v>
          </cell>
          <cell r="G537" t="str">
            <v>B07W4DHKTD</v>
          </cell>
          <cell r="H537" t="str">
            <v>910-005880</v>
          </cell>
          <cell r="I537" t="str">
            <v>OE INVOICES</v>
          </cell>
          <cell r="J537">
            <v>44422158763</v>
          </cell>
          <cell r="K537">
            <v>44907</v>
          </cell>
          <cell r="L537">
            <v>15</v>
          </cell>
          <cell r="M537" t="str">
            <v>EUR</v>
          </cell>
          <cell r="N537">
            <v>2013.36</v>
          </cell>
          <cell r="O537">
            <v>83.89</v>
          </cell>
          <cell r="P537">
            <v>24</v>
          </cell>
          <cell r="Q537">
            <v>24</v>
          </cell>
          <cell r="R537">
            <v>0</v>
          </cell>
        </row>
        <row r="538">
          <cell r="A538" t="str">
            <v>31DJDC7QB07W4DHMVB</v>
          </cell>
          <cell r="B538" t="str">
            <v>Q3-23</v>
          </cell>
          <cell r="C538" t="str">
            <v>Europe Operations OU</v>
          </cell>
          <cell r="D538">
            <v>2674345</v>
          </cell>
          <cell r="E538" t="str">
            <v>Amazon EU SARL, succursale Italiana</v>
          </cell>
          <cell r="F538" t="str">
            <v>31DJDC7Q</v>
          </cell>
          <cell r="G538" t="str">
            <v>B07W4DHMVB</v>
          </cell>
          <cell r="H538" t="str">
            <v>981-001074</v>
          </cell>
          <cell r="I538" t="str">
            <v>OE INVOICES</v>
          </cell>
          <cell r="J538">
            <v>44422158798</v>
          </cell>
          <cell r="K538">
            <v>44907</v>
          </cell>
          <cell r="L538">
            <v>5</v>
          </cell>
          <cell r="M538" t="str">
            <v>EUR</v>
          </cell>
          <cell r="N538">
            <v>5380.8</v>
          </cell>
          <cell r="O538">
            <v>44.84</v>
          </cell>
          <cell r="P538">
            <v>120</v>
          </cell>
          <cell r="Q538">
            <v>120</v>
          </cell>
          <cell r="R538">
            <v>0</v>
          </cell>
        </row>
        <row r="539">
          <cell r="A539" t="str">
            <v>31DJDC7QB07W4DHT47</v>
          </cell>
          <cell r="B539" t="str">
            <v>Q3-23</v>
          </cell>
          <cell r="C539" t="str">
            <v>Europe Operations OU</v>
          </cell>
          <cell r="D539">
            <v>2674345</v>
          </cell>
          <cell r="E539" t="str">
            <v>Amazon EU SARL, succursale Italiana</v>
          </cell>
          <cell r="F539" t="str">
            <v>31DJDC7Q</v>
          </cell>
          <cell r="G539" t="str">
            <v>B07W4DHT47</v>
          </cell>
          <cell r="H539" t="str">
            <v>910-006034</v>
          </cell>
          <cell r="I539" t="str">
            <v>OE INVOICES</v>
          </cell>
          <cell r="J539">
            <v>44422158763</v>
          </cell>
          <cell r="K539">
            <v>44907</v>
          </cell>
          <cell r="L539">
            <v>16</v>
          </cell>
          <cell r="M539" t="str">
            <v>EUR</v>
          </cell>
          <cell r="N539">
            <v>5153.6000000000004</v>
          </cell>
          <cell r="O539">
            <v>32.21</v>
          </cell>
          <cell r="P539">
            <v>160</v>
          </cell>
          <cell r="Q539">
            <v>160</v>
          </cell>
          <cell r="R539">
            <v>0</v>
          </cell>
        </row>
        <row r="540">
          <cell r="A540" t="str">
            <v>31DJDC7QB07W4DJ16Z</v>
          </cell>
          <cell r="B540" t="str">
            <v>Q3-23</v>
          </cell>
          <cell r="C540" t="str">
            <v>Europe Operations OU</v>
          </cell>
          <cell r="D540">
            <v>2674345</v>
          </cell>
          <cell r="E540" t="str">
            <v>Amazon EU SARL, succursale Italiana</v>
          </cell>
          <cell r="F540" t="str">
            <v>31DJDC7Q</v>
          </cell>
          <cell r="G540" t="str">
            <v>B07W4DJ16Z</v>
          </cell>
          <cell r="H540" t="str">
            <v>910-006128</v>
          </cell>
          <cell r="I540" t="str">
            <v>OE INVOICES</v>
          </cell>
          <cell r="J540">
            <v>44422157108</v>
          </cell>
          <cell r="K540">
            <v>44904</v>
          </cell>
          <cell r="L540">
            <v>6</v>
          </cell>
          <cell r="M540" t="str">
            <v>EUR</v>
          </cell>
          <cell r="N540">
            <v>4097.5</v>
          </cell>
          <cell r="O540">
            <v>16.39</v>
          </cell>
          <cell r="P540">
            <v>250</v>
          </cell>
          <cell r="Q540">
            <v>250</v>
          </cell>
          <cell r="R540">
            <v>0</v>
          </cell>
        </row>
        <row r="541">
          <cell r="A541" t="str">
            <v>31DJDC7QB07W4DJF29</v>
          </cell>
          <cell r="B541" t="str">
            <v>Q3-23</v>
          </cell>
          <cell r="C541" t="str">
            <v>Europe Operations OU</v>
          </cell>
          <cell r="D541">
            <v>2674345</v>
          </cell>
          <cell r="E541" t="str">
            <v>Amazon EU SARL, succursale Italiana</v>
          </cell>
          <cell r="F541" t="str">
            <v>31DJDC7Q</v>
          </cell>
          <cell r="G541" t="str">
            <v>B07W4DJF29</v>
          </cell>
          <cell r="H541" t="str">
            <v>981-001083</v>
          </cell>
          <cell r="I541" t="str">
            <v>OE INVOICES</v>
          </cell>
          <cell r="J541">
            <v>44422158763</v>
          </cell>
          <cell r="K541">
            <v>44907</v>
          </cell>
          <cell r="L541">
            <v>17</v>
          </cell>
          <cell r="M541" t="str">
            <v>EUR</v>
          </cell>
          <cell r="N541">
            <v>7249.8</v>
          </cell>
          <cell r="O541">
            <v>120.83</v>
          </cell>
          <cell r="P541">
            <v>60</v>
          </cell>
          <cell r="Q541">
            <v>60</v>
          </cell>
          <cell r="R541">
            <v>0</v>
          </cell>
        </row>
        <row r="542">
          <cell r="A542" t="str">
            <v>31DJDC7QB07W5JHF97</v>
          </cell>
          <cell r="B542" t="str">
            <v>Q3-23</v>
          </cell>
          <cell r="C542" t="str">
            <v>Europe Operations OU</v>
          </cell>
          <cell r="D542">
            <v>2674345</v>
          </cell>
          <cell r="E542" t="str">
            <v>Amazon EU SARL, succursale Italiana</v>
          </cell>
          <cell r="F542" t="str">
            <v>31DJDC7Q</v>
          </cell>
          <cell r="G542" t="str">
            <v>B07W5JHF97</v>
          </cell>
          <cell r="H542" t="str">
            <v>984-001829</v>
          </cell>
          <cell r="I542" t="str">
            <v>OE INVOICES</v>
          </cell>
          <cell r="J542">
            <v>44422158763</v>
          </cell>
          <cell r="K542">
            <v>44907</v>
          </cell>
          <cell r="L542">
            <v>18</v>
          </cell>
          <cell r="M542" t="str">
            <v>EUR</v>
          </cell>
          <cell r="N542">
            <v>3852.72</v>
          </cell>
          <cell r="O542">
            <v>53.51</v>
          </cell>
          <cell r="P542">
            <v>72</v>
          </cell>
          <cell r="Q542">
            <v>72</v>
          </cell>
          <cell r="R542">
            <v>0</v>
          </cell>
        </row>
        <row r="543">
          <cell r="A543" t="str">
            <v>31DJDC7QB07W5JJ1WH</v>
          </cell>
          <cell r="B543" t="str">
            <v>Q3-23</v>
          </cell>
          <cell r="C543" t="str">
            <v>Europe Operations OU</v>
          </cell>
          <cell r="D543">
            <v>2674345</v>
          </cell>
          <cell r="E543" t="str">
            <v>Amazon EU SARL, succursale Italiana</v>
          </cell>
          <cell r="F543" t="str">
            <v>31DJDC7Q</v>
          </cell>
          <cell r="G543" t="str">
            <v>B07W5JJ1WH</v>
          </cell>
          <cell r="H543" t="str">
            <v>920-009409</v>
          </cell>
          <cell r="I543" t="str">
            <v>OE INVOICES</v>
          </cell>
          <cell r="J543">
            <v>44422158763</v>
          </cell>
          <cell r="K543">
            <v>44907</v>
          </cell>
          <cell r="L543">
            <v>19</v>
          </cell>
          <cell r="M543" t="str">
            <v>EUR</v>
          </cell>
          <cell r="N543">
            <v>603.28</v>
          </cell>
          <cell r="O543">
            <v>75.41</v>
          </cell>
          <cell r="P543">
            <v>8</v>
          </cell>
          <cell r="Q543">
            <v>8</v>
          </cell>
          <cell r="R543">
            <v>0</v>
          </cell>
        </row>
        <row r="544">
          <cell r="A544" t="str">
            <v>31DJDC7QB07W6G3KBL</v>
          </cell>
          <cell r="B544" t="str">
            <v>Q3-23</v>
          </cell>
          <cell r="C544" t="str">
            <v>Europe Operations OU</v>
          </cell>
          <cell r="D544">
            <v>2674345</v>
          </cell>
          <cell r="E544" t="str">
            <v>Amazon EU SARL, succursale Italiana</v>
          </cell>
          <cell r="F544" t="str">
            <v>31DJDC7Q</v>
          </cell>
          <cell r="G544" t="str">
            <v>B07W6G3KBL</v>
          </cell>
          <cell r="H544" t="str">
            <v>910-006785</v>
          </cell>
          <cell r="I544" t="str">
            <v>OE INVOICES</v>
          </cell>
          <cell r="J544">
            <v>44422158763</v>
          </cell>
          <cell r="K544">
            <v>44907</v>
          </cell>
          <cell r="L544">
            <v>20</v>
          </cell>
          <cell r="M544" t="str">
            <v>EUR</v>
          </cell>
          <cell r="N544">
            <v>335.56</v>
          </cell>
          <cell r="O544">
            <v>83.89</v>
          </cell>
          <cell r="P544">
            <v>4</v>
          </cell>
          <cell r="Q544">
            <v>4</v>
          </cell>
          <cell r="R544">
            <v>0</v>
          </cell>
        </row>
        <row r="545">
          <cell r="A545" t="str">
            <v>31DJDC7QB07W6GVZFL</v>
          </cell>
          <cell r="B545" t="str">
            <v>Q3-23</v>
          </cell>
          <cell r="C545" t="str">
            <v>Europe Operations OU</v>
          </cell>
          <cell r="D545">
            <v>2674345</v>
          </cell>
          <cell r="E545" t="str">
            <v>Amazon EU SARL, succursale Italiana</v>
          </cell>
          <cell r="F545" t="str">
            <v>31DJDC7Q</v>
          </cell>
          <cell r="G545" t="str">
            <v>B07W6GVZFL</v>
          </cell>
          <cell r="H545" t="str">
            <v>910-006752</v>
          </cell>
          <cell r="I545" t="str">
            <v>OE INVOICES</v>
          </cell>
          <cell r="J545">
            <v>44422158763</v>
          </cell>
          <cell r="K545">
            <v>44907</v>
          </cell>
          <cell r="L545">
            <v>21</v>
          </cell>
          <cell r="M545" t="str">
            <v>EUR</v>
          </cell>
          <cell r="N545">
            <v>327.8</v>
          </cell>
          <cell r="O545">
            <v>16.39</v>
          </cell>
          <cell r="P545">
            <v>20</v>
          </cell>
          <cell r="Q545">
            <v>20</v>
          </cell>
          <cell r="R545">
            <v>0</v>
          </cell>
        </row>
        <row r="546">
          <cell r="A546" t="str">
            <v>31DJDC7QB07W6H4R4G</v>
          </cell>
          <cell r="B546" t="str">
            <v>Q3-23</v>
          </cell>
          <cell r="C546" t="str">
            <v>Europe Operations OU</v>
          </cell>
          <cell r="D546">
            <v>2674345</v>
          </cell>
          <cell r="E546" t="str">
            <v>Amazon EU SARL, succursale Italiana</v>
          </cell>
          <cell r="F546" t="str">
            <v>31DJDC7Q</v>
          </cell>
          <cell r="G546" t="str">
            <v>B07W6H4R4G</v>
          </cell>
          <cell r="H546" t="str">
            <v>910-006571</v>
          </cell>
          <cell r="I546" t="str">
            <v>OE INVOICES</v>
          </cell>
          <cell r="J546">
            <v>44422158763</v>
          </cell>
          <cell r="K546">
            <v>44907</v>
          </cell>
          <cell r="L546">
            <v>22</v>
          </cell>
          <cell r="M546" t="str">
            <v>EUR</v>
          </cell>
          <cell r="N546">
            <v>25036.12</v>
          </cell>
          <cell r="O546">
            <v>75.41</v>
          </cell>
          <cell r="P546">
            <v>332</v>
          </cell>
          <cell r="Q546">
            <v>332</v>
          </cell>
          <cell r="R546">
            <v>0</v>
          </cell>
        </row>
        <row r="547">
          <cell r="A547" t="str">
            <v>31DJDC7QB07W6HVXXN</v>
          </cell>
          <cell r="B547" t="str">
            <v>Q3-23</v>
          </cell>
          <cell r="C547" t="str">
            <v>Europe Operations OU</v>
          </cell>
          <cell r="D547">
            <v>2674345</v>
          </cell>
          <cell r="E547" t="str">
            <v>Amazon EU SARL, succursale Italiana</v>
          </cell>
          <cell r="F547" t="str">
            <v>31DJDC7Q</v>
          </cell>
          <cell r="G547" t="str">
            <v>B07W6HVXXN</v>
          </cell>
          <cell r="H547" t="str">
            <v>920-009404</v>
          </cell>
          <cell r="I547" t="str">
            <v>OE INVOICES</v>
          </cell>
          <cell r="J547">
            <v>44422158763</v>
          </cell>
          <cell r="K547">
            <v>44907</v>
          </cell>
          <cell r="L547">
            <v>23</v>
          </cell>
          <cell r="M547" t="str">
            <v>EUR</v>
          </cell>
          <cell r="N547">
            <v>10070.040000000001</v>
          </cell>
          <cell r="O547">
            <v>81.209999999999994</v>
          </cell>
          <cell r="P547">
            <v>124</v>
          </cell>
          <cell r="Q547">
            <v>124</v>
          </cell>
          <cell r="R547">
            <v>0</v>
          </cell>
        </row>
        <row r="548">
          <cell r="A548" t="str">
            <v>31DJDC7QB07W6HXQ9J</v>
          </cell>
          <cell r="B548" t="str">
            <v>Q3-23</v>
          </cell>
          <cell r="C548" t="str">
            <v>Europe Operations OU</v>
          </cell>
          <cell r="D548">
            <v>2674345</v>
          </cell>
          <cell r="E548" t="str">
            <v>Amazon EU SARL, succursale Italiana</v>
          </cell>
          <cell r="F548" t="str">
            <v>31DJDC7Q</v>
          </cell>
          <cell r="G548" t="str">
            <v>B07W6HXQ9J</v>
          </cell>
          <cell r="H548" t="str">
            <v>910-006572</v>
          </cell>
          <cell r="I548" t="str">
            <v>OE INVOICES</v>
          </cell>
          <cell r="J548">
            <v>44422158763</v>
          </cell>
          <cell r="K548">
            <v>44907</v>
          </cell>
          <cell r="L548">
            <v>24</v>
          </cell>
          <cell r="M548" t="str">
            <v>EUR</v>
          </cell>
          <cell r="N548">
            <v>2714.76</v>
          </cell>
          <cell r="O548">
            <v>75.41</v>
          </cell>
          <cell r="P548">
            <v>36</v>
          </cell>
          <cell r="Q548">
            <v>36</v>
          </cell>
          <cell r="R548">
            <v>0</v>
          </cell>
        </row>
        <row r="549">
          <cell r="A549" t="str">
            <v>31DJDC7QB07W6JKH1B</v>
          </cell>
          <cell r="B549" t="str">
            <v>Q3-23</v>
          </cell>
          <cell r="C549" t="str">
            <v>Europe Operations OU</v>
          </cell>
          <cell r="D549">
            <v>2674345</v>
          </cell>
          <cell r="E549" t="str">
            <v>Amazon EU SARL, succursale Italiana</v>
          </cell>
          <cell r="F549" t="str">
            <v>31DJDC7Q</v>
          </cell>
          <cell r="G549" t="str">
            <v>B07W6JKH1B</v>
          </cell>
          <cell r="H549" t="str">
            <v>920-011176</v>
          </cell>
          <cell r="I549" t="str">
            <v>OE INVOICES</v>
          </cell>
          <cell r="J549">
            <v>44422158763</v>
          </cell>
          <cell r="K549">
            <v>44907</v>
          </cell>
          <cell r="L549">
            <v>25</v>
          </cell>
          <cell r="M549" t="str">
            <v>EUR</v>
          </cell>
          <cell r="N549">
            <v>773.04</v>
          </cell>
          <cell r="O549">
            <v>32.21</v>
          </cell>
          <cell r="P549">
            <v>24</v>
          </cell>
          <cell r="Q549">
            <v>24</v>
          </cell>
          <cell r="R549">
            <v>0</v>
          </cell>
        </row>
        <row r="550">
          <cell r="A550" t="str">
            <v>31DJDC7QB07W6JLFZ2</v>
          </cell>
          <cell r="B550" t="str">
            <v>Q3-23</v>
          </cell>
          <cell r="C550" t="str">
            <v>Europe Operations OU</v>
          </cell>
          <cell r="D550">
            <v>2674345</v>
          </cell>
          <cell r="E550" t="str">
            <v>Amazon EU SARL, succursale Italiana</v>
          </cell>
          <cell r="F550" t="str">
            <v>31DJDC7Q</v>
          </cell>
          <cell r="G550" t="str">
            <v>B07W6JLFZ2</v>
          </cell>
          <cell r="H550" t="str">
            <v>910-006105</v>
          </cell>
          <cell r="I550" t="str">
            <v>OE INVOICES</v>
          </cell>
          <cell r="J550">
            <v>44422158798</v>
          </cell>
          <cell r="K550">
            <v>44907</v>
          </cell>
          <cell r="L550">
            <v>6</v>
          </cell>
          <cell r="M550" t="str">
            <v>EUR</v>
          </cell>
          <cell r="N550">
            <v>293.36</v>
          </cell>
          <cell r="O550">
            <v>73.34</v>
          </cell>
          <cell r="P550">
            <v>4</v>
          </cell>
          <cell r="Q550">
            <v>4</v>
          </cell>
          <cell r="R550">
            <v>0</v>
          </cell>
        </row>
        <row r="551">
          <cell r="A551" t="str">
            <v>31DJDC7QB07W6JM35X</v>
          </cell>
          <cell r="B551" t="str">
            <v>Q3-23</v>
          </cell>
          <cell r="C551" t="str">
            <v>Europe Operations OU</v>
          </cell>
          <cell r="D551">
            <v>2674345</v>
          </cell>
          <cell r="E551" t="str">
            <v>Amazon EU SARL, succursale Italiana</v>
          </cell>
          <cell r="F551" t="str">
            <v>31DJDC7Q</v>
          </cell>
          <cell r="G551" t="str">
            <v>B07W6JM35X</v>
          </cell>
          <cell r="H551" t="str">
            <v>981-001062</v>
          </cell>
          <cell r="I551" t="str">
            <v>OE INVOICES</v>
          </cell>
          <cell r="J551">
            <v>44422158798</v>
          </cell>
          <cell r="K551">
            <v>44907</v>
          </cell>
          <cell r="L551">
            <v>7</v>
          </cell>
          <cell r="M551" t="str">
            <v>EUR</v>
          </cell>
          <cell r="N551">
            <v>16142.4</v>
          </cell>
          <cell r="O551">
            <v>44.84</v>
          </cell>
          <cell r="P551">
            <v>360</v>
          </cell>
          <cell r="Q551">
            <v>360</v>
          </cell>
          <cell r="R551">
            <v>0</v>
          </cell>
        </row>
        <row r="552">
          <cell r="A552" t="str">
            <v>31DJDC7QB07W6JNF81</v>
          </cell>
          <cell r="B552" t="str">
            <v>Q3-23</v>
          </cell>
          <cell r="C552" t="str">
            <v>Europe Operations OU</v>
          </cell>
          <cell r="D552">
            <v>2674345</v>
          </cell>
          <cell r="E552" t="str">
            <v>Amazon EU SARL, succursale Italiana</v>
          </cell>
          <cell r="F552" t="str">
            <v>31DJDC7Q</v>
          </cell>
          <cell r="G552" t="str">
            <v>B07W6JNF81</v>
          </cell>
          <cell r="H552" t="str">
            <v>920-010212</v>
          </cell>
          <cell r="I552" t="str">
            <v>OE INVOICES</v>
          </cell>
          <cell r="J552">
            <v>44422158763</v>
          </cell>
          <cell r="K552">
            <v>44907</v>
          </cell>
          <cell r="L552">
            <v>26</v>
          </cell>
          <cell r="M552" t="str">
            <v>EUR</v>
          </cell>
          <cell r="N552">
            <v>5336.8</v>
          </cell>
          <cell r="O552">
            <v>133.41999999999999</v>
          </cell>
          <cell r="P552">
            <v>40</v>
          </cell>
          <cell r="Q552">
            <v>40</v>
          </cell>
          <cell r="R552">
            <v>0</v>
          </cell>
        </row>
        <row r="553">
          <cell r="A553" t="str">
            <v>31DJDC7QB07W7J6RBC</v>
          </cell>
          <cell r="B553" t="str">
            <v>Q3-23</v>
          </cell>
          <cell r="C553" t="str">
            <v>Europe Operations OU</v>
          </cell>
          <cell r="D553">
            <v>2674345</v>
          </cell>
          <cell r="E553" t="str">
            <v>Amazon EU SARL, succursale Italiana</v>
          </cell>
          <cell r="F553" t="str">
            <v>31DJDC7Q</v>
          </cell>
          <cell r="G553" t="str">
            <v>B07W7J6RBC</v>
          </cell>
          <cell r="H553" t="str">
            <v>981-001126</v>
          </cell>
          <cell r="I553" t="str">
            <v>OE INVOICES</v>
          </cell>
          <cell r="J553">
            <v>44422158798</v>
          </cell>
          <cell r="K553">
            <v>44907</v>
          </cell>
          <cell r="L553">
            <v>8</v>
          </cell>
          <cell r="M553" t="str">
            <v>EUR</v>
          </cell>
          <cell r="N553">
            <v>322.56</v>
          </cell>
          <cell r="O553">
            <v>80.64</v>
          </cell>
          <cell r="P553">
            <v>4</v>
          </cell>
          <cell r="Q553">
            <v>4</v>
          </cell>
          <cell r="R553">
            <v>0</v>
          </cell>
        </row>
        <row r="554">
          <cell r="A554" t="str">
            <v>31DJDC7QB07W7KMK4Y</v>
          </cell>
          <cell r="B554" t="str">
            <v>Q3-23</v>
          </cell>
          <cell r="C554" t="str">
            <v>Europe Operations OU</v>
          </cell>
          <cell r="D554">
            <v>2674345</v>
          </cell>
          <cell r="E554" t="str">
            <v>Amazon EU SARL, succursale Italiana</v>
          </cell>
          <cell r="F554" t="str">
            <v>31DJDC7Q</v>
          </cell>
          <cell r="G554" t="str">
            <v>B07W7KMK4Y</v>
          </cell>
          <cell r="H554" t="str">
            <v>920-010488</v>
          </cell>
          <cell r="I554" t="str">
            <v>OE INVOICES</v>
          </cell>
          <cell r="J554">
            <v>44422157108</v>
          </cell>
          <cell r="K554">
            <v>44904</v>
          </cell>
          <cell r="L554">
            <v>7</v>
          </cell>
          <cell r="M554" t="str">
            <v>EUR</v>
          </cell>
          <cell r="N554">
            <v>9940.32</v>
          </cell>
          <cell r="O554">
            <v>69.03</v>
          </cell>
          <cell r="P554">
            <v>144</v>
          </cell>
          <cell r="Q554">
            <v>144</v>
          </cell>
          <cell r="R554">
            <v>0</v>
          </cell>
        </row>
        <row r="555">
          <cell r="A555" t="str">
            <v>31DJDC7QB07W7LFHH9</v>
          </cell>
          <cell r="B555" t="str">
            <v>Q3-23</v>
          </cell>
          <cell r="C555" t="str">
            <v>Europe Operations OU</v>
          </cell>
          <cell r="D555">
            <v>2674345</v>
          </cell>
          <cell r="E555" t="str">
            <v>Amazon EU SARL, succursale Italiana</v>
          </cell>
          <cell r="F555" t="str">
            <v>31DJDC7Q</v>
          </cell>
          <cell r="G555" t="str">
            <v>B07W7LFHH9</v>
          </cell>
          <cell r="H555" t="str">
            <v>920-010725</v>
          </cell>
          <cell r="I555" t="str">
            <v>OE INVOICES</v>
          </cell>
          <cell r="J555">
            <v>44422158763</v>
          </cell>
          <cell r="K555">
            <v>44907</v>
          </cell>
          <cell r="L555">
            <v>27</v>
          </cell>
          <cell r="M555" t="str">
            <v>EUR</v>
          </cell>
          <cell r="N555">
            <v>7587.6</v>
          </cell>
          <cell r="O555">
            <v>63.23</v>
          </cell>
          <cell r="P555">
            <v>120</v>
          </cell>
          <cell r="Q555">
            <v>120</v>
          </cell>
          <cell r="R555">
            <v>0</v>
          </cell>
        </row>
        <row r="556">
          <cell r="A556" t="str">
            <v>31DJDC7QB07W7LNRN6</v>
          </cell>
          <cell r="B556" t="str">
            <v>Q3-23</v>
          </cell>
          <cell r="C556" t="str">
            <v>Europe Operations OU</v>
          </cell>
          <cell r="D556">
            <v>2674345</v>
          </cell>
          <cell r="E556" t="str">
            <v>Amazon EU SARL, succursale Italiana</v>
          </cell>
          <cell r="F556" t="str">
            <v>31DJDC7Q</v>
          </cell>
          <cell r="G556" t="str">
            <v>B07W7LNRN6</v>
          </cell>
          <cell r="H556" t="str">
            <v>920-010042</v>
          </cell>
          <cell r="I556" t="str">
            <v>OE INVOICES</v>
          </cell>
          <cell r="J556">
            <v>44422158763</v>
          </cell>
          <cell r="K556">
            <v>44907</v>
          </cell>
          <cell r="L556">
            <v>28</v>
          </cell>
          <cell r="M556" t="str">
            <v>EUR</v>
          </cell>
          <cell r="N556">
            <v>1624</v>
          </cell>
          <cell r="O556">
            <v>40.6</v>
          </cell>
          <cell r="P556">
            <v>40</v>
          </cell>
          <cell r="Q556">
            <v>40</v>
          </cell>
          <cell r="R556">
            <v>0</v>
          </cell>
        </row>
        <row r="557">
          <cell r="A557" t="str">
            <v>31DJDC7QB07W7LXYTR</v>
          </cell>
          <cell r="B557" t="str">
            <v>Q3-23</v>
          </cell>
          <cell r="C557" t="str">
            <v>Europe Operations OU</v>
          </cell>
          <cell r="D557">
            <v>2674345</v>
          </cell>
          <cell r="E557" t="str">
            <v>Amazon EU SARL, succursale Italiana</v>
          </cell>
          <cell r="F557" t="str">
            <v>31DJDC7Q</v>
          </cell>
          <cell r="G557" t="str">
            <v>B07W7LXYTR</v>
          </cell>
          <cell r="H557" t="str">
            <v>920-010726</v>
          </cell>
          <cell r="I557" t="str">
            <v>OE INVOICES</v>
          </cell>
          <cell r="J557">
            <v>44422158763</v>
          </cell>
          <cell r="K557">
            <v>44907</v>
          </cell>
          <cell r="L557">
            <v>29</v>
          </cell>
          <cell r="M557" t="str">
            <v>EUR</v>
          </cell>
          <cell r="N557">
            <v>252.92</v>
          </cell>
          <cell r="O557">
            <v>63.23</v>
          </cell>
          <cell r="P557">
            <v>4</v>
          </cell>
          <cell r="Q557">
            <v>4</v>
          </cell>
          <cell r="R557">
            <v>0</v>
          </cell>
        </row>
        <row r="558">
          <cell r="A558" t="str">
            <v>31DJDC7QB07W7MKLNS</v>
          </cell>
          <cell r="B558" t="str">
            <v>Q3-23</v>
          </cell>
          <cell r="C558" t="str">
            <v>Europe Operations OU</v>
          </cell>
          <cell r="D558">
            <v>2674345</v>
          </cell>
          <cell r="E558" t="str">
            <v>Amazon EU SARL, succursale Italiana</v>
          </cell>
          <cell r="F558" t="str">
            <v>31DJDC7Q</v>
          </cell>
          <cell r="G558" t="str">
            <v>B07W7MKLNS</v>
          </cell>
          <cell r="H558" t="str">
            <v>985-000935</v>
          </cell>
          <cell r="I558" t="str">
            <v>OE INVOICES</v>
          </cell>
          <cell r="J558">
            <v>44422158798</v>
          </cell>
          <cell r="K558">
            <v>44907</v>
          </cell>
          <cell r="L558">
            <v>9</v>
          </cell>
          <cell r="M558" t="str">
            <v>EUR</v>
          </cell>
          <cell r="N558">
            <v>982.48</v>
          </cell>
          <cell r="O558">
            <v>122.81</v>
          </cell>
          <cell r="P558">
            <v>8</v>
          </cell>
          <cell r="Q558">
            <v>8</v>
          </cell>
          <cell r="R558">
            <v>0</v>
          </cell>
        </row>
        <row r="559">
          <cell r="A559" t="str">
            <v>31DJDC7QB07W8P4PDD</v>
          </cell>
          <cell r="B559" t="str">
            <v>Q3-23</v>
          </cell>
          <cell r="C559" t="str">
            <v>Europe Operations OU</v>
          </cell>
          <cell r="D559">
            <v>2674345</v>
          </cell>
          <cell r="E559" t="str">
            <v>Amazon EU SARL, succursale Italiana</v>
          </cell>
          <cell r="F559" t="str">
            <v>31DJDC7Q</v>
          </cell>
          <cell r="G559" t="str">
            <v>B07W8P4PDD</v>
          </cell>
          <cell r="H559" t="str">
            <v>910-006474</v>
          </cell>
          <cell r="I559" t="str">
            <v>OE INVOICES</v>
          </cell>
          <cell r="J559">
            <v>44422158763</v>
          </cell>
          <cell r="K559">
            <v>44907</v>
          </cell>
          <cell r="L559">
            <v>30</v>
          </cell>
          <cell r="M559" t="str">
            <v>EUR</v>
          </cell>
          <cell r="N559">
            <v>742.4</v>
          </cell>
          <cell r="O559">
            <v>46.4</v>
          </cell>
          <cell r="P559">
            <v>16</v>
          </cell>
          <cell r="Q559">
            <v>16</v>
          </cell>
          <cell r="R559">
            <v>0</v>
          </cell>
        </row>
        <row r="560">
          <cell r="A560" t="str">
            <v>31DJDC7QB0866PZN76</v>
          </cell>
          <cell r="B560" t="str">
            <v>Q3-23</v>
          </cell>
          <cell r="C560" t="str">
            <v>Europe Operations OU</v>
          </cell>
          <cell r="D560">
            <v>2674345</v>
          </cell>
          <cell r="E560" t="str">
            <v>Amazon EU SARL, succursale Italiana</v>
          </cell>
          <cell r="F560" t="str">
            <v>31DJDC7Q</v>
          </cell>
          <cell r="G560" t="str">
            <v>B0866PZN76</v>
          </cell>
          <cell r="H560" t="str">
            <v>961-000499</v>
          </cell>
          <cell r="I560" t="str">
            <v>OE INVOICES</v>
          </cell>
          <cell r="J560">
            <v>44422158763</v>
          </cell>
          <cell r="K560">
            <v>44907</v>
          </cell>
          <cell r="L560">
            <v>31</v>
          </cell>
          <cell r="M560" t="str">
            <v>EUR</v>
          </cell>
          <cell r="N560">
            <v>1194.3599999999999</v>
          </cell>
          <cell r="O560">
            <v>298.58999999999997</v>
          </cell>
          <cell r="P560">
            <v>4</v>
          </cell>
          <cell r="Q560">
            <v>4</v>
          </cell>
          <cell r="R560">
            <v>0</v>
          </cell>
        </row>
        <row r="561">
          <cell r="A561" t="str">
            <v>31QWZ6KBB003LNXT7Y</v>
          </cell>
          <cell r="B561" t="str">
            <v>Q3-23</v>
          </cell>
          <cell r="C561" t="str">
            <v>Europe Operations OU</v>
          </cell>
          <cell r="D561">
            <v>2674345</v>
          </cell>
          <cell r="E561" t="str">
            <v>Amazon EU SARL, succursale Italiana</v>
          </cell>
          <cell r="F561" t="str">
            <v>31QWZ6KB</v>
          </cell>
          <cell r="G561" t="str">
            <v>B003LNXT7Y</v>
          </cell>
          <cell r="H561" t="str">
            <v>980-000413</v>
          </cell>
          <cell r="I561" t="str">
            <v>OE INVOICES</v>
          </cell>
          <cell r="J561">
            <v>44422157128</v>
          </cell>
          <cell r="K561">
            <v>44904</v>
          </cell>
          <cell r="L561">
            <v>1</v>
          </cell>
          <cell r="M561" t="str">
            <v>EUR</v>
          </cell>
          <cell r="N561">
            <v>2107.8000000000002</v>
          </cell>
          <cell r="O561">
            <v>35.130000000000003</v>
          </cell>
          <cell r="P561">
            <v>60</v>
          </cell>
          <cell r="Q561">
            <v>60</v>
          </cell>
          <cell r="R561">
            <v>0</v>
          </cell>
        </row>
        <row r="562">
          <cell r="A562" t="str">
            <v>31QWZ6KBB01A9GXEOI</v>
          </cell>
          <cell r="B562" t="str">
            <v>Q3-23</v>
          </cell>
          <cell r="C562" t="str">
            <v>Europe Operations OU</v>
          </cell>
          <cell r="D562">
            <v>2674345</v>
          </cell>
          <cell r="E562" t="str">
            <v>Amazon EU SARL, succursale Italiana</v>
          </cell>
          <cell r="F562" t="str">
            <v>31QWZ6KB</v>
          </cell>
          <cell r="G562" t="str">
            <v>B01A9GXEOI</v>
          </cell>
          <cell r="H562" t="str">
            <v>910-004424</v>
          </cell>
          <cell r="I562" t="str">
            <v>OE INVOICES</v>
          </cell>
          <cell r="J562">
            <v>44422157128</v>
          </cell>
          <cell r="K562">
            <v>44904</v>
          </cell>
          <cell r="L562">
            <v>2</v>
          </cell>
          <cell r="M562" t="str">
            <v>EUR</v>
          </cell>
          <cell r="N562">
            <v>468</v>
          </cell>
          <cell r="O562">
            <v>9.36</v>
          </cell>
          <cell r="P562">
            <v>50</v>
          </cell>
          <cell r="Q562">
            <v>50</v>
          </cell>
          <cell r="R562">
            <v>0</v>
          </cell>
        </row>
        <row r="563">
          <cell r="A563" t="str">
            <v>33A3KRGGB07W6JNG13</v>
          </cell>
          <cell r="B563" t="str">
            <v>Q3-23</v>
          </cell>
          <cell r="C563" t="str">
            <v>Europe Operations OU</v>
          </cell>
          <cell r="D563">
            <v>2674345</v>
          </cell>
          <cell r="E563" t="str">
            <v>Amazon EU SARL, succursale Italiana</v>
          </cell>
          <cell r="F563" t="str">
            <v>33A3KRGG</v>
          </cell>
          <cell r="G563" t="str">
            <v>B07W6JNG13</v>
          </cell>
          <cell r="H563" t="str">
            <v>981-000943</v>
          </cell>
          <cell r="I563" t="str">
            <v>OE INVOICES</v>
          </cell>
          <cell r="J563">
            <v>44422158458</v>
          </cell>
          <cell r="K563">
            <v>44907</v>
          </cell>
          <cell r="L563">
            <v>1</v>
          </cell>
          <cell r="M563" t="str">
            <v>EUR</v>
          </cell>
          <cell r="N563">
            <v>335.56</v>
          </cell>
          <cell r="O563">
            <v>83.89</v>
          </cell>
          <cell r="P563">
            <v>4</v>
          </cell>
          <cell r="Q563">
            <v>4</v>
          </cell>
          <cell r="R563">
            <v>0</v>
          </cell>
        </row>
        <row r="564">
          <cell r="A564" t="str">
            <v>33RKXX6HB003V4A5VG</v>
          </cell>
          <cell r="B564" t="str">
            <v>Q3-23</v>
          </cell>
          <cell r="C564" t="str">
            <v>Europe Operations OU</v>
          </cell>
          <cell r="D564">
            <v>2674345</v>
          </cell>
          <cell r="E564" t="str">
            <v>Amazon EU SARL, succursale Italiana</v>
          </cell>
          <cell r="F564" t="str">
            <v>33RKXX6H</v>
          </cell>
          <cell r="G564" t="str">
            <v>B003V4A5VG</v>
          </cell>
          <cell r="H564" t="str">
            <v>920-002488</v>
          </cell>
          <cell r="I564" t="str">
            <v>OE INVOICES</v>
          </cell>
          <cell r="J564">
            <v>44422157425</v>
          </cell>
          <cell r="K564">
            <v>44904</v>
          </cell>
          <cell r="L564">
            <v>1</v>
          </cell>
          <cell r="M564" t="str">
            <v>EUR</v>
          </cell>
          <cell r="N564">
            <v>13689</v>
          </cell>
          <cell r="O564">
            <v>10.53</v>
          </cell>
          <cell r="P564">
            <v>1300</v>
          </cell>
          <cell r="Q564">
            <v>1300</v>
          </cell>
          <cell r="R564">
            <v>0</v>
          </cell>
        </row>
        <row r="565">
          <cell r="A565" t="str">
            <v>34SEC9UDB0056C69DO</v>
          </cell>
          <cell r="B565" t="str">
            <v>Q3-23</v>
          </cell>
          <cell r="C565" t="str">
            <v>Europe Operations OU</v>
          </cell>
          <cell r="D565">
            <v>2674345</v>
          </cell>
          <cell r="E565" t="str">
            <v>Amazon EU SARL, succursale Italiana</v>
          </cell>
          <cell r="F565" t="str">
            <v>34SEC9UD</v>
          </cell>
          <cell r="G565" t="str">
            <v>B0056C69DO</v>
          </cell>
          <cell r="H565" t="str">
            <v>920-002517</v>
          </cell>
          <cell r="I565" t="str">
            <v>OE INVOICES</v>
          </cell>
          <cell r="J565">
            <v>44422177162</v>
          </cell>
          <cell r="K565">
            <v>44922</v>
          </cell>
          <cell r="L565">
            <v>1</v>
          </cell>
          <cell r="M565" t="str">
            <v>EUR</v>
          </cell>
          <cell r="N565">
            <v>374.4</v>
          </cell>
          <cell r="O565">
            <v>9.36</v>
          </cell>
          <cell r="P565">
            <v>40</v>
          </cell>
          <cell r="Q565">
            <v>40</v>
          </cell>
          <cell r="R565">
            <v>0</v>
          </cell>
        </row>
        <row r="566">
          <cell r="A566" t="str">
            <v>35T37A7JB07W5JHLCB</v>
          </cell>
          <cell r="B566" t="str">
            <v>Q3-23</v>
          </cell>
          <cell r="C566" t="str">
            <v>Europe Operations OU</v>
          </cell>
          <cell r="D566">
            <v>2674345</v>
          </cell>
          <cell r="E566" t="str">
            <v>Amazon EU SARL, succursale Italiana</v>
          </cell>
          <cell r="F566" t="str">
            <v>35T37A7J</v>
          </cell>
          <cell r="G566" t="str">
            <v>B07W5JHLCB</v>
          </cell>
          <cell r="H566" t="str">
            <v>910-005988</v>
          </cell>
          <cell r="I566" t="str">
            <v>OE INVOICES</v>
          </cell>
          <cell r="J566">
            <v>44422122666</v>
          </cell>
          <cell r="K566">
            <v>44882</v>
          </cell>
          <cell r="L566">
            <v>1</v>
          </cell>
          <cell r="M566" t="str">
            <v>EUR</v>
          </cell>
          <cell r="N566">
            <v>2900</v>
          </cell>
          <cell r="O566">
            <v>58</v>
          </cell>
          <cell r="P566">
            <v>50</v>
          </cell>
          <cell r="Q566">
            <v>50</v>
          </cell>
          <cell r="R566">
            <v>0</v>
          </cell>
        </row>
        <row r="567">
          <cell r="A567" t="str">
            <v>35T37A7JB07W6JGH8Z</v>
          </cell>
          <cell r="B567" t="str">
            <v>Q3-23</v>
          </cell>
          <cell r="C567" t="str">
            <v>Europe Operations OU</v>
          </cell>
          <cell r="D567">
            <v>2674345</v>
          </cell>
          <cell r="E567" t="str">
            <v>Amazon EU SARL, succursale Italiana</v>
          </cell>
          <cell r="F567" t="str">
            <v>35T37A7J</v>
          </cell>
          <cell r="G567" t="str">
            <v>B07W6JGH8Z</v>
          </cell>
          <cell r="H567" t="str">
            <v>981-001044</v>
          </cell>
          <cell r="I567" t="str">
            <v>OE INVOICES</v>
          </cell>
          <cell r="J567">
            <v>44422122666</v>
          </cell>
          <cell r="K567">
            <v>44882</v>
          </cell>
          <cell r="L567">
            <v>2</v>
          </cell>
          <cell r="M567" t="str">
            <v>EUR</v>
          </cell>
          <cell r="N567">
            <v>211.04</v>
          </cell>
          <cell r="O567">
            <v>52.76</v>
          </cell>
          <cell r="P567">
            <v>4</v>
          </cell>
          <cell r="Q567">
            <v>4</v>
          </cell>
          <cell r="R567">
            <v>0</v>
          </cell>
        </row>
        <row r="568">
          <cell r="A568" t="str">
            <v>36BT7GGLB00745IE1Q</v>
          </cell>
          <cell r="B568" t="str">
            <v>Q3-23</v>
          </cell>
          <cell r="C568" t="str">
            <v>Europe Operations OU</v>
          </cell>
          <cell r="D568">
            <v>2674345</v>
          </cell>
          <cell r="E568" t="str">
            <v>Amazon EU SARL, succursale Italiana</v>
          </cell>
          <cell r="F568" t="str">
            <v>36BT7GGL</v>
          </cell>
          <cell r="G568" t="str">
            <v>B00745IE1Q</v>
          </cell>
          <cell r="H568" t="str">
            <v>910-002731</v>
          </cell>
          <cell r="I568" t="str">
            <v>OE INVOICES</v>
          </cell>
          <cell r="J568">
            <v>44422163646</v>
          </cell>
          <cell r="K568">
            <v>44909</v>
          </cell>
          <cell r="L568">
            <v>1</v>
          </cell>
          <cell r="M568" t="str">
            <v>EUR</v>
          </cell>
          <cell r="N568">
            <v>206.08</v>
          </cell>
          <cell r="O568">
            <v>12.88</v>
          </cell>
          <cell r="P568">
            <v>16</v>
          </cell>
          <cell r="Q568">
            <v>16</v>
          </cell>
          <cell r="R568">
            <v>0</v>
          </cell>
        </row>
        <row r="569">
          <cell r="A569" t="str">
            <v>36BT7GGLB00L8VNQ88</v>
          </cell>
          <cell r="B569" t="str">
            <v>Q3-23</v>
          </cell>
          <cell r="C569" t="str">
            <v>Europe Operations OU</v>
          </cell>
          <cell r="D569">
            <v>2674345</v>
          </cell>
          <cell r="E569" t="str">
            <v>Amazon EU SARL, succursale Italiana</v>
          </cell>
          <cell r="F569" t="str">
            <v>36BT7GGL</v>
          </cell>
          <cell r="G569" t="str">
            <v>B00L8VNQ88</v>
          </cell>
          <cell r="H569" t="str">
            <v>910-004067</v>
          </cell>
          <cell r="I569" t="str">
            <v>OE INVOICES</v>
          </cell>
          <cell r="J569">
            <v>44422163646</v>
          </cell>
          <cell r="K569">
            <v>44909</v>
          </cell>
          <cell r="L569">
            <v>2</v>
          </cell>
          <cell r="M569" t="str">
            <v>EUR</v>
          </cell>
          <cell r="N569">
            <v>316.48</v>
          </cell>
          <cell r="O569">
            <v>39.56</v>
          </cell>
          <cell r="P569">
            <v>8</v>
          </cell>
          <cell r="Q569">
            <v>8</v>
          </cell>
          <cell r="R569">
            <v>0</v>
          </cell>
        </row>
        <row r="570">
          <cell r="A570" t="str">
            <v>36BT7GGLB00O8K42PM</v>
          </cell>
          <cell r="B570" t="str">
            <v>Q3-23</v>
          </cell>
          <cell r="C570" t="str">
            <v>Europe Operations OU</v>
          </cell>
          <cell r="D570">
            <v>2674345</v>
          </cell>
          <cell r="E570" t="str">
            <v>Amazon EU SARL, succursale Italiana</v>
          </cell>
          <cell r="F570" t="str">
            <v>36BT7GGL</v>
          </cell>
          <cell r="G570" t="str">
            <v>B00O8K42PM</v>
          </cell>
          <cell r="H570" t="str">
            <v>920-006708</v>
          </cell>
          <cell r="I570" t="str">
            <v>OE INVOICES</v>
          </cell>
          <cell r="J570">
            <v>44422163646</v>
          </cell>
          <cell r="K570">
            <v>44909</v>
          </cell>
          <cell r="L570">
            <v>3</v>
          </cell>
          <cell r="M570" t="str">
            <v>EUR</v>
          </cell>
          <cell r="N570">
            <v>7145.6</v>
          </cell>
          <cell r="O570">
            <v>40.6</v>
          </cell>
          <cell r="P570">
            <v>176</v>
          </cell>
          <cell r="Q570">
            <v>176</v>
          </cell>
          <cell r="R570">
            <v>0</v>
          </cell>
        </row>
        <row r="571">
          <cell r="A571" t="str">
            <v>36BT7GGLB00VHHWNMI</v>
          </cell>
          <cell r="B571" t="str">
            <v>Q3-23</v>
          </cell>
          <cell r="C571" t="str">
            <v>Europe Operations OU</v>
          </cell>
          <cell r="D571">
            <v>2674345</v>
          </cell>
          <cell r="E571" t="str">
            <v>Amazon EU SARL, succursale Italiana</v>
          </cell>
          <cell r="F571" t="str">
            <v>36BT7GGL</v>
          </cell>
          <cell r="G571" t="str">
            <v>B00VHHWNMI</v>
          </cell>
          <cell r="H571" t="str">
            <v>920-007127</v>
          </cell>
          <cell r="I571" t="str">
            <v>OE INVOICES</v>
          </cell>
          <cell r="J571">
            <v>44422163483</v>
          </cell>
          <cell r="K571">
            <v>44909</v>
          </cell>
          <cell r="L571">
            <v>1</v>
          </cell>
          <cell r="M571" t="str">
            <v>EUR</v>
          </cell>
          <cell r="N571">
            <v>322.10000000000002</v>
          </cell>
          <cell r="O571">
            <v>32.21</v>
          </cell>
          <cell r="P571">
            <v>10</v>
          </cell>
          <cell r="Q571">
            <v>10</v>
          </cell>
          <cell r="R571">
            <v>0</v>
          </cell>
        </row>
        <row r="572">
          <cell r="A572" t="str">
            <v>36BT7GGLB013SL1ZU6</v>
          </cell>
          <cell r="B572" t="str">
            <v>Q3-23</v>
          </cell>
          <cell r="C572" t="str">
            <v>Europe Operations OU</v>
          </cell>
          <cell r="D572">
            <v>2674345</v>
          </cell>
          <cell r="E572" t="str">
            <v>Amazon EU SARL, succursale Italiana</v>
          </cell>
          <cell r="F572" t="str">
            <v>36BT7GGL</v>
          </cell>
          <cell r="G572" t="str">
            <v>B013SL1ZU6</v>
          </cell>
          <cell r="H572" t="str">
            <v>920-007566</v>
          </cell>
          <cell r="I572" t="str">
            <v>OE INVOICES</v>
          </cell>
          <cell r="J572">
            <v>44422163646</v>
          </cell>
          <cell r="K572">
            <v>44909</v>
          </cell>
          <cell r="L572">
            <v>4</v>
          </cell>
          <cell r="M572" t="str">
            <v>EUR</v>
          </cell>
          <cell r="N572">
            <v>5153.6000000000004</v>
          </cell>
          <cell r="O572">
            <v>32.21</v>
          </cell>
          <cell r="P572">
            <v>160</v>
          </cell>
          <cell r="Q572">
            <v>160</v>
          </cell>
          <cell r="R572">
            <v>0</v>
          </cell>
        </row>
        <row r="573">
          <cell r="A573" t="str">
            <v>36BT7GGLB013SL2050</v>
          </cell>
          <cell r="B573" t="str">
            <v>Q3-23</v>
          </cell>
          <cell r="C573" t="str">
            <v>Europe Operations OU</v>
          </cell>
          <cell r="D573">
            <v>2674345</v>
          </cell>
          <cell r="E573" t="str">
            <v>Amazon EU SARL, succursale Italiana</v>
          </cell>
          <cell r="F573" t="str">
            <v>36BT7GGL</v>
          </cell>
          <cell r="G573" t="str">
            <v>B013SL2050</v>
          </cell>
          <cell r="H573" t="str">
            <v>920-007574</v>
          </cell>
          <cell r="I573" t="str">
            <v>OE INVOICES</v>
          </cell>
          <cell r="J573">
            <v>44422163646</v>
          </cell>
          <cell r="K573">
            <v>44909</v>
          </cell>
          <cell r="L573">
            <v>5</v>
          </cell>
          <cell r="M573" t="str">
            <v>EUR</v>
          </cell>
          <cell r="N573">
            <v>2319.12</v>
          </cell>
          <cell r="O573">
            <v>32.21</v>
          </cell>
          <cell r="P573">
            <v>72</v>
          </cell>
          <cell r="Q573">
            <v>72</v>
          </cell>
          <cell r="R573">
            <v>0</v>
          </cell>
        </row>
        <row r="574">
          <cell r="A574" t="str">
            <v>36BT7GGLB014PYGTUQ</v>
          </cell>
          <cell r="B574" t="str">
            <v>Q3-23</v>
          </cell>
          <cell r="C574" t="str">
            <v>Europe Operations OU</v>
          </cell>
          <cell r="D574">
            <v>2674345</v>
          </cell>
          <cell r="E574" t="str">
            <v>Amazon EU SARL, succursale Italiana</v>
          </cell>
          <cell r="F574" t="str">
            <v>36BT7GGL</v>
          </cell>
          <cell r="G574" t="str">
            <v>B014PYGTUQ</v>
          </cell>
          <cell r="H574" t="str">
            <v>988-000172</v>
          </cell>
          <cell r="I574" t="str">
            <v>OE INVOICES</v>
          </cell>
          <cell r="J574">
            <v>44422163646</v>
          </cell>
          <cell r="K574">
            <v>44909</v>
          </cell>
          <cell r="L574">
            <v>6</v>
          </cell>
          <cell r="M574" t="str">
            <v>EUR</v>
          </cell>
          <cell r="N574">
            <v>1438.4</v>
          </cell>
          <cell r="O574">
            <v>44.95</v>
          </cell>
          <cell r="P574">
            <v>32</v>
          </cell>
          <cell r="Q574">
            <v>32</v>
          </cell>
          <cell r="R574">
            <v>0</v>
          </cell>
        </row>
        <row r="575">
          <cell r="A575" t="str">
            <v>36BT7GGLB01K7GEG9W</v>
          </cell>
          <cell r="B575" t="str">
            <v>Q3-23</v>
          </cell>
          <cell r="C575" t="str">
            <v>Europe Operations OU</v>
          </cell>
          <cell r="D575">
            <v>2674345</v>
          </cell>
          <cell r="E575" t="str">
            <v>Amazon EU SARL, succursale Italiana</v>
          </cell>
          <cell r="F575" t="str">
            <v>36BT7GGL</v>
          </cell>
          <cell r="G575" t="str">
            <v>B01K7GEG9W</v>
          </cell>
          <cell r="H575" t="str">
            <v>910-004878</v>
          </cell>
          <cell r="I575" t="str">
            <v>OE INVOICES</v>
          </cell>
          <cell r="J575">
            <v>44422163483</v>
          </cell>
          <cell r="K575">
            <v>44909</v>
          </cell>
          <cell r="L575">
            <v>2</v>
          </cell>
          <cell r="M575" t="str">
            <v>EUR</v>
          </cell>
          <cell r="N575">
            <v>3441.9</v>
          </cell>
          <cell r="O575">
            <v>16.39</v>
          </cell>
          <cell r="P575">
            <v>210</v>
          </cell>
          <cell r="Q575">
            <v>210</v>
          </cell>
          <cell r="R575">
            <v>0</v>
          </cell>
        </row>
        <row r="576">
          <cell r="A576" t="str">
            <v>36BT7GGLB01MYW8COY</v>
          </cell>
          <cell r="B576" t="str">
            <v>Q3-23</v>
          </cell>
          <cell r="C576" t="str">
            <v>Europe Operations OU</v>
          </cell>
          <cell r="D576">
            <v>2674345</v>
          </cell>
          <cell r="E576" t="str">
            <v>Amazon EU SARL, succursale Italiana</v>
          </cell>
          <cell r="F576" t="str">
            <v>36BT7GGL</v>
          </cell>
          <cell r="G576" t="str">
            <v>B01MYW8COY</v>
          </cell>
          <cell r="H576" t="str">
            <v>981-000634</v>
          </cell>
          <cell r="I576" t="str">
            <v>OE INVOICES</v>
          </cell>
          <cell r="J576">
            <v>44422163646</v>
          </cell>
          <cell r="K576">
            <v>44909</v>
          </cell>
          <cell r="L576">
            <v>7</v>
          </cell>
          <cell r="M576" t="str">
            <v>EUR</v>
          </cell>
          <cell r="N576">
            <v>11635.76</v>
          </cell>
          <cell r="O576">
            <v>78.62</v>
          </cell>
          <cell r="P576">
            <v>148</v>
          </cell>
          <cell r="Q576">
            <v>148</v>
          </cell>
          <cell r="R576">
            <v>0</v>
          </cell>
        </row>
        <row r="577">
          <cell r="A577" t="str">
            <v>36BT7GGLB07CGVGMLD</v>
          </cell>
          <cell r="B577" t="str">
            <v>Q3-23</v>
          </cell>
          <cell r="C577" t="str">
            <v>Europe Operations OU</v>
          </cell>
          <cell r="D577">
            <v>2674345</v>
          </cell>
          <cell r="E577" t="str">
            <v>Amazon EU SARL, succursale Italiana</v>
          </cell>
          <cell r="F577" t="str">
            <v>36BT7GGL</v>
          </cell>
          <cell r="G577" t="str">
            <v>B07CGVGMLD</v>
          </cell>
          <cell r="H577" t="str">
            <v>910-005291</v>
          </cell>
          <cell r="I577" t="str">
            <v>OE INVOICES</v>
          </cell>
          <cell r="J577">
            <v>44422163483</v>
          </cell>
          <cell r="K577">
            <v>44909</v>
          </cell>
          <cell r="L577">
            <v>3</v>
          </cell>
          <cell r="M577" t="str">
            <v>EUR</v>
          </cell>
          <cell r="N577">
            <v>295.44</v>
          </cell>
          <cell r="O577">
            <v>36.93</v>
          </cell>
          <cell r="P577">
            <v>8</v>
          </cell>
          <cell r="Q577">
            <v>8</v>
          </cell>
          <cell r="R577">
            <v>0</v>
          </cell>
        </row>
        <row r="578">
          <cell r="A578" t="str">
            <v>36BT7GGLB07G6LWTG6</v>
          </cell>
          <cell r="B578" t="str">
            <v>Q3-23</v>
          </cell>
          <cell r="C578" t="str">
            <v>Europe Operations OU</v>
          </cell>
          <cell r="D578">
            <v>2674345</v>
          </cell>
          <cell r="E578" t="str">
            <v>Amazon EU SARL, succursale Italiana</v>
          </cell>
          <cell r="F578" t="str">
            <v>36BT7GGL</v>
          </cell>
          <cell r="G578" t="str">
            <v>B07G6LWTG6</v>
          </cell>
          <cell r="H578" t="str">
            <v>984-001404</v>
          </cell>
          <cell r="I578" t="str">
            <v>OE INVOICES</v>
          </cell>
          <cell r="J578">
            <v>44422163483</v>
          </cell>
          <cell r="K578">
            <v>44909</v>
          </cell>
          <cell r="L578">
            <v>4</v>
          </cell>
          <cell r="M578" t="str">
            <v>EUR</v>
          </cell>
          <cell r="N578">
            <v>212.98</v>
          </cell>
          <cell r="O578">
            <v>106.49</v>
          </cell>
          <cell r="P578">
            <v>2</v>
          </cell>
          <cell r="Q578">
            <v>2</v>
          </cell>
          <cell r="R578">
            <v>0</v>
          </cell>
        </row>
        <row r="579">
          <cell r="A579" t="str">
            <v>36BT7GGLB07MTY7N22</v>
          </cell>
          <cell r="B579" t="str">
            <v>Q3-23</v>
          </cell>
          <cell r="C579" t="str">
            <v>Europe Operations OU</v>
          </cell>
          <cell r="D579">
            <v>2674345</v>
          </cell>
          <cell r="E579" t="str">
            <v>Amazon EU SARL, succursale Italiana</v>
          </cell>
          <cell r="F579" t="str">
            <v>36BT7GGL</v>
          </cell>
          <cell r="G579" t="str">
            <v>B07MTY7N22</v>
          </cell>
          <cell r="H579" t="str">
            <v>981-000744</v>
          </cell>
          <cell r="I579" t="str">
            <v>OE INVOICES</v>
          </cell>
          <cell r="J579">
            <v>44422163646</v>
          </cell>
          <cell r="K579">
            <v>44909</v>
          </cell>
          <cell r="L579">
            <v>8</v>
          </cell>
          <cell r="M579" t="str">
            <v>EUR</v>
          </cell>
          <cell r="N579">
            <v>10080</v>
          </cell>
          <cell r="O579">
            <v>105</v>
          </cell>
          <cell r="P579">
            <v>96</v>
          </cell>
          <cell r="Q579">
            <v>96</v>
          </cell>
          <cell r="R579">
            <v>0</v>
          </cell>
        </row>
        <row r="580">
          <cell r="A580" t="str">
            <v>36BT7GGLB07TLX61W7</v>
          </cell>
          <cell r="B580" t="str">
            <v>Q3-23</v>
          </cell>
          <cell r="C580" t="str">
            <v>Europe Operations OU</v>
          </cell>
          <cell r="D580">
            <v>2674345</v>
          </cell>
          <cell r="E580" t="str">
            <v>Amazon EU SARL, succursale Italiana</v>
          </cell>
          <cell r="F580" t="str">
            <v>36BT7GGL</v>
          </cell>
          <cell r="G580" t="str">
            <v>B07TLX61W7</v>
          </cell>
          <cell r="H580" t="str">
            <v>981-000818</v>
          </cell>
          <cell r="I580" t="str">
            <v>OE INVOICES</v>
          </cell>
          <cell r="J580">
            <v>44422163646</v>
          </cell>
          <cell r="K580">
            <v>44909</v>
          </cell>
          <cell r="L580">
            <v>9</v>
          </cell>
          <cell r="M580" t="str">
            <v>EUR</v>
          </cell>
          <cell r="N580">
            <v>3520.32</v>
          </cell>
          <cell r="O580">
            <v>73.34</v>
          </cell>
          <cell r="P580">
            <v>48</v>
          </cell>
          <cell r="Q580">
            <v>48</v>
          </cell>
          <cell r="R580">
            <v>0</v>
          </cell>
        </row>
        <row r="581">
          <cell r="A581" t="str">
            <v>36BT7GGLB07VL9YHC9</v>
          </cell>
          <cell r="B581" t="str">
            <v>Q3-23</v>
          </cell>
          <cell r="C581" t="str">
            <v>Europe Operations OU</v>
          </cell>
          <cell r="D581">
            <v>2674345</v>
          </cell>
          <cell r="E581" t="str">
            <v>Amazon EU SARL, succursale Italiana</v>
          </cell>
          <cell r="F581" t="str">
            <v>36BT7GGL</v>
          </cell>
          <cell r="G581" t="str">
            <v>B07VL9YHC9</v>
          </cell>
          <cell r="H581" t="str">
            <v>920-009189</v>
          </cell>
          <cell r="I581" t="str">
            <v>OE INVOICES</v>
          </cell>
          <cell r="J581">
            <v>44422163646</v>
          </cell>
          <cell r="K581">
            <v>44909</v>
          </cell>
          <cell r="L581">
            <v>10</v>
          </cell>
          <cell r="M581" t="str">
            <v>EUR</v>
          </cell>
          <cell r="N581">
            <v>562.08000000000004</v>
          </cell>
          <cell r="O581">
            <v>35.130000000000003</v>
          </cell>
          <cell r="P581">
            <v>16</v>
          </cell>
          <cell r="Q581">
            <v>16</v>
          </cell>
          <cell r="R581">
            <v>0</v>
          </cell>
        </row>
        <row r="582">
          <cell r="A582" t="str">
            <v>36BT7GGLB07W4DG827</v>
          </cell>
          <cell r="B582" t="str">
            <v>Q3-23</v>
          </cell>
          <cell r="C582" t="str">
            <v>Europe Operations OU</v>
          </cell>
          <cell r="D582">
            <v>2674345</v>
          </cell>
          <cell r="E582" t="str">
            <v>Amazon EU SARL, succursale Italiana</v>
          </cell>
          <cell r="F582" t="str">
            <v>36BT7GGL</v>
          </cell>
          <cell r="G582" t="str">
            <v>B07W4DG827</v>
          </cell>
          <cell r="H582" t="str">
            <v>910-006520</v>
          </cell>
          <cell r="I582" t="str">
            <v>OE INVOICES</v>
          </cell>
          <cell r="J582">
            <v>44422163646</v>
          </cell>
          <cell r="K582">
            <v>44909</v>
          </cell>
          <cell r="L582">
            <v>11</v>
          </cell>
          <cell r="M582" t="str">
            <v>EUR</v>
          </cell>
          <cell r="N582">
            <v>11477.76</v>
          </cell>
          <cell r="O582">
            <v>29.28</v>
          </cell>
          <cell r="P582">
            <v>392</v>
          </cell>
          <cell r="Q582">
            <v>392</v>
          </cell>
          <cell r="R582">
            <v>0</v>
          </cell>
        </row>
        <row r="583">
          <cell r="A583" t="str">
            <v>36BT7GGLB07W4DH1Y2</v>
          </cell>
          <cell r="B583" t="str">
            <v>Q3-23</v>
          </cell>
          <cell r="C583" t="str">
            <v>Europe Operations OU</v>
          </cell>
          <cell r="D583">
            <v>2674345</v>
          </cell>
          <cell r="E583" t="str">
            <v>Amazon EU SARL, succursale Italiana</v>
          </cell>
          <cell r="F583" t="str">
            <v>36BT7GGL</v>
          </cell>
          <cell r="G583" t="str">
            <v>B07W4DH1Y2</v>
          </cell>
          <cell r="H583" t="str">
            <v>920-011158</v>
          </cell>
          <cell r="I583" t="str">
            <v>OE INVOICES</v>
          </cell>
          <cell r="J583">
            <v>44422163646</v>
          </cell>
          <cell r="K583">
            <v>44909</v>
          </cell>
          <cell r="L583">
            <v>12</v>
          </cell>
          <cell r="M583" t="str">
            <v>EUR</v>
          </cell>
          <cell r="N583">
            <v>1288.4000000000001</v>
          </cell>
          <cell r="O583">
            <v>32.21</v>
          </cell>
          <cell r="P583">
            <v>40</v>
          </cell>
          <cell r="Q583">
            <v>40</v>
          </cell>
          <cell r="R583">
            <v>0</v>
          </cell>
        </row>
        <row r="584">
          <cell r="A584" t="str">
            <v>36BT7GGLB07W4DHKTB</v>
          </cell>
          <cell r="B584" t="str">
            <v>Q3-23</v>
          </cell>
          <cell r="C584" t="str">
            <v>Europe Operations OU</v>
          </cell>
          <cell r="D584">
            <v>2674345</v>
          </cell>
          <cell r="E584" t="str">
            <v>Amazon EU SARL, succursale Italiana</v>
          </cell>
          <cell r="F584" t="str">
            <v>36BT7GGL</v>
          </cell>
          <cell r="G584" t="str">
            <v>B07W4DHKTB</v>
          </cell>
          <cell r="H584" t="str">
            <v>981-001041</v>
          </cell>
          <cell r="I584" t="str">
            <v>OE INVOICES</v>
          </cell>
          <cell r="J584">
            <v>44422163646</v>
          </cell>
          <cell r="K584">
            <v>44909</v>
          </cell>
          <cell r="L584">
            <v>13</v>
          </cell>
          <cell r="M584" t="str">
            <v>EUR</v>
          </cell>
          <cell r="N584">
            <v>527.4</v>
          </cell>
          <cell r="O584">
            <v>26.37</v>
          </cell>
          <cell r="P584">
            <v>20</v>
          </cell>
          <cell r="Q584">
            <v>20</v>
          </cell>
          <cell r="R584">
            <v>0</v>
          </cell>
        </row>
        <row r="585">
          <cell r="A585" t="str">
            <v>36BT7GGLB07W4DHKTD</v>
          </cell>
          <cell r="B585" t="str">
            <v>Q3-23</v>
          </cell>
          <cell r="C585" t="str">
            <v>Europe Operations OU</v>
          </cell>
          <cell r="D585">
            <v>2674345</v>
          </cell>
          <cell r="E585" t="str">
            <v>Amazon EU SARL, succursale Italiana</v>
          </cell>
          <cell r="F585" t="str">
            <v>36BT7GGL</v>
          </cell>
          <cell r="G585" t="str">
            <v>B07W4DHKTD</v>
          </cell>
          <cell r="H585" t="str">
            <v>910-005880</v>
          </cell>
          <cell r="I585" t="str">
            <v>OE INVOICES</v>
          </cell>
          <cell r="J585">
            <v>44422163646</v>
          </cell>
          <cell r="K585">
            <v>44909</v>
          </cell>
          <cell r="L585">
            <v>14</v>
          </cell>
          <cell r="M585" t="str">
            <v>EUR</v>
          </cell>
          <cell r="N585">
            <v>48991.76</v>
          </cell>
          <cell r="O585">
            <v>83.89</v>
          </cell>
          <cell r="P585">
            <v>584</v>
          </cell>
          <cell r="Q585">
            <v>584</v>
          </cell>
          <cell r="R585">
            <v>0</v>
          </cell>
        </row>
        <row r="586">
          <cell r="A586" t="str">
            <v>36BT7GGLB07W4DHY5F</v>
          </cell>
          <cell r="B586" t="str">
            <v>Q3-23</v>
          </cell>
          <cell r="C586" t="str">
            <v>Europe Operations OU</v>
          </cell>
          <cell r="D586">
            <v>2674345</v>
          </cell>
          <cell r="E586" t="str">
            <v>Amazon EU SARL, succursale Italiana</v>
          </cell>
          <cell r="F586" t="str">
            <v>36BT7GGL</v>
          </cell>
          <cell r="G586" t="str">
            <v>B07W4DHY5F</v>
          </cell>
          <cell r="H586" t="str">
            <v>910-006146</v>
          </cell>
          <cell r="I586" t="str">
            <v>OE INVOICES</v>
          </cell>
          <cell r="J586">
            <v>44422163646</v>
          </cell>
          <cell r="K586">
            <v>44909</v>
          </cell>
          <cell r="L586">
            <v>15</v>
          </cell>
          <cell r="M586" t="str">
            <v>EUR</v>
          </cell>
          <cell r="N586">
            <v>189.92</v>
          </cell>
          <cell r="O586">
            <v>47.48</v>
          </cell>
          <cell r="P586">
            <v>4</v>
          </cell>
          <cell r="Q586">
            <v>4</v>
          </cell>
          <cell r="R586">
            <v>0</v>
          </cell>
        </row>
        <row r="587">
          <cell r="A587" t="str">
            <v>36BT7GGLB07W5JHV5C</v>
          </cell>
          <cell r="B587" t="str">
            <v>Q3-23</v>
          </cell>
          <cell r="C587" t="str">
            <v>Europe Operations OU</v>
          </cell>
          <cell r="D587">
            <v>2674345</v>
          </cell>
          <cell r="E587" t="str">
            <v>Amazon EU SARL, succursale Italiana</v>
          </cell>
          <cell r="F587" t="str">
            <v>36BT7GGL</v>
          </cell>
          <cell r="G587" t="str">
            <v>B07W5JHV5C</v>
          </cell>
          <cell r="H587" t="str">
            <v>920-011154</v>
          </cell>
          <cell r="I587" t="str">
            <v>OE INVOICES</v>
          </cell>
          <cell r="J587">
            <v>44422163646</v>
          </cell>
          <cell r="K587">
            <v>44909</v>
          </cell>
          <cell r="L587">
            <v>16</v>
          </cell>
          <cell r="M587" t="str">
            <v>EUR</v>
          </cell>
          <cell r="N587">
            <v>515.36</v>
          </cell>
          <cell r="O587">
            <v>32.21</v>
          </cell>
          <cell r="P587">
            <v>16</v>
          </cell>
          <cell r="Q587">
            <v>16</v>
          </cell>
          <cell r="R587">
            <v>0</v>
          </cell>
        </row>
        <row r="588">
          <cell r="A588" t="str">
            <v>36BT7GGLB07W5JJ1WM</v>
          </cell>
          <cell r="B588" t="str">
            <v>Q3-23</v>
          </cell>
          <cell r="C588" t="str">
            <v>Europe Operations OU</v>
          </cell>
          <cell r="D588">
            <v>2674345</v>
          </cell>
          <cell r="E588" t="str">
            <v>Amazon EU SARL, succursale Italiana</v>
          </cell>
          <cell r="F588" t="str">
            <v>36BT7GGL</v>
          </cell>
          <cell r="G588" t="str">
            <v>B07W5JJ1WM</v>
          </cell>
          <cell r="H588" t="str">
            <v>910-005957</v>
          </cell>
          <cell r="I588" t="str">
            <v>OE INVOICES</v>
          </cell>
          <cell r="J588">
            <v>44422163646</v>
          </cell>
          <cell r="K588">
            <v>44909</v>
          </cell>
          <cell r="L588">
            <v>17</v>
          </cell>
          <cell r="M588" t="str">
            <v>EUR</v>
          </cell>
          <cell r="N588">
            <v>1677.8</v>
          </cell>
          <cell r="O588">
            <v>83.89</v>
          </cell>
          <cell r="P588">
            <v>20</v>
          </cell>
          <cell r="Q588">
            <v>20</v>
          </cell>
          <cell r="R588">
            <v>0</v>
          </cell>
        </row>
        <row r="589">
          <cell r="A589" t="str">
            <v>36BT7GGLB07W5JK1JN</v>
          </cell>
          <cell r="B589" t="str">
            <v>Q3-23</v>
          </cell>
          <cell r="C589" t="str">
            <v>Europe Operations OU</v>
          </cell>
          <cell r="D589">
            <v>2674345</v>
          </cell>
          <cell r="E589" t="str">
            <v>Amazon EU SARL, succursale Italiana</v>
          </cell>
          <cell r="F589" t="str">
            <v>36BT7GGL</v>
          </cell>
          <cell r="G589" t="str">
            <v>B07W5JK1JN</v>
          </cell>
          <cell r="H589" t="str">
            <v>920-009415</v>
          </cell>
          <cell r="I589" t="str">
            <v>OE INVOICES</v>
          </cell>
          <cell r="J589">
            <v>44422163646</v>
          </cell>
          <cell r="K589">
            <v>44909</v>
          </cell>
          <cell r="L589">
            <v>18</v>
          </cell>
          <cell r="M589" t="str">
            <v>EUR</v>
          </cell>
          <cell r="N589">
            <v>904.92</v>
          </cell>
          <cell r="O589">
            <v>75.41</v>
          </cell>
          <cell r="P589">
            <v>12</v>
          </cell>
          <cell r="Q589">
            <v>12</v>
          </cell>
          <cell r="R589">
            <v>0</v>
          </cell>
        </row>
        <row r="590">
          <cell r="A590" t="str">
            <v>36BT7GGLB07W5JKHFZ</v>
          </cell>
          <cell r="B590" t="str">
            <v>Q3-23</v>
          </cell>
          <cell r="C590" t="str">
            <v>Europe Operations OU</v>
          </cell>
          <cell r="D590">
            <v>2674345</v>
          </cell>
          <cell r="E590" t="str">
            <v>Amazon EU SARL, succursale Italiana</v>
          </cell>
          <cell r="F590" t="str">
            <v>36BT7GGL</v>
          </cell>
          <cell r="G590" t="str">
            <v>B07W5JKHFZ</v>
          </cell>
          <cell r="H590" t="str">
            <v>910-006559</v>
          </cell>
          <cell r="I590" t="str">
            <v>OE INVOICES</v>
          </cell>
          <cell r="J590">
            <v>44422163646</v>
          </cell>
          <cell r="K590">
            <v>44909</v>
          </cell>
          <cell r="L590">
            <v>19</v>
          </cell>
          <cell r="M590" t="str">
            <v>EUR</v>
          </cell>
          <cell r="N590">
            <v>2111.48</v>
          </cell>
          <cell r="O590">
            <v>75.41</v>
          </cell>
          <cell r="P590">
            <v>28</v>
          </cell>
          <cell r="Q590">
            <v>28</v>
          </cell>
          <cell r="R590">
            <v>0</v>
          </cell>
        </row>
        <row r="591">
          <cell r="A591" t="str">
            <v>36BT7GGLB07W5JKKHL</v>
          </cell>
          <cell r="B591" t="str">
            <v>Q3-23</v>
          </cell>
          <cell r="C591" t="str">
            <v>Europe Operations OU</v>
          </cell>
          <cell r="D591">
            <v>2674345</v>
          </cell>
          <cell r="E591" t="str">
            <v>Amazon EU SARL, succursale Italiana</v>
          </cell>
          <cell r="F591" t="str">
            <v>36BT7GGL</v>
          </cell>
          <cell r="G591" t="str">
            <v>B07W5JKKHL</v>
          </cell>
          <cell r="H591" t="str">
            <v>920-009583</v>
          </cell>
          <cell r="I591" t="str">
            <v>OE INVOICES</v>
          </cell>
          <cell r="J591">
            <v>44422163646</v>
          </cell>
          <cell r="K591">
            <v>44909</v>
          </cell>
          <cell r="L591">
            <v>20</v>
          </cell>
          <cell r="M591" t="str">
            <v>EUR</v>
          </cell>
          <cell r="N591">
            <v>257.68</v>
          </cell>
          <cell r="O591">
            <v>32.21</v>
          </cell>
          <cell r="P591">
            <v>8</v>
          </cell>
          <cell r="Q591">
            <v>8</v>
          </cell>
          <cell r="R591">
            <v>0</v>
          </cell>
        </row>
        <row r="592">
          <cell r="A592" t="str">
            <v>36BT7GGLB07W5JKNB9</v>
          </cell>
          <cell r="B592" t="str">
            <v>Q3-23</v>
          </cell>
          <cell r="C592" t="str">
            <v>Europe Operations OU</v>
          </cell>
          <cell r="D592">
            <v>2674345</v>
          </cell>
          <cell r="E592" t="str">
            <v>Amazon EU SARL, succursale Italiana</v>
          </cell>
          <cell r="F592" t="str">
            <v>36BT7GGL</v>
          </cell>
          <cell r="G592" t="str">
            <v>B07W5JKNB9</v>
          </cell>
          <cell r="H592" t="str">
            <v>920-010522</v>
          </cell>
          <cell r="I592" t="str">
            <v>OE INVOICES</v>
          </cell>
          <cell r="J592">
            <v>44422163646</v>
          </cell>
          <cell r="K592">
            <v>44909</v>
          </cell>
          <cell r="L592">
            <v>21</v>
          </cell>
          <cell r="M592" t="str">
            <v>EUR</v>
          </cell>
          <cell r="N592">
            <v>1104.48</v>
          </cell>
          <cell r="O592">
            <v>69.03</v>
          </cell>
          <cell r="P592">
            <v>16</v>
          </cell>
          <cell r="Q592">
            <v>16</v>
          </cell>
          <cell r="R592">
            <v>0</v>
          </cell>
        </row>
        <row r="593">
          <cell r="A593" t="str">
            <v>36BT7GGLB07W6GNXZF</v>
          </cell>
          <cell r="B593" t="str">
            <v>Q3-23</v>
          </cell>
          <cell r="C593" t="str">
            <v>Europe Operations OU</v>
          </cell>
          <cell r="D593">
            <v>2674345</v>
          </cell>
          <cell r="E593" t="str">
            <v>Amazon EU SARL, succursale Italiana</v>
          </cell>
          <cell r="F593" t="str">
            <v>36BT7GGL</v>
          </cell>
          <cell r="G593" t="str">
            <v>B07W6GNXZF</v>
          </cell>
          <cell r="H593" t="str">
            <v>920-009842</v>
          </cell>
          <cell r="I593" t="str">
            <v>OE INVOICES</v>
          </cell>
          <cell r="J593">
            <v>44422163646</v>
          </cell>
          <cell r="K593">
            <v>44909</v>
          </cell>
          <cell r="L593">
            <v>22</v>
          </cell>
          <cell r="M593" t="str">
            <v>EUR</v>
          </cell>
          <cell r="N593">
            <v>301.64</v>
          </cell>
          <cell r="O593">
            <v>75.41</v>
          </cell>
          <cell r="P593">
            <v>4</v>
          </cell>
          <cell r="Q593">
            <v>4</v>
          </cell>
          <cell r="R593">
            <v>0</v>
          </cell>
        </row>
        <row r="594">
          <cell r="A594" t="str">
            <v>36BT7GGLB07W6H4R4G</v>
          </cell>
          <cell r="B594" t="str">
            <v>Q3-23</v>
          </cell>
          <cell r="C594" t="str">
            <v>Europe Operations OU</v>
          </cell>
          <cell r="D594">
            <v>2674345</v>
          </cell>
          <cell r="E594" t="str">
            <v>Amazon EU SARL, succursale Italiana</v>
          </cell>
          <cell r="F594" t="str">
            <v>36BT7GGL</v>
          </cell>
          <cell r="G594" t="str">
            <v>B07W6H4R4G</v>
          </cell>
          <cell r="H594" t="str">
            <v>910-006571</v>
          </cell>
          <cell r="I594" t="str">
            <v>OE INVOICES</v>
          </cell>
          <cell r="J594">
            <v>44422163646</v>
          </cell>
          <cell r="K594">
            <v>44909</v>
          </cell>
          <cell r="L594">
            <v>23</v>
          </cell>
          <cell r="M594" t="str">
            <v>EUR</v>
          </cell>
          <cell r="N594">
            <v>301.64</v>
          </cell>
          <cell r="O594">
            <v>75.41</v>
          </cell>
          <cell r="P594">
            <v>4</v>
          </cell>
          <cell r="Q594">
            <v>4</v>
          </cell>
          <cell r="R594">
            <v>0</v>
          </cell>
        </row>
        <row r="595">
          <cell r="A595" t="str">
            <v>36BT7GGLB07W6HKDNR</v>
          </cell>
          <cell r="B595" t="str">
            <v>Q3-23</v>
          </cell>
          <cell r="C595" t="str">
            <v>Europe Operations OU</v>
          </cell>
          <cell r="D595">
            <v>2674345</v>
          </cell>
          <cell r="E595" t="str">
            <v>Amazon EU SARL, succursale Italiana</v>
          </cell>
          <cell r="F595" t="str">
            <v>36BT7GGL</v>
          </cell>
          <cell r="G595" t="str">
            <v>B07W6HKDNR</v>
          </cell>
          <cell r="H595" t="str">
            <v>988-000485</v>
          </cell>
          <cell r="I595" t="str">
            <v>OE INVOICES</v>
          </cell>
          <cell r="J595">
            <v>44422163646</v>
          </cell>
          <cell r="K595">
            <v>44909</v>
          </cell>
          <cell r="L595">
            <v>24</v>
          </cell>
          <cell r="M595" t="str">
            <v>EUR</v>
          </cell>
          <cell r="N595">
            <v>7166.4</v>
          </cell>
          <cell r="O595">
            <v>179.16</v>
          </cell>
          <cell r="P595">
            <v>40</v>
          </cell>
          <cell r="Q595">
            <v>40</v>
          </cell>
          <cell r="R595">
            <v>0</v>
          </cell>
        </row>
        <row r="596">
          <cell r="A596" t="str">
            <v>36BT7GGLB07W6HVXXN</v>
          </cell>
          <cell r="B596" t="str">
            <v>Q3-23</v>
          </cell>
          <cell r="C596" t="str">
            <v>Europe Operations OU</v>
          </cell>
          <cell r="D596">
            <v>2674345</v>
          </cell>
          <cell r="E596" t="str">
            <v>Amazon EU SARL, succursale Italiana</v>
          </cell>
          <cell r="F596" t="str">
            <v>36BT7GGL</v>
          </cell>
          <cell r="G596" t="str">
            <v>B07W6HVXXN</v>
          </cell>
          <cell r="H596" t="str">
            <v>920-009404</v>
          </cell>
          <cell r="I596" t="str">
            <v>OE INVOICES</v>
          </cell>
          <cell r="J596">
            <v>44422163646</v>
          </cell>
          <cell r="K596">
            <v>44909</v>
          </cell>
          <cell r="L596">
            <v>25</v>
          </cell>
          <cell r="M596" t="str">
            <v>EUR</v>
          </cell>
          <cell r="N596">
            <v>324.83999999999997</v>
          </cell>
          <cell r="O596">
            <v>81.209999999999994</v>
          </cell>
          <cell r="P596">
            <v>4</v>
          </cell>
          <cell r="Q596">
            <v>4</v>
          </cell>
          <cell r="R596">
            <v>0</v>
          </cell>
        </row>
        <row r="597">
          <cell r="A597" t="str">
            <v>36BT7GGLB07W6HXZ5J</v>
          </cell>
          <cell r="B597" t="str">
            <v>Q3-23</v>
          </cell>
          <cell r="C597" t="str">
            <v>Europe Operations OU</v>
          </cell>
          <cell r="D597">
            <v>2674345</v>
          </cell>
          <cell r="E597" t="str">
            <v>Amazon EU SARL, succursale Italiana</v>
          </cell>
          <cell r="F597" t="str">
            <v>36BT7GGL</v>
          </cell>
          <cell r="G597" t="str">
            <v>B07W6HXZ5J</v>
          </cell>
          <cell r="H597" t="str">
            <v>920-009413</v>
          </cell>
          <cell r="I597" t="str">
            <v>OE INVOICES</v>
          </cell>
          <cell r="J597">
            <v>44422163646</v>
          </cell>
          <cell r="K597">
            <v>44909</v>
          </cell>
          <cell r="L597">
            <v>26</v>
          </cell>
          <cell r="M597" t="str">
            <v>EUR</v>
          </cell>
          <cell r="N597">
            <v>9652.48</v>
          </cell>
          <cell r="O597">
            <v>75.41</v>
          </cell>
          <cell r="P597">
            <v>128</v>
          </cell>
          <cell r="Q597">
            <v>128</v>
          </cell>
          <cell r="R597">
            <v>0</v>
          </cell>
        </row>
        <row r="598">
          <cell r="A598" t="str">
            <v>36BT7GGLB07W6J24VW</v>
          </cell>
          <cell r="B598" t="str">
            <v>Q3-23</v>
          </cell>
          <cell r="C598" t="str">
            <v>Europe Operations OU</v>
          </cell>
          <cell r="D598">
            <v>2674345</v>
          </cell>
          <cell r="E598" t="str">
            <v>Amazon EU SARL, succursale Italiana</v>
          </cell>
          <cell r="F598" t="str">
            <v>36BT7GGL</v>
          </cell>
          <cell r="G598" t="str">
            <v>B07W6J24VW</v>
          </cell>
          <cell r="H598" t="str">
            <v>920-010416</v>
          </cell>
          <cell r="I598" t="str">
            <v>OE INVOICES</v>
          </cell>
          <cell r="J598">
            <v>44422163646</v>
          </cell>
          <cell r="K598">
            <v>44909</v>
          </cell>
          <cell r="L598">
            <v>27</v>
          </cell>
          <cell r="M598" t="str">
            <v>EUR</v>
          </cell>
          <cell r="N598">
            <v>755.52</v>
          </cell>
          <cell r="O598">
            <v>94.44</v>
          </cell>
          <cell r="P598">
            <v>8</v>
          </cell>
          <cell r="Q598">
            <v>8</v>
          </cell>
          <cell r="R598">
            <v>0</v>
          </cell>
        </row>
        <row r="599">
          <cell r="A599" t="str">
            <v>36BT7GGLB07W6J51XR</v>
          </cell>
          <cell r="B599" t="str">
            <v>Q3-23</v>
          </cell>
          <cell r="C599" t="str">
            <v>Europe Operations OU</v>
          </cell>
          <cell r="D599">
            <v>2674345</v>
          </cell>
          <cell r="E599" t="str">
            <v>Amazon EU SARL, succursale Italiana</v>
          </cell>
          <cell r="F599" t="str">
            <v>36BT7GGL</v>
          </cell>
          <cell r="G599" t="str">
            <v>B07W6J51XR</v>
          </cell>
          <cell r="H599" t="str">
            <v>910-005942</v>
          </cell>
          <cell r="I599" t="str">
            <v>OE INVOICES</v>
          </cell>
          <cell r="J599">
            <v>44422163646</v>
          </cell>
          <cell r="K599">
            <v>44909</v>
          </cell>
          <cell r="L599">
            <v>28</v>
          </cell>
          <cell r="M599" t="str">
            <v>EUR</v>
          </cell>
          <cell r="N599">
            <v>335.56</v>
          </cell>
          <cell r="O599">
            <v>83.89</v>
          </cell>
          <cell r="P599">
            <v>4</v>
          </cell>
          <cell r="Q599">
            <v>4</v>
          </cell>
          <cell r="R599">
            <v>0</v>
          </cell>
        </row>
        <row r="600">
          <cell r="A600" t="str">
            <v>36BT7GGLB07W6JFPT1</v>
          </cell>
          <cell r="B600" t="str">
            <v>Q3-23</v>
          </cell>
          <cell r="C600" t="str">
            <v>Europe Operations OU</v>
          </cell>
          <cell r="D600">
            <v>2674345</v>
          </cell>
          <cell r="E600" t="str">
            <v>Amazon EU SARL, succursale Italiana</v>
          </cell>
          <cell r="F600" t="str">
            <v>36BT7GGL</v>
          </cell>
          <cell r="G600" t="str">
            <v>B07W6JFPT1</v>
          </cell>
          <cell r="H600" t="str">
            <v>920-009405</v>
          </cell>
          <cell r="I600" t="str">
            <v>OE INVOICES</v>
          </cell>
          <cell r="J600">
            <v>44422163646</v>
          </cell>
          <cell r="K600">
            <v>44909</v>
          </cell>
          <cell r="L600">
            <v>29</v>
          </cell>
          <cell r="M600" t="str">
            <v>EUR</v>
          </cell>
          <cell r="N600">
            <v>41626.32</v>
          </cell>
          <cell r="O600">
            <v>75.41</v>
          </cell>
          <cell r="P600">
            <v>552</v>
          </cell>
          <cell r="Q600">
            <v>552</v>
          </cell>
          <cell r="R600">
            <v>0</v>
          </cell>
        </row>
        <row r="601">
          <cell r="A601" t="str">
            <v>36BT7GGLB07W6JNF81</v>
          </cell>
          <cell r="B601" t="str">
            <v>Q3-23</v>
          </cell>
          <cell r="C601" t="str">
            <v>Europe Operations OU</v>
          </cell>
          <cell r="D601">
            <v>2674345</v>
          </cell>
          <cell r="E601" t="str">
            <v>Amazon EU SARL, succursale Italiana</v>
          </cell>
          <cell r="F601" t="str">
            <v>36BT7GGL</v>
          </cell>
          <cell r="G601" t="str">
            <v>B07W6JNF81</v>
          </cell>
          <cell r="H601" t="str">
            <v>920-010212</v>
          </cell>
          <cell r="I601" t="str">
            <v>OE INVOICES</v>
          </cell>
          <cell r="J601">
            <v>44422163646</v>
          </cell>
          <cell r="K601">
            <v>44909</v>
          </cell>
          <cell r="L601">
            <v>30</v>
          </cell>
          <cell r="M601" t="str">
            <v>EUR</v>
          </cell>
          <cell r="N601">
            <v>1067.3599999999999</v>
          </cell>
          <cell r="O601">
            <v>133.41999999999999</v>
          </cell>
          <cell r="P601">
            <v>8</v>
          </cell>
          <cell r="Q601">
            <v>8</v>
          </cell>
          <cell r="R601">
            <v>0</v>
          </cell>
        </row>
        <row r="602">
          <cell r="A602" t="str">
            <v>36BT7GGLB07W7JYP91</v>
          </cell>
          <cell r="B602" t="str">
            <v>Q3-23</v>
          </cell>
          <cell r="C602" t="str">
            <v>Europe Operations OU</v>
          </cell>
          <cell r="D602">
            <v>2674345</v>
          </cell>
          <cell r="E602" t="str">
            <v>Amazon EU SARL, succursale Italiana</v>
          </cell>
          <cell r="F602" t="str">
            <v>36BT7GGL</v>
          </cell>
          <cell r="G602" t="str">
            <v>B07W7JYP91</v>
          </cell>
          <cell r="H602" t="str">
            <v>910-005720</v>
          </cell>
          <cell r="I602" t="str">
            <v>OE INVOICES</v>
          </cell>
          <cell r="J602">
            <v>44422163483</v>
          </cell>
          <cell r="K602">
            <v>44909</v>
          </cell>
          <cell r="L602">
            <v>5</v>
          </cell>
          <cell r="M602" t="str">
            <v>EUR</v>
          </cell>
          <cell r="N602">
            <v>327.8</v>
          </cell>
          <cell r="O602">
            <v>16.39</v>
          </cell>
          <cell r="P602">
            <v>20</v>
          </cell>
          <cell r="Q602">
            <v>20</v>
          </cell>
          <cell r="R602">
            <v>0</v>
          </cell>
        </row>
        <row r="603">
          <cell r="A603" t="str">
            <v>36BT7GGLB07W7KT2B3</v>
          </cell>
          <cell r="B603" t="str">
            <v>Q3-23</v>
          </cell>
          <cell r="C603" t="str">
            <v>Europe Operations OU</v>
          </cell>
          <cell r="D603">
            <v>2674345</v>
          </cell>
          <cell r="E603" t="str">
            <v>Amazon EU SARL, succursale Italiana</v>
          </cell>
          <cell r="F603" t="str">
            <v>36BT7GGL</v>
          </cell>
          <cell r="G603" t="str">
            <v>B07W7KT2B3</v>
          </cell>
          <cell r="H603" t="str">
            <v>981-000864</v>
          </cell>
          <cell r="I603" t="str">
            <v>OE INVOICES</v>
          </cell>
          <cell r="J603">
            <v>44422163646</v>
          </cell>
          <cell r="K603">
            <v>44909</v>
          </cell>
          <cell r="L603">
            <v>31</v>
          </cell>
          <cell r="M603" t="str">
            <v>EUR</v>
          </cell>
          <cell r="N603">
            <v>9395.68</v>
          </cell>
          <cell r="O603">
            <v>83.89</v>
          </cell>
          <cell r="P603">
            <v>112</v>
          </cell>
          <cell r="Q603">
            <v>112</v>
          </cell>
          <cell r="R603">
            <v>0</v>
          </cell>
        </row>
        <row r="604">
          <cell r="A604" t="str">
            <v>36BT7GGLB07W7L3HJP</v>
          </cell>
          <cell r="B604" t="str">
            <v>Q3-23</v>
          </cell>
          <cell r="C604" t="str">
            <v>Europe Operations OU</v>
          </cell>
          <cell r="D604">
            <v>2674345</v>
          </cell>
          <cell r="E604" t="str">
            <v>Amazon EU SARL, succursale Italiana</v>
          </cell>
          <cell r="F604" t="str">
            <v>36BT7GGL</v>
          </cell>
          <cell r="G604" t="str">
            <v>B07W7L3HJP</v>
          </cell>
          <cell r="H604" t="str">
            <v>914-000074</v>
          </cell>
          <cell r="I604" t="str">
            <v>OE INVOICES</v>
          </cell>
          <cell r="J604">
            <v>44422163646</v>
          </cell>
          <cell r="K604">
            <v>44909</v>
          </cell>
          <cell r="L604">
            <v>32</v>
          </cell>
          <cell r="M604" t="str">
            <v>EUR</v>
          </cell>
          <cell r="N604">
            <v>661.2</v>
          </cell>
          <cell r="O604">
            <v>55.1</v>
          </cell>
          <cell r="P604">
            <v>12</v>
          </cell>
          <cell r="Q604">
            <v>12</v>
          </cell>
          <cell r="R604">
            <v>0</v>
          </cell>
        </row>
        <row r="605">
          <cell r="A605" t="str">
            <v>36BT7GGLB07W7LNRN6</v>
          </cell>
          <cell r="B605" t="str">
            <v>Q3-23</v>
          </cell>
          <cell r="C605" t="str">
            <v>Europe Operations OU</v>
          </cell>
          <cell r="D605">
            <v>2674345</v>
          </cell>
          <cell r="E605" t="str">
            <v>Amazon EU SARL, succursale Italiana</v>
          </cell>
          <cell r="F605" t="str">
            <v>36BT7GGL</v>
          </cell>
          <cell r="G605" t="str">
            <v>B07W7LNRN6</v>
          </cell>
          <cell r="H605" t="str">
            <v>920-010042</v>
          </cell>
          <cell r="I605" t="str">
            <v>OE INVOICES</v>
          </cell>
          <cell r="J605">
            <v>44422163646</v>
          </cell>
          <cell r="K605">
            <v>44909</v>
          </cell>
          <cell r="L605">
            <v>33</v>
          </cell>
          <cell r="M605" t="str">
            <v>EUR</v>
          </cell>
          <cell r="N605">
            <v>324.8</v>
          </cell>
          <cell r="O605">
            <v>40.6</v>
          </cell>
          <cell r="P605">
            <v>8</v>
          </cell>
          <cell r="Q605">
            <v>8</v>
          </cell>
          <cell r="R605">
            <v>0</v>
          </cell>
        </row>
        <row r="606">
          <cell r="A606" t="str">
            <v>38RKRRMYB07W6JKH17</v>
          </cell>
          <cell r="B606" t="str">
            <v>Q3-23</v>
          </cell>
          <cell r="C606" t="str">
            <v>Europe Operations OU</v>
          </cell>
          <cell r="D606">
            <v>2674345</v>
          </cell>
          <cell r="E606" t="str">
            <v>Amazon EU SARL, succursale Italiana</v>
          </cell>
          <cell r="F606" t="str">
            <v>38RKRRMY</v>
          </cell>
          <cell r="G606" t="str">
            <v>B07W6JKH17</v>
          </cell>
          <cell r="H606" t="str">
            <v>910-005931</v>
          </cell>
          <cell r="I606" t="str">
            <v>OE INVOICES</v>
          </cell>
          <cell r="J606">
            <v>44422158836</v>
          </cell>
          <cell r="K606">
            <v>44907</v>
          </cell>
          <cell r="L606">
            <v>1</v>
          </cell>
          <cell r="M606" t="str">
            <v>EUR</v>
          </cell>
          <cell r="N606">
            <v>2624</v>
          </cell>
          <cell r="O606">
            <v>8.1999999999999993</v>
          </cell>
          <cell r="P606">
            <v>320</v>
          </cell>
          <cell r="Q606">
            <v>320</v>
          </cell>
          <cell r="R606">
            <v>0</v>
          </cell>
        </row>
        <row r="607">
          <cell r="A607" t="str">
            <v>38RKRRMYB07W7LMCF9</v>
          </cell>
          <cell r="B607" t="str">
            <v>Q3-23</v>
          </cell>
          <cell r="C607" t="str">
            <v>Europe Operations OU</v>
          </cell>
          <cell r="D607">
            <v>2674345</v>
          </cell>
          <cell r="E607" t="str">
            <v>Amazon EU SARL, succursale Italiana</v>
          </cell>
          <cell r="F607" t="str">
            <v>38RKRRMY</v>
          </cell>
          <cell r="G607" t="str">
            <v>B07W7LMCF9</v>
          </cell>
          <cell r="H607" t="str">
            <v>920-009553</v>
          </cell>
          <cell r="I607" t="str">
            <v>OE INVOICES</v>
          </cell>
          <cell r="J607">
            <v>44422158836</v>
          </cell>
          <cell r="K607">
            <v>44907</v>
          </cell>
          <cell r="L607">
            <v>2</v>
          </cell>
          <cell r="M607" t="str">
            <v>EUR</v>
          </cell>
          <cell r="N607">
            <v>301.64</v>
          </cell>
          <cell r="O607">
            <v>75.41</v>
          </cell>
          <cell r="P607">
            <v>4</v>
          </cell>
          <cell r="Q607">
            <v>4</v>
          </cell>
          <cell r="R607">
            <v>0</v>
          </cell>
        </row>
        <row r="608">
          <cell r="A608" t="str">
            <v>39TAD6PCB000XUQ2LI</v>
          </cell>
          <cell r="B608" t="str">
            <v>Q3-23</v>
          </cell>
          <cell r="C608" t="str">
            <v>Europe Operations OU</v>
          </cell>
          <cell r="D608">
            <v>2674345</v>
          </cell>
          <cell r="E608" t="str">
            <v>Amazon EU SARL, succursale Italiana</v>
          </cell>
          <cell r="F608" t="str">
            <v>39TAD6PC</v>
          </cell>
          <cell r="G608" t="str">
            <v>B000XUQ2LI</v>
          </cell>
          <cell r="H608" t="str">
            <v>980-000029</v>
          </cell>
          <cell r="I608" t="str">
            <v>OE INVOICES</v>
          </cell>
          <cell r="J608">
            <v>44422157003</v>
          </cell>
          <cell r="K608">
            <v>44904</v>
          </cell>
          <cell r="L608">
            <v>1</v>
          </cell>
          <cell r="M608" t="str">
            <v>EUR</v>
          </cell>
          <cell r="N608">
            <v>140.52000000000001</v>
          </cell>
          <cell r="O608">
            <v>11.71</v>
          </cell>
          <cell r="P608">
            <v>12</v>
          </cell>
          <cell r="Q608">
            <v>12</v>
          </cell>
          <cell r="R608">
            <v>0</v>
          </cell>
        </row>
        <row r="609">
          <cell r="A609" t="str">
            <v>39TAD6PCB006A2Q81M</v>
          </cell>
          <cell r="B609" t="str">
            <v>Q3-23</v>
          </cell>
          <cell r="C609" t="str">
            <v>Europe Operations OU</v>
          </cell>
          <cell r="D609">
            <v>2674345</v>
          </cell>
          <cell r="E609" t="str">
            <v>Amazon EU SARL, succursale Italiana</v>
          </cell>
          <cell r="F609" t="str">
            <v>39TAD6PC</v>
          </cell>
          <cell r="G609" t="str">
            <v>B006A2Q81M</v>
          </cell>
          <cell r="H609" t="str">
            <v>960-001055</v>
          </cell>
          <cell r="I609" t="str">
            <v>OE INVOICES</v>
          </cell>
          <cell r="J609">
            <v>44422158783</v>
          </cell>
          <cell r="K609">
            <v>44907</v>
          </cell>
          <cell r="L609">
            <v>1</v>
          </cell>
          <cell r="M609" t="str">
            <v>EUR</v>
          </cell>
          <cell r="N609">
            <v>505.84</v>
          </cell>
          <cell r="O609">
            <v>63.23</v>
          </cell>
          <cell r="P609">
            <v>8</v>
          </cell>
          <cell r="Q609">
            <v>8</v>
          </cell>
          <cell r="R609">
            <v>0</v>
          </cell>
        </row>
        <row r="610">
          <cell r="A610" t="str">
            <v>39TAD6PCB00XJ3LVPI</v>
          </cell>
          <cell r="B610" t="str">
            <v>Q3-23</v>
          </cell>
          <cell r="C610" t="str">
            <v>Europe Operations OU</v>
          </cell>
          <cell r="D610">
            <v>2674345</v>
          </cell>
          <cell r="E610" t="str">
            <v>Amazon EU SARL, succursale Italiana</v>
          </cell>
          <cell r="F610" t="str">
            <v>39TAD6PC</v>
          </cell>
          <cell r="G610" t="str">
            <v>B00XJ3LVPI</v>
          </cell>
          <cell r="H610" t="str">
            <v>920-007143</v>
          </cell>
          <cell r="I610" t="str">
            <v>OE INVOICES</v>
          </cell>
          <cell r="J610">
            <v>44422157003</v>
          </cell>
          <cell r="K610">
            <v>44904</v>
          </cell>
          <cell r="L610">
            <v>2</v>
          </cell>
          <cell r="M610" t="str">
            <v>EUR</v>
          </cell>
          <cell r="N610">
            <v>1288.4000000000001</v>
          </cell>
          <cell r="O610">
            <v>32.21</v>
          </cell>
          <cell r="P610">
            <v>40</v>
          </cell>
          <cell r="Q610">
            <v>40</v>
          </cell>
          <cell r="R610">
            <v>0</v>
          </cell>
        </row>
        <row r="611">
          <cell r="A611" t="str">
            <v>39TAD6PCB00ZWOUH4S</v>
          </cell>
          <cell r="B611" t="str">
            <v>Q3-23</v>
          </cell>
          <cell r="C611" t="str">
            <v>Europe Operations OU</v>
          </cell>
          <cell r="D611">
            <v>2674345</v>
          </cell>
          <cell r="E611" t="str">
            <v>Amazon EU SARL, succursale Italiana</v>
          </cell>
          <cell r="F611" t="str">
            <v>39TAD6PC</v>
          </cell>
          <cell r="G611" t="str">
            <v>B00ZWOUH4S</v>
          </cell>
          <cell r="H611" t="str">
            <v>941-000130</v>
          </cell>
          <cell r="I611" t="str">
            <v>OE INVOICES</v>
          </cell>
          <cell r="J611">
            <v>44422146169</v>
          </cell>
          <cell r="K611">
            <v>44900</v>
          </cell>
          <cell r="L611">
            <v>1</v>
          </cell>
          <cell r="M611" t="str">
            <v>EUR</v>
          </cell>
          <cell r="N611">
            <v>147447</v>
          </cell>
          <cell r="O611">
            <v>34.29</v>
          </cell>
          <cell r="P611">
            <v>4300</v>
          </cell>
          <cell r="Q611">
            <v>4300</v>
          </cell>
          <cell r="R611">
            <v>0</v>
          </cell>
        </row>
        <row r="612">
          <cell r="A612" t="str">
            <v>39TAD6PCB01K7GEAFC</v>
          </cell>
          <cell r="B612" t="str">
            <v>Q3-23</v>
          </cell>
          <cell r="C612" t="str">
            <v>Europe Operations OU</v>
          </cell>
          <cell r="D612">
            <v>2674345</v>
          </cell>
          <cell r="E612" t="str">
            <v>Amazon EU SARL, succursale Italiana</v>
          </cell>
          <cell r="F612" t="str">
            <v>39TAD6PC</v>
          </cell>
          <cell r="G612" t="str">
            <v>B01K7GEAFC</v>
          </cell>
          <cell r="H612" t="str">
            <v>910-004909</v>
          </cell>
          <cell r="I612" t="str">
            <v>OE INVOICES</v>
          </cell>
          <cell r="J612">
            <v>44422158783</v>
          </cell>
          <cell r="K612">
            <v>44907</v>
          </cell>
          <cell r="L612">
            <v>2</v>
          </cell>
          <cell r="M612" t="str">
            <v>EUR</v>
          </cell>
          <cell r="N612">
            <v>2371.5</v>
          </cell>
          <cell r="O612">
            <v>26.35</v>
          </cell>
          <cell r="P612">
            <v>90</v>
          </cell>
          <cell r="Q612">
            <v>90</v>
          </cell>
          <cell r="R612">
            <v>0</v>
          </cell>
        </row>
        <row r="613">
          <cell r="A613" t="str">
            <v>39TAD6PCB06XZZJ65H</v>
          </cell>
          <cell r="B613" t="str">
            <v>Q3-23</v>
          </cell>
          <cell r="C613" t="str">
            <v>Europe Operations OU</v>
          </cell>
          <cell r="D613">
            <v>2674345</v>
          </cell>
          <cell r="E613" t="str">
            <v>Amazon EU SARL, succursale Italiana</v>
          </cell>
          <cell r="F613" t="str">
            <v>39TAD6PC</v>
          </cell>
          <cell r="G613" t="str">
            <v>B06XZZJ65H</v>
          </cell>
          <cell r="H613" t="str">
            <v>920-008335</v>
          </cell>
          <cell r="I613" t="str">
            <v>OE INVOICES</v>
          </cell>
          <cell r="J613">
            <v>44422157003</v>
          </cell>
          <cell r="K613">
            <v>44904</v>
          </cell>
          <cell r="L613">
            <v>3</v>
          </cell>
          <cell r="M613" t="str">
            <v>EUR</v>
          </cell>
          <cell r="N613">
            <v>324.8</v>
          </cell>
          <cell r="O613">
            <v>40.6</v>
          </cell>
          <cell r="P613">
            <v>8</v>
          </cell>
          <cell r="Q613">
            <v>8</v>
          </cell>
          <cell r="R613">
            <v>0</v>
          </cell>
        </row>
        <row r="614">
          <cell r="A614" t="str">
            <v>39TAD6PCB0711V7BV6</v>
          </cell>
          <cell r="B614" t="str">
            <v>Q3-23</v>
          </cell>
          <cell r="C614" t="str">
            <v>Europe Operations OU</v>
          </cell>
          <cell r="D614">
            <v>2674345</v>
          </cell>
          <cell r="E614" t="str">
            <v>Amazon EU SARL, succursale Italiana</v>
          </cell>
          <cell r="F614" t="str">
            <v>39TAD6PC</v>
          </cell>
          <cell r="G614" t="str">
            <v>B0711V7BV6</v>
          </cell>
          <cell r="H614" t="str">
            <v>939-001531</v>
          </cell>
          <cell r="I614" t="str">
            <v>OE INVOICES</v>
          </cell>
          <cell r="J614">
            <v>44422146169</v>
          </cell>
          <cell r="K614">
            <v>44900</v>
          </cell>
          <cell r="L614">
            <v>2</v>
          </cell>
          <cell r="M614" t="str">
            <v>EUR</v>
          </cell>
          <cell r="N614">
            <v>6113.2</v>
          </cell>
          <cell r="O614">
            <v>44.95</v>
          </cell>
          <cell r="P614">
            <v>136</v>
          </cell>
          <cell r="Q614">
            <v>136</v>
          </cell>
          <cell r="R614">
            <v>0</v>
          </cell>
        </row>
        <row r="615">
          <cell r="A615" t="str">
            <v>39TAD6PCB07FNHV4MW</v>
          </cell>
          <cell r="B615" t="str">
            <v>Q3-23</v>
          </cell>
          <cell r="C615" t="str">
            <v>Europe Operations OU</v>
          </cell>
          <cell r="D615">
            <v>2674345</v>
          </cell>
          <cell r="E615" t="str">
            <v>Amazon EU SARL, succursale Italiana</v>
          </cell>
          <cell r="F615" t="str">
            <v>39TAD6PC</v>
          </cell>
          <cell r="G615" t="str">
            <v>B07FNHV4MW</v>
          </cell>
          <cell r="H615" t="str">
            <v>910-005448</v>
          </cell>
          <cell r="I615" t="str">
            <v>OE INVOICES</v>
          </cell>
          <cell r="J615">
            <v>44422157003</v>
          </cell>
          <cell r="K615">
            <v>44904</v>
          </cell>
          <cell r="L615">
            <v>4</v>
          </cell>
          <cell r="M615" t="str">
            <v>EUR</v>
          </cell>
          <cell r="N615">
            <v>3341.28</v>
          </cell>
          <cell r="O615">
            <v>69.61</v>
          </cell>
          <cell r="P615">
            <v>48</v>
          </cell>
          <cell r="Q615">
            <v>48</v>
          </cell>
          <cell r="R615">
            <v>0</v>
          </cell>
        </row>
        <row r="616">
          <cell r="A616" t="str">
            <v>39TAD6PCB07HR4KVSN</v>
          </cell>
          <cell r="B616" t="str">
            <v>Q3-23</v>
          </cell>
          <cell r="C616" t="str">
            <v>Europe Operations OU</v>
          </cell>
          <cell r="D616">
            <v>2674345</v>
          </cell>
          <cell r="E616" t="str">
            <v>Amazon EU SARL, succursale Italiana</v>
          </cell>
          <cell r="F616" t="str">
            <v>39TAD6PC</v>
          </cell>
          <cell r="G616" t="str">
            <v>B07HR4KVSN</v>
          </cell>
          <cell r="H616" t="str">
            <v>939-001668</v>
          </cell>
          <cell r="I616" t="str">
            <v>OE INVOICES</v>
          </cell>
          <cell r="J616">
            <v>44422146169</v>
          </cell>
          <cell r="K616">
            <v>44900</v>
          </cell>
          <cell r="L616">
            <v>3</v>
          </cell>
          <cell r="M616" t="str">
            <v>EUR</v>
          </cell>
          <cell r="N616">
            <v>2337.8000000000002</v>
          </cell>
          <cell r="O616">
            <v>116.89</v>
          </cell>
          <cell r="P616">
            <v>20</v>
          </cell>
          <cell r="Q616">
            <v>20</v>
          </cell>
          <cell r="R616">
            <v>0</v>
          </cell>
        </row>
        <row r="617">
          <cell r="A617" t="str">
            <v>39TAD6PCB07MM4V7NR</v>
          </cell>
          <cell r="B617" t="str">
            <v>Q3-23</v>
          </cell>
          <cell r="C617" t="str">
            <v>Europe Operations OU</v>
          </cell>
          <cell r="D617">
            <v>2674345</v>
          </cell>
          <cell r="E617" t="str">
            <v>Amazon EU SARL, succursale Italiana</v>
          </cell>
          <cell r="F617" t="str">
            <v>39TAD6PC</v>
          </cell>
          <cell r="G617" t="str">
            <v>B07MM4V7NR</v>
          </cell>
          <cell r="H617" t="str">
            <v>960-001252</v>
          </cell>
          <cell r="I617" t="str">
            <v>OE INVOICES</v>
          </cell>
          <cell r="J617">
            <v>44422157003</v>
          </cell>
          <cell r="K617">
            <v>44904</v>
          </cell>
          <cell r="L617">
            <v>5</v>
          </cell>
          <cell r="M617" t="str">
            <v>EUR</v>
          </cell>
          <cell r="N617">
            <v>1104.48</v>
          </cell>
          <cell r="O617">
            <v>69.03</v>
          </cell>
          <cell r="P617">
            <v>16</v>
          </cell>
          <cell r="Q617">
            <v>16</v>
          </cell>
          <cell r="R617">
            <v>0</v>
          </cell>
        </row>
        <row r="618">
          <cell r="A618" t="str">
            <v>39TAD6PCB07PMKHMFS</v>
          </cell>
          <cell r="B618" t="str">
            <v>Q3-23</v>
          </cell>
          <cell r="C618" t="str">
            <v>Europe Operations OU</v>
          </cell>
          <cell r="D618">
            <v>2674345</v>
          </cell>
          <cell r="E618" t="str">
            <v>Amazon EU SARL, succursale Italiana</v>
          </cell>
          <cell r="F618" t="str">
            <v>39TAD6PC</v>
          </cell>
          <cell r="G618" t="str">
            <v>B07PMKHMFS</v>
          </cell>
          <cell r="H618" t="str">
            <v>939-001830</v>
          </cell>
          <cell r="I618" t="str">
            <v>OE INVOICES</v>
          </cell>
          <cell r="J618">
            <v>44422157003</v>
          </cell>
          <cell r="K618">
            <v>44904</v>
          </cell>
          <cell r="L618">
            <v>6</v>
          </cell>
          <cell r="M618" t="str">
            <v>EUR</v>
          </cell>
          <cell r="N618">
            <v>8416.08</v>
          </cell>
          <cell r="O618">
            <v>116.89</v>
          </cell>
          <cell r="P618">
            <v>72</v>
          </cell>
          <cell r="Q618">
            <v>72</v>
          </cell>
          <cell r="R618">
            <v>0</v>
          </cell>
        </row>
        <row r="619">
          <cell r="A619" t="str">
            <v>39TAD6PCB07PYL7WZY</v>
          </cell>
          <cell r="B619" t="str">
            <v>Q3-23</v>
          </cell>
          <cell r="C619" t="str">
            <v>Europe Operations OU</v>
          </cell>
          <cell r="D619">
            <v>2674345</v>
          </cell>
          <cell r="E619" t="str">
            <v>Amazon EU SARL, succursale Italiana</v>
          </cell>
          <cell r="F619" t="str">
            <v>39TAD6PC</v>
          </cell>
          <cell r="G619" t="str">
            <v>B07PYL7WZY</v>
          </cell>
          <cell r="H619" t="str">
            <v>939-001664</v>
          </cell>
          <cell r="I619" t="str">
            <v>OE INVOICES</v>
          </cell>
          <cell r="J619">
            <v>44422146169</v>
          </cell>
          <cell r="K619">
            <v>44900</v>
          </cell>
          <cell r="L619">
            <v>4</v>
          </cell>
          <cell r="M619" t="str">
            <v>EUR</v>
          </cell>
          <cell r="N619">
            <v>14026.8</v>
          </cell>
          <cell r="O619">
            <v>116.89</v>
          </cell>
          <cell r="P619">
            <v>120</v>
          </cell>
          <cell r="Q619">
            <v>120</v>
          </cell>
          <cell r="R619">
            <v>0</v>
          </cell>
        </row>
        <row r="620">
          <cell r="A620" t="str">
            <v>39TAD6PCB07W4DGVQF</v>
          </cell>
          <cell r="B620" t="str">
            <v>Q3-23</v>
          </cell>
          <cell r="C620" t="str">
            <v>Europe Operations OU</v>
          </cell>
          <cell r="D620">
            <v>2674345</v>
          </cell>
          <cell r="E620" t="str">
            <v>Amazon EU SARL, succursale Italiana</v>
          </cell>
          <cell r="F620" t="str">
            <v>39TAD6PC</v>
          </cell>
          <cell r="G620" t="str">
            <v>B07W4DGVQF</v>
          </cell>
          <cell r="H620" t="str">
            <v>910-005966</v>
          </cell>
          <cell r="I620" t="str">
            <v>OE INVOICES</v>
          </cell>
          <cell r="J620">
            <v>44422157003</v>
          </cell>
          <cell r="K620">
            <v>44904</v>
          </cell>
          <cell r="L620">
            <v>7</v>
          </cell>
          <cell r="M620" t="str">
            <v>EUR</v>
          </cell>
          <cell r="N620">
            <v>758.76</v>
          </cell>
          <cell r="O620">
            <v>63.23</v>
          </cell>
          <cell r="P620">
            <v>12</v>
          </cell>
          <cell r="Q620">
            <v>12</v>
          </cell>
          <cell r="R620">
            <v>0</v>
          </cell>
        </row>
        <row r="621">
          <cell r="A621" t="str">
            <v>39TAD6PCB07W4DHG24</v>
          </cell>
          <cell r="B621" t="str">
            <v>Q3-23</v>
          </cell>
          <cell r="C621" t="str">
            <v>Europe Operations OU</v>
          </cell>
          <cell r="D621">
            <v>2674345</v>
          </cell>
          <cell r="E621" t="str">
            <v>Amazon EU SARL, succursale Italiana</v>
          </cell>
          <cell r="F621" t="str">
            <v>39TAD6PC</v>
          </cell>
          <cell r="G621" t="str">
            <v>B07W4DHG24</v>
          </cell>
          <cell r="H621" t="str">
            <v>943-000544</v>
          </cell>
          <cell r="I621" t="str">
            <v>OE INVOICES</v>
          </cell>
          <cell r="J621">
            <v>44422157003</v>
          </cell>
          <cell r="K621">
            <v>44904</v>
          </cell>
          <cell r="L621">
            <v>8</v>
          </cell>
          <cell r="M621" t="str">
            <v>EUR</v>
          </cell>
          <cell r="N621">
            <v>210.96</v>
          </cell>
          <cell r="O621">
            <v>26.37</v>
          </cell>
          <cell r="P621">
            <v>8</v>
          </cell>
          <cell r="Q621">
            <v>8</v>
          </cell>
          <cell r="R621">
            <v>0</v>
          </cell>
        </row>
        <row r="622">
          <cell r="A622" t="str">
            <v>39TAD6PCB07W5JJVFM</v>
          </cell>
          <cell r="B622" t="str">
            <v>Q3-23</v>
          </cell>
          <cell r="C622" t="str">
            <v>Europe Operations OU</v>
          </cell>
          <cell r="D622">
            <v>2674345</v>
          </cell>
          <cell r="E622" t="str">
            <v>Amazon EU SARL, succursale Italiana</v>
          </cell>
          <cell r="F622" t="str">
            <v>39TAD6PC</v>
          </cell>
          <cell r="G622" t="str">
            <v>B07W5JJVFM</v>
          </cell>
          <cell r="H622" t="str">
            <v>956-000053</v>
          </cell>
          <cell r="I622" t="str">
            <v>OE INVOICES</v>
          </cell>
          <cell r="J622">
            <v>44422157003</v>
          </cell>
          <cell r="K622">
            <v>44904</v>
          </cell>
          <cell r="L622">
            <v>9</v>
          </cell>
          <cell r="M622" t="str">
            <v>EUR</v>
          </cell>
          <cell r="N622">
            <v>177.8</v>
          </cell>
          <cell r="O622">
            <v>8.89</v>
          </cell>
          <cell r="P622">
            <v>20</v>
          </cell>
          <cell r="Q622">
            <v>20</v>
          </cell>
          <cell r="R622">
            <v>0</v>
          </cell>
        </row>
        <row r="623">
          <cell r="A623" t="str">
            <v>39TAD6PCB07W5JKBMG</v>
          </cell>
          <cell r="B623" t="str">
            <v>Q3-23</v>
          </cell>
          <cell r="C623" t="str">
            <v>Europe Operations OU</v>
          </cell>
          <cell r="D623">
            <v>2674345</v>
          </cell>
          <cell r="E623" t="str">
            <v>Amazon EU SARL, succursale Italiana</v>
          </cell>
          <cell r="F623" t="str">
            <v>39TAD6PC</v>
          </cell>
          <cell r="G623" t="str">
            <v>B07W5JKBMG</v>
          </cell>
          <cell r="H623" t="str">
            <v>943-000450</v>
          </cell>
          <cell r="I623" t="str">
            <v>OE INVOICES</v>
          </cell>
          <cell r="J623">
            <v>44422157003</v>
          </cell>
          <cell r="K623">
            <v>44904</v>
          </cell>
          <cell r="L623">
            <v>10</v>
          </cell>
          <cell r="M623" t="str">
            <v>EUR</v>
          </cell>
          <cell r="N623">
            <v>6846.4</v>
          </cell>
          <cell r="O623">
            <v>31.12</v>
          </cell>
          <cell r="P623">
            <v>220</v>
          </cell>
          <cell r="Q623">
            <v>220</v>
          </cell>
          <cell r="R623">
            <v>0</v>
          </cell>
        </row>
        <row r="624">
          <cell r="A624" t="str">
            <v>39TAD6PCB07W5JKFQC</v>
          </cell>
          <cell r="B624" t="str">
            <v>Q3-23</v>
          </cell>
          <cell r="C624" t="str">
            <v>Europe Operations OU</v>
          </cell>
          <cell r="D624">
            <v>2674345</v>
          </cell>
          <cell r="E624" t="str">
            <v>Amazon EU SARL, succursale Italiana</v>
          </cell>
          <cell r="F624" t="str">
            <v>39TAD6PC</v>
          </cell>
          <cell r="G624" t="str">
            <v>B07W5JKFQC</v>
          </cell>
          <cell r="H624" t="str">
            <v>910-005796</v>
          </cell>
          <cell r="I624" t="str">
            <v>OE INVOICES</v>
          </cell>
          <cell r="J624">
            <v>44422158783</v>
          </cell>
          <cell r="K624">
            <v>44907</v>
          </cell>
          <cell r="L624">
            <v>3</v>
          </cell>
          <cell r="M624" t="str">
            <v>EUR</v>
          </cell>
          <cell r="N624">
            <v>12154.88</v>
          </cell>
          <cell r="O624">
            <v>23.74</v>
          </cell>
          <cell r="P624">
            <v>512</v>
          </cell>
          <cell r="Q624">
            <v>512</v>
          </cell>
          <cell r="R624">
            <v>0</v>
          </cell>
        </row>
        <row r="625">
          <cell r="A625" t="str">
            <v>39TAD6PCB07W5JKLRF</v>
          </cell>
          <cell r="B625" t="str">
            <v>Q3-23</v>
          </cell>
          <cell r="C625" t="str">
            <v>Europe Operations OU</v>
          </cell>
          <cell r="D625">
            <v>2674345</v>
          </cell>
          <cell r="E625" t="str">
            <v>Amazon EU SARL, succursale Italiana</v>
          </cell>
          <cell r="F625" t="str">
            <v>39TAD6PC</v>
          </cell>
          <cell r="G625" t="str">
            <v>B07W5JKLRF</v>
          </cell>
          <cell r="H625" t="str">
            <v>939-002064</v>
          </cell>
          <cell r="I625" t="str">
            <v>OE INVOICES</v>
          </cell>
          <cell r="J625">
            <v>44422157003</v>
          </cell>
          <cell r="K625">
            <v>44904</v>
          </cell>
          <cell r="L625">
            <v>11</v>
          </cell>
          <cell r="M625" t="str">
            <v>EUR</v>
          </cell>
          <cell r="N625">
            <v>179.8</v>
          </cell>
          <cell r="O625">
            <v>44.95</v>
          </cell>
          <cell r="P625">
            <v>4</v>
          </cell>
          <cell r="Q625">
            <v>4</v>
          </cell>
          <cell r="R625">
            <v>0</v>
          </cell>
        </row>
        <row r="626">
          <cell r="A626" t="str">
            <v>39TAD6PCB07W5JKT4S</v>
          </cell>
          <cell r="B626" t="str">
            <v>Q3-23</v>
          </cell>
          <cell r="C626" t="str">
            <v>Europe Operations OU</v>
          </cell>
          <cell r="D626">
            <v>2674345</v>
          </cell>
          <cell r="E626" t="str">
            <v>Amazon EU SARL, succursale Italiana</v>
          </cell>
          <cell r="F626" t="str">
            <v>39TAD6PC</v>
          </cell>
          <cell r="G626" t="str">
            <v>B07W5JKT4S</v>
          </cell>
          <cell r="H626" t="str">
            <v>943-000458</v>
          </cell>
          <cell r="I626" t="str">
            <v>OE INVOICES</v>
          </cell>
          <cell r="J626">
            <v>44422157003</v>
          </cell>
          <cell r="K626">
            <v>44904</v>
          </cell>
          <cell r="L626">
            <v>12</v>
          </cell>
          <cell r="M626" t="str">
            <v>EUR</v>
          </cell>
          <cell r="N626">
            <v>105.48</v>
          </cell>
          <cell r="O626">
            <v>26.37</v>
          </cell>
          <cell r="P626">
            <v>4</v>
          </cell>
          <cell r="Q626">
            <v>4</v>
          </cell>
          <cell r="R626">
            <v>0</v>
          </cell>
        </row>
        <row r="627">
          <cell r="A627" t="str">
            <v>39TAD6PCB07W6HFDR8</v>
          </cell>
          <cell r="B627" t="str">
            <v>Q3-23</v>
          </cell>
          <cell r="C627" t="str">
            <v>Europe Operations OU</v>
          </cell>
          <cell r="D627">
            <v>2674345</v>
          </cell>
          <cell r="E627" t="str">
            <v>Amazon EU SARL, succursale Italiana</v>
          </cell>
          <cell r="F627" t="str">
            <v>39TAD6PC</v>
          </cell>
          <cell r="G627" t="str">
            <v>B07W6HFDR8</v>
          </cell>
          <cell r="H627" t="str">
            <v>943-000457</v>
          </cell>
          <cell r="I627" t="str">
            <v>OE INVOICES</v>
          </cell>
          <cell r="J627">
            <v>44422157003</v>
          </cell>
          <cell r="K627">
            <v>44904</v>
          </cell>
          <cell r="L627">
            <v>13</v>
          </cell>
          <cell r="M627" t="str">
            <v>EUR</v>
          </cell>
          <cell r="N627">
            <v>105.48</v>
          </cell>
          <cell r="O627">
            <v>26.37</v>
          </cell>
          <cell r="P627">
            <v>4</v>
          </cell>
          <cell r="Q627">
            <v>4</v>
          </cell>
          <cell r="R627">
            <v>0</v>
          </cell>
        </row>
        <row r="628">
          <cell r="A628" t="str">
            <v>39TAD6PCB07W7MKLNS</v>
          </cell>
          <cell r="B628" t="str">
            <v>Q3-23</v>
          </cell>
          <cell r="C628" t="str">
            <v>Europe Operations OU</v>
          </cell>
          <cell r="D628">
            <v>2674345</v>
          </cell>
          <cell r="E628" t="str">
            <v>Amazon EU SARL, succursale Italiana</v>
          </cell>
          <cell r="F628" t="str">
            <v>39TAD6PC</v>
          </cell>
          <cell r="G628" t="str">
            <v>B07W7MKLNS</v>
          </cell>
          <cell r="H628" t="str">
            <v>985-000935</v>
          </cell>
          <cell r="I628" t="str">
            <v>OE INVOICES</v>
          </cell>
          <cell r="J628">
            <v>44422157003</v>
          </cell>
          <cell r="K628">
            <v>44904</v>
          </cell>
          <cell r="L628">
            <v>14</v>
          </cell>
          <cell r="M628" t="str">
            <v>EUR</v>
          </cell>
          <cell r="N628">
            <v>491.24</v>
          </cell>
          <cell r="O628">
            <v>122.81</v>
          </cell>
          <cell r="P628">
            <v>4</v>
          </cell>
          <cell r="Q628">
            <v>4</v>
          </cell>
          <cell r="R628">
            <v>0</v>
          </cell>
        </row>
        <row r="629">
          <cell r="A629" t="str">
            <v>3A946EXYB00CJ5FPTA</v>
          </cell>
          <cell r="B629" t="str">
            <v>Q3-23</v>
          </cell>
          <cell r="C629" t="str">
            <v>Europe Operations OU</v>
          </cell>
          <cell r="D629">
            <v>2674345</v>
          </cell>
          <cell r="E629" t="str">
            <v>Amazon EU SARL, succursale Italiana</v>
          </cell>
          <cell r="F629" t="str">
            <v>3A946EXY</v>
          </cell>
          <cell r="G629" t="str">
            <v>B00CJ5FPTA</v>
          </cell>
          <cell r="H629" t="str">
            <v>942-000031</v>
          </cell>
          <cell r="I629" t="str">
            <v>OE INVOICES</v>
          </cell>
          <cell r="J629">
            <v>44422145039</v>
          </cell>
          <cell r="K629">
            <v>44897</v>
          </cell>
          <cell r="L629">
            <v>1</v>
          </cell>
          <cell r="M629" t="str">
            <v>EUR</v>
          </cell>
          <cell r="N629">
            <v>548.64</v>
          </cell>
          <cell r="O629">
            <v>34.29</v>
          </cell>
          <cell r="P629">
            <v>16</v>
          </cell>
          <cell r="Q629">
            <v>16</v>
          </cell>
          <cell r="R629">
            <v>0</v>
          </cell>
        </row>
        <row r="630">
          <cell r="A630" t="str">
            <v>3A946EXYB0118K7K4O</v>
          </cell>
          <cell r="B630" t="str">
            <v>Q3-23</v>
          </cell>
          <cell r="C630" t="str">
            <v>Europe Operations OU</v>
          </cell>
          <cell r="D630">
            <v>2674345</v>
          </cell>
          <cell r="E630" t="str">
            <v>Amazon EU SARL, succursale Italiana</v>
          </cell>
          <cell r="F630" t="str">
            <v>3A946EXY</v>
          </cell>
          <cell r="G630" t="str">
            <v>B0118K7K4O</v>
          </cell>
          <cell r="H630" t="str">
            <v>910-002236</v>
          </cell>
          <cell r="I630" t="str">
            <v>OE INVOICES</v>
          </cell>
          <cell r="J630">
            <v>44422145039</v>
          </cell>
          <cell r="K630">
            <v>44897</v>
          </cell>
          <cell r="L630">
            <v>2</v>
          </cell>
          <cell r="M630" t="str">
            <v>EUR</v>
          </cell>
          <cell r="N630">
            <v>315.89999999999998</v>
          </cell>
          <cell r="O630">
            <v>10.53</v>
          </cell>
          <cell r="P630">
            <v>30</v>
          </cell>
          <cell r="Q630">
            <v>30</v>
          </cell>
          <cell r="R630">
            <v>0</v>
          </cell>
        </row>
        <row r="631">
          <cell r="A631" t="str">
            <v>3A946EXYB015BCWNNS</v>
          </cell>
          <cell r="B631" t="str">
            <v>Q3-23</v>
          </cell>
          <cell r="C631" t="str">
            <v>Europe Operations OU</v>
          </cell>
          <cell r="D631">
            <v>2674345</v>
          </cell>
          <cell r="E631" t="str">
            <v>Amazon EU SARL, succursale Italiana</v>
          </cell>
          <cell r="F631" t="str">
            <v>3A946EXY</v>
          </cell>
          <cell r="G631" t="str">
            <v>B015BCWNNS</v>
          </cell>
          <cell r="H631" t="str">
            <v>920-007151</v>
          </cell>
          <cell r="I631" t="str">
            <v>OE INVOICES</v>
          </cell>
          <cell r="J631">
            <v>44422145039</v>
          </cell>
          <cell r="K631">
            <v>44897</v>
          </cell>
          <cell r="L631">
            <v>3</v>
          </cell>
          <cell r="M631" t="str">
            <v>EUR</v>
          </cell>
          <cell r="N631">
            <v>322.10000000000002</v>
          </cell>
          <cell r="O631">
            <v>32.21</v>
          </cell>
          <cell r="P631">
            <v>10</v>
          </cell>
          <cell r="Q631">
            <v>10</v>
          </cell>
          <cell r="R631">
            <v>0</v>
          </cell>
        </row>
        <row r="632">
          <cell r="A632" t="str">
            <v>3A946EXYB01K7GEA3O</v>
          </cell>
          <cell r="B632" t="str">
            <v>Q3-23</v>
          </cell>
          <cell r="C632" t="str">
            <v>Europe Operations OU</v>
          </cell>
          <cell r="D632">
            <v>2674345</v>
          </cell>
          <cell r="E632" t="str">
            <v>Amazon EU SARL, succursale Italiana</v>
          </cell>
          <cell r="F632" t="str">
            <v>3A946EXY</v>
          </cell>
          <cell r="G632" t="str">
            <v>B01K7GEA3O</v>
          </cell>
          <cell r="H632" t="str">
            <v>910-004911</v>
          </cell>
          <cell r="I632" t="str">
            <v>OE INVOICES</v>
          </cell>
          <cell r="J632">
            <v>44422145039</v>
          </cell>
          <cell r="K632">
            <v>44897</v>
          </cell>
          <cell r="L632">
            <v>4</v>
          </cell>
          <cell r="M632" t="str">
            <v>EUR</v>
          </cell>
          <cell r="N632">
            <v>790.5</v>
          </cell>
          <cell r="O632">
            <v>26.35</v>
          </cell>
          <cell r="P632">
            <v>30</v>
          </cell>
          <cell r="Q632">
            <v>30</v>
          </cell>
          <cell r="R632">
            <v>0</v>
          </cell>
        </row>
        <row r="633">
          <cell r="A633" t="str">
            <v>3A946EXYB074N6823V</v>
          </cell>
          <cell r="B633" t="str">
            <v>Q3-23</v>
          </cell>
          <cell r="C633" t="str">
            <v>Europe Operations OU</v>
          </cell>
          <cell r="D633">
            <v>2674345</v>
          </cell>
          <cell r="E633" t="str">
            <v>Amazon EU SARL, succursale Italiana</v>
          </cell>
          <cell r="F633" t="str">
            <v>3A946EXY</v>
          </cell>
          <cell r="G633" t="str">
            <v>B074N6823V</v>
          </cell>
          <cell r="H633" t="str">
            <v>980-001295</v>
          </cell>
          <cell r="I633" t="str">
            <v>OE INVOICES</v>
          </cell>
          <cell r="J633">
            <v>44422145005</v>
          </cell>
          <cell r="K633">
            <v>44897</v>
          </cell>
          <cell r="L633">
            <v>1</v>
          </cell>
          <cell r="M633" t="str">
            <v>EUR</v>
          </cell>
          <cell r="N633">
            <v>1967.52</v>
          </cell>
          <cell r="O633">
            <v>40.99</v>
          </cell>
          <cell r="P633">
            <v>48</v>
          </cell>
          <cell r="Q633">
            <v>48</v>
          </cell>
          <cell r="R633">
            <v>0</v>
          </cell>
        </row>
        <row r="634">
          <cell r="A634" t="str">
            <v>3A946EXYB07G6CRZ2Q</v>
          </cell>
          <cell r="B634" t="str">
            <v>Q3-23</v>
          </cell>
          <cell r="C634" t="str">
            <v>Europe Operations OU</v>
          </cell>
          <cell r="D634">
            <v>2674345</v>
          </cell>
          <cell r="E634" t="str">
            <v>Amazon EU SARL, succursale Italiana</v>
          </cell>
          <cell r="F634" t="str">
            <v>3A946EXY</v>
          </cell>
          <cell r="G634" t="str">
            <v>B07G6CRZ2Q</v>
          </cell>
          <cell r="H634" t="str">
            <v>984-001364</v>
          </cell>
          <cell r="I634" t="str">
            <v>OE INVOICES</v>
          </cell>
          <cell r="J634">
            <v>44422145005</v>
          </cell>
          <cell r="K634">
            <v>44897</v>
          </cell>
          <cell r="L634">
            <v>2</v>
          </cell>
          <cell r="M634" t="str">
            <v>EUR</v>
          </cell>
          <cell r="N634">
            <v>1913.52</v>
          </cell>
          <cell r="O634">
            <v>79.73</v>
          </cell>
          <cell r="P634">
            <v>24</v>
          </cell>
          <cell r="Q634">
            <v>24</v>
          </cell>
          <cell r="R634">
            <v>0</v>
          </cell>
        </row>
        <row r="635">
          <cell r="A635" t="str">
            <v>3A946EXYB07W4DGFSM</v>
          </cell>
          <cell r="B635" t="str">
            <v>Q3-23</v>
          </cell>
          <cell r="C635" t="str">
            <v>Europe Operations OU</v>
          </cell>
          <cell r="D635">
            <v>2674345</v>
          </cell>
          <cell r="E635" t="str">
            <v>Amazon EU SARL, succursale Italiana</v>
          </cell>
          <cell r="F635" t="str">
            <v>3A946EXY</v>
          </cell>
          <cell r="G635" t="str">
            <v>B07W4DGFSM</v>
          </cell>
          <cell r="H635" t="str">
            <v>910-006560</v>
          </cell>
          <cell r="I635" t="str">
            <v>OE INVOICES</v>
          </cell>
          <cell r="J635">
            <v>44422145039</v>
          </cell>
          <cell r="K635">
            <v>44897</v>
          </cell>
          <cell r="L635">
            <v>5</v>
          </cell>
          <cell r="M635" t="str">
            <v>EUR</v>
          </cell>
          <cell r="N635">
            <v>3921.32</v>
          </cell>
          <cell r="O635">
            <v>75.41</v>
          </cell>
          <cell r="P635">
            <v>52</v>
          </cell>
          <cell r="Q635">
            <v>52</v>
          </cell>
          <cell r="R635">
            <v>0</v>
          </cell>
        </row>
        <row r="636">
          <cell r="A636" t="str">
            <v>3A946EXYB07W4DHMVB</v>
          </cell>
          <cell r="B636" t="str">
            <v>Q3-23</v>
          </cell>
          <cell r="C636" t="str">
            <v>Europe Operations OU</v>
          </cell>
          <cell r="D636">
            <v>2674345</v>
          </cell>
          <cell r="E636" t="str">
            <v>Amazon EU SARL, succursale Italiana</v>
          </cell>
          <cell r="F636" t="str">
            <v>3A946EXY</v>
          </cell>
          <cell r="G636" t="str">
            <v>B07W4DHMVB</v>
          </cell>
          <cell r="H636" t="str">
            <v>981-001074</v>
          </cell>
          <cell r="I636" t="str">
            <v>OE INVOICES</v>
          </cell>
          <cell r="J636">
            <v>44422145039</v>
          </cell>
          <cell r="K636">
            <v>44897</v>
          </cell>
          <cell r="L636">
            <v>6</v>
          </cell>
          <cell r="M636" t="str">
            <v>EUR</v>
          </cell>
          <cell r="N636">
            <v>3945.92</v>
          </cell>
          <cell r="O636">
            <v>44.84</v>
          </cell>
          <cell r="P636">
            <v>88</v>
          </cell>
          <cell r="Q636">
            <v>88</v>
          </cell>
          <cell r="R636">
            <v>0</v>
          </cell>
        </row>
        <row r="637">
          <cell r="A637" t="str">
            <v>3A946EXYB07W4DHNG5</v>
          </cell>
          <cell r="B637" t="str">
            <v>Q3-23</v>
          </cell>
          <cell r="C637" t="str">
            <v>Europe Operations OU</v>
          </cell>
          <cell r="D637">
            <v>2674345</v>
          </cell>
          <cell r="E637" t="str">
            <v>Amazon EU SARL, succursale Italiana</v>
          </cell>
          <cell r="F637" t="str">
            <v>3A946EXY</v>
          </cell>
          <cell r="G637" t="str">
            <v>B07W4DHNG5</v>
          </cell>
          <cell r="H637" t="str">
            <v>920-010736</v>
          </cell>
          <cell r="I637" t="str">
            <v>OE INVOICES</v>
          </cell>
          <cell r="J637">
            <v>44422145039</v>
          </cell>
          <cell r="K637">
            <v>44897</v>
          </cell>
          <cell r="L637">
            <v>7</v>
          </cell>
          <cell r="M637" t="str">
            <v>EUR</v>
          </cell>
          <cell r="N637">
            <v>505.84</v>
          </cell>
          <cell r="O637">
            <v>63.23</v>
          </cell>
          <cell r="P637">
            <v>8</v>
          </cell>
          <cell r="Q637">
            <v>8</v>
          </cell>
          <cell r="R637">
            <v>0</v>
          </cell>
        </row>
        <row r="638">
          <cell r="A638" t="str">
            <v>3A946EXYB07W4DHXC8</v>
          </cell>
          <cell r="B638" t="str">
            <v>Q3-23</v>
          </cell>
          <cell r="C638" t="str">
            <v>Europe Operations OU</v>
          </cell>
          <cell r="D638">
            <v>2674345</v>
          </cell>
          <cell r="E638" t="str">
            <v>Amazon EU SARL, succursale Italiana</v>
          </cell>
          <cell r="F638" t="str">
            <v>3A946EXY</v>
          </cell>
          <cell r="G638" t="str">
            <v>B07W4DHXC8</v>
          </cell>
          <cell r="H638" t="str">
            <v>946-000002</v>
          </cell>
          <cell r="I638" t="str">
            <v>OE INVOICES</v>
          </cell>
          <cell r="J638">
            <v>44422145039</v>
          </cell>
          <cell r="K638">
            <v>44897</v>
          </cell>
          <cell r="L638">
            <v>8</v>
          </cell>
          <cell r="M638" t="str">
            <v>EUR</v>
          </cell>
          <cell r="N638">
            <v>320.24</v>
          </cell>
          <cell r="O638">
            <v>40.03</v>
          </cell>
          <cell r="P638">
            <v>8</v>
          </cell>
          <cell r="Q638">
            <v>8</v>
          </cell>
          <cell r="R638">
            <v>0</v>
          </cell>
        </row>
        <row r="639">
          <cell r="A639" t="str">
            <v>3A946EXYB07W6G3KBL</v>
          </cell>
          <cell r="B639" t="str">
            <v>Q3-23</v>
          </cell>
          <cell r="C639" t="str">
            <v>Europe Operations OU</v>
          </cell>
          <cell r="D639">
            <v>2674345</v>
          </cell>
          <cell r="E639" t="str">
            <v>Amazon EU SARL, succursale Italiana</v>
          </cell>
          <cell r="F639" t="str">
            <v>3A946EXY</v>
          </cell>
          <cell r="G639" t="str">
            <v>B07W6G3KBL</v>
          </cell>
          <cell r="H639" t="str">
            <v>910-006785</v>
          </cell>
          <cell r="I639" t="str">
            <v>OE INVOICES</v>
          </cell>
          <cell r="J639">
            <v>44422145039</v>
          </cell>
          <cell r="K639">
            <v>44897</v>
          </cell>
          <cell r="L639">
            <v>9</v>
          </cell>
          <cell r="M639" t="str">
            <v>EUR</v>
          </cell>
          <cell r="N639">
            <v>335.56</v>
          </cell>
          <cell r="O639">
            <v>83.89</v>
          </cell>
          <cell r="P639">
            <v>4</v>
          </cell>
          <cell r="Q639">
            <v>4</v>
          </cell>
          <cell r="R639">
            <v>0</v>
          </cell>
        </row>
        <row r="640">
          <cell r="A640" t="str">
            <v>3A946EXYB07W6G822V</v>
          </cell>
          <cell r="B640" t="str">
            <v>Q3-23</v>
          </cell>
          <cell r="C640" t="str">
            <v>Europe Operations OU</v>
          </cell>
          <cell r="D640">
            <v>2674345</v>
          </cell>
          <cell r="E640" t="str">
            <v>Amazon EU SARL, succursale Italiana</v>
          </cell>
          <cell r="F640" t="str">
            <v>3A946EXY</v>
          </cell>
          <cell r="G640" t="str">
            <v>B07W6G822V</v>
          </cell>
          <cell r="H640" t="str">
            <v>910-006751</v>
          </cell>
          <cell r="I640" t="str">
            <v>OE INVOICES</v>
          </cell>
          <cell r="J640">
            <v>44422145039</v>
          </cell>
          <cell r="K640">
            <v>44897</v>
          </cell>
          <cell r="L640">
            <v>10</v>
          </cell>
          <cell r="M640" t="str">
            <v>EUR</v>
          </cell>
          <cell r="N640">
            <v>655.6</v>
          </cell>
          <cell r="O640">
            <v>16.39</v>
          </cell>
          <cell r="P640">
            <v>40</v>
          </cell>
          <cell r="Q640">
            <v>40</v>
          </cell>
          <cell r="R640">
            <v>0</v>
          </cell>
        </row>
        <row r="641">
          <cell r="A641" t="str">
            <v>3A946EXYB07W6HKMCN</v>
          </cell>
          <cell r="B641" t="str">
            <v>Q3-23</v>
          </cell>
          <cell r="C641" t="str">
            <v>Europe Operations OU</v>
          </cell>
          <cell r="D641">
            <v>2674345</v>
          </cell>
          <cell r="E641" t="str">
            <v>Amazon EU SARL, succursale Italiana</v>
          </cell>
          <cell r="F641" t="str">
            <v>3A946EXY</v>
          </cell>
          <cell r="G641" t="str">
            <v>B07W6HKMCN</v>
          </cell>
          <cell r="H641" t="str">
            <v>910-005870</v>
          </cell>
          <cell r="I641" t="str">
            <v>OE INVOICES</v>
          </cell>
          <cell r="J641">
            <v>44422145039</v>
          </cell>
          <cell r="K641">
            <v>44897</v>
          </cell>
          <cell r="L641">
            <v>11</v>
          </cell>
          <cell r="M641" t="str">
            <v>EUR</v>
          </cell>
          <cell r="N641">
            <v>1595</v>
          </cell>
          <cell r="O641">
            <v>31.9</v>
          </cell>
          <cell r="P641">
            <v>50</v>
          </cell>
          <cell r="Q641">
            <v>50</v>
          </cell>
          <cell r="R641">
            <v>0</v>
          </cell>
        </row>
        <row r="642">
          <cell r="A642" t="str">
            <v>3A946EXYB07W6HZ85B</v>
          </cell>
          <cell r="B642" t="str">
            <v>Q3-23</v>
          </cell>
          <cell r="C642" t="str">
            <v>Europe Operations OU</v>
          </cell>
          <cell r="D642">
            <v>2674345</v>
          </cell>
          <cell r="E642" t="str">
            <v>Amazon EU SARL, succursale Italiana</v>
          </cell>
          <cell r="F642" t="str">
            <v>3A946EXY</v>
          </cell>
          <cell r="G642" t="str">
            <v>B07W6HZ85B</v>
          </cell>
          <cell r="H642" t="str">
            <v>984-001832</v>
          </cell>
          <cell r="I642" t="str">
            <v>OE INVOICES</v>
          </cell>
          <cell r="J642">
            <v>44422145005</v>
          </cell>
          <cell r="K642">
            <v>44897</v>
          </cell>
          <cell r="L642">
            <v>3</v>
          </cell>
          <cell r="M642" t="str">
            <v>EUR</v>
          </cell>
          <cell r="N642">
            <v>428.08</v>
          </cell>
          <cell r="O642">
            <v>53.51</v>
          </cell>
          <cell r="P642">
            <v>8</v>
          </cell>
          <cell r="Q642">
            <v>8</v>
          </cell>
          <cell r="R642">
            <v>0</v>
          </cell>
        </row>
        <row r="643">
          <cell r="A643" t="str">
            <v>3A946EXYB07W6JKH17</v>
          </cell>
          <cell r="B643" t="str">
            <v>Q3-23</v>
          </cell>
          <cell r="C643" t="str">
            <v>Europe Operations OU</v>
          </cell>
          <cell r="D643">
            <v>2674345</v>
          </cell>
          <cell r="E643" t="str">
            <v>Amazon EU SARL, succursale Italiana</v>
          </cell>
          <cell r="F643" t="str">
            <v>3A946EXY</v>
          </cell>
          <cell r="G643" t="str">
            <v>B07W6JKH17</v>
          </cell>
          <cell r="H643" t="str">
            <v>910-005931</v>
          </cell>
          <cell r="I643" t="str">
            <v>OE INVOICES</v>
          </cell>
          <cell r="J643">
            <v>44422145039</v>
          </cell>
          <cell r="K643">
            <v>44897</v>
          </cell>
          <cell r="L643">
            <v>12</v>
          </cell>
          <cell r="M643" t="str">
            <v>EUR</v>
          </cell>
          <cell r="N643">
            <v>1640</v>
          </cell>
          <cell r="O643">
            <v>8.1999999999999993</v>
          </cell>
          <cell r="P643">
            <v>200</v>
          </cell>
          <cell r="Q643">
            <v>200</v>
          </cell>
          <cell r="R643">
            <v>0</v>
          </cell>
        </row>
        <row r="644">
          <cell r="A644" t="str">
            <v>3A946EXYB07W6JKH1B</v>
          </cell>
          <cell r="B644" t="str">
            <v>Q3-23</v>
          </cell>
          <cell r="C644" t="str">
            <v>Europe Operations OU</v>
          </cell>
          <cell r="D644">
            <v>2674345</v>
          </cell>
          <cell r="E644" t="str">
            <v>Amazon EU SARL, succursale Italiana</v>
          </cell>
          <cell r="F644" t="str">
            <v>3A946EXY</v>
          </cell>
          <cell r="G644" t="str">
            <v>B07W6JKH1B</v>
          </cell>
          <cell r="H644" t="str">
            <v>920-011176</v>
          </cell>
          <cell r="I644" t="str">
            <v>OE INVOICES</v>
          </cell>
          <cell r="J644">
            <v>44422145039</v>
          </cell>
          <cell r="K644">
            <v>44897</v>
          </cell>
          <cell r="L644">
            <v>13</v>
          </cell>
          <cell r="M644" t="str">
            <v>EUR</v>
          </cell>
          <cell r="N644">
            <v>257.68</v>
          </cell>
          <cell r="O644">
            <v>32.21</v>
          </cell>
          <cell r="P644">
            <v>8</v>
          </cell>
          <cell r="Q644">
            <v>8</v>
          </cell>
          <cell r="R644">
            <v>0</v>
          </cell>
        </row>
        <row r="645">
          <cell r="A645" t="str">
            <v>3A946EXYB07W7LLFVD</v>
          </cell>
          <cell r="B645" t="str">
            <v>Q3-23</v>
          </cell>
          <cell r="C645" t="str">
            <v>Europe Operations OU</v>
          </cell>
          <cell r="D645">
            <v>2674345</v>
          </cell>
          <cell r="E645" t="str">
            <v>Amazon EU SARL, succursale Italiana</v>
          </cell>
          <cell r="F645" t="str">
            <v>3A946EXY</v>
          </cell>
          <cell r="G645" t="str">
            <v>B07W7LLFVD</v>
          </cell>
          <cell r="H645" t="str">
            <v>920-009410</v>
          </cell>
          <cell r="I645" t="str">
            <v>OE INVOICES</v>
          </cell>
          <cell r="J645">
            <v>44422145039</v>
          </cell>
          <cell r="K645">
            <v>44897</v>
          </cell>
          <cell r="L645">
            <v>14</v>
          </cell>
          <cell r="M645" t="str">
            <v>EUR</v>
          </cell>
          <cell r="N645">
            <v>6032.8</v>
          </cell>
          <cell r="O645">
            <v>75.41</v>
          </cell>
          <cell r="P645">
            <v>80</v>
          </cell>
          <cell r="Q645">
            <v>80</v>
          </cell>
          <cell r="R645">
            <v>0</v>
          </cell>
        </row>
        <row r="646">
          <cell r="A646" t="str">
            <v>3BEWVQCYB01GG8LLG6</v>
          </cell>
          <cell r="B646" t="str">
            <v>Q3-23</v>
          </cell>
          <cell r="C646" t="str">
            <v>Europe Operations OU</v>
          </cell>
          <cell r="D646">
            <v>2674345</v>
          </cell>
          <cell r="E646" t="str">
            <v>Amazon EU SARL, succursale Italiana</v>
          </cell>
          <cell r="F646" t="str">
            <v>3BEWVQCY</v>
          </cell>
          <cell r="G646" t="str">
            <v>B01GG8LLG6</v>
          </cell>
          <cell r="H646" t="str">
            <v>920-008014</v>
          </cell>
          <cell r="I646" t="str">
            <v>OE INVOICES</v>
          </cell>
          <cell r="J646">
            <v>44422134828</v>
          </cell>
          <cell r="K646">
            <v>44893</v>
          </cell>
          <cell r="L646">
            <v>1</v>
          </cell>
          <cell r="M646" t="str">
            <v>EUR</v>
          </cell>
          <cell r="N646">
            <v>9660</v>
          </cell>
          <cell r="O646">
            <v>105</v>
          </cell>
          <cell r="P646">
            <v>92</v>
          </cell>
          <cell r="Q646">
            <v>92</v>
          </cell>
          <cell r="R646">
            <v>0</v>
          </cell>
        </row>
        <row r="647">
          <cell r="A647" t="str">
            <v>3BEWVQCYB074KGS5C3</v>
          </cell>
          <cell r="B647" t="str">
            <v>Q3-23</v>
          </cell>
          <cell r="C647" t="str">
            <v>Europe Operations OU</v>
          </cell>
          <cell r="D647">
            <v>2674345</v>
          </cell>
          <cell r="E647" t="str">
            <v>Amazon EU SARL, succursale Italiana</v>
          </cell>
          <cell r="F647" t="str">
            <v>3BEWVQCY</v>
          </cell>
          <cell r="G647" t="str">
            <v>B074KGS5C3</v>
          </cell>
          <cell r="H647" t="str">
            <v>920-008496</v>
          </cell>
          <cell r="I647" t="str">
            <v>OE INVOICES</v>
          </cell>
          <cell r="J647">
            <v>44422157422</v>
          </cell>
          <cell r="K647">
            <v>44904</v>
          </cell>
          <cell r="L647">
            <v>1</v>
          </cell>
          <cell r="M647" t="str">
            <v>EUR</v>
          </cell>
          <cell r="N647">
            <v>485</v>
          </cell>
          <cell r="O647">
            <v>121.25</v>
          </cell>
          <cell r="P647">
            <v>4</v>
          </cell>
          <cell r="Q647">
            <v>4</v>
          </cell>
          <cell r="R647">
            <v>0</v>
          </cell>
        </row>
        <row r="648">
          <cell r="A648" t="str">
            <v>3BEWVQCYB0797G6W5K</v>
          </cell>
          <cell r="B648" t="str">
            <v>Q3-23</v>
          </cell>
          <cell r="C648" t="str">
            <v>Europe Operations OU</v>
          </cell>
          <cell r="D648">
            <v>2674345</v>
          </cell>
          <cell r="E648" t="str">
            <v>Amazon EU SARL, succursale Italiana</v>
          </cell>
          <cell r="F648" t="str">
            <v>3BEWVQCY</v>
          </cell>
          <cell r="G648" t="str">
            <v>B0797G6W5K</v>
          </cell>
          <cell r="H648" t="str">
            <v>920-008676</v>
          </cell>
          <cell r="I648" t="str">
            <v>OE INVOICES</v>
          </cell>
          <cell r="J648">
            <v>44422157422</v>
          </cell>
          <cell r="K648">
            <v>44904</v>
          </cell>
          <cell r="L648">
            <v>2</v>
          </cell>
          <cell r="M648" t="str">
            <v>EUR</v>
          </cell>
          <cell r="N648">
            <v>175.68</v>
          </cell>
          <cell r="O648">
            <v>43.92</v>
          </cell>
          <cell r="P648">
            <v>4</v>
          </cell>
          <cell r="Q648">
            <v>4</v>
          </cell>
          <cell r="R648">
            <v>0</v>
          </cell>
        </row>
        <row r="649">
          <cell r="A649" t="str">
            <v>3CWLEPWLB07S7CKTBR</v>
          </cell>
          <cell r="B649" t="str">
            <v>Q3-23</v>
          </cell>
          <cell r="C649" t="str">
            <v>Europe Operations OU</v>
          </cell>
          <cell r="D649">
            <v>2674345</v>
          </cell>
          <cell r="E649" t="str">
            <v>Amazon EU SARL, succursale Italiana</v>
          </cell>
          <cell r="F649" t="str">
            <v>3CWLEPWL</v>
          </cell>
          <cell r="G649" t="str">
            <v>B07S7CKTBR</v>
          </cell>
          <cell r="H649" t="str">
            <v>910-005640</v>
          </cell>
          <cell r="I649" t="str">
            <v>OE INVOICES</v>
          </cell>
          <cell r="J649">
            <v>44422170036</v>
          </cell>
          <cell r="K649">
            <v>44915</v>
          </cell>
          <cell r="L649">
            <v>1</v>
          </cell>
          <cell r="M649" t="str">
            <v>EUR</v>
          </cell>
          <cell r="N649">
            <v>460.08</v>
          </cell>
          <cell r="O649">
            <v>57.51</v>
          </cell>
          <cell r="P649">
            <v>8</v>
          </cell>
          <cell r="Q649">
            <v>8</v>
          </cell>
          <cell r="R649">
            <v>0</v>
          </cell>
        </row>
        <row r="650">
          <cell r="A650" t="str">
            <v>3G77YEPLB00RCVCJ3Q</v>
          </cell>
          <cell r="B650" t="str">
            <v>Q3-23</v>
          </cell>
          <cell r="C650" t="str">
            <v>Europe Operations OU</v>
          </cell>
          <cell r="D650">
            <v>2674345</v>
          </cell>
          <cell r="E650" t="str">
            <v>Amazon EU SARL, succursale Italiana</v>
          </cell>
          <cell r="F650" t="str">
            <v>3G77YEPL</v>
          </cell>
          <cell r="G650" t="str">
            <v>B00RCVCJ3Q</v>
          </cell>
          <cell r="H650" t="str">
            <v>910-003986</v>
          </cell>
          <cell r="I650" t="str">
            <v>OE INVOICES</v>
          </cell>
          <cell r="J650">
            <v>44422130183</v>
          </cell>
          <cell r="K650">
            <v>44888</v>
          </cell>
          <cell r="L650">
            <v>1</v>
          </cell>
          <cell r="M650" t="str">
            <v>EUR</v>
          </cell>
          <cell r="N650">
            <v>2107.8000000000002</v>
          </cell>
          <cell r="O650">
            <v>23.42</v>
          </cell>
          <cell r="P650">
            <v>90</v>
          </cell>
          <cell r="Q650">
            <v>90</v>
          </cell>
          <cell r="R650">
            <v>0</v>
          </cell>
        </row>
        <row r="651">
          <cell r="A651" t="str">
            <v>3G77YEPLB01GJZT4HY</v>
          </cell>
          <cell r="B651" t="str">
            <v>Q3-23</v>
          </cell>
          <cell r="C651" t="str">
            <v>Europe Operations OU</v>
          </cell>
          <cell r="D651">
            <v>2674345</v>
          </cell>
          <cell r="E651" t="str">
            <v>Amazon EU SARL, succursale Italiana</v>
          </cell>
          <cell r="F651" t="str">
            <v>3G77YEPL</v>
          </cell>
          <cell r="G651" t="str">
            <v>B01GJZT4HY</v>
          </cell>
          <cell r="H651" t="str">
            <v>920-008038</v>
          </cell>
          <cell r="I651" t="str">
            <v>OE INVOICES</v>
          </cell>
          <cell r="J651">
            <v>44422130183</v>
          </cell>
          <cell r="K651">
            <v>44888</v>
          </cell>
          <cell r="L651">
            <v>2</v>
          </cell>
          <cell r="M651" t="str">
            <v>EUR</v>
          </cell>
          <cell r="N651">
            <v>556.88</v>
          </cell>
          <cell r="O651">
            <v>69.61</v>
          </cell>
          <cell r="P651">
            <v>8</v>
          </cell>
          <cell r="Q651">
            <v>8</v>
          </cell>
          <cell r="R651">
            <v>0</v>
          </cell>
        </row>
        <row r="652">
          <cell r="A652" t="str">
            <v>3G77YEPLB01MYW8COY</v>
          </cell>
          <cell r="B652" t="str">
            <v>Q3-23</v>
          </cell>
          <cell r="C652" t="str">
            <v>Europe Operations OU</v>
          </cell>
          <cell r="D652">
            <v>2674345</v>
          </cell>
          <cell r="E652" t="str">
            <v>Amazon EU SARL, succursale Italiana</v>
          </cell>
          <cell r="F652" t="str">
            <v>3G77YEPL</v>
          </cell>
          <cell r="G652" t="str">
            <v>B01MYW8COY</v>
          </cell>
          <cell r="H652" t="str">
            <v>981-000634</v>
          </cell>
          <cell r="I652" t="str">
            <v>OE INVOICES</v>
          </cell>
          <cell r="J652">
            <v>44422133339</v>
          </cell>
          <cell r="K652">
            <v>44890</v>
          </cell>
          <cell r="L652">
            <v>2</v>
          </cell>
          <cell r="M652" t="str">
            <v>EUR</v>
          </cell>
          <cell r="N652">
            <v>7862</v>
          </cell>
          <cell r="O652">
            <v>78.62</v>
          </cell>
          <cell r="P652">
            <v>100</v>
          </cell>
          <cell r="Q652">
            <v>100</v>
          </cell>
          <cell r="R652">
            <v>0</v>
          </cell>
        </row>
        <row r="653">
          <cell r="A653" t="str">
            <v>3G77YEPLB074W227RK</v>
          </cell>
          <cell r="B653" t="str">
            <v>Q3-23</v>
          </cell>
          <cell r="C653" t="str">
            <v>Europe Operations OU</v>
          </cell>
          <cell r="D653">
            <v>2674345</v>
          </cell>
          <cell r="E653" t="str">
            <v>Amazon EU SARL, succursale Italiana</v>
          </cell>
          <cell r="F653" t="str">
            <v>3G77YEPL</v>
          </cell>
          <cell r="G653" t="str">
            <v>B074W227RK</v>
          </cell>
          <cell r="H653" t="str">
            <v>910-005179</v>
          </cell>
          <cell r="I653" t="str">
            <v>OE INVOICES</v>
          </cell>
          <cell r="J653">
            <v>44422130183</v>
          </cell>
          <cell r="K653">
            <v>44888</v>
          </cell>
          <cell r="L653">
            <v>3</v>
          </cell>
          <cell r="M653" t="str">
            <v>EUR</v>
          </cell>
          <cell r="N653">
            <v>12251.36</v>
          </cell>
          <cell r="O653">
            <v>69.61</v>
          </cell>
          <cell r="P653">
            <v>176</v>
          </cell>
          <cell r="Q653">
            <v>176</v>
          </cell>
          <cell r="R653">
            <v>0</v>
          </cell>
        </row>
        <row r="654">
          <cell r="A654" t="str">
            <v>3G77YEPLB07W4DJ16Z</v>
          </cell>
          <cell r="B654" t="str">
            <v>Q3-23</v>
          </cell>
          <cell r="C654" t="str">
            <v>Europe Operations OU</v>
          </cell>
          <cell r="D654">
            <v>2674345</v>
          </cell>
          <cell r="E654" t="str">
            <v>Amazon EU SARL, succursale Italiana</v>
          </cell>
          <cell r="F654" t="str">
            <v>3G77YEPL</v>
          </cell>
          <cell r="G654" t="str">
            <v>B07W4DJ16Z</v>
          </cell>
          <cell r="H654" t="str">
            <v>910-006128</v>
          </cell>
          <cell r="I654" t="str">
            <v>OE INVOICES</v>
          </cell>
          <cell r="J654">
            <v>44422133339</v>
          </cell>
          <cell r="K654">
            <v>44890</v>
          </cell>
          <cell r="L654">
            <v>1</v>
          </cell>
          <cell r="M654" t="str">
            <v>EUR</v>
          </cell>
          <cell r="N654">
            <v>327.8</v>
          </cell>
          <cell r="O654">
            <v>16.39</v>
          </cell>
          <cell r="P654">
            <v>20</v>
          </cell>
          <cell r="Q654">
            <v>20</v>
          </cell>
          <cell r="R654">
            <v>0</v>
          </cell>
        </row>
        <row r="655">
          <cell r="A655" t="str">
            <v>3G77YEPLB07W7KV5KF</v>
          </cell>
          <cell r="B655" t="str">
            <v>Q3-23</v>
          </cell>
          <cell r="C655" t="str">
            <v>Europe Operations OU</v>
          </cell>
          <cell r="D655">
            <v>2674345</v>
          </cell>
          <cell r="E655" t="str">
            <v>Amazon EU SARL, succursale Italiana</v>
          </cell>
          <cell r="F655" t="str">
            <v>3G77YEPL</v>
          </cell>
          <cell r="G655" t="str">
            <v>B07W7KV5KF</v>
          </cell>
          <cell r="H655" t="str">
            <v>910-005991</v>
          </cell>
          <cell r="I655" t="str">
            <v>OE INVOICES</v>
          </cell>
          <cell r="J655">
            <v>44422130183</v>
          </cell>
          <cell r="K655">
            <v>44888</v>
          </cell>
          <cell r="L655">
            <v>4</v>
          </cell>
          <cell r="M655" t="str">
            <v>EUR</v>
          </cell>
          <cell r="N655">
            <v>6380</v>
          </cell>
          <cell r="O655">
            <v>58</v>
          </cell>
          <cell r="P655">
            <v>110</v>
          </cell>
          <cell r="Q655">
            <v>110</v>
          </cell>
          <cell r="R655">
            <v>0</v>
          </cell>
        </row>
        <row r="656">
          <cell r="A656" t="str">
            <v>3GBCH66MB0055ZWOZ4</v>
          </cell>
          <cell r="B656" t="str">
            <v>Q3-23</v>
          </cell>
          <cell r="C656" t="str">
            <v>Europe Operations OU</v>
          </cell>
          <cell r="D656">
            <v>2674345</v>
          </cell>
          <cell r="E656" t="str">
            <v>Amazon EU SARL, succursale Italiana</v>
          </cell>
          <cell r="F656" t="str">
            <v>3GBCH66M</v>
          </cell>
          <cell r="G656" t="str">
            <v>B0055ZWOZ4</v>
          </cell>
          <cell r="H656" t="str">
            <v>920-002921</v>
          </cell>
          <cell r="I656" t="str">
            <v>OE INVOICES</v>
          </cell>
          <cell r="J656">
            <v>44422163463</v>
          </cell>
          <cell r="K656">
            <v>44909</v>
          </cell>
          <cell r="L656">
            <v>1</v>
          </cell>
          <cell r="M656" t="str">
            <v>EUR</v>
          </cell>
          <cell r="N656">
            <v>257.68</v>
          </cell>
          <cell r="O656">
            <v>64.42</v>
          </cell>
          <cell r="P656">
            <v>4</v>
          </cell>
          <cell r="Q656">
            <v>4</v>
          </cell>
          <cell r="R656">
            <v>0</v>
          </cell>
        </row>
        <row r="657">
          <cell r="A657" t="str">
            <v>3GBCH66MB00969DJO0</v>
          </cell>
          <cell r="B657" t="str">
            <v>Q3-23</v>
          </cell>
          <cell r="C657" t="str">
            <v>Europe Operations OU</v>
          </cell>
          <cell r="D657">
            <v>2674345</v>
          </cell>
          <cell r="E657" t="str">
            <v>Amazon EU SARL, succursale Italiana</v>
          </cell>
          <cell r="F657" t="str">
            <v>3GBCH66M</v>
          </cell>
          <cell r="G657" t="str">
            <v>B00969DJO0</v>
          </cell>
          <cell r="H657" t="str">
            <v>920-003968</v>
          </cell>
          <cell r="I657" t="str">
            <v>OE INVOICES</v>
          </cell>
          <cell r="J657">
            <v>44422163463</v>
          </cell>
          <cell r="K657">
            <v>44909</v>
          </cell>
          <cell r="L657">
            <v>2</v>
          </cell>
          <cell r="M657" t="str">
            <v>EUR</v>
          </cell>
          <cell r="N657">
            <v>140.52000000000001</v>
          </cell>
          <cell r="O657">
            <v>35.130000000000003</v>
          </cell>
          <cell r="P657">
            <v>4</v>
          </cell>
          <cell r="Q657">
            <v>4</v>
          </cell>
          <cell r="R657">
            <v>0</v>
          </cell>
        </row>
        <row r="658">
          <cell r="A658" t="str">
            <v>3GBCH66MB00EJ3RMDM</v>
          </cell>
          <cell r="B658" t="str">
            <v>Q3-23</v>
          </cell>
          <cell r="C658" t="str">
            <v>Europe Operations OU</v>
          </cell>
          <cell r="D658">
            <v>2674345</v>
          </cell>
          <cell r="E658" t="str">
            <v>Amazon EU SARL, succursale Italiana</v>
          </cell>
          <cell r="F658" t="str">
            <v>3GBCH66M</v>
          </cell>
          <cell r="G658" t="str">
            <v>B00EJ3RMDM</v>
          </cell>
          <cell r="H658" t="str">
            <v>920-005210</v>
          </cell>
          <cell r="I658" t="str">
            <v>OE INVOICES</v>
          </cell>
          <cell r="J658">
            <v>44422163463</v>
          </cell>
          <cell r="K658">
            <v>44909</v>
          </cell>
          <cell r="L658">
            <v>3</v>
          </cell>
          <cell r="M658" t="str">
            <v>EUR</v>
          </cell>
          <cell r="N658">
            <v>163.9</v>
          </cell>
          <cell r="O658">
            <v>16.39</v>
          </cell>
          <cell r="P658">
            <v>10</v>
          </cell>
          <cell r="Q658">
            <v>10</v>
          </cell>
          <cell r="R658">
            <v>0</v>
          </cell>
        </row>
        <row r="659">
          <cell r="A659" t="str">
            <v>3GBCH66MB00NP797AE</v>
          </cell>
          <cell r="B659" t="str">
            <v>Q3-23</v>
          </cell>
          <cell r="C659" t="str">
            <v>Europe Operations OU</v>
          </cell>
          <cell r="D659">
            <v>2674345</v>
          </cell>
          <cell r="E659" t="str">
            <v>Amazon EU SARL, succursale Italiana</v>
          </cell>
          <cell r="F659" t="str">
            <v>3GBCH66M</v>
          </cell>
          <cell r="G659" t="str">
            <v>B00NP797AE</v>
          </cell>
          <cell r="H659" t="str">
            <v>920-004520</v>
          </cell>
          <cell r="I659" t="str">
            <v>OE INVOICES</v>
          </cell>
          <cell r="J659">
            <v>44422163463</v>
          </cell>
          <cell r="K659">
            <v>44909</v>
          </cell>
          <cell r="L659">
            <v>4</v>
          </cell>
          <cell r="M659" t="str">
            <v>EUR</v>
          </cell>
          <cell r="N659">
            <v>158.1</v>
          </cell>
          <cell r="O659">
            <v>26.35</v>
          </cell>
          <cell r="P659">
            <v>6</v>
          </cell>
          <cell r="Q659">
            <v>6</v>
          </cell>
          <cell r="R659">
            <v>0</v>
          </cell>
        </row>
        <row r="660">
          <cell r="A660" t="str">
            <v>3GBCH66MB013Y78YY4</v>
          </cell>
          <cell r="B660" t="str">
            <v>Q3-23</v>
          </cell>
          <cell r="C660" t="str">
            <v>Europe Operations OU</v>
          </cell>
          <cell r="D660">
            <v>2674345</v>
          </cell>
          <cell r="E660" t="str">
            <v>Amazon EU SARL, succursale Italiana</v>
          </cell>
          <cell r="F660" t="str">
            <v>3GBCH66M</v>
          </cell>
          <cell r="G660" t="str">
            <v>B013Y78YY4</v>
          </cell>
          <cell r="H660" t="str">
            <v>941-000124</v>
          </cell>
          <cell r="I660" t="str">
            <v>OE INVOICES</v>
          </cell>
          <cell r="J660">
            <v>44422163463</v>
          </cell>
          <cell r="K660">
            <v>44909</v>
          </cell>
          <cell r="L660">
            <v>5</v>
          </cell>
          <cell r="M660" t="str">
            <v>EUR</v>
          </cell>
          <cell r="N660">
            <v>210.52</v>
          </cell>
          <cell r="O660">
            <v>210.52</v>
          </cell>
          <cell r="P660">
            <v>1</v>
          </cell>
          <cell r="Q660">
            <v>1</v>
          </cell>
          <cell r="R660">
            <v>0</v>
          </cell>
        </row>
        <row r="661">
          <cell r="A661" t="str">
            <v>3GBCH66MB016QPMN84</v>
          </cell>
          <cell r="B661" t="str">
            <v>Q3-23</v>
          </cell>
          <cell r="C661" t="str">
            <v>Europe Operations OU</v>
          </cell>
          <cell r="D661">
            <v>2674345</v>
          </cell>
          <cell r="E661" t="str">
            <v>Amazon EU SARL, succursale Italiana</v>
          </cell>
          <cell r="F661" t="str">
            <v>3GBCH66M</v>
          </cell>
          <cell r="G661" t="str">
            <v>B016QPMN84</v>
          </cell>
          <cell r="H661" t="str">
            <v>920-006483</v>
          </cell>
          <cell r="I661" t="str">
            <v>OE INVOICES</v>
          </cell>
          <cell r="J661">
            <v>44422163463</v>
          </cell>
          <cell r="K661">
            <v>44909</v>
          </cell>
          <cell r="L661">
            <v>6</v>
          </cell>
          <cell r="M661" t="str">
            <v>EUR</v>
          </cell>
          <cell r="N661">
            <v>140.52000000000001</v>
          </cell>
          <cell r="O661">
            <v>35.130000000000003</v>
          </cell>
          <cell r="P661">
            <v>4</v>
          </cell>
          <cell r="Q661">
            <v>4</v>
          </cell>
          <cell r="R661">
            <v>0</v>
          </cell>
        </row>
        <row r="662">
          <cell r="A662" t="str">
            <v>3GBCH66MB01DKGAQNG</v>
          </cell>
          <cell r="B662" t="str">
            <v>Q3-23</v>
          </cell>
          <cell r="C662" t="str">
            <v>Europe Operations OU</v>
          </cell>
          <cell r="D662">
            <v>2674345</v>
          </cell>
          <cell r="E662" t="str">
            <v>Amazon EU SARL, succursale Italiana</v>
          </cell>
          <cell r="F662" t="str">
            <v>3GBCH66M</v>
          </cell>
          <cell r="G662" t="str">
            <v>B01DKGAQNG</v>
          </cell>
          <cell r="H662" t="str">
            <v>920-008031</v>
          </cell>
          <cell r="I662" t="str">
            <v>OE INVOICES</v>
          </cell>
          <cell r="J662">
            <v>44422163463</v>
          </cell>
          <cell r="K662">
            <v>44909</v>
          </cell>
          <cell r="L662">
            <v>7</v>
          </cell>
          <cell r="M662" t="str">
            <v>EUR</v>
          </cell>
          <cell r="N662">
            <v>187.36</v>
          </cell>
          <cell r="O662">
            <v>23.42</v>
          </cell>
          <cell r="P662">
            <v>8</v>
          </cell>
          <cell r="Q662">
            <v>8</v>
          </cell>
          <cell r="R662">
            <v>0</v>
          </cell>
        </row>
        <row r="663">
          <cell r="A663" t="str">
            <v>3GBCH66MB01I252A34</v>
          </cell>
          <cell r="B663" t="str">
            <v>Q3-23</v>
          </cell>
          <cell r="C663" t="str">
            <v>Europe Operations OU</v>
          </cell>
          <cell r="D663">
            <v>2674345</v>
          </cell>
          <cell r="E663" t="str">
            <v>Amazon EU SARL, succursale Italiana</v>
          </cell>
          <cell r="F663" t="str">
            <v>3GBCH66M</v>
          </cell>
          <cell r="G663" t="str">
            <v>B01I252A34</v>
          </cell>
          <cell r="H663" t="str">
            <v>920-005214</v>
          </cell>
          <cell r="I663" t="str">
            <v>OE INVOICES</v>
          </cell>
          <cell r="J663">
            <v>44422163463</v>
          </cell>
          <cell r="K663">
            <v>44909</v>
          </cell>
          <cell r="L663">
            <v>8</v>
          </cell>
          <cell r="M663" t="str">
            <v>EUR</v>
          </cell>
          <cell r="N663">
            <v>491.7</v>
          </cell>
          <cell r="O663">
            <v>16.39</v>
          </cell>
          <cell r="P663">
            <v>30</v>
          </cell>
          <cell r="Q663">
            <v>30</v>
          </cell>
          <cell r="R663">
            <v>0</v>
          </cell>
        </row>
        <row r="664">
          <cell r="A664" t="str">
            <v>3GBCH66MB06XPHQW6G</v>
          </cell>
          <cell r="B664" t="str">
            <v>Q3-23</v>
          </cell>
          <cell r="C664" t="str">
            <v>Europe Operations OU</v>
          </cell>
          <cell r="D664">
            <v>2674345</v>
          </cell>
          <cell r="E664" t="str">
            <v>Amazon EU SARL, succursale Italiana</v>
          </cell>
          <cell r="F664" t="str">
            <v>3GBCH66M</v>
          </cell>
          <cell r="G664" t="str">
            <v>B06XPHQW6G</v>
          </cell>
          <cell r="H664" t="str">
            <v>920-008471</v>
          </cell>
          <cell r="I664" t="str">
            <v>OE INVOICES</v>
          </cell>
          <cell r="J664">
            <v>44422163463</v>
          </cell>
          <cell r="K664">
            <v>44909</v>
          </cell>
          <cell r="L664">
            <v>9</v>
          </cell>
          <cell r="M664" t="str">
            <v>EUR</v>
          </cell>
          <cell r="N664">
            <v>230.04</v>
          </cell>
          <cell r="O664">
            <v>57.51</v>
          </cell>
          <cell r="P664">
            <v>4</v>
          </cell>
          <cell r="Q664">
            <v>4</v>
          </cell>
          <cell r="R664">
            <v>0</v>
          </cell>
        </row>
        <row r="665">
          <cell r="A665" t="str">
            <v>3GBCH66MB06XQ323B3</v>
          </cell>
          <cell r="B665" t="str">
            <v>Q3-23</v>
          </cell>
          <cell r="C665" t="str">
            <v>Europe Operations OU</v>
          </cell>
          <cell r="D665">
            <v>2674345</v>
          </cell>
          <cell r="E665" t="str">
            <v>Amazon EU SARL, succursale Italiana</v>
          </cell>
          <cell r="F665" t="str">
            <v>3GBCH66M</v>
          </cell>
          <cell r="G665" t="str">
            <v>B06XQ323B3</v>
          </cell>
          <cell r="H665" t="str">
            <v>920-008475</v>
          </cell>
          <cell r="I665" t="str">
            <v>OE INVOICES</v>
          </cell>
          <cell r="J665">
            <v>44422163463</v>
          </cell>
          <cell r="K665">
            <v>44909</v>
          </cell>
          <cell r="L665">
            <v>10</v>
          </cell>
          <cell r="M665" t="str">
            <v>EUR</v>
          </cell>
          <cell r="N665">
            <v>460.08</v>
          </cell>
          <cell r="O665">
            <v>57.51</v>
          </cell>
          <cell r="P665">
            <v>8</v>
          </cell>
          <cell r="Q665">
            <v>8</v>
          </cell>
          <cell r="R665">
            <v>0</v>
          </cell>
        </row>
        <row r="666">
          <cell r="A666" t="str">
            <v>3GBCH66MB074C9LZVX</v>
          </cell>
          <cell r="B666" t="str">
            <v>Q3-23</v>
          </cell>
          <cell r="C666" t="str">
            <v>Europe Operations OU</v>
          </cell>
          <cell r="D666">
            <v>2674345</v>
          </cell>
          <cell r="E666" t="str">
            <v>Amazon EU SARL, succursale Italiana</v>
          </cell>
          <cell r="F666" t="str">
            <v>3GBCH66M</v>
          </cell>
          <cell r="G666" t="str">
            <v>B074C9LZVX</v>
          </cell>
          <cell r="H666" t="str">
            <v>920-008389</v>
          </cell>
          <cell r="I666" t="str">
            <v>OE INVOICES</v>
          </cell>
          <cell r="J666">
            <v>44422163463</v>
          </cell>
          <cell r="K666">
            <v>44909</v>
          </cell>
          <cell r="L666">
            <v>11</v>
          </cell>
          <cell r="M666" t="str">
            <v>EUR</v>
          </cell>
          <cell r="N666">
            <v>1257.92</v>
          </cell>
          <cell r="O666">
            <v>78.62</v>
          </cell>
          <cell r="P666">
            <v>16</v>
          </cell>
          <cell r="Q666">
            <v>16</v>
          </cell>
          <cell r="R666">
            <v>0</v>
          </cell>
        </row>
        <row r="667">
          <cell r="A667" t="str">
            <v>3GBCH66MB077BT728N</v>
          </cell>
          <cell r="B667" t="str">
            <v>Q3-23</v>
          </cell>
          <cell r="C667" t="str">
            <v>Europe Operations OU</v>
          </cell>
          <cell r="D667">
            <v>2674345</v>
          </cell>
          <cell r="E667" t="str">
            <v>Amazon EU SARL, succursale Italiana</v>
          </cell>
          <cell r="F667" t="str">
            <v>3GBCH66M</v>
          </cell>
          <cell r="G667" t="str">
            <v>B077BT728N</v>
          </cell>
          <cell r="H667" t="str">
            <v>920-008669</v>
          </cell>
          <cell r="I667" t="str">
            <v>OE INVOICES</v>
          </cell>
          <cell r="J667">
            <v>44422163463</v>
          </cell>
          <cell r="K667">
            <v>44909</v>
          </cell>
          <cell r="L667">
            <v>12</v>
          </cell>
          <cell r="M667" t="str">
            <v>EUR</v>
          </cell>
          <cell r="N667">
            <v>163.9</v>
          </cell>
          <cell r="O667">
            <v>16.39</v>
          </cell>
          <cell r="P667">
            <v>10</v>
          </cell>
          <cell r="Q667">
            <v>10</v>
          </cell>
          <cell r="R667">
            <v>0</v>
          </cell>
        </row>
        <row r="668">
          <cell r="A668" t="str">
            <v>3GBCH66MB07W1NZXRB</v>
          </cell>
          <cell r="B668" t="str">
            <v>Q3-23</v>
          </cell>
          <cell r="C668" t="str">
            <v>Europe Operations OU</v>
          </cell>
          <cell r="D668">
            <v>2674345</v>
          </cell>
          <cell r="E668" t="str">
            <v>Amazon EU SARL, succursale Italiana</v>
          </cell>
          <cell r="F668" t="str">
            <v>3GBCH66M</v>
          </cell>
          <cell r="G668" t="str">
            <v>B07W1NZXRB</v>
          </cell>
          <cell r="H668" t="str">
            <v>920-008910</v>
          </cell>
          <cell r="I668" t="str">
            <v>OE INVOICES</v>
          </cell>
          <cell r="J668">
            <v>44422163463</v>
          </cell>
          <cell r="K668">
            <v>44909</v>
          </cell>
          <cell r="L668">
            <v>13</v>
          </cell>
          <cell r="M668" t="str">
            <v>EUR</v>
          </cell>
          <cell r="N668">
            <v>2270.88</v>
          </cell>
          <cell r="O668">
            <v>141.93</v>
          </cell>
          <cell r="P668">
            <v>16</v>
          </cell>
          <cell r="Q668">
            <v>16</v>
          </cell>
          <cell r="R668">
            <v>0</v>
          </cell>
        </row>
        <row r="669">
          <cell r="A669" t="str">
            <v>3GBCH66MB07W5JKB91</v>
          </cell>
          <cell r="B669" t="str">
            <v>Q3-23</v>
          </cell>
          <cell r="C669" t="str">
            <v>Europe Operations OU</v>
          </cell>
          <cell r="D669">
            <v>2674345</v>
          </cell>
          <cell r="E669" t="str">
            <v>Amazon EU SARL, succursale Italiana</v>
          </cell>
          <cell r="F669" t="str">
            <v>3GBCH66M</v>
          </cell>
          <cell r="G669" t="str">
            <v>B07W5JKB91</v>
          </cell>
          <cell r="H669" t="str">
            <v>984-001688</v>
          </cell>
          <cell r="I669" t="str">
            <v>OE INVOICES</v>
          </cell>
          <cell r="J669">
            <v>44422163463</v>
          </cell>
          <cell r="K669">
            <v>44909</v>
          </cell>
          <cell r="L669">
            <v>14</v>
          </cell>
          <cell r="M669" t="str">
            <v>EUR</v>
          </cell>
          <cell r="N669">
            <v>2642.97</v>
          </cell>
          <cell r="O669">
            <v>240.27</v>
          </cell>
          <cell r="P669">
            <v>11</v>
          </cell>
          <cell r="Q669">
            <v>11</v>
          </cell>
          <cell r="R669">
            <v>0</v>
          </cell>
        </row>
        <row r="670">
          <cell r="A670" t="str">
            <v>3GBCH66MB07W6JLQCY</v>
          </cell>
          <cell r="B670" t="str">
            <v>Q3-23</v>
          </cell>
          <cell r="C670" t="str">
            <v>Europe Operations OU</v>
          </cell>
          <cell r="D670">
            <v>2674345</v>
          </cell>
          <cell r="E670" t="str">
            <v>Amazon EU SARL, succursale Italiana</v>
          </cell>
          <cell r="F670" t="str">
            <v>3GBCH66M</v>
          </cell>
          <cell r="G670" t="str">
            <v>B07W6JLQCY</v>
          </cell>
          <cell r="H670" t="str">
            <v>920-010107</v>
          </cell>
          <cell r="I670" t="str">
            <v>OE INVOICES</v>
          </cell>
          <cell r="J670">
            <v>44422163463</v>
          </cell>
          <cell r="K670">
            <v>44909</v>
          </cell>
          <cell r="L670">
            <v>15</v>
          </cell>
          <cell r="M670" t="str">
            <v>EUR</v>
          </cell>
          <cell r="N670">
            <v>299.36</v>
          </cell>
          <cell r="O670">
            <v>74.84</v>
          </cell>
          <cell r="P670">
            <v>4</v>
          </cell>
          <cell r="Q670">
            <v>4</v>
          </cell>
          <cell r="R670">
            <v>0</v>
          </cell>
        </row>
        <row r="671">
          <cell r="A671" t="str">
            <v>3GBCH66MB07W6JMQW4</v>
          </cell>
          <cell r="B671" t="str">
            <v>Q3-23</v>
          </cell>
          <cell r="C671" t="str">
            <v>Europe Operations OU</v>
          </cell>
          <cell r="D671">
            <v>2674345</v>
          </cell>
          <cell r="E671" t="str">
            <v>Amazon EU SARL, succursale Italiana</v>
          </cell>
          <cell r="F671" t="str">
            <v>3GBCH66M</v>
          </cell>
          <cell r="G671" t="str">
            <v>B07W6JMQW4</v>
          </cell>
          <cell r="H671" t="str">
            <v>920-009330</v>
          </cell>
          <cell r="I671" t="str">
            <v>OE INVOICES</v>
          </cell>
          <cell r="J671">
            <v>44422163463</v>
          </cell>
          <cell r="K671">
            <v>44909</v>
          </cell>
          <cell r="L671">
            <v>16</v>
          </cell>
          <cell r="M671" t="str">
            <v>EUR</v>
          </cell>
          <cell r="N671">
            <v>1133.28</v>
          </cell>
          <cell r="O671">
            <v>94.44</v>
          </cell>
          <cell r="P671">
            <v>12</v>
          </cell>
          <cell r="Q671">
            <v>12</v>
          </cell>
          <cell r="R671">
            <v>0</v>
          </cell>
        </row>
        <row r="672">
          <cell r="A672" t="str">
            <v>3GBCH66MB07W7KFFFF</v>
          </cell>
          <cell r="B672" t="str">
            <v>Q3-23</v>
          </cell>
          <cell r="C672" t="str">
            <v>Europe Operations OU</v>
          </cell>
          <cell r="D672">
            <v>2674345</v>
          </cell>
          <cell r="E672" t="str">
            <v>Amazon EU SARL, succursale Italiana</v>
          </cell>
          <cell r="F672" t="str">
            <v>3GBCH66M</v>
          </cell>
          <cell r="G672" t="str">
            <v>B07W7KFFFF</v>
          </cell>
          <cell r="H672" t="str">
            <v>941-000149</v>
          </cell>
          <cell r="I672" t="str">
            <v>OE INVOICES</v>
          </cell>
          <cell r="J672">
            <v>44422163463</v>
          </cell>
          <cell r="K672">
            <v>44909</v>
          </cell>
          <cell r="L672">
            <v>17</v>
          </cell>
          <cell r="M672" t="str">
            <v>EUR</v>
          </cell>
          <cell r="N672">
            <v>3847.95</v>
          </cell>
          <cell r="O672">
            <v>226.35</v>
          </cell>
          <cell r="P672">
            <v>17</v>
          </cell>
          <cell r="Q672">
            <v>17</v>
          </cell>
          <cell r="R672">
            <v>0</v>
          </cell>
        </row>
        <row r="673">
          <cell r="A673" t="str">
            <v>3GBCH66MB07W7MSGPL</v>
          </cell>
          <cell r="B673" t="str">
            <v>Q3-23</v>
          </cell>
          <cell r="C673" t="str">
            <v>Europe Operations OU</v>
          </cell>
          <cell r="D673">
            <v>2674345</v>
          </cell>
          <cell r="E673" t="str">
            <v>Amazon EU SARL, succursale Italiana</v>
          </cell>
          <cell r="F673" t="str">
            <v>3GBCH66M</v>
          </cell>
          <cell r="G673" t="str">
            <v>B07W7MSGPL</v>
          </cell>
          <cell r="H673" t="str">
            <v>920-009088</v>
          </cell>
          <cell r="I673" t="str">
            <v>OE INVOICES</v>
          </cell>
          <cell r="J673">
            <v>44422163463</v>
          </cell>
          <cell r="K673">
            <v>44909</v>
          </cell>
          <cell r="L673">
            <v>18</v>
          </cell>
          <cell r="M673" t="str">
            <v>EUR</v>
          </cell>
          <cell r="N673">
            <v>2205.4</v>
          </cell>
          <cell r="O673">
            <v>110.27</v>
          </cell>
          <cell r="P673">
            <v>20</v>
          </cell>
          <cell r="Q673">
            <v>20</v>
          </cell>
          <cell r="R673">
            <v>0</v>
          </cell>
        </row>
        <row r="674">
          <cell r="A674" t="str">
            <v>3GW1K2ZRB00BT8QIJ4</v>
          </cell>
          <cell r="B674" t="str">
            <v>Q3-23</v>
          </cell>
          <cell r="C674" t="str">
            <v>Europe Operations OU</v>
          </cell>
          <cell r="D674">
            <v>2674345</v>
          </cell>
          <cell r="E674" t="str">
            <v>Amazon EU SARL, succursale Italiana</v>
          </cell>
          <cell r="F674" t="str">
            <v>3GW1K2ZR</v>
          </cell>
          <cell r="G674" t="str">
            <v>B00BT8QIJ4</v>
          </cell>
          <cell r="H674" t="str">
            <v>920-002522</v>
          </cell>
          <cell r="I674" t="str">
            <v>OE INVOICES</v>
          </cell>
          <cell r="J674">
            <v>44422171474</v>
          </cell>
          <cell r="K674">
            <v>44916</v>
          </cell>
          <cell r="L674">
            <v>1</v>
          </cell>
          <cell r="M674" t="str">
            <v>EUR</v>
          </cell>
          <cell r="N674">
            <v>2152.8000000000002</v>
          </cell>
          <cell r="O674">
            <v>9.36</v>
          </cell>
          <cell r="P674">
            <v>230</v>
          </cell>
          <cell r="Q674">
            <v>230</v>
          </cell>
          <cell r="R674">
            <v>0</v>
          </cell>
        </row>
        <row r="675">
          <cell r="A675" t="str">
            <v>3GW1K2ZRB011N78DMA</v>
          </cell>
          <cell r="B675" t="str">
            <v>Q3-23</v>
          </cell>
          <cell r="C675" t="str">
            <v>Europe Operations OU</v>
          </cell>
          <cell r="D675">
            <v>2674345</v>
          </cell>
          <cell r="E675" t="str">
            <v>Amazon EU SARL, succursale Italiana</v>
          </cell>
          <cell r="F675" t="str">
            <v>3GW1K2ZR</v>
          </cell>
          <cell r="G675" t="str">
            <v>B011N78DMA</v>
          </cell>
          <cell r="H675" t="str">
            <v>941-000123</v>
          </cell>
          <cell r="I675" t="str">
            <v>OE INVOICES</v>
          </cell>
          <cell r="J675">
            <v>44422171474</v>
          </cell>
          <cell r="K675">
            <v>44916</v>
          </cell>
          <cell r="L675">
            <v>2</v>
          </cell>
          <cell r="M675" t="str">
            <v>EUR</v>
          </cell>
          <cell r="N675">
            <v>77595.570000000007</v>
          </cell>
          <cell r="O675">
            <v>221.07</v>
          </cell>
          <cell r="P675">
            <v>351</v>
          </cell>
          <cell r="Q675">
            <v>351</v>
          </cell>
          <cell r="R675">
            <v>0</v>
          </cell>
        </row>
        <row r="676">
          <cell r="A676" t="str">
            <v>3HKQYMTXB00L8VNQ88</v>
          </cell>
          <cell r="B676" t="str">
            <v>Q3-23</v>
          </cell>
          <cell r="C676" t="str">
            <v>Europe Operations OU</v>
          </cell>
          <cell r="D676">
            <v>2674345</v>
          </cell>
          <cell r="E676" t="str">
            <v>Amazon EU SARL, succursale Italiana</v>
          </cell>
          <cell r="F676" t="str">
            <v>3HKQYMTX</v>
          </cell>
          <cell r="G676" t="str">
            <v>B00L8VNQ88</v>
          </cell>
          <cell r="H676" t="str">
            <v>910-004067</v>
          </cell>
          <cell r="I676" t="str">
            <v>OE INVOICES</v>
          </cell>
          <cell r="J676">
            <v>44422129485</v>
          </cell>
          <cell r="K676">
            <v>44888</v>
          </cell>
          <cell r="L676">
            <v>1</v>
          </cell>
          <cell r="M676" t="str">
            <v>EUR</v>
          </cell>
          <cell r="N676">
            <v>7595.52</v>
          </cell>
          <cell r="O676">
            <v>39.56</v>
          </cell>
          <cell r="P676">
            <v>192</v>
          </cell>
          <cell r="Q676">
            <v>192</v>
          </cell>
          <cell r="R676">
            <v>0</v>
          </cell>
        </row>
        <row r="677">
          <cell r="A677" t="str">
            <v>3HKQYMTXB00NGKYKPW</v>
          </cell>
          <cell r="B677" t="str">
            <v>Q3-23</v>
          </cell>
          <cell r="C677" t="str">
            <v>Europe Operations OU</v>
          </cell>
          <cell r="D677">
            <v>2674345</v>
          </cell>
          <cell r="E677" t="str">
            <v>Amazon EU SARL, succursale Italiana</v>
          </cell>
          <cell r="F677" t="str">
            <v>3HKQYMTX</v>
          </cell>
          <cell r="G677" t="str">
            <v>B00NGKYKPW</v>
          </cell>
          <cell r="H677" t="str">
            <v>920-006358</v>
          </cell>
          <cell r="I677" t="str">
            <v>OE INVOICES</v>
          </cell>
          <cell r="J677">
            <v>44422129485</v>
          </cell>
          <cell r="K677">
            <v>44888</v>
          </cell>
          <cell r="L677">
            <v>2</v>
          </cell>
          <cell r="M677" t="str">
            <v>EUR</v>
          </cell>
          <cell r="N677">
            <v>8503.44</v>
          </cell>
          <cell r="O677">
            <v>32.21</v>
          </cell>
          <cell r="P677">
            <v>264</v>
          </cell>
          <cell r="Q677">
            <v>264</v>
          </cell>
          <cell r="R677">
            <v>0</v>
          </cell>
        </row>
        <row r="678">
          <cell r="A678" t="str">
            <v>3HKQYMTXB00XJ3LVPI</v>
          </cell>
          <cell r="B678" t="str">
            <v>Q3-23</v>
          </cell>
          <cell r="C678" t="str">
            <v>Europe Operations OU</v>
          </cell>
          <cell r="D678">
            <v>2674345</v>
          </cell>
          <cell r="E678" t="str">
            <v>Amazon EU SARL, succursale Italiana</v>
          </cell>
          <cell r="F678" t="str">
            <v>3HKQYMTX</v>
          </cell>
          <cell r="G678" t="str">
            <v>B00XJ3LVPI</v>
          </cell>
          <cell r="H678" t="str">
            <v>920-007143</v>
          </cell>
          <cell r="I678" t="str">
            <v>OE INVOICES</v>
          </cell>
          <cell r="J678">
            <v>44422129485</v>
          </cell>
          <cell r="K678">
            <v>44888</v>
          </cell>
          <cell r="L678">
            <v>3</v>
          </cell>
          <cell r="M678" t="str">
            <v>EUR</v>
          </cell>
          <cell r="N678">
            <v>24801.7</v>
          </cell>
          <cell r="O678">
            <v>32.21</v>
          </cell>
          <cell r="P678">
            <v>770</v>
          </cell>
          <cell r="Q678">
            <v>770</v>
          </cell>
          <cell r="R678">
            <v>0</v>
          </cell>
        </row>
        <row r="679">
          <cell r="A679" t="str">
            <v>3HKQYMTXB013SL2050</v>
          </cell>
          <cell r="B679" t="str">
            <v>Q3-23</v>
          </cell>
          <cell r="C679" t="str">
            <v>Europe Operations OU</v>
          </cell>
          <cell r="D679">
            <v>2674345</v>
          </cell>
          <cell r="E679" t="str">
            <v>Amazon EU SARL, succursale Italiana</v>
          </cell>
          <cell r="F679" t="str">
            <v>3HKQYMTX</v>
          </cell>
          <cell r="G679" t="str">
            <v>B013SL2050</v>
          </cell>
          <cell r="H679" t="str">
            <v>920-007574</v>
          </cell>
          <cell r="I679" t="str">
            <v>OE INVOICES</v>
          </cell>
          <cell r="J679">
            <v>44422129485</v>
          </cell>
          <cell r="K679">
            <v>44888</v>
          </cell>
          <cell r="L679">
            <v>4</v>
          </cell>
          <cell r="M679" t="str">
            <v>EUR</v>
          </cell>
          <cell r="N679">
            <v>1546.08</v>
          </cell>
          <cell r="O679">
            <v>32.21</v>
          </cell>
          <cell r="P679">
            <v>48</v>
          </cell>
          <cell r="Q679">
            <v>48</v>
          </cell>
          <cell r="R679">
            <v>0</v>
          </cell>
        </row>
        <row r="680">
          <cell r="A680" t="str">
            <v>3HKQYMTXB014KH8BRW</v>
          </cell>
          <cell r="B680" t="str">
            <v>Q3-23</v>
          </cell>
          <cell r="C680" t="str">
            <v>Europe Operations OU</v>
          </cell>
          <cell r="D680">
            <v>2674345</v>
          </cell>
          <cell r="E680" t="str">
            <v>Amazon EU SARL, succursale Italiana</v>
          </cell>
          <cell r="F680" t="str">
            <v>3HKQYMTX</v>
          </cell>
          <cell r="G680" t="str">
            <v>B014KH8BRW</v>
          </cell>
          <cell r="H680" t="str">
            <v>960-001056</v>
          </cell>
          <cell r="I680" t="str">
            <v>OE INVOICES</v>
          </cell>
          <cell r="J680">
            <v>44422129485</v>
          </cell>
          <cell r="K680">
            <v>44888</v>
          </cell>
          <cell r="L680">
            <v>5</v>
          </cell>
          <cell r="M680" t="str">
            <v>EUR</v>
          </cell>
          <cell r="N680">
            <v>11712</v>
          </cell>
          <cell r="O680">
            <v>58.56</v>
          </cell>
          <cell r="P680">
            <v>200</v>
          </cell>
          <cell r="Q680">
            <v>200</v>
          </cell>
          <cell r="R680">
            <v>0</v>
          </cell>
        </row>
        <row r="681">
          <cell r="A681" t="str">
            <v>3HKQYMTXB07TTB3SR2</v>
          </cell>
          <cell r="B681" t="str">
            <v>Q3-23</v>
          </cell>
          <cell r="C681" t="str">
            <v>Europe Operations OU</v>
          </cell>
          <cell r="D681">
            <v>2674345</v>
          </cell>
          <cell r="E681" t="str">
            <v>Amazon EU SARL, succursale Italiana</v>
          </cell>
          <cell r="F681" t="str">
            <v>3HKQYMTX</v>
          </cell>
          <cell r="G681" t="str">
            <v>B07TTB3SR2</v>
          </cell>
          <cell r="H681" t="str">
            <v>939-001676</v>
          </cell>
          <cell r="I681" t="str">
            <v>OE INVOICES</v>
          </cell>
          <cell r="J681">
            <v>44422129485</v>
          </cell>
          <cell r="K681">
            <v>44888</v>
          </cell>
          <cell r="L681">
            <v>6</v>
          </cell>
          <cell r="M681" t="str">
            <v>EUR</v>
          </cell>
          <cell r="N681">
            <v>2813.76</v>
          </cell>
          <cell r="O681">
            <v>234.48</v>
          </cell>
          <cell r="P681">
            <v>12</v>
          </cell>
          <cell r="Q681">
            <v>12</v>
          </cell>
          <cell r="R681">
            <v>0</v>
          </cell>
        </row>
        <row r="682">
          <cell r="A682" t="str">
            <v>3HKQYMTXB07W4DH81N</v>
          </cell>
          <cell r="B682" t="str">
            <v>Q3-23</v>
          </cell>
          <cell r="C682" t="str">
            <v>Europe Operations OU</v>
          </cell>
          <cell r="D682">
            <v>2674345</v>
          </cell>
          <cell r="E682" t="str">
            <v>Amazon EU SARL, succursale Italiana</v>
          </cell>
          <cell r="F682" t="str">
            <v>3HKQYMTX</v>
          </cell>
          <cell r="G682" t="str">
            <v>B07W4DH81N</v>
          </cell>
          <cell r="H682" t="str">
            <v>920-009662</v>
          </cell>
          <cell r="I682" t="str">
            <v>OE INVOICES</v>
          </cell>
          <cell r="J682">
            <v>44422129485</v>
          </cell>
          <cell r="K682">
            <v>44888</v>
          </cell>
          <cell r="L682">
            <v>7</v>
          </cell>
          <cell r="M682" t="str">
            <v>EUR</v>
          </cell>
          <cell r="N682">
            <v>25750.48</v>
          </cell>
          <cell r="O682">
            <v>131.38</v>
          </cell>
          <cell r="P682">
            <v>196</v>
          </cell>
          <cell r="Q682">
            <v>196</v>
          </cell>
          <cell r="R682">
            <v>0</v>
          </cell>
        </row>
        <row r="683">
          <cell r="A683" t="str">
            <v>3HKQYMTXB07W4DHZLS</v>
          </cell>
          <cell r="B683" t="str">
            <v>Q3-23</v>
          </cell>
          <cell r="C683" t="str">
            <v>Europe Operations OU</v>
          </cell>
          <cell r="D683">
            <v>2674345</v>
          </cell>
          <cell r="E683" t="str">
            <v>Amazon EU SARL, succursale Italiana</v>
          </cell>
          <cell r="F683" t="str">
            <v>3HKQYMTX</v>
          </cell>
          <cell r="G683" t="str">
            <v>B07W4DHZLS</v>
          </cell>
          <cell r="H683" t="str">
            <v>920-010041</v>
          </cell>
          <cell r="I683" t="str">
            <v>OE INVOICES</v>
          </cell>
          <cell r="J683">
            <v>44422129485</v>
          </cell>
          <cell r="K683">
            <v>44888</v>
          </cell>
          <cell r="L683">
            <v>8</v>
          </cell>
          <cell r="M683" t="str">
            <v>EUR</v>
          </cell>
          <cell r="N683">
            <v>974.4</v>
          </cell>
          <cell r="O683">
            <v>40.6</v>
          </cell>
          <cell r="P683">
            <v>24</v>
          </cell>
          <cell r="Q683">
            <v>24</v>
          </cell>
          <cell r="R683">
            <v>0</v>
          </cell>
        </row>
        <row r="684">
          <cell r="A684" t="str">
            <v>3HKQYMTXB07W6HBPSX</v>
          </cell>
          <cell r="B684" t="str">
            <v>Q3-23</v>
          </cell>
          <cell r="C684" t="str">
            <v>Europe Operations OU</v>
          </cell>
          <cell r="D684">
            <v>2674345</v>
          </cell>
          <cell r="E684" t="str">
            <v>Amazon EU SARL, succursale Italiana</v>
          </cell>
          <cell r="F684" t="str">
            <v>3HKQYMTX</v>
          </cell>
          <cell r="G684" t="str">
            <v>B07W6HBPSX</v>
          </cell>
          <cell r="H684" t="str">
            <v>981-001101</v>
          </cell>
          <cell r="I684" t="str">
            <v>OE INVOICES</v>
          </cell>
          <cell r="J684">
            <v>44422129485</v>
          </cell>
          <cell r="K684">
            <v>44888</v>
          </cell>
          <cell r="L684">
            <v>9</v>
          </cell>
          <cell r="M684" t="str">
            <v>EUR</v>
          </cell>
          <cell r="N684">
            <v>580.08000000000004</v>
          </cell>
          <cell r="O684">
            <v>145.02000000000001</v>
          </cell>
          <cell r="P684">
            <v>4</v>
          </cell>
          <cell r="Q684">
            <v>4</v>
          </cell>
          <cell r="R684">
            <v>0</v>
          </cell>
        </row>
        <row r="685">
          <cell r="A685" t="str">
            <v>3HKQYMTXB07W7KHGMB</v>
          </cell>
          <cell r="B685" t="str">
            <v>Q3-23</v>
          </cell>
          <cell r="C685" t="str">
            <v>Europe Operations OU</v>
          </cell>
          <cell r="D685">
            <v>2674345</v>
          </cell>
          <cell r="E685" t="str">
            <v>Amazon EU SARL, succursale Italiana</v>
          </cell>
          <cell r="F685" t="str">
            <v>3HKQYMTX</v>
          </cell>
          <cell r="G685" t="str">
            <v>B07W7KHGMB</v>
          </cell>
          <cell r="H685" t="str">
            <v>920-010537</v>
          </cell>
          <cell r="I685" t="str">
            <v>OE INVOICES</v>
          </cell>
          <cell r="J685">
            <v>44422133341</v>
          </cell>
          <cell r="K685">
            <v>44890</v>
          </cell>
          <cell r="L685">
            <v>1</v>
          </cell>
          <cell r="M685" t="str">
            <v>EUR</v>
          </cell>
          <cell r="N685">
            <v>544.48</v>
          </cell>
          <cell r="O685">
            <v>68.06</v>
          </cell>
          <cell r="P685">
            <v>8</v>
          </cell>
          <cell r="Q685">
            <v>8</v>
          </cell>
          <cell r="R685">
            <v>0</v>
          </cell>
        </row>
        <row r="686">
          <cell r="A686" t="str">
            <v>3I9WF8IGB07VTSZ63W</v>
          </cell>
          <cell r="B686" t="str">
            <v>Q3-23</v>
          </cell>
          <cell r="C686" t="str">
            <v>Europe Operations OU</v>
          </cell>
          <cell r="D686">
            <v>2674345</v>
          </cell>
          <cell r="E686" t="str">
            <v>Amazon EU SARL, succursale Italiana</v>
          </cell>
          <cell r="F686" t="str">
            <v>3I9WF8IG</v>
          </cell>
          <cell r="G686" t="str">
            <v>B07VTSZ63W</v>
          </cell>
          <cell r="H686" t="str">
            <v>920-008985</v>
          </cell>
          <cell r="I686" t="str">
            <v>OE INVOICES</v>
          </cell>
          <cell r="J686">
            <v>44422140941</v>
          </cell>
          <cell r="K686">
            <v>44895</v>
          </cell>
          <cell r="L686">
            <v>1</v>
          </cell>
          <cell r="M686" t="str">
            <v>EUR</v>
          </cell>
          <cell r="N686">
            <v>441.08</v>
          </cell>
          <cell r="O686">
            <v>110.27</v>
          </cell>
          <cell r="P686">
            <v>4</v>
          </cell>
          <cell r="Q686">
            <v>4</v>
          </cell>
          <cell r="R686">
            <v>0</v>
          </cell>
        </row>
        <row r="687">
          <cell r="A687" t="str">
            <v>3I9WF8IGB07W5JJP7D</v>
          </cell>
          <cell r="B687" t="str">
            <v>Q3-23</v>
          </cell>
          <cell r="C687" t="str">
            <v>Europe Operations OU</v>
          </cell>
          <cell r="D687">
            <v>2674345</v>
          </cell>
          <cell r="E687" t="str">
            <v>Amazon EU SARL, succursale Italiana</v>
          </cell>
          <cell r="F687" t="str">
            <v>3I9WF8IG</v>
          </cell>
          <cell r="G687" t="str">
            <v>B07W5JJP7D</v>
          </cell>
          <cell r="H687" t="str">
            <v>920-009343</v>
          </cell>
          <cell r="I687" t="str">
            <v>OE INVOICES</v>
          </cell>
          <cell r="J687">
            <v>44422140941</v>
          </cell>
          <cell r="K687">
            <v>44895</v>
          </cell>
          <cell r="L687">
            <v>2</v>
          </cell>
          <cell r="M687" t="str">
            <v>EUR</v>
          </cell>
          <cell r="N687">
            <v>544.48</v>
          </cell>
          <cell r="O687">
            <v>68.06</v>
          </cell>
          <cell r="P687">
            <v>8</v>
          </cell>
          <cell r="Q687">
            <v>8</v>
          </cell>
          <cell r="R687">
            <v>0</v>
          </cell>
        </row>
        <row r="688">
          <cell r="A688" t="str">
            <v>3IQS66UGB00YR92VMA</v>
          </cell>
          <cell r="B688" t="str">
            <v>Q4-23</v>
          </cell>
          <cell r="C688" t="str">
            <v>Europe Operations OU</v>
          </cell>
          <cell r="D688">
            <v>2674345</v>
          </cell>
          <cell r="E688" t="str">
            <v>Amazon EU SARL, succursale Italiana</v>
          </cell>
          <cell r="F688" t="str">
            <v>3IQS66UG</v>
          </cell>
          <cell r="G688" t="str">
            <v>B00YR92VMA</v>
          </cell>
          <cell r="H688" t="str">
            <v>980-001201</v>
          </cell>
          <cell r="I688" t="str">
            <v>OE INVOICES</v>
          </cell>
          <cell r="J688">
            <v>44422193029</v>
          </cell>
          <cell r="K688">
            <v>44936</v>
          </cell>
          <cell r="L688">
            <v>1</v>
          </cell>
          <cell r="M688" t="str">
            <v>EUR</v>
          </cell>
          <cell r="N688">
            <v>21176.2</v>
          </cell>
          <cell r="O688">
            <v>46.85</v>
          </cell>
          <cell r="P688">
            <v>452</v>
          </cell>
          <cell r="Q688">
            <v>452</v>
          </cell>
          <cell r="R688">
            <v>0</v>
          </cell>
        </row>
        <row r="689">
          <cell r="A689" t="str">
            <v>3IQS66UGB0105Y2T5Y</v>
          </cell>
          <cell r="B689" t="str">
            <v>Q3-23</v>
          </cell>
          <cell r="C689" t="str">
            <v>Europe Operations OU</v>
          </cell>
          <cell r="D689">
            <v>2674345</v>
          </cell>
          <cell r="E689" t="str">
            <v>Amazon EU SARL, succursale Italiana</v>
          </cell>
          <cell r="F689" t="str">
            <v>3IQS66UG</v>
          </cell>
          <cell r="G689" t="str">
            <v>B0105Y2T5Y</v>
          </cell>
          <cell r="H689" t="str">
            <v>980-001055</v>
          </cell>
          <cell r="I689" t="str">
            <v>OE INVOICES</v>
          </cell>
          <cell r="J689">
            <v>44422176555</v>
          </cell>
          <cell r="K689">
            <v>44922</v>
          </cell>
          <cell r="L689">
            <v>1</v>
          </cell>
          <cell r="M689" t="str">
            <v>EUR</v>
          </cell>
          <cell r="N689">
            <v>24423</v>
          </cell>
          <cell r="O689">
            <v>81.41</v>
          </cell>
          <cell r="P689">
            <v>300</v>
          </cell>
          <cell r="Q689">
            <v>300</v>
          </cell>
          <cell r="R689">
            <v>0</v>
          </cell>
        </row>
        <row r="690">
          <cell r="A690" t="str">
            <v>3IQS66UGB014PYGYRE</v>
          </cell>
          <cell r="B690" t="str">
            <v>Q3-23</v>
          </cell>
          <cell r="C690" t="str">
            <v>Europe Operations OU</v>
          </cell>
          <cell r="D690">
            <v>2674345</v>
          </cell>
          <cell r="E690" t="str">
            <v>Amazon EU SARL, succursale Italiana</v>
          </cell>
          <cell r="F690" t="str">
            <v>3IQS66UG</v>
          </cell>
          <cell r="G690" t="str">
            <v>B014PYGYRE</v>
          </cell>
          <cell r="H690" t="str">
            <v>988-000241</v>
          </cell>
          <cell r="I690" t="str">
            <v>OE INVOICES</v>
          </cell>
          <cell r="J690">
            <v>44422176555</v>
          </cell>
          <cell r="K690">
            <v>44922</v>
          </cell>
          <cell r="L690">
            <v>2</v>
          </cell>
          <cell r="M690" t="str">
            <v>EUR</v>
          </cell>
          <cell r="N690">
            <v>13168.88</v>
          </cell>
          <cell r="O690">
            <v>96.83</v>
          </cell>
          <cell r="P690">
            <v>136</v>
          </cell>
          <cell r="Q690">
            <v>136</v>
          </cell>
          <cell r="R690">
            <v>0</v>
          </cell>
        </row>
        <row r="691">
          <cell r="A691" t="str">
            <v>3IQS66UGB01KZVQB42</v>
          </cell>
          <cell r="B691" t="str">
            <v>Q3-23</v>
          </cell>
          <cell r="C691" t="str">
            <v>Europe Operations OU</v>
          </cell>
          <cell r="D691">
            <v>2674345</v>
          </cell>
          <cell r="E691" t="str">
            <v>Amazon EU SARL, succursale Italiana</v>
          </cell>
          <cell r="F691" t="str">
            <v>3IQS66UG</v>
          </cell>
          <cell r="G691" t="str">
            <v>B01KZVQB42</v>
          </cell>
          <cell r="H691" t="str">
            <v>910-004791</v>
          </cell>
          <cell r="I691" t="str">
            <v>OE INVOICES</v>
          </cell>
          <cell r="J691">
            <v>44422176555</v>
          </cell>
          <cell r="K691">
            <v>44922</v>
          </cell>
          <cell r="L691">
            <v>3</v>
          </cell>
          <cell r="M691" t="str">
            <v>EUR</v>
          </cell>
          <cell r="N691">
            <v>6588</v>
          </cell>
          <cell r="O691">
            <v>43.92</v>
          </cell>
          <cell r="P691">
            <v>150</v>
          </cell>
          <cell r="Q691">
            <v>150</v>
          </cell>
          <cell r="R691">
            <v>0</v>
          </cell>
        </row>
        <row r="692">
          <cell r="A692" t="str">
            <v>3IQS66UGB07L8QV1XC</v>
          </cell>
          <cell r="B692" t="str">
            <v>Q3-23</v>
          </cell>
          <cell r="C692" t="str">
            <v>Europe Operations OU</v>
          </cell>
          <cell r="D692">
            <v>2674345</v>
          </cell>
          <cell r="E692" t="str">
            <v>Amazon EU SARL, succursale Italiana</v>
          </cell>
          <cell r="F692" t="str">
            <v>3IQS66UG</v>
          </cell>
          <cell r="G692" t="str">
            <v>B07L8QV1XC</v>
          </cell>
          <cell r="H692" t="str">
            <v>914-000046</v>
          </cell>
          <cell r="I692" t="str">
            <v>OE INVOICES</v>
          </cell>
          <cell r="J692">
            <v>44422176555</v>
          </cell>
          <cell r="K692">
            <v>44922</v>
          </cell>
          <cell r="L692">
            <v>4</v>
          </cell>
          <cell r="M692" t="str">
            <v>EUR</v>
          </cell>
          <cell r="N692">
            <v>8572</v>
          </cell>
          <cell r="O692">
            <v>42.86</v>
          </cell>
          <cell r="P692">
            <v>200</v>
          </cell>
          <cell r="Q692">
            <v>200</v>
          </cell>
          <cell r="R692">
            <v>0</v>
          </cell>
        </row>
        <row r="693">
          <cell r="A693" t="str">
            <v>3IQS66UGB07MTXLFXV</v>
          </cell>
          <cell r="B693" t="str">
            <v>Q3-23</v>
          </cell>
          <cell r="C693" t="str">
            <v>Europe Operations OU</v>
          </cell>
          <cell r="D693">
            <v>2674345</v>
          </cell>
          <cell r="E693" t="str">
            <v>Amazon EU SARL, succursale Italiana</v>
          </cell>
          <cell r="F693" t="str">
            <v>3IQS66UG</v>
          </cell>
          <cell r="G693" t="str">
            <v>B07MTXLFXV</v>
          </cell>
          <cell r="H693" t="str">
            <v>981-000770</v>
          </cell>
          <cell r="I693" t="str">
            <v>OE INVOICES</v>
          </cell>
          <cell r="J693">
            <v>44422176555</v>
          </cell>
          <cell r="K693">
            <v>44922</v>
          </cell>
          <cell r="L693">
            <v>5</v>
          </cell>
          <cell r="M693" t="str">
            <v>EUR</v>
          </cell>
          <cell r="N693">
            <v>14244</v>
          </cell>
          <cell r="O693">
            <v>47.48</v>
          </cell>
          <cell r="P693">
            <v>300</v>
          </cell>
          <cell r="Q693">
            <v>300</v>
          </cell>
          <cell r="R693">
            <v>0</v>
          </cell>
        </row>
        <row r="694">
          <cell r="A694" t="str">
            <v>3IQS66UGB07W4DHNBL</v>
          </cell>
          <cell r="B694" t="str">
            <v>Q3-23</v>
          </cell>
          <cell r="C694" t="str">
            <v>Europe Operations OU</v>
          </cell>
          <cell r="D694">
            <v>2674345</v>
          </cell>
          <cell r="E694" t="str">
            <v>Amazon EU SARL, succursale Italiana</v>
          </cell>
          <cell r="F694" t="str">
            <v>3IQS66UG</v>
          </cell>
          <cell r="G694" t="str">
            <v>B07W4DHNBL</v>
          </cell>
          <cell r="H694" t="str">
            <v>920-009587</v>
          </cell>
          <cell r="I694" t="str">
            <v>OE INVOICES</v>
          </cell>
          <cell r="J694">
            <v>44422176555</v>
          </cell>
          <cell r="K694">
            <v>44922</v>
          </cell>
          <cell r="L694">
            <v>6</v>
          </cell>
          <cell r="M694" t="str">
            <v>EUR</v>
          </cell>
          <cell r="N694">
            <v>8503.44</v>
          </cell>
          <cell r="O694">
            <v>32.21</v>
          </cell>
          <cell r="P694">
            <v>264</v>
          </cell>
          <cell r="Q694">
            <v>264</v>
          </cell>
          <cell r="R694">
            <v>0</v>
          </cell>
        </row>
        <row r="695">
          <cell r="A695" t="str">
            <v>3IQS66UGB07W4DHQJ9</v>
          </cell>
          <cell r="B695" t="str">
            <v>Q3-23</v>
          </cell>
          <cell r="C695" t="str">
            <v>Europe Operations OU</v>
          </cell>
          <cell r="D695">
            <v>2674345</v>
          </cell>
          <cell r="E695" t="str">
            <v>Amazon EU SARL, succursale Italiana</v>
          </cell>
          <cell r="F695" t="str">
            <v>3IQS66UG</v>
          </cell>
          <cell r="G695" t="str">
            <v>B07W4DHQJ9</v>
          </cell>
          <cell r="H695" t="str">
            <v>910-005872</v>
          </cell>
          <cell r="I695" t="str">
            <v>OE INVOICES</v>
          </cell>
          <cell r="J695">
            <v>44422176555</v>
          </cell>
          <cell r="K695">
            <v>44922</v>
          </cell>
          <cell r="L695">
            <v>7</v>
          </cell>
          <cell r="M695" t="str">
            <v>EUR</v>
          </cell>
          <cell r="N695">
            <v>1595</v>
          </cell>
          <cell r="O695">
            <v>31.9</v>
          </cell>
          <cell r="P695">
            <v>50</v>
          </cell>
          <cell r="Q695">
            <v>50</v>
          </cell>
          <cell r="R695">
            <v>0</v>
          </cell>
        </row>
        <row r="696">
          <cell r="A696" t="str">
            <v>3IQS66UGB07W5JHX84</v>
          </cell>
          <cell r="B696" t="str">
            <v>Q3-23</v>
          </cell>
          <cell r="C696" t="str">
            <v>Europe Operations OU</v>
          </cell>
          <cell r="D696">
            <v>2674345</v>
          </cell>
          <cell r="E696" t="str">
            <v>Amazon EU SARL, succursale Italiana</v>
          </cell>
          <cell r="F696" t="str">
            <v>3IQS66UG</v>
          </cell>
          <cell r="G696" t="str">
            <v>B07W5JHX84</v>
          </cell>
          <cell r="H696" t="str">
            <v>910-006023</v>
          </cell>
          <cell r="I696" t="str">
            <v>OE INVOICES</v>
          </cell>
          <cell r="J696">
            <v>44422176555</v>
          </cell>
          <cell r="K696">
            <v>44922</v>
          </cell>
          <cell r="L696">
            <v>9</v>
          </cell>
          <cell r="M696" t="str">
            <v>EUR</v>
          </cell>
          <cell r="N696">
            <v>7533.72</v>
          </cell>
          <cell r="O696">
            <v>36.93</v>
          </cell>
          <cell r="P696">
            <v>204</v>
          </cell>
          <cell r="Q696">
            <v>204</v>
          </cell>
          <cell r="R696">
            <v>0</v>
          </cell>
        </row>
        <row r="697">
          <cell r="A697" t="str">
            <v>3IQS66UGB07W5JJ85Z</v>
          </cell>
          <cell r="B697" t="str">
            <v>Q3-23</v>
          </cell>
          <cell r="C697" t="str">
            <v>Europe Operations OU</v>
          </cell>
          <cell r="D697">
            <v>2674345</v>
          </cell>
          <cell r="E697" t="str">
            <v>Amazon EU SARL, succursale Italiana</v>
          </cell>
          <cell r="F697" t="str">
            <v>3IQS66UG</v>
          </cell>
          <cell r="G697" t="str">
            <v>B07W5JJ85Z</v>
          </cell>
          <cell r="H697" t="str">
            <v>910-006238</v>
          </cell>
          <cell r="I697" t="str">
            <v>OE INVOICES</v>
          </cell>
          <cell r="J697">
            <v>44422176555</v>
          </cell>
          <cell r="K697">
            <v>44922</v>
          </cell>
          <cell r="L697">
            <v>10</v>
          </cell>
          <cell r="M697" t="str">
            <v>EUR</v>
          </cell>
          <cell r="N697">
            <v>5270.4</v>
          </cell>
          <cell r="O697">
            <v>29.28</v>
          </cell>
          <cell r="P697">
            <v>180</v>
          </cell>
          <cell r="Q697">
            <v>180</v>
          </cell>
          <cell r="R697">
            <v>0</v>
          </cell>
        </row>
        <row r="698">
          <cell r="A698" t="str">
            <v>3IQS66UGB07W5JKKHL</v>
          </cell>
          <cell r="B698" t="str">
            <v>Q3-23</v>
          </cell>
          <cell r="C698" t="str">
            <v>Europe Operations OU</v>
          </cell>
          <cell r="D698">
            <v>2674345</v>
          </cell>
          <cell r="E698" t="str">
            <v>Amazon EU SARL, succursale Italiana</v>
          </cell>
          <cell r="F698" t="str">
            <v>3IQS66UG</v>
          </cell>
          <cell r="G698" t="str">
            <v>B07W5JKKHL</v>
          </cell>
          <cell r="H698" t="str">
            <v>920-009583</v>
          </cell>
          <cell r="I698" t="str">
            <v>OE INVOICES</v>
          </cell>
          <cell r="J698">
            <v>44422176555</v>
          </cell>
          <cell r="K698">
            <v>44922</v>
          </cell>
          <cell r="L698">
            <v>11</v>
          </cell>
          <cell r="M698" t="str">
            <v>EUR</v>
          </cell>
          <cell r="N698">
            <v>11337.92</v>
          </cell>
          <cell r="O698">
            <v>32.21</v>
          </cell>
          <cell r="P698">
            <v>352</v>
          </cell>
          <cell r="Q698">
            <v>352</v>
          </cell>
          <cell r="R698">
            <v>0</v>
          </cell>
        </row>
        <row r="699">
          <cell r="A699" t="str">
            <v>3IQS66UGB07W6GY66B</v>
          </cell>
          <cell r="B699" t="str">
            <v>Q3-23</v>
          </cell>
          <cell r="C699" t="str">
            <v>Europe Operations OU</v>
          </cell>
          <cell r="D699">
            <v>2674345</v>
          </cell>
          <cell r="E699" t="str">
            <v>Amazon EU SARL, succursale Italiana</v>
          </cell>
          <cell r="F699" t="str">
            <v>3IQS66UG</v>
          </cell>
          <cell r="G699" t="str">
            <v>B07W6GY66B</v>
          </cell>
          <cell r="H699" t="str">
            <v>910-006547</v>
          </cell>
          <cell r="I699" t="str">
            <v>OE INVOICES</v>
          </cell>
          <cell r="J699">
            <v>44422176555</v>
          </cell>
          <cell r="K699">
            <v>44922</v>
          </cell>
          <cell r="L699">
            <v>8</v>
          </cell>
          <cell r="M699" t="str">
            <v>EUR</v>
          </cell>
          <cell r="N699">
            <v>3044.6</v>
          </cell>
          <cell r="O699">
            <v>23.42</v>
          </cell>
          <cell r="P699">
            <v>130</v>
          </cell>
          <cell r="Q699">
            <v>130</v>
          </cell>
          <cell r="R699">
            <v>0</v>
          </cell>
        </row>
        <row r="700">
          <cell r="A700" t="str">
            <v>3IQS66UGB07W6GY66B</v>
          </cell>
          <cell r="B700" t="str">
            <v>Q3-23</v>
          </cell>
          <cell r="C700" t="str">
            <v>Europe Operations OU</v>
          </cell>
          <cell r="D700">
            <v>2674345</v>
          </cell>
          <cell r="E700" t="str">
            <v>Amazon EU SARL, succursale Italiana</v>
          </cell>
          <cell r="F700" t="str">
            <v>3IQS66UG</v>
          </cell>
          <cell r="G700" t="str">
            <v>B07W6GY66B</v>
          </cell>
          <cell r="H700" t="str">
            <v>910-006547</v>
          </cell>
          <cell r="I700" t="str">
            <v>OE INVOICES</v>
          </cell>
          <cell r="J700">
            <v>44422176555</v>
          </cell>
          <cell r="K700">
            <v>44922</v>
          </cell>
          <cell r="L700">
            <v>12</v>
          </cell>
          <cell r="M700" t="str">
            <v>EUR</v>
          </cell>
          <cell r="N700">
            <v>3044.6</v>
          </cell>
          <cell r="O700">
            <v>23.42</v>
          </cell>
          <cell r="P700">
            <v>130</v>
          </cell>
          <cell r="Q700">
            <v>130</v>
          </cell>
          <cell r="R700">
            <v>0</v>
          </cell>
        </row>
        <row r="701">
          <cell r="A701" t="str">
            <v>3IQS66UGB07W6JN5BG</v>
          </cell>
          <cell r="B701" t="str">
            <v>Q4-23</v>
          </cell>
          <cell r="C701" t="str">
            <v>Europe Operations OU</v>
          </cell>
          <cell r="D701">
            <v>2674345</v>
          </cell>
          <cell r="E701" t="str">
            <v>Amazon EU SARL, succursale Italiana</v>
          </cell>
          <cell r="F701" t="str">
            <v>3IQS66UG</v>
          </cell>
          <cell r="G701" t="str">
            <v>B07W6JN5BG</v>
          </cell>
          <cell r="H701" t="str">
            <v>920-010480</v>
          </cell>
          <cell r="I701" t="str">
            <v>OE INVOICES</v>
          </cell>
          <cell r="J701">
            <v>44422193029</v>
          </cell>
          <cell r="K701">
            <v>44936</v>
          </cell>
          <cell r="L701">
            <v>2</v>
          </cell>
          <cell r="M701" t="str">
            <v>EUR</v>
          </cell>
          <cell r="N701">
            <v>10492.56</v>
          </cell>
          <cell r="O701">
            <v>69.03</v>
          </cell>
          <cell r="P701">
            <v>152</v>
          </cell>
          <cell r="Q701">
            <v>152</v>
          </cell>
          <cell r="R701">
            <v>0</v>
          </cell>
        </row>
        <row r="702">
          <cell r="A702" t="str">
            <v>3IQS66UGB07W6JQ52X</v>
          </cell>
          <cell r="B702" t="str">
            <v>Q3-23</v>
          </cell>
          <cell r="C702" t="str">
            <v>Europe Operations OU</v>
          </cell>
          <cell r="D702">
            <v>2674345</v>
          </cell>
          <cell r="E702" t="str">
            <v>Amazon EU SARL, succursale Italiana</v>
          </cell>
          <cell r="F702" t="str">
            <v>3IQS66UG</v>
          </cell>
          <cell r="G702" t="str">
            <v>B07W6JQ52X</v>
          </cell>
          <cell r="H702" t="str">
            <v>920-009710</v>
          </cell>
          <cell r="I702" t="str">
            <v>OE INVOICES</v>
          </cell>
          <cell r="J702">
            <v>44422176555</v>
          </cell>
          <cell r="K702">
            <v>44922</v>
          </cell>
          <cell r="L702">
            <v>13</v>
          </cell>
          <cell r="M702" t="str">
            <v>EUR</v>
          </cell>
          <cell r="N702">
            <v>8443.68</v>
          </cell>
          <cell r="O702">
            <v>75.39</v>
          </cell>
          <cell r="P702">
            <v>112</v>
          </cell>
          <cell r="Q702">
            <v>112</v>
          </cell>
          <cell r="R702">
            <v>0</v>
          </cell>
        </row>
        <row r="703">
          <cell r="A703" t="str">
            <v>3J421ZZBB07W7LTQ4B</v>
          </cell>
          <cell r="B703" t="str">
            <v>Q3-23</v>
          </cell>
          <cell r="C703" t="str">
            <v>Europe Operations OU</v>
          </cell>
          <cell r="D703">
            <v>2674345</v>
          </cell>
          <cell r="E703" t="str">
            <v>Amazon EU SARL, succursale Italiana</v>
          </cell>
          <cell r="F703" t="str">
            <v>3J421ZZB</v>
          </cell>
          <cell r="G703" t="str">
            <v>B07W7LTQ4B</v>
          </cell>
          <cell r="H703" t="str">
            <v>956-000049</v>
          </cell>
          <cell r="I703" t="str">
            <v>OE INVOICES</v>
          </cell>
          <cell r="J703">
            <v>44422144965</v>
          </cell>
          <cell r="K703">
            <v>44897</v>
          </cell>
          <cell r="L703">
            <v>1</v>
          </cell>
          <cell r="M703" t="str">
            <v>EUR</v>
          </cell>
          <cell r="N703">
            <v>263</v>
          </cell>
          <cell r="O703">
            <v>5.26</v>
          </cell>
          <cell r="P703">
            <v>50</v>
          </cell>
          <cell r="Q703">
            <v>50</v>
          </cell>
          <cell r="R703">
            <v>0</v>
          </cell>
        </row>
        <row r="704">
          <cell r="A704" t="str">
            <v>3KXAV5DWB07W7MQMDH</v>
          </cell>
          <cell r="B704" t="str">
            <v>Q3-23</v>
          </cell>
          <cell r="C704" t="str">
            <v>Europe Operations OU</v>
          </cell>
          <cell r="D704">
            <v>2674345</v>
          </cell>
          <cell r="E704" t="str">
            <v>Amazon EU SARL, succursale Italiana</v>
          </cell>
          <cell r="F704" t="str">
            <v>3KXAV5DW</v>
          </cell>
          <cell r="G704" t="str">
            <v>B07W7MQMDH</v>
          </cell>
          <cell r="H704" t="str">
            <v>920-010805</v>
          </cell>
          <cell r="I704" t="str">
            <v>OE INVOICES</v>
          </cell>
          <cell r="J704">
            <v>44422170038</v>
          </cell>
          <cell r="K704">
            <v>44915</v>
          </cell>
          <cell r="L704">
            <v>1</v>
          </cell>
          <cell r="M704" t="str">
            <v>EUR</v>
          </cell>
          <cell r="N704">
            <v>189.92</v>
          </cell>
          <cell r="O704">
            <v>47.48</v>
          </cell>
          <cell r="P704">
            <v>4</v>
          </cell>
          <cell r="Q704">
            <v>4</v>
          </cell>
          <cell r="R704">
            <v>0</v>
          </cell>
        </row>
        <row r="705">
          <cell r="A705" t="str">
            <v>3KYCEHVHB005BFCNYU</v>
          </cell>
          <cell r="B705" t="str">
            <v>Q3-23</v>
          </cell>
          <cell r="C705" t="str">
            <v>Europe Operations OU</v>
          </cell>
          <cell r="D705">
            <v>2674345</v>
          </cell>
          <cell r="E705" t="str">
            <v>Amazon EU SARL, succursale Italiana</v>
          </cell>
          <cell r="F705" t="str">
            <v>3KYCEHVH</v>
          </cell>
          <cell r="G705" t="str">
            <v>B005BFCNYU</v>
          </cell>
          <cell r="H705" t="str">
            <v>981-000406</v>
          </cell>
          <cell r="I705" t="str">
            <v>OE INVOICES</v>
          </cell>
          <cell r="J705">
            <v>44422157203</v>
          </cell>
          <cell r="K705">
            <v>44904</v>
          </cell>
          <cell r="L705">
            <v>1</v>
          </cell>
          <cell r="M705" t="str">
            <v>EUR</v>
          </cell>
          <cell r="N705">
            <v>17333.759999999998</v>
          </cell>
          <cell r="O705">
            <v>29.28</v>
          </cell>
          <cell r="P705">
            <v>592</v>
          </cell>
          <cell r="Q705">
            <v>592</v>
          </cell>
          <cell r="R705">
            <v>0</v>
          </cell>
        </row>
        <row r="706">
          <cell r="A706" t="str">
            <v>3KYCEHVHB005DVR56I</v>
          </cell>
          <cell r="B706" t="str">
            <v>Q3-23</v>
          </cell>
          <cell r="C706" t="str">
            <v>Europe Operations OU</v>
          </cell>
          <cell r="D706">
            <v>2674345</v>
          </cell>
          <cell r="E706" t="str">
            <v>Amazon EU SARL, succursale Italiana</v>
          </cell>
          <cell r="F706" t="str">
            <v>3KYCEHVH</v>
          </cell>
          <cell r="G706" t="str">
            <v>B005DVR56I</v>
          </cell>
          <cell r="H706" t="str">
            <v>981-000350</v>
          </cell>
          <cell r="I706" t="str">
            <v>OE INVOICES</v>
          </cell>
          <cell r="J706">
            <v>44422158762</v>
          </cell>
          <cell r="K706">
            <v>44907</v>
          </cell>
          <cell r="L706">
            <v>1</v>
          </cell>
          <cell r="M706" t="str">
            <v>EUR</v>
          </cell>
          <cell r="N706">
            <v>327.8</v>
          </cell>
          <cell r="O706">
            <v>16.39</v>
          </cell>
          <cell r="P706">
            <v>20</v>
          </cell>
          <cell r="Q706">
            <v>20</v>
          </cell>
          <cell r="R706">
            <v>0</v>
          </cell>
        </row>
        <row r="707">
          <cell r="A707" t="str">
            <v>3KYCEHVHB006A2Q81M</v>
          </cell>
          <cell r="B707" t="str">
            <v>Q3-23</v>
          </cell>
          <cell r="C707" t="str">
            <v>Europe Operations OU</v>
          </cell>
          <cell r="D707">
            <v>2674345</v>
          </cell>
          <cell r="E707" t="str">
            <v>Amazon EU SARL, succursale Italiana</v>
          </cell>
          <cell r="F707" t="str">
            <v>3KYCEHVH</v>
          </cell>
          <cell r="G707" t="str">
            <v>B006A2Q81M</v>
          </cell>
          <cell r="H707" t="str">
            <v>960-001055</v>
          </cell>
          <cell r="I707" t="str">
            <v>OE INVOICES</v>
          </cell>
          <cell r="J707">
            <v>44422158771</v>
          </cell>
          <cell r="K707">
            <v>44907</v>
          </cell>
          <cell r="L707">
            <v>1</v>
          </cell>
          <cell r="M707" t="str">
            <v>EUR</v>
          </cell>
          <cell r="N707">
            <v>505.84</v>
          </cell>
          <cell r="O707">
            <v>63.23</v>
          </cell>
          <cell r="P707">
            <v>8</v>
          </cell>
          <cell r="Q707">
            <v>8</v>
          </cell>
          <cell r="R707">
            <v>0</v>
          </cell>
        </row>
        <row r="708">
          <cell r="A708" t="str">
            <v>3KYCEHVHB00CJ5FP04</v>
          </cell>
          <cell r="B708" t="str">
            <v>Q3-23</v>
          </cell>
          <cell r="C708" t="str">
            <v>Europe Operations OU</v>
          </cell>
          <cell r="D708">
            <v>2674345</v>
          </cell>
          <cell r="E708" t="str">
            <v>Amazon EU SARL, succursale Italiana</v>
          </cell>
          <cell r="F708" t="str">
            <v>3KYCEHVH</v>
          </cell>
          <cell r="G708" t="str">
            <v>B00CJ5FP04</v>
          </cell>
          <cell r="H708" t="str">
            <v>940-000135</v>
          </cell>
          <cell r="I708" t="str">
            <v>OE INVOICES</v>
          </cell>
          <cell r="J708">
            <v>44422158771</v>
          </cell>
          <cell r="K708">
            <v>44907</v>
          </cell>
          <cell r="L708">
            <v>2</v>
          </cell>
          <cell r="M708" t="str">
            <v>EUR</v>
          </cell>
          <cell r="N708">
            <v>928.4</v>
          </cell>
          <cell r="O708">
            <v>21.1</v>
          </cell>
          <cell r="P708">
            <v>44</v>
          </cell>
          <cell r="Q708">
            <v>44</v>
          </cell>
          <cell r="R708">
            <v>0</v>
          </cell>
        </row>
        <row r="709">
          <cell r="A709" t="str">
            <v>3KYCEHVHB00ZOOKDU4</v>
          </cell>
          <cell r="B709" t="str">
            <v>Q3-23</v>
          </cell>
          <cell r="C709" t="str">
            <v>Europe Operations OU</v>
          </cell>
          <cell r="D709">
            <v>2674345</v>
          </cell>
          <cell r="E709" t="str">
            <v>Amazon EU SARL, succursale Italiana</v>
          </cell>
          <cell r="F709" t="str">
            <v>3KYCEHVH</v>
          </cell>
          <cell r="G709" t="str">
            <v>B00ZOOKDU4</v>
          </cell>
          <cell r="H709" t="str">
            <v>981-000589</v>
          </cell>
          <cell r="I709" t="str">
            <v>OE INVOICES</v>
          </cell>
          <cell r="J709">
            <v>44422157203</v>
          </cell>
          <cell r="K709">
            <v>44904</v>
          </cell>
          <cell r="L709">
            <v>2</v>
          </cell>
          <cell r="M709" t="str">
            <v>EUR</v>
          </cell>
          <cell r="N709">
            <v>1311.2</v>
          </cell>
          <cell r="O709">
            <v>16.39</v>
          </cell>
          <cell r="P709">
            <v>80</v>
          </cell>
          <cell r="Q709">
            <v>80</v>
          </cell>
          <cell r="R709">
            <v>0</v>
          </cell>
        </row>
        <row r="710">
          <cell r="A710" t="str">
            <v>3KYCEHVHB00ZOZZM4U</v>
          </cell>
          <cell r="B710" t="str">
            <v>Q3-23</v>
          </cell>
          <cell r="C710" t="str">
            <v>Europe Operations OU</v>
          </cell>
          <cell r="D710">
            <v>2674345</v>
          </cell>
          <cell r="E710" t="str">
            <v>Amazon EU SARL, succursale Italiana</v>
          </cell>
          <cell r="F710" t="str">
            <v>3KYCEHVH</v>
          </cell>
          <cell r="G710" t="str">
            <v>B00ZOZZM4U</v>
          </cell>
          <cell r="H710" t="str">
            <v>981-000593</v>
          </cell>
          <cell r="I710" t="str">
            <v>OE INVOICES</v>
          </cell>
          <cell r="J710">
            <v>44422158762</v>
          </cell>
          <cell r="K710">
            <v>44907</v>
          </cell>
          <cell r="L710">
            <v>2</v>
          </cell>
          <cell r="M710" t="str">
            <v>EUR</v>
          </cell>
          <cell r="N710">
            <v>1442.56</v>
          </cell>
          <cell r="O710">
            <v>12.88</v>
          </cell>
          <cell r="P710">
            <v>112</v>
          </cell>
          <cell r="Q710">
            <v>112</v>
          </cell>
          <cell r="R710">
            <v>0</v>
          </cell>
        </row>
        <row r="711">
          <cell r="A711" t="str">
            <v>3KYCEHVHB00ZWOUH4S</v>
          </cell>
          <cell r="B711" t="str">
            <v>Q3-23</v>
          </cell>
          <cell r="C711" t="str">
            <v>Europe Operations OU</v>
          </cell>
          <cell r="D711">
            <v>2674345</v>
          </cell>
          <cell r="E711" t="str">
            <v>Amazon EU SARL, succursale Italiana</v>
          </cell>
          <cell r="F711" t="str">
            <v>3KYCEHVH</v>
          </cell>
          <cell r="G711" t="str">
            <v>B00ZWOUH4S</v>
          </cell>
          <cell r="H711" t="str">
            <v>941-000130</v>
          </cell>
          <cell r="I711" t="str">
            <v>OE INVOICES</v>
          </cell>
          <cell r="J711">
            <v>44422157203</v>
          </cell>
          <cell r="K711">
            <v>44904</v>
          </cell>
          <cell r="L711">
            <v>3</v>
          </cell>
          <cell r="M711" t="str">
            <v>EUR</v>
          </cell>
          <cell r="N711">
            <v>105064.56</v>
          </cell>
          <cell r="O711">
            <v>34.29</v>
          </cell>
          <cell r="P711">
            <v>3064</v>
          </cell>
          <cell r="Q711">
            <v>3064</v>
          </cell>
          <cell r="R711">
            <v>0</v>
          </cell>
        </row>
        <row r="712">
          <cell r="A712" t="str">
            <v>3KYCEHVHB01G3WBH9G</v>
          </cell>
          <cell r="B712" t="str">
            <v>Q3-23</v>
          </cell>
          <cell r="C712" t="str">
            <v>Europe Operations OU</v>
          </cell>
          <cell r="D712">
            <v>2674345</v>
          </cell>
          <cell r="E712" t="str">
            <v>Amazon EU SARL, succursale Italiana</v>
          </cell>
          <cell r="F712" t="str">
            <v>3KYCEHVH</v>
          </cell>
          <cell r="G712" t="str">
            <v>B01G3WBH9G</v>
          </cell>
          <cell r="H712" t="str">
            <v>939-001545</v>
          </cell>
          <cell r="I712" t="str">
            <v>OE INVOICES</v>
          </cell>
          <cell r="J712">
            <v>44422158762</v>
          </cell>
          <cell r="K712">
            <v>44907</v>
          </cell>
          <cell r="L712">
            <v>3</v>
          </cell>
          <cell r="M712" t="str">
            <v>EUR</v>
          </cell>
          <cell r="N712">
            <v>359.6</v>
          </cell>
          <cell r="O712">
            <v>44.95</v>
          </cell>
          <cell r="P712">
            <v>8</v>
          </cell>
          <cell r="Q712">
            <v>8</v>
          </cell>
          <cell r="R712">
            <v>0</v>
          </cell>
        </row>
        <row r="713">
          <cell r="A713" t="str">
            <v>3KYCEHVHB01K7GEAFC</v>
          </cell>
          <cell r="B713" t="str">
            <v>Q3-23</v>
          </cell>
          <cell r="C713" t="str">
            <v>Europe Operations OU</v>
          </cell>
          <cell r="D713">
            <v>2674345</v>
          </cell>
          <cell r="E713" t="str">
            <v>Amazon EU SARL, succursale Italiana</v>
          </cell>
          <cell r="F713" t="str">
            <v>3KYCEHVH</v>
          </cell>
          <cell r="G713" t="str">
            <v>B01K7GEAFC</v>
          </cell>
          <cell r="H713" t="str">
            <v>910-004909</v>
          </cell>
          <cell r="I713" t="str">
            <v>OE INVOICES</v>
          </cell>
          <cell r="J713">
            <v>44422158771</v>
          </cell>
          <cell r="K713">
            <v>44907</v>
          </cell>
          <cell r="L713">
            <v>3</v>
          </cell>
          <cell r="M713" t="str">
            <v>EUR</v>
          </cell>
          <cell r="N713">
            <v>50065</v>
          </cell>
          <cell r="O713">
            <v>26.35</v>
          </cell>
          <cell r="P713">
            <v>1900</v>
          </cell>
          <cell r="Q713">
            <v>1900</v>
          </cell>
          <cell r="R713">
            <v>0</v>
          </cell>
        </row>
        <row r="714">
          <cell r="A714" t="str">
            <v>3KYCEHVHB01M3TTXMY</v>
          </cell>
          <cell r="B714" t="str">
            <v>Q3-23</v>
          </cell>
          <cell r="C714" t="str">
            <v>Europe Operations OU</v>
          </cell>
          <cell r="D714">
            <v>2674345</v>
          </cell>
          <cell r="E714" t="str">
            <v>Amazon EU SARL, succursale Italiana</v>
          </cell>
          <cell r="F714" t="str">
            <v>3KYCEHVH</v>
          </cell>
          <cell r="G714" t="str">
            <v>B01M3TTXMY</v>
          </cell>
          <cell r="H714" t="str">
            <v>945-000008</v>
          </cell>
          <cell r="I714" t="str">
            <v>OE INVOICES</v>
          </cell>
          <cell r="J714">
            <v>44422158762</v>
          </cell>
          <cell r="K714">
            <v>44907</v>
          </cell>
          <cell r="L714">
            <v>4</v>
          </cell>
          <cell r="M714" t="str">
            <v>EUR</v>
          </cell>
          <cell r="N714">
            <v>4026.72</v>
          </cell>
          <cell r="O714">
            <v>83.89</v>
          </cell>
          <cell r="P714">
            <v>48</v>
          </cell>
          <cell r="Q714">
            <v>48</v>
          </cell>
          <cell r="R714">
            <v>0</v>
          </cell>
        </row>
        <row r="715">
          <cell r="A715" t="str">
            <v>3KYCEHVHB01M8M8G23</v>
          </cell>
          <cell r="B715" t="str">
            <v>Q3-23</v>
          </cell>
          <cell r="C715" t="str">
            <v>Europe Operations OU</v>
          </cell>
          <cell r="D715">
            <v>2674345</v>
          </cell>
          <cell r="E715" t="str">
            <v>Amazon EU SARL, succursale Italiana</v>
          </cell>
          <cell r="F715" t="str">
            <v>3KYCEHVH</v>
          </cell>
          <cell r="G715" t="str">
            <v>B01M8M8G23</v>
          </cell>
          <cell r="H715" t="str">
            <v>945-000014</v>
          </cell>
          <cell r="I715" t="str">
            <v>OE INVOICES</v>
          </cell>
          <cell r="J715">
            <v>44422158771</v>
          </cell>
          <cell r="K715">
            <v>44907</v>
          </cell>
          <cell r="L715">
            <v>4</v>
          </cell>
          <cell r="M715" t="str">
            <v>EUR</v>
          </cell>
          <cell r="N715">
            <v>12415.72</v>
          </cell>
          <cell r="O715">
            <v>83.89</v>
          </cell>
          <cell r="P715">
            <v>148</v>
          </cell>
          <cell r="Q715">
            <v>148</v>
          </cell>
          <cell r="R715">
            <v>0</v>
          </cell>
        </row>
        <row r="716">
          <cell r="A716" t="str">
            <v>3KYCEHVHB01MFBNN9J</v>
          </cell>
          <cell r="B716" t="str">
            <v>Q3-23</v>
          </cell>
          <cell r="C716" t="str">
            <v>Europe Operations OU</v>
          </cell>
          <cell r="D716">
            <v>2674345</v>
          </cell>
          <cell r="E716" t="str">
            <v>Amazon EU SARL, succursale Italiana</v>
          </cell>
          <cell r="F716" t="str">
            <v>3KYCEHVH</v>
          </cell>
          <cell r="G716" t="str">
            <v>B01MFBNN9J</v>
          </cell>
          <cell r="H716" t="str">
            <v>945-000009</v>
          </cell>
          <cell r="I716" t="str">
            <v>OE INVOICES</v>
          </cell>
          <cell r="J716">
            <v>44422158762</v>
          </cell>
          <cell r="K716">
            <v>44907</v>
          </cell>
          <cell r="L716">
            <v>5</v>
          </cell>
          <cell r="M716" t="str">
            <v>EUR</v>
          </cell>
          <cell r="N716">
            <v>230.04</v>
          </cell>
          <cell r="O716">
            <v>57.51</v>
          </cell>
          <cell r="P716">
            <v>4</v>
          </cell>
          <cell r="Q716">
            <v>4</v>
          </cell>
          <cell r="R716">
            <v>0</v>
          </cell>
        </row>
        <row r="717">
          <cell r="A717" t="str">
            <v>3KYCEHVHB0711V7BV6</v>
          </cell>
          <cell r="B717" t="str">
            <v>Q3-23</v>
          </cell>
          <cell r="C717" t="str">
            <v>Europe Operations OU</v>
          </cell>
          <cell r="D717">
            <v>2674345</v>
          </cell>
          <cell r="E717" t="str">
            <v>Amazon EU SARL, succursale Italiana</v>
          </cell>
          <cell r="F717" t="str">
            <v>3KYCEHVH</v>
          </cell>
          <cell r="G717" t="str">
            <v>B0711V7BV6</v>
          </cell>
          <cell r="H717" t="str">
            <v>939-001531</v>
          </cell>
          <cell r="I717" t="str">
            <v>OE INVOICES</v>
          </cell>
          <cell r="J717">
            <v>44422158762</v>
          </cell>
          <cell r="K717">
            <v>44907</v>
          </cell>
          <cell r="L717">
            <v>6</v>
          </cell>
          <cell r="M717" t="str">
            <v>EUR</v>
          </cell>
          <cell r="N717">
            <v>1618.2</v>
          </cell>
          <cell r="O717">
            <v>44.95</v>
          </cell>
          <cell r="P717">
            <v>36</v>
          </cell>
          <cell r="Q717">
            <v>36</v>
          </cell>
          <cell r="R717">
            <v>0</v>
          </cell>
        </row>
        <row r="718">
          <cell r="A718" t="str">
            <v>3KYCEHVHB071ZFMC9Q</v>
          </cell>
          <cell r="B718" t="str">
            <v>Q3-23</v>
          </cell>
          <cell r="C718" t="str">
            <v>Europe Operations OU</v>
          </cell>
          <cell r="D718">
            <v>2674345</v>
          </cell>
          <cell r="E718" t="str">
            <v>Amazon EU SARL, succursale Italiana</v>
          </cell>
          <cell r="F718" t="str">
            <v>3KYCEHVH</v>
          </cell>
          <cell r="G718" t="str">
            <v>B071ZFMC9Q</v>
          </cell>
          <cell r="H718" t="str">
            <v>939-001498</v>
          </cell>
          <cell r="I718" t="str">
            <v>OE INVOICES</v>
          </cell>
          <cell r="J718">
            <v>44422158762</v>
          </cell>
          <cell r="K718">
            <v>44907</v>
          </cell>
          <cell r="L718">
            <v>7</v>
          </cell>
          <cell r="M718" t="str">
            <v>EUR</v>
          </cell>
          <cell r="N718">
            <v>799.92</v>
          </cell>
          <cell r="O718">
            <v>66.66</v>
          </cell>
          <cell r="P718">
            <v>12</v>
          </cell>
          <cell r="Q718">
            <v>12</v>
          </cell>
          <cell r="R718">
            <v>0</v>
          </cell>
        </row>
        <row r="719">
          <cell r="A719" t="str">
            <v>3KYCEHVHB074379C7Q</v>
          </cell>
          <cell r="B719" t="str">
            <v>Q3-23</v>
          </cell>
          <cell r="C719" t="str">
            <v>Europe Operations OU</v>
          </cell>
          <cell r="D719">
            <v>2674345</v>
          </cell>
          <cell r="E719" t="str">
            <v>Amazon EU SARL, succursale Italiana</v>
          </cell>
          <cell r="F719" t="str">
            <v>3KYCEHVH</v>
          </cell>
          <cell r="G719" t="str">
            <v>B074379C7Q</v>
          </cell>
          <cell r="H719" t="str">
            <v>988-000193</v>
          </cell>
          <cell r="I719" t="str">
            <v>OE INVOICES</v>
          </cell>
          <cell r="J719">
            <v>44422158771</v>
          </cell>
          <cell r="K719">
            <v>44907</v>
          </cell>
          <cell r="L719">
            <v>5</v>
          </cell>
          <cell r="M719" t="str">
            <v>EUR</v>
          </cell>
          <cell r="N719">
            <v>1156.56</v>
          </cell>
          <cell r="O719">
            <v>144.57</v>
          </cell>
          <cell r="P719">
            <v>8</v>
          </cell>
          <cell r="Q719">
            <v>8</v>
          </cell>
          <cell r="R719">
            <v>0</v>
          </cell>
        </row>
        <row r="720">
          <cell r="A720" t="str">
            <v>3KYCEHVHB07CGNP3RH</v>
          </cell>
          <cell r="B720" t="str">
            <v>Q3-23</v>
          </cell>
          <cell r="C720" t="str">
            <v>Europe Operations OU</v>
          </cell>
          <cell r="D720">
            <v>2674345</v>
          </cell>
          <cell r="E720" t="str">
            <v>Amazon EU SARL, succursale Italiana</v>
          </cell>
          <cell r="F720" t="str">
            <v>3KYCEHVH</v>
          </cell>
          <cell r="G720" t="str">
            <v>B07CGNP3RH</v>
          </cell>
          <cell r="H720" t="str">
            <v>910-005292</v>
          </cell>
          <cell r="I720" t="str">
            <v>OE INVOICES</v>
          </cell>
          <cell r="J720">
            <v>44422158762</v>
          </cell>
          <cell r="K720">
            <v>44907</v>
          </cell>
          <cell r="L720">
            <v>8</v>
          </cell>
          <cell r="M720" t="str">
            <v>EUR</v>
          </cell>
          <cell r="N720">
            <v>443.16</v>
          </cell>
          <cell r="O720">
            <v>36.93</v>
          </cell>
          <cell r="P720">
            <v>12</v>
          </cell>
          <cell r="Q720">
            <v>12</v>
          </cell>
          <cell r="R720">
            <v>0</v>
          </cell>
        </row>
        <row r="721">
          <cell r="A721" t="str">
            <v>3KYCEHVHB07CGPZ3ZQ</v>
          </cell>
          <cell r="B721" t="str">
            <v>Q3-23</v>
          </cell>
          <cell r="C721" t="str">
            <v>Europe Operations OU</v>
          </cell>
          <cell r="D721">
            <v>2674345</v>
          </cell>
          <cell r="E721" t="str">
            <v>Amazon EU SARL, succursale Italiana</v>
          </cell>
          <cell r="F721" t="str">
            <v>3KYCEHVH</v>
          </cell>
          <cell r="G721" t="str">
            <v>B07CGPZ3ZQ</v>
          </cell>
          <cell r="H721" t="str">
            <v>910-005283</v>
          </cell>
          <cell r="I721" t="str">
            <v>OE INVOICES</v>
          </cell>
          <cell r="J721">
            <v>44422158762</v>
          </cell>
          <cell r="K721">
            <v>44907</v>
          </cell>
          <cell r="L721">
            <v>9</v>
          </cell>
          <cell r="M721" t="str">
            <v>EUR</v>
          </cell>
          <cell r="N721">
            <v>20828.52</v>
          </cell>
          <cell r="O721">
            <v>36.93</v>
          </cell>
          <cell r="P721">
            <v>564</v>
          </cell>
          <cell r="Q721">
            <v>564</v>
          </cell>
          <cell r="R721">
            <v>0</v>
          </cell>
        </row>
        <row r="722">
          <cell r="A722" t="str">
            <v>3KYCEHVHB07G5XJLWK</v>
          </cell>
          <cell r="B722" t="str">
            <v>Q3-23</v>
          </cell>
          <cell r="C722" t="str">
            <v>Europe Operations OU</v>
          </cell>
          <cell r="D722">
            <v>2674345</v>
          </cell>
          <cell r="E722" t="str">
            <v>Amazon EU SARL, succursale Italiana</v>
          </cell>
          <cell r="F722" t="str">
            <v>3KYCEHVH</v>
          </cell>
          <cell r="G722" t="str">
            <v>B07G5XJLWK</v>
          </cell>
          <cell r="H722" t="str">
            <v>910-005273</v>
          </cell>
          <cell r="I722" t="str">
            <v>OE INVOICES</v>
          </cell>
          <cell r="J722">
            <v>44422157203</v>
          </cell>
          <cell r="K722">
            <v>44904</v>
          </cell>
          <cell r="L722">
            <v>4</v>
          </cell>
          <cell r="M722" t="str">
            <v>EUR</v>
          </cell>
          <cell r="N722">
            <v>9387.52</v>
          </cell>
          <cell r="O722">
            <v>73.34</v>
          </cell>
          <cell r="P722">
            <v>128</v>
          </cell>
          <cell r="Q722">
            <v>128</v>
          </cell>
          <cell r="R722">
            <v>0</v>
          </cell>
        </row>
        <row r="723">
          <cell r="A723" t="str">
            <v>3KYCEHVHB07MM4V7NR</v>
          </cell>
          <cell r="B723" t="str">
            <v>Q3-23</v>
          </cell>
          <cell r="C723" t="str">
            <v>Europe Operations OU</v>
          </cell>
          <cell r="D723">
            <v>2674345</v>
          </cell>
          <cell r="E723" t="str">
            <v>Amazon EU SARL, succursale Italiana</v>
          </cell>
          <cell r="F723" t="str">
            <v>3KYCEHVH</v>
          </cell>
          <cell r="G723" t="str">
            <v>B07MM4V7NR</v>
          </cell>
          <cell r="H723" t="str">
            <v>960-001252</v>
          </cell>
          <cell r="I723" t="str">
            <v>OE INVOICES</v>
          </cell>
          <cell r="J723">
            <v>44422158771</v>
          </cell>
          <cell r="K723">
            <v>44907</v>
          </cell>
          <cell r="L723">
            <v>6</v>
          </cell>
          <cell r="M723" t="str">
            <v>EUR</v>
          </cell>
          <cell r="N723">
            <v>9940.32</v>
          </cell>
          <cell r="O723">
            <v>69.03</v>
          </cell>
          <cell r="P723">
            <v>144</v>
          </cell>
          <cell r="Q723">
            <v>144</v>
          </cell>
          <cell r="R723">
            <v>0</v>
          </cell>
        </row>
        <row r="724">
          <cell r="A724" t="str">
            <v>3KYCEHVHB07PMKHMFS</v>
          </cell>
          <cell r="B724" t="str">
            <v>Q3-23</v>
          </cell>
          <cell r="C724" t="str">
            <v>Europe Operations OU</v>
          </cell>
          <cell r="D724">
            <v>2674345</v>
          </cell>
          <cell r="E724" t="str">
            <v>Amazon EU SARL, succursale Italiana</v>
          </cell>
          <cell r="F724" t="str">
            <v>3KYCEHVH</v>
          </cell>
          <cell r="G724" t="str">
            <v>B07PMKHMFS</v>
          </cell>
          <cell r="H724" t="str">
            <v>939-001830</v>
          </cell>
          <cell r="I724" t="str">
            <v>OE INVOICES</v>
          </cell>
          <cell r="J724">
            <v>44422158771</v>
          </cell>
          <cell r="K724">
            <v>44907</v>
          </cell>
          <cell r="L724">
            <v>7</v>
          </cell>
          <cell r="M724" t="str">
            <v>EUR</v>
          </cell>
          <cell r="N724">
            <v>935.12</v>
          </cell>
          <cell r="O724">
            <v>116.89</v>
          </cell>
          <cell r="P724">
            <v>8</v>
          </cell>
          <cell r="Q724">
            <v>8</v>
          </cell>
          <cell r="R724">
            <v>0</v>
          </cell>
        </row>
        <row r="725">
          <cell r="A725" t="str">
            <v>3KYCEHVHB07W4DGVQF</v>
          </cell>
          <cell r="B725" t="str">
            <v>Q3-23</v>
          </cell>
          <cell r="C725" t="str">
            <v>Europe Operations OU</v>
          </cell>
          <cell r="D725">
            <v>2674345</v>
          </cell>
          <cell r="E725" t="str">
            <v>Amazon EU SARL, succursale Italiana</v>
          </cell>
          <cell r="F725" t="str">
            <v>3KYCEHVH</v>
          </cell>
          <cell r="G725" t="str">
            <v>B07W4DGVQF</v>
          </cell>
          <cell r="H725" t="str">
            <v>910-005966</v>
          </cell>
          <cell r="I725" t="str">
            <v>OE INVOICES</v>
          </cell>
          <cell r="J725">
            <v>44422157203</v>
          </cell>
          <cell r="K725">
            <v>44904</v>
          </cell>
          <cell r="L725">
            <v>5</v>
          </cell>
          <cell r="M725" t="str">
            <v>EUR</v>
          </cell>
          <cell r="N725">
            <v>304515.68</v>
          </cell>
          <cell r="O725">
            <v>63.23</v>
          </cell>
          <cell r="P725">
            <v>4816</v>
          </cell>
          <cell r="Q725">
            <v>4816</v>
          </cell>
          <cell r="R725">
            <v>0</v>
          </cell>
        </row>
        <row r="726">
          <cell r="A726" t="str">
            <v>3KYCEHVHB07W4DHDCQ</v>
          </cell>
          <cell r="B726" t="str">
            <v>Q3-23</v>
          </cell>
          <cell r="C726" t="str">
            <v>Europe Operations OU</v>
          </cell>
          <cell r="D726">
            <v>2674345</v>
          </cell>
          <cell r="E726" t="str">
            <v>Amazon EU SARL, succursale Italiana</v>
          </cell>
          <cell r="F726" t="str">
            <v>3KYCEHVH</v>
          </cell>
          <cell r="G726" t="str">
            <v>B07W4DHDCQ</v>
          </cell>
          <cell r="H726" t="str">
            <v>910-006205</v>
          </cell>
          <cell r="I726" t="str">
            <v>OE INVOICES</v>
          </cell>
          <cell r="J726">
            <v>44422158762</v>
          </cell>
          <cell r="K726">
            <v>44907</v>
          </cell>
          <cell r="L726">
            <v>10</v>
          </cell>
          <cell r="M726" t="str">
            <v>EUR</v>
          </cell>
          <cell r="N726">
            <v>783.9</v>
          </cell>
          <cell r="O726">
            <v>78.39</v>
          </cell>
          <cell r="P726">
            <v>10</v>
          </cell>
          <cell r="Q726">
            <v>10</v>
          </cell>
          <cell r="R726">
            <v>0</v>
          </cell>
        </row>
        <row r="727">
          <cell r="A727" t="str">
            <v>3KYCEHVHB07W4DHG24</v>
          </cell>
          <cell r="B727" t="str">
            <v>Q3-23</v>
          </cell>
          <cell r="C727" t="str">
            <v>Europe Operations OU</v>
          </cell>
          <cell r="D727">
            <v>2674345</v>
          </cell>
          <cell r="E727" t="str">
            <v>Amazon EU SARL, succursale Italiana</v>
          </cell>
          <cell r="F727" t="str">
            <v>3KYCEHVH</v>
          </cell>
          <cell r="G727" t="str">
            <v>B07W4DHG24</v>
          </cell>
          <cell r="H727" t="str">
            <v>943-000544</v>
          </cell>
          <cell r="I727" t="str">
            <v>OE INVOICES</v>
          </cell>
          <cell r="J727">
            <v>44422158762</v>
          </cell>
          <cell r="K727">
            <v>44907</v>
          </cell>
          <cell r="L727">
            <v>11</v>
          </cell>
          <cell r="M727" t="str">
            <v>EUR</v>
          </cell>
          <cell r="N727">
            <v>210.96</v>
          </cell>
          <cell r="O727">
            <v>26.37</v>
          </cell>
          <cell r="P727">
            <v>8</v>
          </cell>
          <cell r="Q727">
            <v>8</v>
          </cell>
          <cell r="R727">
            <v>0</v>
          </cell>
        </row>
        <row r="728">
          <cell r="A728" t="str">
            <v>3KYCEHVHB07W5JJVFM</v>
          </cell>
          <cell r="B728" t="str">
            <v>Q3-23</v>
          </cell>
          <cell r="C728" t="str">
            <v>Europe Operations OU</v>
          </cell>
          <cell r="D728">
            <v>2674345</v>
          </cell>
          <cell r="E728" t="str">
            <v>Amazon EU SARL, succursale Italiana</v>
          </cell>
          <cell r="F728" t="str">
            <v>3KYCEHVH</v>
          </cell>
          <cell r="G728" t="str">
            <v>B07W5JJVFM</v>
          </cell>
          <cell r="H728" t="str">
            <v>956-000053</v>
          </cell>
          <cell r="I728" t="str">
            <v>OE INVOICES</v>
          </cell>
          <cell r="J728">
            <v>44422158762</v>
          </cell>
          <cell r="K728">
            <v>44907</v>
          </cell>
          <cell r="L728">
            <v>12</v>
          </cell>
          <cell r="M728" t="str">
            <v>EUR</v>
          </cell>
          <cell r="N728">
            <v>177.8</v>
          </cell>
          <cell r="O728">
            <v>8.89</v>
          </cell>
          <cell r="P728">
            <v>20</v>
          </cell>
          <cell r="Q728">
            <v>20</v>
          </cell>
          <cell r="R728">
            <v>0</v>
          </cell>
        </row>
        <row r="729">
          <cell r="A729" t="str">
            <v>3KYCEHVHB07W5JK9J9</v>
          </cell>
          <cell r="B729" t="str">
            <v>Q3-23</v>
          </cell>
          <cell r="C729" t="str">
            <v>Europe Operations OU</v>
          </cell>
          <cell r="D729">
            <v>2674345</v>
          </cell>
          <cell r="E729" t="str">
            <v>Amazon EU SARL, succursale Italiana</v>
          </cell>
          <cell r="F729" t="str">
            <v>3KYCEHVH</v>
          </cell>
          <cell r="G729" t="str">
            <v>B07W5JK9J9</v>
          </cell>
          <cell r="H729" t="str">
            <v>920-010414</v>
          </cell>
          <cell r="I729" t="str">
            <v>OE INVOICES</v>
          </cell>
          <cell r="J729">
            <v>44422158762</v>
          </cell>
          <cell r="K729">
            <v>44907</v>
          </cell>
          <cell r="L729">
            <v>13</v>
          </cell>
          <cell r="M729" t="str">
            <v>EUR</v>
          </cell>
          <cell r="N729">
            <v>377.76</v>
          </cell>
          <cell r="O729">
            <v>94.44</v>
          </cell>
          <cell r="P729">
            <v>4</v>
          </cell>
          <cell r="Q729">
            <v>4</v>
          </cell>
          <cell r="R729">
            <v>0</v>
          </cell>
        </row>
        <row r="730">
          <cell r="A730" t="str">
            <v>3KYCEHVHB07W5JKBMG</v>
          </cell>
          <cell r="B730" t="str">
            <v>Q3-23</v>
          </cell>
          <cell r="C730" t="str">
            <v>Europe Operations OU</v>
          </cell>
          <cell r="D730">
            <v>2674345</v>
          </cell>
          <cell r="E730" t="str">
            <v>Amazon EU SARL, succursale Italiana</v>
          </cell>
          <cell r="F730" t="str">
            <v>3KYCEHVH</v>
          </cell>
          <cell r="G730" t="str">
            <v>B07W5JKBMG</v>
          </cell>
          <cell r="H730" t="str">
            <v>943-000450</v>
          </cell>
          <cell r="I730" t="str">
            <v>OE INVOICES</v>
          </cell>
          <cell r="J730">
            <v>44422158771</v>
          </cell>
          <cell r="K730">
            <v>44907</v>
          </cell>
          <cell r="L730">
            <v>8</v>
          </cell>
          <cell r="M730" t="str">
            <v>EUR</v>
          </cell>
          <cell r="N730">
            <v>3112</v>
          </cell>
          <cell r="O730">
            <v>31.12</v>
          </cell>
          <cell r="P730">
            <v>100</v>
          </cell>
          <cell r="Q730">
            <v>100</v>
          </cell>
          <cell r="R730">
            <v>0</v>
          </cell>
        </row>
        <row r="731">
          <cell r="A731" t="str">
            <v>3KYCEHVHB07W5JKLRF</v>
          </cell>
          <cell r="B731" t="str">
            <v>Q3-23</v>
          </cell>
          <cell r="C731" t="str">
            <v>Europe Operations OU</v>
          </cell>
          <cell r="D731">
            <v>2674345</v>
          </cell>
          <cell r="E731" t="str">
            <v>Amazon EU SARL, succursale Italiana</v>
          </cell>
          <cell r="F731" t="str">
            <v>3KYCEHVH</v>
          </cell>
          <cell r="G731" t="str">
            <v>B07W5JKLRF</v>
          </cell>
          <cell r="H731" t="str">
            <v>939-002064</v>
          </cell>
          <cell r="I731" t="str">
            <v>OE INVOICES</v>
          </cell>
          <cell r="J731">
            <v>44422158771</v>
          </cell>
          <cell r="K731">
            <v>44907</v>
          </cell>
          <cell r="L731">
            <v>9</v>
          </cell>
          <cell r="M731" t="str">
            <v>EUR</v>
          </cell>
          <cell r="N731">
            <v>179.8</v>
          </cell>
          <cell r="O731">
            <v>44.95</v>
          </cell>
          <cell r="P731">
            <v>4</v>
          </cell>
          <cell r="Q731">
            <v>4</v>
          </cell>
          <cell r="R731">
            <v>0</v>
          </cell>
        </row>
        <row r="732">
          <cell r="A732" t="str">
            <v>3KYCEHVHB07W5JKT4S</v>
          </cell>
          <cell r="B732" t="str">
            <v>Q3-23</v>
          </cell>
          <cell r="C732" t="str">
            <v>Europe Operations OU</v>
          </cell>
          <cell r="D732">
            <v>2674345</v>
          </cell>
          <cell r="E732" t="str">
            <v>Amazon EU SARL, succursale Italiana</v>
          </cell>
          <cell r="F732" t="str">
            <v>3KYCEHVH</v>
          </cell>
          <cell r="G732" t="str">
            <v>B07W5JKT4S</v>
          </cell>
          <cell r="H732" t="str">
            <v>943-000458</v>
          </cell>
          <cell r="I732" t="str">
            <v>OE INVOICES</v>
          </cell>
          <cell r="J732">
            <v>44422158771</v>
          </cell>
          <cell r="K732">
            <v>44907</v>
          </cell>
          <cell r="L732">
            <v>10</v>
          </cell>
          <cell r="M732" t="str">
            <v>EUR</v>
          </cell>
          <cell r="N732">
            <v>105.48</v>
          </cell>
          <cell r="O732">
            <v>26.37</v>
          </cell>
          <cell r="P732">
            <v>4</v>
          </cell>
          <cell r="Q732">
            <v>4</v>
          </cell>
          <cell r="R732">
            <v>0</v>
          </cell>
        </row>
        <row r="733">
          <cell r="A733" t="str">
            <v>3KYCEHVHB07W6H31VJ</v>
          </cell>
          <cell r="B733" t="str">
            <v>Q3-23</v>
          </cell>
          <cell r="C733" t="str">
            <v>Europe Operations OU</v>
          </cell>
          <cell r="D733">
            <v>2674345</v>
          </cell>
          <cell r="E733" t="str">
            <v>Amazon EU SARL, succursale Italiana</v>
          </cell>
          <cell r="F733" t="str">
            <v>3KYCEHVH</v>
          </cell>
          <cell r="G733" t="str">
            <v>B07W6H31VJ</v>
          </cell>
          <cell r="H733" t="str">
            <v>920-011425</v>
          </cell>
          <cell r="I733" t="str">
            <v>OE INVOICES</v>
          </cell>
          <cell r="J733">
            <v>44422158762</v>
          </cell>
          <cell r="K733">
            <v>44907</v>
          </cell>
          <cell r="L733">
            <v>14</v>
          </cell>
          <cell r="M733" t="str">
            <v>EUR</v>
          </cell>
          <cell r="N733">
            <v>2784.4</v>
          </cell>
          <cell r="O733">
            <v>69.61</v>
          </cell>
          <cell r="P733">
            <v>40</v>
          </cell>
          <cell r="Q733">
            <v>40</v>
          </cell>
          <cell r="R733">
            <v>0</v>
          </cell>
        </row>
        <row r="734">
          <cell r="A734" t="str">
            <v>3KYCEHVHB07W6HBBMH</v>
          </cell>
          <cell r="B734" t="str">
            <v>Q3-23</v>
          </cell>
          <cell r="C734" t="str">
            <v>Europe Operations OU</v>
          </cell>
          <cell r="D734">
            <v>2674345</v>
          </cell>
          <cell r="E734" t="str">
            <v>Amazon EU SARL, succursale Italiana</v>
          </cell>
          <cell r="F734" t="str">
            <v>3KYCEHVH</v>
          </cell>
          <cell r="G734" t="str">
            <v>B07W6HBBMH</v>
          </cell>
          <cell r="H734" t="str">
            <v>943-000777</v>
          </cell>
          <cell r="I734" t="str">
            <v>OE INVOICES</v>
          </cell>
          <cell r="J734">
            <v>44422158762</v>
          </cell>
          <cell r="K734">
            <v>44907</v>
          </cell>
          <cell r="L734">
            <v>15</v>
          </cell>
          <cell r="M734" t="str">
            <v>EUR</v>
          </cell>
          <cell r="N734">
            <v>94.96</v>
          </cell>
          <cell r="O734">
            <v>23.74</v>
          </cell>
          <cell r="P734">
            <v>4</v>
          </cell>
          <cell r="Q734">
            <v>4</v>
          </cell>
          <cell r="R734">
            <v>0</v>
          </cell>
        </row>
        <row r="735">
          <cell r="A735" t="str">
            <v>3KYCEHVHB07W6HFDR8</v>
          </cell>
          <cell r="B735" t="str">
            <v>Q3-23</v>
          </cell>
          <cell r="C735" t="str">
            <v>Europe Operations OU</v>
          </cell>
          <cell r="D735">
            <v>2674345</v>
          </cell>
          <cell r="E735" t="str">
            <v>Amazon EU SARL, succursale Italiana</v>
          </cell>
          <cell r="F735" t="str">
            <v>3KYCEHVH</v>
          </cell>
          <cell r="G735" t="str">
            <v>B07W6HFDR8</v>
          </cell>
          <cell r="H735" t="str">
            <v>943-000457</v>
          </cell>
          <cell r="I735" t="str">
            <v>OE INVOICES</v>
          </cell>
          <cell r="J735">
            <v>44422158771</v>
          </cell>
          <cell r="K735">
            <v>44907</v>
          </cell>
          <cell r="L735">
            <v>11</v>
          </cell>
          <cell r="M735" t="str">
            <v>EUR</v>
          </cell>
          <cell r="N735">
            <v>632.88</v>
          </cell>
          <cell r="O735">
            <v>26.37</v>
          </cell>
          <cell r="P735">
            <v>24</v>
          </cell>
          <cell r="Q735">
            <v>24</v>
          </cell>
          <cell r="R735">
            <v>0</v>
          </cell>
        </row>
        <row r="736">
          <cell r="A736" t="str">
            <v>3KYCEHVHB07W6HJPSW</v>
          </cell>
          <cell r="B736" t="str">
            <v>Q3-23</v>
          </cell>
          <cell r="C736" t="str">
            <v>Europe Operations OU</v>
          </cell>
          <cell r="D736">
            <v>2674345</v>
          </cell>
          <cell r="E736" t="str">
            <v>Amazon EU SARL, succursale Italiana</v>
          </cell>
          <cell r="F736" t="str">
            <v>3KYCEHVH</v>
          </cell>
          <cell r="G736" t="str">
            <v>B07W6HJPSW</v>
          </cell>
          <cell r="H736" t="str">
            <v>981-001106</v>
          </cell>
          <cell r="I736" t="str">
            <v>OE INVOICES</v>
          </cell>
          <cell r="J736">
            <v>44422158771</v>
          </cell>
          <cell r="K736">
            <v>44907</v>
          </cell>
          <cell r="L736">
            <v>12</v>
          </cell>
          <cell r="M736" t="str">
            <v>EUR</v>
          </cell>
          <cell r="N736">
            <v>816.72</v>
          </cell>
          <cell r="O736">
            <v>68.06</v>
          </cell>
          <cell r="P736">
            <v>12</v>
          </cell>
          <cell r="Q736">
            <v>12</v>
          </cell>
          <cell r="R736">
            <v>0</v>
          </cell>
        </row>
        <row r="737">
          <cell r="A737" t="str">
            <v>3KYCEHVHB07W6JGH8Z</v>
          </cell>
          <cell r="B737" t="str">
            <v>Q3-23</v>
          </cell>
          <cell r="C737" t="str">
            <v>Europe Operations OU</v>
          </cell>
          <cell r="D737">
            <v>2674345</v>
          </cell>
          <cell r="E737" t="str">
            <v>Amazon EU SARL, succursale Italiana</v>
          </cell>
          <cell r="F737" t="str">
            <v>3KYCEHVH</v>
          </cell>
          <cell r="G737" t="str">
            <v>B07W6JGH8Z</v>
          </cell>
          <cell r="H737" t="str">
            <v>981-001044</v>
          </cell>
          <cell r="I737" t="str">
            <v>OE INVOICES</v>
          </cell>
          <cell r="J737">
            <v>44422158762</v>
          </cell>
          <cell r="K737">
            <v>44907</v>
          </cell>
          <cell r="L737">
            <v>16</v>
          </cell>
          <cell r="M737" t="str">
            <v>EUR</v>
          </cell>
          <cell r="N737">
            <v>422.08</v>
          </cell>
          <cell r="O737">
            <v>52.76</v>
          </cell>
          <cell r="P737">
            <v>8</v>
          </cell>
          <cell r="Q737">
            <v>8</v>
          </cell>
          <cell r="R737">
            <v>0</v>
          </cell>
        </row>
        <row r="738">
          <cell r="A738" t="str">
            <v>3KYCEHVHB07W6JP5N1</v>
          </cell>
          <cell r="B738" t="str">
            <v>Q3-23</v>
          </cell>
          <cell r="C738" t="str">
            <v>Europe Operations OU</v>
          </cell>
          <cell r="D738">
            <v>2674345</v>
          </cell>
          <cell r="E738" t="str">
            <v>Amazon EU SARL, succursale Italiana</v>
          </cell>
          <cell r="F738" t="str">
            <v>3KYCEHVH</v>
          </cell>
          <cell r="G738" t="str">
            <v>B07W6JP5N1</v>
          </cell>
          <cell r="H738" t="str">
            <v>920-009316</v>
          </cell>
          <cell r="I738" t="str">
            <v>OE INVOICES</v>
          </cell>
          <cell r="J738">
            <v>44422158771</v>
          </cell>
          <cell r="K738">
            <v>44907</v>
          </cell>
          <cell r="L738">
            <v>13</v>
          </cell>
          <cell r="M738" t="str">
            <v>EUR</v>
          </cell>
          <cell r="N738">
            <v>1299.3599999999999</v>
          </cell>
          <cell r="O738">
            <v>81.209999999999994</v>
          </cell>
          <cell r="P738">
            <v>16</v>
          </cell>
          <cell r="Q738">
            <v>16</v>
          </cell>
          <cell r="R738">
            <v>0</v>
          </cell>
        </row>
        <row r="739">
          <cell r="A739" t="str">
            <v>3KYCEHVHB07W6JPM9P</v>
          </cell>
          <cell r="B739" t="str">
            <v>Q3-23</v>
          </cell>
          <cell r="C739" t="str">
            <v>Europe Operations OU</v>
          </cell>
          <cell r="D739">
            <v>2674345</v>
          </cell>
          <cell r="E739" t="str">
            <v>Amazon EU SARL, succursale Italiana</v>
          </cell>
          <cell r="F739" t="str">
            <v>3KYCEHVH</v>
          </cell>
          <cell r="G739" t="str">
            <v>B07W6JPM9P</v>
          </cell>
          <cell r="H739" t="str">
            <v>943-000785</v>
          </cell>
          <cell r="I739" t="str">
            <v>OE INVOICES</v>
          </cell>
          <cell r="J739">
            <v>44422158762</v>
          </cell>
          <cell r="K739">
            <v>44907</v>
          </cell>
          <cell r="L739">
            <v>17</v>
          </cell>
          <cell r="M739" t="str">
            <v>EUR</v>
          </cell>
          <cell r="N739">
            <v>303.36</v>
          </cell>
          <cell r="O739">
            <v>6.32</v>
          </cell>
          <cell r="P739">
            <v>48</v>
          </cell>
          <cell r="Q739">
            <v>48</v>
          </cell>
          <cell r="R739">
            <v>0</v>
          </cell>
        </row>
        <row r="740">
          <cell r="A740" t="str">
            <v>3KYCEHVHB07W6JPVPF</v>
          </cell>
          <cell r="B740" t="str">
            <v>Q3-23</v>
          </cell>
          <cell r="C740" t="str">
            <v>Europe Operations OU</v>
          </cell>
          <cell r="D740">
            <v>2674345</v>
          </cell>
          <cell r="E740" t="str">
            <v>Amazon EU SARL, succursale Italiana</v>
          </cell>
          <cell r="F740" t="str">
            <v>3KYCEHVH</v>
          </cell>
          <cell r="G740" t="str">
            <v>B07W6JPVPF</v>
          </cell>
          <cell r="H740" t="str">
            <v>943-000778</v>
          </cell>
          <cell r="I740" t="str">
            <v>OE INVOICES</v>
          </cell>
          <cell r="J740">
            <v>44422158762</v>
          </cell>
          <cell r="K740">
            <v>44907</v>
          </cell>
          <cell r="L740">
            <v>18</v>
          </cell>
          <cell r="M740" t="str">
            <v>EUR</v>
          </cell>
          <cell r="N740">
            <v>759.68</v>
          </cell>
          <cell r="O740">
            <v>23.74</v>
          </cell>
          <cell r="P740">
            <v>32</v>
          </cell>
          <cell r="Q740">
            <v>32</v>
          </cell>
          <cell r="R740">
            <v>0</v>
          </cell>
        </row>
        <row r="741">
          <cell r="A741" t="str">
            <v>3KYCEHVHB07W7LNTMC</v>
          </cell>
          <cell r="B741" t="str">
            <v>Q3-23</v>
          </cell>
          <cell r="C741" t="str">
            <v>Europe Operations OU</v>
          </cell>
          <cell r="D741">
            <v>2674345</v>
          </cell>
          <cell r="E741" t="str">
            <v>Amazon EU SARL, succursale Italiana</v>
          </cell>
          <cell r="F741" t="str">
            <v>3KYCEHVH</v>
          </cell>
          <cell r="G741" t="str">
            <v>B07W7LNTMC</v>
          </cell>
          <cell r="H741" t="str">
            <v>943-000792</v>
          </cell>
          <cell r="I741" t="str">
            <v>OE INVOICES</v>
          </cell>
          <cell r="J741">
            <v>44422158762</v>
          </cell>
          <cell r="K741">
            <v>44907</v>
          </cell>
          <cell r="L741">
            <v>19</v>
          </cell>
          <cell r="M741" t="str">
            <v>EUR</v>
          </cell>
          <cell r="N741">
            <v>92.8</v>
          </cell>
          <cell r="O741">
            <v>11.6</v>
          </cell>
          <cell r="P741">
            <v>8</v>
          </cell>
          <cell r="Q741">
            <v>8</v>
          </cell>
          <cell r="R741">
            <v>0</v>
          </cell>
        </row>
        <row r="742">
          <cell r="A742" t="str">
            <v>3KYCEHVHB07W7M1LNM</v>
          </cell>
          <cell r="B742" t="str">
            <v>Q3-23</v>
          </cell>
          <cell r="C742" t="str">
            <v>Europe Operations OU</v>
          </cell>
          <cell r="D742">
            <v>2674345</v>
          </cell>
          <cell r="E742" t="str">
            <v>Amazon EU SARL, succursale Italiana</v>
          </cell>
          <cell r="F742" t="str">
            <v>3KYCEHVH</v>
          </cell>
          <cell r="G742" t="str">
            <v>B07W7M1LNM</v>
          </cell>
          <cell r="H742" t="str">
            <v>920-011438</v>
          </cell>
          <cell r="I742" t="str">
            <v>OE INVOICES</v>
          </cell>
          <cell r="J742">
            <v>44422158762</v>
          </cell>
          <cell r="K742">
            <v>44907</v>
          </cell>
          <cell r="L742">
            <v>20</v>
          </cell>
          <cell r="M742" t="str">
            <v>EUR</v>
          </cell>
          <cell r="N742">
            <v>835.28</v>
          </cell>
          <cell r="O742">
            <v>104.41</v>
          </cell>
          <cell r="P742">
            <v>8</v>
          </cell>
          <cell r="Q742">
            <v>8</v>
          </cell>
          <cell r="R742">
            <v>0</v>
          </cell>
        </row>
        <row r="743">
          <cell r="A743" t="str">
            <v>3MGBDEKKB009N6WMOY</v>
          </cell>
          <cell r="B743" t="str">
            <v>Q3-23</v>
          </cell>
          <cell r="C743" t="str">
            <v>Europe Operations OU</v>
          </cell>
          <cell r="D743">
            <v>2674345</v>
          </cell>
          <cell r="E743" t="str">
            <v>Amazon EU SARL, succursale Italiana</v>
          </cell>
          <cell r="F743" t="str">
            <v>3MGBDEKK</v>
          </cell>
          <cell r="G743" t="str">
            <v>B009N6WMOY</v>
          </cell>
          <cell r="H743" t="str">
            <v>920-004484</v>
          </cell>
          <cell r="I743" t="str">
            <v>OE INVOICES</v>
          </cell>
          <cell r="J743">
            <v>44422176508</v>
          </cell>
          <cell r="K743">
            <v>44922</v>
          </cell>
          <cell r="L743">
            <v>1</v>
          </cell>
          <cell r="M743" t="str">
            <v>EUR</v>
          </cell>
          <cell r="N743">
            <v>7460.18</v>
          </cell>
          <cell r="O743">
            <v>40.99</v>
          </cell>
          <cell r="P743">
            <v>182</v>
          </cell>
          <cell r="Q743">
            <v>182</v>
          </cell>
          <cell r="R743">
            <v>0</v>
          </cell>
        </row>
        <row r="744">
          <cell r="A744" t="str">
            <v>3MGBDEKKB00BT8QIJ4</v>
          </cell>
          <cell r="B744" t="str">
            <v>Q4-23</v>
          </cell>
          <cell r="C744" t="str">
            <v>Europe Operations OU</v>
          </cell>
          <cell r="D744">
            <v>2674345</v>
          </cell>
          <cell r="E744" t="str">
            <v>Amazon EU SARL, succursale Italiana</v>
          </cell>
          <cell r="F744" t="str">
            <v>3MGBDEKK</v>
          </cell>
          <cell r="G744" t="str">
            <v>B00BT8QIJ4</v>
          </cell>
          <cell r="H744" t="str">
            <v>920-002522</v>
          </cell>
          <cell r="I744" t="str">
            <v>OE INVOICES</v>
          </cell>
          <cell r="J744">
            <v>44422188441</v>
          </cell>
          <cell r="K744">
            <v>44931</v>
          </cell>
          <cell r="L744">
            <v>1</v>
          </cell>
          <cell r="M744" t="str">
            <v>EUR</v>
          </cell>
          <cell r="N744">
            <v>2152.8000000000002</v>
          </cell>
          <cell r="O744">
            <v>9.36</v>
          </cell>
          <cell r="P744">
            <v>230</v>
          </cell>
          <cell r="Q744">
            <v>230</v>
          </cell>
          <cell r="R744">
            <v>0</v>
          </cell>
        </row>
        <row r="745">
          <cell r="A745" t="str">
            <v>3MGBDEKKB011N78DMA</v>
          </cell>
          <cell r="B745" t="str">
            <v>Q4-23</v>
          </cell>
          <cell r="C745" t="str">
            <v>Europe Operations OU</v>
          </cell>
          <cell r="D745">
            <v>2674345</v>
          </cell>
          <cell r="E745" t="str">
            <v>Amazon EU SARL, succursale Italiana</v>
          </cell>
          <cell r="F745" t="str">
            <v>3MGBDEKK</v>
          </cell>
          <cell r="G745" t="str">
            <v>B011N78DMA</v>
          </cell>
          <cell r="H745" t="str">
            <v>941-000123</v>
          </cell>
          <cell r="I745" t="str">
            <v>OE INVOICES</v>
          </cell>
          <cell r="J745">
            <v>44422188441</v>
          </cell>
          <cell r="K745">
            <v>44931</v>
          </cell>
          <cell r="L745">
            <v>2</v>
          </cell>
          <cell r="M745" t="str">
            <v>EUR</v>
          </cell>
          <cell r="N745">
            <v>10832.43</v>
          </cell>
          <cell r="O745">
            <v>221.07</v>
          </cell>
          <cell r="P745">
            <v>49</v>
          </cell>
          <cell r="Q745">
            <v>49</v>
          </cell>
          <cell r="R745">
            <v>0</v>
          </cell>
        </row>
        <row r="746">
          <cell r="A746" t="str">
            <v>3MGBDEKKB074C9LZVX</v>
          </cell>
          <cell r="B746" t="str">
            <v>Q4-23</v>
          </cell>
          <cell r="C746" t="str">
            <v>Europe Operations OU</v>
          </cell>
          <cell r="D746">
            <v>2674345</v>
          </cell>
          <cell r="E746" t="str">
            <v>Amazon EU SARL, succursale Italiana</v>
          </cell>
          <cell r="F746" t="str">
            <v>3MGBDEKK</v>
          </cell>
          <cell r="G746" t="str">
            <v>B074C9LZVX</v>
          </cell>
          <cell r="H746" t="str">
            <v>920-008389</v>
          </cell>
          <cell r="I746" t="str">
            <v>OE INVOICES</v>
          </cell>
          <cell r="J746">
            <v>44422188441</v>
          </cell>
          <cell r="K746">
            <v>44931</v>
          </cell>
          <cell r="L746">
            <v>3</v>
          </cell>
          <cell r="M746" t="str">
            <v>EUR</v>
          </cell>
          <cell r="N746">
            <v>15724</v>
          </cell>
          <cell r="O746">
            <v>78.62</v>
          </cell>
          <cell r="P746">
            <v>200</v>
          </cell>
          <cell r="Q746">
            <v>200</v>
          </cell>
          <cell r="R746">
            <v>0</v>
          </cell>
        </row>
        <row r="747">
          <cell r="A747" t="str">
            <v>3OAOBQ1IB01A9HC69G</v>
          </cell>
          <cell r="B747" t="str">
            <v>Q3-23</v>
          </cell>
          <cell r="C747" t="str">
            <v>Europe Operations OU</v>
          </cell>
          <cell r="D747">
            <v>2674345</v>
          </cell>
          <cell r="E747" t="str">
            <v>Amazon EU SARL, succursale Italiana</v>
          </cell>
          <cell r="F747" t="str">
            <v>3OAOBQ1I</v>
          </cell>
          <cell r="G747" t="str">
            <v>B01A9HC69G</v>
          </cell>
          <cell r="H747" t="str">
            <v>910-004640</v>
          </cell>
          <cell r="I747" t="str">
            <v>OE INVOICES</v>
          </cell>
          <cell r="J747">
            <v>44422157204</v>
          </cell>
          <cell r="K747">
            <v>44904</v>
          </cell>
          <cell r="L747">
            <v>1</v>
          </cell>
          <cell r="M747" t="str">
            <v>EUR</v>
          </cell>
          <cell r="N747">
            <v>93.6</v>
          </cell>
          <cell r="O747">
            <v>9.36</v>
          </cell>
          <cell r="P747">
            <v>10</v>
          </cell>
          <cell r="Q747">
            <v>10</v>
          </cell>
          <cell r="R747">
            <v>0</v>
          </cell>
        </row>
        <row r="748">
          <cell r="A748" t="str">
            <v>3OB2IUIKB008M4RH1G</v>
          </cell>
          <cell r="B748" t="str">
            <v>Q3-23</v>
          </cell>
          <cell r="C748" t="str">
            <v>Europe Operations OU</v>
          </cell>
          <cell r="D748">
            <v>2674345</v>
          </cell>
          <cell r="E748" t="str">
            <v>Amazon EU SARL, succursale Italiana</v>
          </cell>
          <cell r="F748" t="str">
            <v>3OB2IUIK</v>
          </cell>
          <cell r="G748" t="str">
            <v>B008M4RH1G</v>
          </cell>
          <cell r="H748" t="str">
            <v>920-002509</v>
          </cell>
          <cell r="I748" t="str">
            <v>OE INVOICES</v>
          </cell>
          <cell r="J748">
            <v>44422140942</v>
          </cell>
          <cell r="K748">
            <v>44895</v>
          </cell>
          <cell r="L748">
            <v>1</v>
          </cell>
          <cell r="M748" t="str">
            <v>EUR</v>
          </cell>
          <cell r="N748">
            <v>105.3</v>
          </cell>
          <cell r="O748">
            <v>10.53</v>
          </cell>
          <cell r="P748">
            <v>10</v>
          </cell>
          <cell r="Q748">
            <v>10</v>
          </cell>
          <cell r="R748">
            <v>0</v>
          </cell>
        </row>
        <row r="749">
          <cell r="A749" t="str">
            <v>3OB2IUIKB073399S1L</v>
          </cell>
          <cell r="B749" t="str">
            <v>Q3-23</v>
          </cell>
          <cell r="C749" t="str">
            <v>Europe Operations OU</v>
          </cell>
          <cell r="D749">
            <v>2674345</v>
          </cell>
          <cell r="E749" t="str">
            <v>Amazon EU SARL, succursale Italiana</v>
          </cell>
          <cell r="F749" t="str">
            <v>3OB2IUIK</v>
          </cell>
          <cell r="G749" t="str">
            <v>B073399S1L</v>
          </cell>
          <cell r="H749" t="str">
            <v>943-000110</v>
          </cell>
          <cell r="I749" t="str">
            <v>OE INVOICES</v>
          </cell>
          <cell r="J749">
            <v>44422142925</v>
          </cell>
          <cell r="K749">
            <v>44896</v>
          </cell>
          <cell r="L749">
            <v>1</v>
          </cell>
          <cell r="M749" t="str">
            <v>EUR</v>
          </cell>
          <cell r="N749">
            <v>2933.6</v>
          </cell>
          <cell r="O749">
            <v>73.34</v>
          </cell>
          <cell r="P749">
            <v>40</v>
          </cell>
          <cell r="Q749">
            <v>40</v>
          </cell>
          <cell r="R749">
            <v>0</v>
          </cell>
        </row>
        <row r="750">
          <cell r="A750" t="str">
            <v>3OB2IUIKB07W7LB4T7</v>
          </cell>
          <cell r="B750" t="str">
            <v>Q3-23</v>
          </cell>
          <cell r="C750" t="str">
            <v>Europe Operations OU</v>
          </cell>
          <cell r="D750">
            <v>2674345</v>
          </cell>
          <cell r="E750" t="str">
            <v>Amazon EU SARL, succursale Italiana</v>
          </cell>
          <cell r="F750" t="str">
            <v>3OB2IUIK</v>
          </cell>
          <cell r="G750" t="str">
            <v>B07W7LB4T7</v>
          </cell>
          <cell r="H750" t="str">
            <v>920-010108</v>
          </cell>
          <cell r="I750" t="str">
            <v>OE INVOICES</v>
          </cell>
          <cell r="J750">
            <v>44422140942</v>
          </cell>
          <cell r="K750">
            <v>44895</v>
          </cell>
          <cell r="L750">
            <v>2</v>
          </cell>
          <cell r="M750" t="str">
            <v>EUR</v>
          </cell>
          <cell r="N750">
            <v>598.72</v>
          </cell>
          <cell r="O750">
            <v>74.84</v>
          </cell>
          <cell r="P750">
            <v>8</v>
          </cell>
          <cell r="Q750">
            <v>8</v>
          </cell>
          <cell r="R750">
            <v>0</v>
          </cell>
        </row>
        <row r="751">
          <cell r="A751" t="str">
            <v>3OL6Y8AFB07W5JJP7D</v>
          </cell>
          <cell r="B751" t="str">
            <v>Q3-23</v>
          </cell>
          <cell r="C751" t="str">
            <v>Europe Operations OU</v>
          </cell>
          <cell r="D751">
            <v>2674345</v>
          </cell>
          <cell r="E751" t="str">
            <v>Amazon EU SARL, succursale Italiana</v>
          </cell>
          <cell r="F751" t="str">
            <v>3OL6Y8AF</v>
          </cell>
          <cell r="G751" t="str">
            <v>B07W5JJP7D</v>
          </cell>
          <cell r="H751" t="str">
            <v>920-009343</v>
          </cell>
          <cell r="I751" t="str">
            <v>OE INVOICES</v>
          </cell>
          <cell r="J751">
            <v>44422132662</v>
          </cell>
          <cell r="K751">
            <v>44889</v>
          </cell>
          <cell r="L751">
            <v>1</v>
          </cell>
          <cell r="M751" t="str">
            <v>EUR</v>
          </cell>
          <cell r="N751">
            <v>4628.08</v>
          </cell>
          <cell r="O751">
            <v>68.06</v>
          </cell>
          <cell r="P751">
            <v>68</v>
          </cell>
          <cell r="Q751">
            <v>68</v>
          </cell>
          <cell r="R751">
            <v>0</v>
          </cell>
        </row>
        <row r="752">
          <cell r="A752" t="str">
            <v>3OXMGR8FB00BCE30RS</v>
          </cell>
          <cell r="B752" t="str">
            <v>Q3-23</v>
          </cell>
          <cell r="C752" t="str">
            <v>Europe Operations OU</v>
          </cell>
          <cell r="D752">
            <v>2674345</v>
          </cell>
          <cell r="E752" t="str">
            <v>Amazon EU SARL, succursale Italiana</v>
          </cell>
          <cell r="F752" t="str">
            <v>3OXMGR8F</v>
          </cell>
          <cell r="G752" t="str">
            <v>B00BCE30RS</v>
          </cell>
          <cell r="H752" t="str">
            <v>920-004511</v>
          </cell>
          <cell r="I752" t="str">
            <v>OE INVOICES</v>
          </cell>
          <cell r="J752">
            <v>44422142926</v>
          </cell>
          <cell r="K752">
            <v>44896</v>
          </cell>
          <cell r="L752">
            <v>1</v>
          </cell>
          <cell r="M752" t="str">
            <v>EUR</v>
          </cell>
          <cell r="N752">
            <v>3794.4</v>
          </cell>
          <cell r="O752">
            <v>26.35</v>
          </cell>
          <cell r="P752">
            <v>144</v>
          </cell>
          <cell r="Q752">
            <v>144</v>
          </cell>
          <cell r="R752">
            <v>0</v>
          </cell>
        </row>
        <row r="753">
          <cell r="A753" t="str">
            <v>3PHD2T1GB004LAWLPW</v>
          </cell>
          <cell r="B753" t="str">
            <v>Q3-23</v>
          </cell>
          <cell r="C753" t="str">
            <v>Europe Operations OU</v>
          </cell>
          <cell r="D753">
            <v>2674345</v>
          </cell>
          <cell r="E753" t="str">
            <v>Amazon EU SARL, succursale Italiana</v>
          </cell>
          <cell r="F753" t="str">
            <v>3PHD2T1G</v>
          </cell>
          <cell r="G753" t="str">
            <v>B004LAWLPW</v>
          </cell>
          <cell r="H753" t="str">
            <v>920-002479</v>
          </cell>
          <cell r="I753" t="str">
            <v>OE INVOICES</v>
          </cell>
          <cell r="J753">
            <v>44422163397</v>
          </cell>
          <cell r="K753">
            <v>44909</v>
          </cell>
          <cell r="L753">
            <v>1</v>
          </cell>
          <cell r="M753" t="str">
            <v>EUR</v>
          </cell>
          <cell r="N753">
            <v>187.2</v>
          </cell>
          <cell r="O753">
            <v>9.36</v>
          </cell>
          <cell r="P753">
            <v>20</v>
          </cell>
          <cell r="Q753">
            <v>20</v>
          </cell>
          <cell r="R753">
            <v>0</v>
          </cell>
        </row>
        <row r="754">
          <cell r="A754" t="str">
            <v>3T2OW47PB003L92O5Q</v>
          </cell>
          <cell r="B754" t="str">
            <v>Q3-23</v>
          </cell>
          <cell r="C754" t="str">
            <v>Europe Operations OU</v>
          </cell>
          <cell r="D754">
            <v>2674345</v>
          </cell>
          <cell r="E754" t="str">
            <v>Amazon EU SARL, succursale Italiana</v>
          </cell>
          <cell r="F754" t="str">
            <v>3T2OW47P</v>
          </cell>
          <cell r="G754" t="str">
            <v>B003L92O5Q</v>
          </cell>
          <cell r="H754" t="str">
            <v>980-000447</v>
          </cell>
          <cell r="I754" t="str">
            <v>OE INVOICES</v>
          </cell>
          <cell r="J754">
            <v>44422144969</v>
          </cell>
          <cell r="K754">
            <v>44897</v>
          </cell>
          <cell r="L754">
            <v>1</v>
          </cell>
          <cell r="M754" t="str">
            <v>EUR</v>
          </cell>
          <cell r="N754">
            <v>210.78</v>
          </cell>
          <cell r="O754">
            <v>35.130000000000003</v>
          </cell>
          <cell r="P754">
            <v>6</v>
          </cell>
          <cell r="Q754">
            <v>6</v>
          </cell>
          <cell r="R754">
            <v>0</v>
          </cell>
        </row>
        <row r="755">
          <cell r="A755" t="str">
            <v>3T2OW47PB07W7L3HJP</v>
          </cell>
          <cell r="B755" t="str">
            <v>Q3-23</v>
          </cell>
          <cell r="C755" t="str">
            <v>Europe Operations OU</v>
          </cell>
          <cell r="D755">
            <v>2674345</v>
          </cell>
          <cell r="E755" t="str">
            <v>Amazon EU SARL, succursale Italiana</v>
          </cell>
          <cell r="F755" t="str">
            <v>3T2OW47P</v>
          </cell>
          <cell r="G755" t="str">
            <v>B07W7L3HJP</v>
          </cell>
          <cell r="H755" t="str">
            <v>914-000074</v>
          </cell>
          <cell r="I755" t="str">
            <v>OE INVOICES</v>
          </cell>
          <cell r="J755">
            <v>44422144969</v>
          </cell>
          <cell r="K755">
            <v>44897</v>
          </cell>
          <cell r="L755">
            <v>2</v>
          </cell>
          <cell r="M755" t="str">
            <v>EUR</v>
          </cell>
          <cell r="N755">
            <v>661.2</v>
          </cell>
          <cell r="O755">
            <v>55.1</v>
          </cell>
          <cell r="P755">
            <v>12</v>
          </cell>
          <cell r="Q755">
            <v>12</v>
          </cell>
          <cell r="R755">
            <v>0</v>
          </cell>
        </row>
        <row r="756">
          <cell r="A756" t="str">
            <v>3T7ZSLFGB07W6H91JG</v>
          </cell>
          <cell r="B756" t="str">
            <v>Q3-23</v>
          </cell>
          <cell r="C756" t="str">
            <v>Europe Operations OU</v>
          </cell>
          <cell r="D756">
            <v>2674345</v>
          </cell>
          <cell r="E756" t="str">
            <v>Amazon EU SARL, succursale Italiana</v>
          </cell>
          <cell r="F756" t="str">
            <v>3T7ZSLFG</v>
          </cell>
          <cell r="G756" t="str">
            <v>B07W6H91JG</v>
          </cell>
          <cell r="H756" t="str">
            <v>920-009497</v>
          </cell>
          <cell r="I756" t="str">
            <v>OE INVOICES</v>
          </cell>
          <cell r="J756">
            <v>44422158797</v>
          </cell>
          <cell r="K756">
            <v>44907</v>
          </cell>
          <cell r="L756">
            <v>1</v>
          </cell>
          <cell r="M756" t="str">
            <v>EUR</v>
          </cell>
          <cell r="N756">
            <v>3678.64</v>
          </cell>
          <cell r="O756">
            <v>131.38</v>
          </cell>
          <cell r="P756">
            <v>28</v>
          </cell>
          <cell r="Q756">
            <v>28</v>
          </cell>
          <cell r="R756">
            <v>0</v>
          </cell>
        </row>
        <row r="757">
          <cell r="A757" t="str">
            <v>3T7ZSLFGB07W7KV4GH</v>
          </cell>
          <cell r="B757" t="str">
            <v>Q3-23</v>
          </cell>
          <cell r="C757" t="str">
            <v>Europe Operations OU</v>
          </cell>
          <cell r="D757">
            <v>2674345</v>
          </cell>
          <cell r="E757" t="str">
            <v>Amazon EU SARL, succursale Italiana</v>
          </cell>
          <cell r="F757" t="str">
            <v>3T7ZSLFG</v>
          </cell>
          <cell r="G757" t="str">
            <v>B07W7KV4GH</v>
          </cell>
          <cell r="H757" t="str">
            <v>920-010837</v>
          </cell>
          <cell r="I757" t="str">
            <v>OE INVOICES</v>
          </cell>
          <cell r="J757">
            <v>44422158805</v>
          </cell>
          <cell r="K757">
            <v>44907</v>
          </cell>
          <cell r="L757">
            <v>1</v>
          </cell>
          <cell r="M757" t="str">
            <v>EUR</v>
          </cell>
          <cell r="N757">
            <v>371.24</v>
          </cell>
          <cell r="O757">
            <v>92.81</v>
          </cell>
          <cell r="P757">
            <v>4</v>
          </cell>
          <cell r="Q757">
            <v>4</v>
          </cell>
          <cell r="R757">
            <v>0</v>
          </cell>
        </row>
        <row r="758">
          <cell r="A758" t="str">
            <v>3UDP1VLYB00CJ5FPTA</v>
          </cell>
          <cell r="B758" t="str">
            <v>Q3-23</v>
          </cell>
          <cell r="C758" t="str">
            <v>Europe Operations OU</v>
          </cell>
          <cell r="D758">
            <v>2674345</v>
          </cell>
          <cell r="E758" t="str">
            <v>Amazon EU SARL, succursale Italiana</v>
          </cell>
          <cell r="F758" t="str">
            <v>3UDP1VLY</v>
          </cell>
          <cell r="G758" t="str">
            <v>B00CJ5FPTA</v>
          </cell>
          <cell r="H758" t="str">
            <v>942-000031</v>
          </cell>
          <cell r="I758" t="str">
            <v>OE INVOICES</v>
          </cell>
          <cell r="J758">
            <v>44422163658</v>
          </cell>
          <cell r="K758">
            <v>44909</v>
          </cell>
          <cell r="L758">
            <v>1</v>
          </cell>
          <cell r="M758" t="str">
            <v>EUR</v>
          </cell>
          <cell r="N758">
            <v>274.32</v>
          </cell>
          <cell r="O758">
            <v>34.29</v>
          </cell>
          <cell r="P758">
            <v>8</v>
          </cell>
          <cell r="Q758">
            <v>8</v>
          </cell>
          <cell r="R758">
            <v>0</v>
          </cell>
        </row>
        <row r="759">
          <cell r="A759" t="str">
            <v>3UDP1VLYB07S7CKTBR</v>
          </cell>
          <cell r="B759" t="str">
            <v>Q3-23</v>
          </cell>
          <cell r="C759" t="str">
            <v>Europe Operations OU</v>
          </cell>
          <cell r="D759">
            <v>2674345</v>
          </cell>
          <cell r="E759" t="str">
            <v>Amazon EU SARL, succursale Italiana</v>
          </cell>
          <cell r="F759" t="str">
            <v>3UDP1VLY</v>
          </cell>
          <cell r="G759" t="str">
            <v>B07S7CKTBR</v>
          </cell>
          <cell r="H759" t="str">
            <v>910-005640</v>
          </cell>
          <cell r="I759" t="str">
            <v>OE INVOICES</v>
          </cell>
          <cell r="J759">
            <v>44422163651</v>
          </cell>
          <cell r="K759">
            <v>44909</v>
          </cell>
          <cell r="L759">
            <v>1</v>
          </cell>
          <cell r="M759" t="str">
            <v>EUR</v>
          </cell>
          <cell r="N759">
            <v>920.16</v>
          </cell>
          <cell r="O759">
            <v>57.51</v>
          </cell>
          <cell r="P759">
            <v>16</v>
          </cell>
          <cell r="Q759">
            <v>16</v>
          </cell>
          <cell r="R759">
            <v>0</v>
          </cell>
        </row>
        <row r="760">
          <cell r="A760" t="str">
            <v>3UDP1VLYB07W6JKH17</v>
          </cell>
          <cell r="B760" t="str">
            <v>Q3-23</v>
          </cell>
          <cell r="C760" t="str">
            <v>Europe Operations OU</v>
          </cell>
          <cell r="D760">
            <v>2674345</v>
          </cell>
          <cell r="E760" t="str">
            <v>Amazon EU SARL, succursale Italiana</v>
          </cell>
          <cell r="F760" t="str">
            <v>3UDP1VLY</v>
          </cell>
          <cell r="G760" t="str">
            <v>B07W6JKH17</v>
          </cell>
          <cell r="H760" t="str">
            <v>910-005931</v>
          </cell>
          <cell r="I760" t="str">
            <v>OE INVOICES</v>
          </cell>
          <cell r="J760">
            <v>44422163658</v>
          </cell>
          <cell r="K760">
            <v>44909</v>
          </cell>
          <cell r="L760">
            <v>2</v>
          </cell>
          <cell r="M760" t="str">
            <v>EUR</v>
          </cell>
          <cell r="N760">
            <v>656</v>
          </cell>
          <cell r="O760">
            <v>8.1999999999999993</v>
          </cell>
          <cell r="P760">
            <v>80</v>
          </cell>
          <cell r="Q760">
            <v>80</v>
          </cell>
          <cell r="R760">
            <v>0</v>
          </cell>
        </row>
        <row r="761">
          <cell r="A761" t="str">
            <v>3UDP1VLYB07W7LMCF9</v>
          </cell>
          <cell r="B761" t="str">
            <v>Q3-23</v>
          </cell>
          <cell r="C761" t="str">
            <v>Europe Operations OU</v>
          </cell>
          <cell r="D761">
            <v>2674345</v>
          </cell>
          <cell r="E761" t="str">
            <v>Amazon EU SARL, succursale Italiana</v>
          </cell>
          <cell r="F761" t="str">
            <v>3UDP1VLY</v>
          </cell>
          <cell r="G761" t="str">
            <v>B07W7LMCF9</v>
          </cell>
          <cell r="H761" t="str">
            <v>920-009553</v>
          </cell>
          <cell r="I761" t="str">
            <v>OE INVOICES</v>
          </cell>
          <cell r="J761">
            <v>44422163658</v>
          </cell>
          <cell r="K761">
            <v>44909</v>
          </cell>
          <cell r="L761">
            <v>3</v>
          </cell>
          <cell r="M761" t="str">
            <v>EUR</v>
          </cell>
          <cell r="N761">
            <v>301.64</v>
          </cell>
          <cell r="O761">
            <v>75.41</v>
          </cell>
          <cell r="P761">
            <v>4</v>
          </cell>
          <cell r="Q761">
            <v>4</v>
          </cell>
          <cell r="R761">
            <v>0</v>
          </cell>
        </row>
        <row r="762">
          <cell r="A762" t="str">
            <v>44DTI43XB006ZLK9SQ</v>
          </cell>
          <cell r="B762" t="str">
            <v>Q3-23</v>
          </cell>
          <cell r="C762" t="str">
            <v>Europe Operations OU</v>
          </cell>
          <cell r="D762">
            <v>2674345</v>
          </cell>
          <cell r="E762" t="str">
            <v>Amazon EU SARL, succursale Italiana</v>
          </cell>
          <cell r="F762" t="str">
            <v>44DTI43X</v>
          </cell>
          <cell r="G762" t="str">
            <v>B006ZLK9SQ</v>
          </cell>
          <cell r="H762" t="str">
            <v>920-003721</v>
          </cell>
          <cell r="I762" t="str">
            <v>OE INVOICES</v>
          </cell>
          <cell r="J762">
            <v>44422134747</v>
          </cell>
          <cell r="K762">
            <v>44893</v>
          </cell>
          <cell r="L762">
            <v>1</v>
          </cell>
          <cell r="M762" t="str">
            <v>EUR</v>
          </cell>
          <cell r="N762">
            <v>12956</v>
          </cell>
          <cell r="O762">
            <v>20.5</v>
          </cell>
          <cell r="P762">
            <v>632</v>
          </cell>
          <cell r="Q762">
            <v>632</v>
          </cell>
          <cell r="R762">
            <v>0</v>
          </cell>
        </row>
        <row r="763">
          <cell r="A763" t="str">
            <v>44DTI43XB00YUIM2J0</v>
          </cell>
          <cell r="B763" t="str">
            <v>Q3-23</v>
          </cell>
          <cell r="C763" t="str">
            <v>Europe Operations OU</v>
          </cell>
          <cell r="D763">
            <v>2674345</v>
          </cell>
          <cell r="E763" t="str">
            <v>Amazon EU SARL, succursale Italiana</v>
          </cell>
          <cell r="F763" t="str">
            <v>44DTI43X</v>
          </cell>
          <cell r="G763" t="str">
            <v>B00YUIM2J0</v>
          </cell>
          <cell r="H763" t="str">
            <v>941-000112</v>
          </cell>
          <cell r="I763" t="str">
            <v>OE INVOICES</v>
          </cell>
          <cell r="J763">
            <v>44422132444</v>
          </cell>
          <cell r="K763">
            <v>44889</v>
          </cell>
          <cell r="L763">
            <v>1</v>
          </cell>
          <cell r="M763" t="str">
            <v>EUR</v>
          </cell>
          <cell r="N763">
            <v>145906.20000000001</v>
          </cell>
          <cell r="O763">
            <v>221.07</v>
          </cell>
          <cell r="P763">
            <v>660</v>
          </cell>
          <cell r="Q763">
            <v>660</v>
          </cell>
          <cell r="R763">
            <v>0</v>
          </cell>
        </row>
        <row r="764">
          <cell r="A764" t="str">
            <v>44DTI43XB00YUIM2J0</v>
          </cell>
          <cell r="B764" t="str">
            <v>Q3-23</v>
          </cell>
          <cell r="C764" t="str">
            <v>Europe Operations OU</v>
          </cell>
          <cell r="D764">
            <v>2674345</v>
          </cell>
          <cell r="E764" t="str">
            <v>Amazon EU SARL, succursale Italiana</v>
          </cell>
          <cell r="F764" t="str">
            <v>44DTI43X</v>
          </cell>
          <cell r="G764" t="str">
            <v>B00YUIM2J0</v>
          </cell>
          <cell r="H764" t="str">
            <v>941-000112</v>
          </cell>
          <cell r="I764" t="str">
            <v>OE INVOICES</v>
          </cell>
          <cell r="J764">
            <v>44422133164</v>
          </cell>
          <cell r="K764">
            <v>44890</v>
          </cell>
          <cell r="L764">
            <v>1</v>
          </cell>
          <cell r="M764" t="str">
            <v>EUR</v>
          </cell>
          <cell r="N764">
            <v>145906.20000000001</v>
          </cell>
          <cell r="O764">
            <v>221.07</v>
          </cell>
          <cell r="P764">
            <v>660</v>
          </cell>
          <cell r="Q764">
            <v>660</v>
          </cell>
          <cell r="R764">
            <v>0</v>
          </cell>
        </row>
        <row r="765">
          <cell r="A765" t="str">
            <v>44DTI43XB00YUIM2J0</v>
          </cell>
          <cell r="B765" t="str">
            <v>Q3-23</v>
          </cell>
          <cell r="C765" t="str">
            <v>Europe Operations OU</v>
          </cell>
          <cell r="D765">
            <v>2674345</v>
          </cell>
          <cell r="E765" t="str">
            <v>Amazon EU SARL, succursale Italiana</v>
          </cell>
          <cell r="F765" t="str">
            <v>44DTI43X</v>
          </cell>
          <cell r="G765" t="str">
            <v>B00YUIM2J0</v>
          </cell>
          <cell r="H765" t="str">
            <v>941-000112</v>
          </cell>
          <cell r="I765" t="str">
            <v>OE INVOICES</v>
          </cell>
          <cell r="J765">
            <v>44422134747</v>
          </cell>
          <cell r="K765">
            <v>44893</v>
          </cell>
          <cell r="L765">
            <v>2</v>
          </cell>
          <cell r="M765" t="str">
            <v>EUR</v>
          </cell>
          <cell r="N765">
            <v>4863.54</v>
          </cell>
          <cell r="O765">
            <v>221.07</v>
          </cell>
          <cell r="P765">
            <v>22</v>
          </cell>
          <cell r="Q765">
            <v>22</v>
          </cell>
          <cell r="R765">
            <v>0</v>
          </cell>
        </row>
        <row r="766">
          <cell r="A766" t="str">
            <v>44DTI43XB00YUIM2J0</v>
          </cell>
          <cell r="B766" t="str">
            <v>Q3-23</v>
          </cell>
          <cell r="C766" t="str">
            <v>Europe Operations OU</v>
          </cell>
          <cell r="D766">
            <v>2674345</v>
          </cell>
          <cell r="E766" t="str">
            <v>Amazon EU SARL, succursale Italiana</v>
          </cell>
          <cell r="F766" t="str">
            <v>44DTI43X</v>
          </cell>
          <cell r="G766" t="str">
            <v>B00YUIM2J0</v>
          </cell>
          <cell r="H766" t="str">
            <v>941-000112</v>
          </cell>
          <cell r="I766" t="str">
            <v>OE INVOICES</v>
          </cell>
          <cell r="J766">
            <v>44422136065</v>
          </cell>
          <cell r="K766">
            <v>44893</v>
          </cell>
          <cell r="L766">
            <v>1</v>
          </cell>
          <cell r="M766" t="str">
            <v>EUR</v>
          </cell>
          <cell r="N766">
            <v>145906.20000000001</v>
          </cell>
          <cell r="O766">
            <v>221.07</v>
          </cell>
          <cell r="P766">
            <v>660</v>
          </cell>
          <cell r="Q766">
            <v>660</v>
          </cell>
          <cell r="R766">
            <v>0</v>
          </cell>
        </row>
        <row r="767">
          <cell r="A767" t="str">
            <v>44DTI43XB00YUIM2J0</v>
          </cell>
          <cell r="B767" t="str">
            <v>Q3-23</v>
          </cell>
          <cell r="C767" t="str">
            <v>Europe Operations OU</v>
          </cell>
          <cell r="D767">
            <v>2674345</v>
          </cell>
          <cell r="E767" t="str">
            <v>Amazon EU SARL, succursale Italiana</v>
          </cell>
          <cell r="F767" t="str">
            <v>44DTI43X</v>
          </cell>
          <cell r="G767" t="str">
            <v>B00YUIM2J0</v>
          </cell>
          <cell r="H767" t="str">
            <v>941-000112</v>
          </cell>
          <cell r="I767" t="str">
            <v>OE INVOICES</v>
          </cell>
          <cell r="J767">
            <v>44422157417</v>
          </cell>
          <cell r="K767">
            <v>44904</v>
          </cell>
          <cell r="L767">
            <v>1</v>
          </cell>
          <cell r="M767" t="str">
            <v>EUR</v>
          </cell>
          <cell r="N767">
            <v>145906.20000000001</v>
          </cell>
          <cell r="O767">
            <v>221.07</v>
          </cell>
          <cell r="P767">
            <v>660</v>
          </cell>
          <cell r="Q767">
            <v>660</v>
          </cell>
          <cell r="R767">
            <v>0</v>
          </cell>
        </row>
        <row r="768">
          <cell r="A768" t="str">
            <v>44DTI43XB011N78DMA</v>
          </cell>
          <cell r="B768" t="str">
            <v>Q3-23</v>
          </cell>
          <cell r="C768" t="str">
            <v>Europe Operations OU</v>
          </cell>
          <cell r="D768">
            <v>2674345</v>
          </cell>
          <cell r="E768" t="str">
            <v>Amazon EU SARL, succursale Italiana</v>
          </cell>
          <cell r="F768" t="str">
            <v>44DTI43X</v>
          </cell>
          <cell r="G768" t="str">
            <v>B011N78DMA</v>
          </cell>
          <cell r="H768" t="str">
            <v>941-000123</v>
          </cell>
          <cell r="I768" t="str">
            <v>OE INVOICES</v>
          </cell>
          <cell r="J768">
            <v>44422134747</v>
          </cell>
          <cell r="K768">
            <v>44893</v>
          </cell>
          <cell r="L768">
            <v>3</v>
          </cell>
          <cell r="M768" t="str">
            <v>EUR</v>
          </cell>
          <cell r="N768">
            <v>1105.3499999999999</v>
          </cell>
          <cell r="O768">
            <v>221.07</v>
          </cell>
          <cell r="P768">
            <v>5</v>
          </cell>
          <cell r="Q768">
            <v>5</v>
          </cell>
          <cell r="R768">
            <v>0</v>
          </cell>
        </row>
        <row r="769">
          <cell r="A769" t="str">
            <v>44DTI43XB01MT5WMMG</v>
          </cell>
          <cell r="B769" t="str">
            <v>Q3-23</v>
          </cell>
          <cell r="C769" t="str">
            <v>Europe Operations OU</v>
          </cell>
          <cell r="D769">
            <v>2674345</v>
          </cell>
          <cell r="E769" t="str">
            <v>Amazon EU SARL, succursale Italiana</v>
          </cell>
          <cell r="F769" t="str">
            <v>44DTI43X</v>
          </cell>
          <cell r="G769" t="str">
            <v>B01MT5WMMG</v>
          </cell>
          <cell r="H769" t="str">
            <v>920-008221</v>
          </cell>
          <cell r="I769" t="str">
            <v>OE INVOICES</v>
          </cell>
          <cell r="J769">
            <v>44422134747</v>
          </cell>
          <cell r="K769">
            <v>44893</v>
          </cell>
          <cell r="L769">
            <v>4</v>
          </cell>
          <cell r="M769" t="str">
            <v>EUR</v>
          </cell>
          <cell r="N769">
            <v>301.64</v>
          </cell>
          <cell r="O769">
            <v>75.41</v>
          </cell>
          <cell r="P769">
            <v>4</v>
          </cell>
          <cell r="Q769">
            <v>4</v>
          </cell>
          <cell r="R769">
            <v>0</v>
          </cell>
        </row>
        <row r="770">
          <cell r="A770" t="str">
            <v>44DTI43XB07W7KJC28</v>
          </cell>
          <cell r="B770" t="str">
            <v>Q3-23</v>
          </cell>
          <cell r="C770" t="str">
            <v>Europe Operations OU</v>
          </cell>
          <cell r="D770">
            <v>2674345</v>
          </cell>
          <cell r="E770" t="str">
            <v>Amazon EU SARL, succursale Italiana</v>
          </cell>
          <cell r="F770" t="str">
            <v>44DTI43X</v>
          </cell>
          <cell r="G770" t="str">
            <v>B07W7KJC28</v>
          </cell>
          <cell r="H770" t="str">
            <v>920-009821</v>
          </cell>
          <cell r="I770" t="str">
            <v>OE INVOICES</v>
          </cell>
          <cell r="J770">
            <v>44422134747</v>
          </cell>
          <cell r="K770">
            <v>44893</v>
          </cell>
          <cell r="L770">
            <v>5</v>
          </cell>
          <cell r="M770" t="str">
            <v>EUR</v>
          </cell>
          <cell r="N770">
            <v>174</v>
          </cell>
          <cell r="O770">
            <v>29</v>
          </cell>
          <cell r="P770">
            <v>6</v>
          </cell>
          <cell r="Q770">
            <v>6</v>
          </cell>
          <cell r="R770">
            <v>0</v>
          </cell>
        </row>
        <row r="771">
          <cell r="A771" t="str">
            <v>48JXYHTNB06Y17MS8W</v>
          </cell>
          <cell r="B771" t="str">
            <v>Q3-23</v>
          </cell>
          <cell r="C771" t="str">
            <v>Europe Operations OU</v>
          </cell>
          <cell r="D771">
            <v>2674345</v>
          </cell>
          <cell r="E771" t="str">
            <v>Amazon EU SARL, succursale Italiana</v>
          </cell>
          <cell r="F771" t="str">
            <v>48JXYHTN</v>
          </cell>
          <cell r="G771" t="str">
            <v>B06Y17MS8W</v>
          </cell>
          <cell r="H771" t="str">
            <v>920-008336</v>
          </cell>
          <cell r="I771" t="str">
            <v>OE INVOICES</v>
          </cell>
          <cell r="J771">
            <v>44422133378</v>
          </cell>
          <cell r="K771">
            <v>44890</v>
          </cell>
          <cell r="L771">
            <v>1</v>
          </cell>
          <cell r="M771" t="str">
            <v>EUR</v>
          </cell>
          <cell r="N771">
            <v>324.8</v>
          </cell>
          <cell r="O771">
            <v>40.6</v>
          </cell>
          <cell r="P771">
            <v>8</v>
          </cell>
          <cell r="Q771">
            <v>8</v>
          </cell>
          <cell r="R771">
            <v>0</v>
          </cell>
        </row>
        <row r="772">
          <cell r="A772" t="str">
            <v>48JXYHTNB078MGXLVS</v>
          </cell>
          <cell r="B772" t="str">
            <v>Q3-23</v>
          </cell>
          <cell r="C772" t="str">
            <v>Europe Operations OU</v>
          </cell>
          <cell r="D772">
            <v>2674345</v>
          </cell>
          <cell r="E772" t="str">
            <v>Amazon EU SARL, succursale Italiana</v>
          </cell>
          <cell r="F772" t="str">
            <v>48JXYHTN</v>
          </cell>
          <cell r="G772" t="str">
            <v>B078MGXLVS</v>
          </cell>
          <cell r="H772" t="str">
            <v>989-000908</v>
          </cell>
          <cell r="I772" t="str">
            <v>OE INVOICES</v>
          </cell>
          <cell r="J772">
            <v>44422144964</v>
          </cell>
          <cell r="K772">
            <v>44897</v>
          </cell>
          <cell r="L772">
            <v>1</v>
          </cell>
          <cell r="M772" t="str">
            <v>EUR</v>
          </cell>
          <cell r="N772">
            <v>1037.4000000000001</v>
          </cell>
          <cell r="O772">
            <v>51.87</v>
          </cell>
          <cell r="P772">
            <v>20</v>
          </cell>
          <cell r="Q772">
            <v>20</v>
          </cell>
          <cell r="R772">
            <v>0</v>
          </cell>
        </row>
        <row r="773">
          <cell r="A773" t="str">
            <v>48JXYHTNB07W7LTQ4B</v>
          </cell>
          <cell r="B773" t="str">
            <v>Q3-23</v>
          </cell>
          <cell r="C773" t="str">
            <v>Europe Operations OU</v>
          </cell>
          <cell r="D773">
            <v>2674345</v>
          </cell>
          <cell r="E773" t="str">
            <v>Amazon EU SARL, succursale Italiana</v>
          </cell>
          <cell r="F773" t="str">
            <v>48JXYHTN</v>
          </cell>
          <cell r="G773" t="str">
            <v>B07W7LTQ4B</v>
          </cell>
          <cell r="H773" t="str">
            <v>956-000049</v>
          </cell>
          <cell r="I773" t="str">
            <v>OE INVOICES</v>
          </cell>
          <cell r="J773">
            <v>44422144964</v>
          </cell>
          <cell r="K773">
            <v>44897</v>
          </cell>
          <cell r="L773">
            <v>2</v>
          </cell>
          <cell r="M773" t="str">
            <v>EUR</v>
          </cell>
          <cell r="N773">
            <v>263</v>
          </cell>
          <cell r="O773">
            <v>5.26</v>
          </cell>
          <cell r="P773">
            <v>50</v>
          </cell>
          <cell r="Q773">
            <v>50</v>
          </cell>
          <cell r="R773">
            <v>0</v>
          </cell>
        </row>
        <row r="774">
          <cell r="A774" t="str">
            <v>4939TJ5GB073399S1L</v>
          </cell>
          <cell r="B774" t="str">
            <v>Q3-23</v>
          </cell>
          <cell r="C774" t="str">
            <v>Europe Operations OU</v>
          </cell>
          <cell r="D774">
            <v>2674345</v>
          </cell>
          <cell r="E774" t="str">
            <v>Amazon EU SARL, succursale Italiana</v>
          </cell>
          <cell r="F774" t="str">
            <v>4939TJ5G</v>
          </cell>
          <cell r="G774" t="str">
            <v>B073399S1L</v>
          </cell>
          <cell r="H774" t="str">
            <v>943-000110</v>
          </cell>
          <cell r="I774" t="str">
            <v>OE INVOICES</v>
          </cell>
          <cell r="J774">
            <v>44422142927</v>
          </cell>
          <cell r="K774">
            <v>44896</v>
          </cell>
          <cell r="L774">
            <v>1</v>
          </cell>
          <cell r="M774" t="str">
            <v>EUR</v>
          </cell>
          <cell r="N774">
            <v>15841.44</v>
          </cell>
          <cell r="O774">
            <v>73.34</v>
          </cell>
          <cell r="P774">
            <v>216</v>
          </cell>
          <cell r="Q774">
            <v>216</v>
          </cell>
          <cell r="R774">
            <v>0</v>
          </cell>
        </row>
        <row r="775">
          <cell r="A775" t="str">
            <v>4A3KDTEZB0038NRMKW</v>
          </cell>
          <cell r="B775" t="str">
            <v>Q3-23</v>
          </cell>
          <cell r="C775" t="str">
            <v>Europe Operations OU</v>
          </cell>
          <cell r="D775">
            <v>2674345</v>
          </cell>
          <cell r="E775" t="str">
            <v>Amazon EU SARL, succursale Italiana</v>
          </cell>
          <cell r="F775" t="str">
            <v>4A3KDTEZ</v>
          </cell>
          <cell r="G775" t="str">
            <v>B0038NRMKW</v>
          </cell>
          <cell r="H775" t="str">
            <v>920-002425</v>
          </cell>
          <cell r="I775" t="str">
            <v>OE INVOICES</v>
          </cell>
          <cell r="J775">
            <v>44422163647</v>
          </cell>
          <cell r="K775">
            <v>44909</v>
          </cell>
          <cell r="L775">
            <v>1</v>
          </cell>
          <cell r="M775" t="str">
            <v>EUR</v>
          </cell>
          <cell r="N775">
            <v>2227.52</v>
          </cell>
          <cell r="O775">
            <v>69.61</v>
          </cell>
          <cell r="P775">
            <v>32</v>
          </cell>
          <cell r="Q775">
            <v>32</v>
          </cell>
          <cell r="R775">
            <v>0</v>
          </cell>
        </row>
        <row r="776">
          <cell r="A776" t="str">
            <v>4A3KDTEZB003UPJXIC</v>
          </cell>
          <cell r="B776" t="str">
            <v>Q3-23</v>
          </cell>
          <cell r="C776" t="str">
            <v>Europe Operations OU</v>
          </cell>
          <cell r="D776">
            <v>2674345</v>
          </cell>
          <cell r="E776" t="str">
            <v>Amazon EU SARL, succursale Italiana</v>
          </cell>
          <cell r="F776" t="str">
            <v>4A3KDTEZ</v>
          </cell>
          <cell r="G776" t="str">
            <v>B003UPJXIC</v>
          </cell>
          <cell r="H776" t="str">
            <v>980-000403</v>
          </cell>
          <cell r="I776" t="str">
            <v>OE INVOICES</v>
          </cell>
          <cell r="J776">
            <v>44422163647</v>
          </cell>
          <cell r="K776">
            <v>44909</v>
          </cell>
          <cell r="L776">
            <v>2</v>
          </cell>
          <cell r="M776" t="str">
            <v>EUR</v>
          </cell>
          <cell r="N776">
            <v>3116.88</v>
          </cell>
          <cell r="O776">
            <v>115.44</v>
          </cell>
          <cell r="P776">
            <v>27</v>
          </cell>
          <cell r="Q776">
            <v>27</v>
          </cell>
          <cell r="R776">
            <v>0</v>
          </cell>
        </row>
        <row r="777">
          <cell r="A777" t="str">
            <v>4A3KDTEZB0042BVWZ0</v>
          </cell>
          <cell r="B777" t="str">
            <v>Q3-23</v>
          </cell>
          <cell r="C777" t="str">
            <v>Europe Operations OU</v>
          </cell>
          <cell r="D777">
            <v>2674345</v>
          </cell>
          <cell r="E777" t="str">
            <v>Amazon EU SARL, succursale Italiana</v>
          </cell>
          <cell r="F777" t="str">
            <v>4A3KDTEZ</v>
          </cell>
          <cell r="G777" t="str">
            <v>B0042BVWZ0</v>
          </cell>
          <cell r="H777" t="str">
            <v>920-002559</v>
          </cell>
          <cell r="I777" t="str">
            <v>OE INVOICES</v>
          </cell>
          <cell r="J777">
            <v>44422163647</v>
          </cell>
          <cell r="K777">
            <v>44909</v>
          </cell>
          <cell r="L777">
            <v>3</v>
          </cell>
          <cell r="M777" t="str">
            <v>EUR</v>
          </cell>
          <cell r="N777">
            <v>175.6</v>
          </cell>
          <cell r="O777">
            <v>17.559999999999999</v>
          </cell>
          <cell r="P777">
            <v>10</v>
          </cell>
          <cell r="Q777">
            <v>10</v>
          </cell>
          <cell r="R777">
            <v>0</v>
          </cell>
        </row>
        <row r="778">
          <cell r="A778" t="str">
            <v>4A3KDTEZB0055ZWOZ4</v>
          </cell>
          <cell r="B778" t="str">
            <v>Q3-23</v>
          </cell>
          <cell r="C778" t="str">
            <v>Europe Operations OU</v>
          </cell>
          <cell r="D778">
            <v>2674345</v>
          </cell>
          <cell r="E778" t="str">
            <v>Amazon EU SARL, succursale Italiana</v>
          </cell>
          <cell r="F778" t="str">
            <v>4A3KDTEZ</v>
          </cell>
          <cell r="G778" t="str">
            <v>B0055ZWOZ4</v>
          </cell>
          <cell r="H778" t="str">
            <v>920-002921</v>
          </cell>
          <cell r="I778" t="str">
            <v>OE INVOICES</v>
          </cell>
          <cell r="J778">
            <v>44422156323</v>
          </cell>
          <cell r="K778">
            <v>44904</v>
          </cell>
          <cell r="L778">
            <v>1</v>
          </cell>
          <cell r="M778" t="str">
            <v>EUR</v>
          </cell>
          <cell r="N778">
            <v>257.68</v>
          </cell>
          <cell r="O778">
            <v>64.42</v>
          </cell>
          <cell r="P778">
            <v>4</v>
          </cell>
          <cell r="Q778">
            <v>4</v>
          </cell>
          <cell r="R778">
            <v>0</v>
          </cell>
        </row>
        <row r="779">
          <cell r="A779" t="str">
            <v>4A3KDTEZB0074486GA</v>
          </cell>
          <cell r="B779" t="str">
            <v>Q3-23</v>
          </cell>
          <cell r="C779" t="str">
            <v>Europe Operations OU</v>
          </cell>
          <cell r="D779">
            <v>2674345</v>
          </cell>
          <cell r="E779" t="str">
            <v>Amazon EU SARL, succursale Italiana</v>
          </cell>
          <cell r="F779" t="str">
            <v>4A3KDTEZ</v>
          </cell>
          <cell r="G779" t="str">
            <v>B0074486GA</v>
          </cell>
          <cell r="H779" t="str">
            <v>920-003745</v>
          </cell>
          <cell r="I779" t="str">
            <v>OE INVOICES</v>
          </cell>
          <cell r="J779">
            <v>44422163647</v>
          </cell>
          <cell r="K779">
            <v>44909</v>
          </cell>
          <cell r="L779">
            <v>4</v>
          </cell>
          <cell r="M779" t="str">
            <v>EUR</v>
          </cell>
          <cell r="N779">
            <v>281.04000000000002</v>
          </cell>
          <cell r="O779">
            <v>23.42</v>
          </cell>
          <cell r="P779">
            <v>12</v>
          </cell>
          <cell r="Q779">
            <v>12</v>
          </cell>
          <cell r="R779">
            <v>0</v>
          </cell>
        </row>
        <row r="780">
          <cell r="A780" t="str">
            <v>4A3KDTEZB009N6WMOY</v>
          </cell>
          <cell r="B780" t="str">
            <v>Q3-23</v>
          </cell>
          <cell r="C780" t="str">
            <v>Europe Operations OU</v>
          </cell>
          <cell r="D780">
            <v>2674345</v>
          </cell>
          <cell r="E780" t="str">
            <v>Amazon EU SARL, succursale Italiana</v>
          </cell>
          <cell r="F780" t="str">
            <v>4A3KDTEZ</v>
          </cell>
          <cell r="G780" t="str">
            <v>B009N6WMOY</v>
          </cell>
          <cell r="H780" t="str">
            <v>920-004484</v>
          </cell>
          <cell r="I780" t="str">
            <v>OE INVOICES</v>
          </cell>
          <cell r="J780">
            <v>44422156323</v>
          </cell>
          <cell r="K780">
            <v>44904</v>
          </cell>
          <cell r="L780">
            <v>2</v>
          </cell>
          <cell r="M780" t="str">
            <v>EUR</v>
          </cell>
          <cell r="N780">
            <v>2008.51</v>
          </cell>
          <cell r="O780">
            <v>40.99</v>
          </cell>
          <cell r="P780">
            <v>49</v>
          </cell>
          <cell r="Q780">
            <v>49</v>
          </cell>
          <cell r="R780">
            <v>0</v>
          </cell>
        </row>
        <row r="781">
          <cell r="A781" t="str">
            <v>4A3KDTEZB00BCE30RS</v>
          </cell>
          <cell r="B781" t="str">
            <v>Q3-23</v>
          </cell>
          <cell r="C781" t="str">
            <v>Europe Operations OU</v>
          </cell>
          <cell r="D781">
            <v>2674345</v>
          </cell>
          <cell r="E781" t="str">
            <v>Amazon EU SARL, succursale Italiana</v>
          </cell>
          <cell r="F781" t="str">
            <v>4A3KDTEZ</v>
          </cell>
          <cell r="G781" t="str">
            <v>B00BCE30RS</v>
          </cell>
          <cell r="H781" t="str">
            <v>920-004511</v>
          </cell>
          <cell r="I781" t="str">
            <v>OE INVOICES</v>
          </cell>
          <cell r="J781">
            <v>44422163647</v>
          </cell>
          <cell r="K781">
            <v>44909</v>
          </cell>
          <cell r="L781">
            <v>5</v>
          </cell>
          <cell r="M781" t="str">
            <v>EUR</v>
          </cell>
          <cell r="N781">
            <v>1106.7</v>
          </cell>
          <cell r="O781">
            <v>26.35</v>
          </cell>
          <cell r="P781">
            <v>42</v>
          </cell>
          <cell r="Q781">
            <v>42</v>
          </cell>
          <cell r="R781">
            <v>0</v>
          </cell>
        </row>
        <row r="782">
          <cell r="A782" t="str">
            <v>4A3KDTEZB00D2PX8C2</v>
          </cell>
          <cell r="B782" t="str">
            <v>Q3-23</v>
          </cell>
          <cell r="C782" t="str">
            <v>Europe Operations OU</v>
          </cell>
          <cell r="D782">
            <v>2674345</v>
          </cell>
          <cell r="E782" t="str">
            <v>Amazon EU SARL, succursale Italiana</v>
          </cell>
          <cell r="F782" t="str">
            <v>4A3KDTEZ</v>
          </cell>
          <cell r="G782" t="str">
            <v>B00D2PX8C2</v>
          </cell>
          <cell r="H782" t="str">
            <v>920-004512</v>
          </cell>
          <cell r="I782" t="str">
            <v>OE INVOICES</v>
          </cell>
          <cell r="J782">
            <v>44422163647</v>
          </cell>
          <cell r="K782">
            <v>44909</v>
          </cell>
          <cell r="L782">
            <v>6</v>
          </cell>
          <cell r="M782" t="str">
            <v>EUR</v>
          </cell>
          <cell r="N782">
            <v>316.2</v>
          </cell>
          <cell r="O782">
            <v>26.35</v>
          </cell>
          <cell r="P782">
            <v>12</v>
          </cell>
          <cell r="Q782">
            <v>12</v>
          </cell>
          <cell r="R782">
            <v>0</v>
          </cell>
        </row>
        <row r="783">
          <cell r="A783" t="str">
            <v>4A3KDTEZB00EJ3RMDM</v>
          </cell>
          <cell r="B783" t="str">
            <v>Q3-23</v>
          </cell>
          <cell r="C783" t="str">
            <v>Europe Operations OU</v>
          </cell>
          <cell r="D783">
            <v>2674345</v>
          </cell>
          <cell r="E783" t="str">
            <v>Amazon EU SARL, succursale Italiana</v>
          </cell>
          <cell r="F783" t="str">
            <v>4A3KDTEZ</v>
          </cell>
          <cell r="G783" t="str">
            <v>B00EJ3RMDM</v>
          </cell>
          <cell r="H783" t="str">
            <v>920-005210</v>
          </cell>
          <cell r="I783" t="str">
            <v>OE INVOICES</v>
          </cell>
          <cell r="J783">
            <v>44422156323</v>
          </cell>
          <cell r="K783">
            <v>44904</v>
          </cell>
          <cell r="L783">
            <v>3</v>
          </cell>
          <cell r="M783" t="str">
            <v>EUR</v>
          </cell>
          <cell r="N783">
            <v>163.9</v>
          </cell>
          <cell r="O783">
            <v>16.39</v>
          </cell>
          <cell r="P783">
            <v>10</v>
          </cell>
          <cell r="Q783">
            <v>10</v>
          </cell>
          <cell r="R783">
            <v>0</v>
          </cell>
        </row>
        <row r="784">
          <cell r="A784" t="str">
            <v>4A3KDTEZB00YUIM2J0</v>
          </cell>
          <cell r="B784" t="str">
            <v>Q3-23</v>
          </cell>
          <cell r="C784" t="str">
            <v>Europe Operations OU</v>
          </cell>
          <cell r="D784">
            <v>2674345</v>
          </cell>
          <cell r="E784" t="str">
            <v>Amazon EU SARL, succursale Italiana</v>
          </cell>
          <cell r="F784" t="str">
            <v>4A3KDTEZ</v>
          </cell>
          <cell r="G784" t="str">
            <v>B00YUIM2J0</v>
          </cell>
          <cell r="H784" t="str">
            <v>941-000112</v>
          </cell>
          <cell r="I784" t="str">
            <v>OE INVOICES</v>
          </cell>
          <cell r="J784">
            <v>44422156323</v>
          </cell>
          <cell r="K784">
            <v>44904</v>
          </cell>
          <cell r="L784">
            <v>4</v>
          </cell>
          <cell r="M784" t="str">
            <v>EUR</v>
          </cell>
          <cell r="N784">
            <v>90859.77</v>
          </cell>
          <cell r="O784">
            <v>221.07</v>
          </cell>
          <cell r="P784">
            <v>411</v>
          </cell>
          <cell r="Q784">
            <v>411</v>
          </cell>
          <cell r="R784">
            <v>0</v>
          </cell>
        </row>
        <row r="785">
          <cell r="A785" t="str">
            <v>4A3KDTEZB00YUIM2J0</v>
          </cell>
          <cell r="B785" t="str">
            <v>Q3-23</v>
          </cell>
          <cell r="C785" t="str">
            <v>Europe Operations OU</v>
          </cell>
          <cell r="D785">
            <v>2674345</v>
          </cell>
          <cell r="E785" t="str">
            <v>Amazon EU SARL, succursale Italiana</v>
          </cell>
          <cell r="F785" t="str">
            <v>4A3KDTEZ</v>
          </cell>
          <cell r="G785" t="str">
            <v>B00YUIM2J0</v>
          </cell>
          <cell r="H785" t="str">
            <v>941-000112</v>
          </cell>
          <cell r="I785" t="str">
            <v>OE INVOICES</v>
          </cell>
          <cell r="J785">
            <v>44422157439</v>
          </cell>
          <cell r="K785">
            <v>44904</v>
          </cell>
          <cell r="L785">
            <v>1</v>
          </cell>
          <cell r="M785" t="str">
            <v>EUR</v>
          </cell>
          <cell r="N785">
            <v>145906.20000000001</v>
          </cell>
          <cell r="O785">
            <v>221.07</v>
          </cell>
          <cell r="P785">
            <v>660</v>
          </cell>
          <cell r="Q785">
            <v>660</v>
          </cell>
          <cell r="R785">
            <v>0</v>
          </cell>
        </row>
        <row r="786">
          <cell r="A786" t="str">
            <v>4A3KDTEZB011N78DMA</v>
          </cell>
          <cell r="B786" t="str">
            <v>Q3-23</v>
          </cell>
          <cell r="C786" t="str">
            <v>Europe Operations OU</v>
          </cell>
          <cell r="D786">
            <v>2674345</v>
          </cell>
          <cell r="E786" t="str">
            <v>Amazon EU SARL, succursale Italiana</v>
          </cell>
          <cell r="F786" t="str">
            <v>4A3KDTEZ</v>
          </cell>
          <cell r="G786" t="str">
            <v>B011N78DMA</v>
          </cell>
          <cell r="H786" t="str">
            <v>941-000123</v>
          </cell>
          <cell r="I786" t="str">
            <v>OE INVOICES</v>
          </cell>
          <cell r="J786">
            <v>44422163647</v>
          </cell>
          <cell r="K786">
            <v>44909</v>
          </cell>
          <cell r="L786">
            <v>7</v>
          </cell>
          <cell r="M786" t="str">
            <v>EUR</v>
          </cell>
          <cell r="N786">
            <v>1547.49</v>
          </cell>
          <cell r="O786">
            <v>221.07</v>
          </cell>
          <cell r="P786">
            <v>7</v>
          </cell>
          <cell r="Q786">
            <v>7</v>
          </cell>
          <cell r="R786">
            <v>0</v>
          </cell>
        </row>
        <row r="787">
          <cell r="A787" t="str">
            <v>4A3KDTEZB013Y78YY4</v>
          </cell>
          <cell r="B787" t="str">
            <v>Q3-23</v>
          </cell>
          <cell r="C787" t="str">
            <v>Europe Operations OU</v>
          </cell>
          <cell r="D787">
            <v>2674345</v>
          </cell>
          <cell r="E787" t="str">
            <v>Amazon EU SARL, succursale Italiana</v>
          </cell>
          <cell r="F787" t="str">
            <v>4A3KDTEZ</v>
          </cell>
          <cell r="G787" t="str">
            <v>B013Y78YY4</v>
          </cell>
          <cell r="H787" t="str">
            <v>941-000124</v>
          </cell>
          <cell r="I787" t="str">
            <v>OE INVOICES</v>
          </cell>
          <cell r="J787">
            <v>44422156323</v>
          </cell>
          <cell r="K787">
            <v>44904</v>
          </cell>
          <cell r="L787">
            <v>5</v>
          </cell>
          <cell r="M787" t="str">
            <v>EUR</v>
          </cell>
          <cell r="N787">
            <v>7157.68</v>
          </cell>
          <cell r="O787">
            <v>210.52</v>
          </cell>
          <cell r="P787">
            <v>34</v>
          </cell>
          <cell r="Q787">
            <v>34</v>
          </cell>
          <cell r="R787">
            <v>0</v>
          </cell>
        </row>
        <row r="788">
          <cell r="A788" t="str">
            <v>4A3KDTEZB01KPT6UUE</v>
          </cell>
          <cell r="B788" t="str">
            <v>Q3-23</v>
          </cell>
          <cell r="C788" t="str">
            <v>Europe Operations OU</v>
          </cell>
          <cell r="D788">
            <v>2674345</v>
          </cell>
          <cell r="E788" t="str">
            <v>Amazon EU SARL, succursale Italiana</v>
          </cell>
          <cell r="F788" t="str">
            <v>4A3KDTEZ</v>
          </cell>
          <cell r="G788" t="str">
            <v>B01KPT6UUE</v>
          </cell>
          <cell r="H788" t="str">
            <v>920-008158</v>
          </cell>
          <cell r="I788" t="str">
            <v>OE INVOICES</v>
          </cell>
          <cell r="J788">
            <v>44422163647</v>
          </cell>
          <cell r="K788">
            <v>44909</v>
          </cell>
          <cell r="L788">
            <v>8</v>
          </cell>
          <cell r="M788" t="str">
            <v>EUR</v>
          </cell>
          <cell r="N788">
            <v>410</v>
          </cell>
          <cell r="O788">
            <v>20.5</v>
          </cell>
          <cell r="P788">
            <v>20</v>
          </cell>
          <cell r="Q788">
            <v>20</v>
          </cell>
          <cell r="R788">
            <v>0</v>
          </cell>
        </row>
        <row r="789">
          <cell r="A789" t="str">
            <v>4A3KDTEZB01L6L451Q</v>
          </cell>
          <cell r="B789" t="str">
            <v>Q3-23</v>
          </cell>
          <cell r="C789" t="str">
            <v>Europe Operations OU</v>
          </cell>
          <cell r="D789">
            <v>2674345</v>
          </cell>
          <cell r="E789" t="str">
            <v>Amazon EU SARL, succursale Italiana</v>
          </cell>
          <cell r="F789" t="str">
            <v>4A3KDTEZ</v>
          </cell>
          <cell r="G789" t="str">
            <v>B01L6L451Q</v>
          </cell>
          <cell r="H789" t="str">
            <v>920-008091</v>
          </cell>
          <cell r="I789" t="str">
            <v>OE INVOICES</v>
          </cell>
          <cell r="J789">
            <v>44422163647</v>
          </cell>
          <cell r="K789">
            <v>44909</v>
          </cell>
          <cell r="L789">
            <v>9</v>
          </cell>
          <cell r="M789" t="str">
            <v>EUR</v>
          </cell>
          <cell r="N789">
            <v>358.72</v>
          </cell>
          <cell r="O789">
            <v>44.84</v>
          </cell>
          <cell r="P789">
            <v>8</v>
          </cell>
          <cell r="Q789">
            <v>8</v>
          </cell>
          <cell r="R789">
            <v>0</v>
          </cell>
        </row>
        <row r="790">
          <cell r="A790" t="str">
            <v>4A3KDTEZB01MT5WL4M</v>
          </cell>
          <cell r="B790" t="str">
            <v>Q3-23</v>
          </cell>
          <cell r="C790" t="str">
            <v>Europe Operations OU</v>
          </cell>
          <cell r="D790">
            <v>2674345</v>
          </cell>
          <cell r="E790" t="str">
            <v>Amazon EU SARL, succursale Italiana</v>
          </cell>
          <cell r="F790" t="str">
            <v>4A3KDTEZ</v>
          </cell>
          <cell r="G790" t="str">
            <v>B01MT5WL4M</v>
          </cell>
          <cell r="H790" t="str">
            <v>920-008222</v>
          </cell>
          <cell r="I790" t="str">
            <v>OE INVOICES</v>
          </cell>
          <cell r="J790">
            <v>44422163647</v>
          </cell>
          <cell r="K790">
            <v>44909</v>
          </cell>
          <cell r="L790">
            <v>10</v>
          </cell>
          <cell r="M790" t="str">
            <v>EUR</v>
          </cell>
          <cell r="N790">
            <v>603.28</v>
          </cell>
          <cell r="O790">
            <v>75.41</v>
          </cell>
          <cell r="P790">
            <v>8</v>
          </cell>
          <cell r="Q790">
            <v>8</v>
          </cell>
          <cell r="R790">
            <v>0</v>
          </cell>
        </row>
        <row r="791">
          <cell r="A791" t="str">
            <v>4A3KDTEZB01MT5WMMG</v>
          </cell>
          <cell r="B791" t="str">
            <v>Q3-23</v>
          </cell>
          <cell r="C791" t="str">
            <v>Europe Operations OU</v>
          </cell>
          <cell r="D791">
            <v>2674345</v>
          </cell>
          <cell r="E791" t="str">
            <v>Amazon EU SARL, succursale Italiana</v>
          </cell>
          <cell r="F791" t="str">
            <v>4A3KDTEZ</v>
          </cell>
          <cell r="G791" t="str">
            <v>B01MT5WMMG</v>
          </cell>
          <cell r="H791" t="str">
            <v>920-008221</v>
          </cell>
          <cell r="I791" t="str">
            <v>OE INVOICES</v>
          </cell>
          <cell r="J791">
            <v>44422163647</v>
          </cell>
          <cell r="K791">
            <v>44909</v>
          </cell>
          <cell r="L791">
            <v>11</v>
          </cell>
          <cell r="M791" t="str">
            <v>EUR</v>
          </cell>
          <cell r="N791">
            <v>12367.24</v>
          </cell>
          <cell r="O791">
            <v>75.41</v>
          </cell>
          <cell r="P791">
            <v>164</v>
          </cell>
          <cell r="Q791">
            <v>164</v>
          </cell>
          <cell r="R791">
            <v>0</v>
          </cell>
        </row>
        <row r="792">
          <cell r="A792" t="str">
            <v>4A3KDTEZB074KMD92K</v>
          </cell>
          <cell r="B792" t="str">
            <v>Q3-23</v>
          </cell>
          <cell r="C792" t="str">
            <v>Europe Operations OU</v>
          </cell>
          <cell r="D792">
            <v>2674345</v>
          </cell>
          <cell r="E792" t="str">
            <v>Amazon EU SARL, succursale Italiana</v>
          </cell>
          <cell r="F792" t="str">
            <v>4A3KDTEZ</v>
          </cell>
          <cell r="G792" t="str">
            <v>B074KMD92K</v>
          </cell>
          <cell r="H792" t="str">
            <v>920-008497</v>
          </cell>
          <cell r="I792" t="str">
            <v>OE INVOICES</v>
          </cell>
          <cell r="J792">
            <v>44422156323</v>
          </cell>
          <cell r="K792">
            <v>44904</v>
          </cell>
          <cell r="L792">
            <v>6</v>
          </cell>
          <cell r="M792" t="str">
            <v>EUR</v>
          </cell>
          <cell r="N792">
            <v>485</v>
          </cell>
          <cell r="O792">
            <v>121.25</v>
          </cell>
          <cell r="P792">
            <v>4</v>
          </cell>
          <cell r="Q792">
            <v>4</v>
          </cell>
          <cell r="R792">
            <v>0</v>
          </cell>
        </row>
        <row r="793">
          <cell r="A793" t="str">
            <v>4A3KDTEZB076D6KY39</v>
          </cell>
          <cell r="B793" t="str">
            <v>Q3-23</v>
          </cell>
          <cell r="C793" t="str">
            <v>Europe Operations OU</v>
          </cell>
          <cell r="D793">
            <v>2674345</v>
          </cell>
          <cell r="E793" t="str">
            <v>Amazon EU SARL, succursale Italiana</v>
          </cell>
          <cell r="F793" t="str">
            <v>4A3KDTEZ</v>
          </cell>
          <cell r="G793" t="str">
            <v>B076D6KY39</v>
          </cell>
          <cell r="H793" t="str">
            <v>920-008504</v>
          </cell>
          <cell r="I793" t="str">
            <v>OE INVOICES</v>
          </cell>
          <cell r="J793">
            <v>44422156323</v>
          </cell>
          <cell r="K793">
            <v>44904</v>
          </cell>
          <cell r="L793">
            <v>7</v>
          </cell>
          <cell r="M793" t="str">
            <v>EUR</v>
          </cell>
          <cell r="N793">
            <v>485</v>
          </cell>
          <cell r="O793">
            <v>121.25</v>
          </cell>
          <cell r="P793">
            <v>4</v>
          </cell>
          <cell r="Q793">
            <v>4</v>
          </cell>
          <cell r="R793">
            <v>0</v>
          </cell>
        </row>
        <row r="794">
          <cell r="A794" t="str">
            <v>4A3KDTEZB078MHS3SC</v>
          </cell>
          <cell r="B794" t="str">
            <v>Q3-23</v>
          </cell>
          <cell r="C794" t="str">
            <v>Europe Operations OU</v>
          </cell>
          <cell r="D794">
            <v>2674345</v>
          </cell>
          <cell r="E794" t="str">
            <v>Amazon EU SARL, succursale Italiana</v>
          </cell>
          <cell r="F794" t="str">
            <v>4A3KDTEZ</v>
          </cell>
          <cell r="G794" t="str">
            <v>B078MHS3SC</v>
          </cell>
          <cell r="H794" t="str">
            <v>988-000247</v>
          </cell>
          <cell r="I794" t="str">
            <v>OE INVOICES</v>
          </cell>
          <cell r="J794">
            <v>44422163647</v>
          </cell>
          <cell r="K794">
            <v>44909</v>
          </cell>
          <cell r="L794">
            <v>12</v>
          </cell>
          <cell r="M794" t="str">
            <v>EUR</v>
          </cell>
          <cell r="N794">
            <v>636.36</v>
          </cell>
          <cell r="O794">
            <v>159.09</v>
          </cell>
          <cell r="P794">
            <v>4</v>
          </cell>
          <cell r="Q794">
            <v>4</v>
          </cell>
          <cell r="R794">
            <v>0</v>
          </cell>
        </row>
        <row r="795">
          <cell r="A795" t="str">
            <v>4A3KDTEZB0797FYB3K</v>
          </cell>
          <cell r="B795" t="str">
            <v>Q3-23</v>
          </cell>
          <cell r="C795" t="str">
            <v>Europe Operations OU</v>
          </cell>
          <cell r="D795">
            <v>2674345</v>
          </cell>
          <cell r="E795" t="str">
            <v>Amazon EU SARL, succursale Italiana</v>
          </cell>
          <cell r="F795" t="str">
            <v>4A3KDTEZ</v>
          </cell>
          <cell r="G795" t="str">
            <v>B0797FYB3K</v>
          </cell>
          <cell r="H795" t="str">
            <v>920-008675</v>
          </cell>
          <cell r="I795" t="str">
            <v>OE INVOICES</v>
          </cell>
          <cell r="J795">
            <v>44422163647</v>
          </cell>
          <cell r="K795">
            <v>44909</v>
          </cell>
          <cell r="L795">
            <v>13</v>
          </cell>
          <cell r="M795" t="str">
            <v>EUR</v>
          </cell>
          <cell r="N795">
            <v>36892.800000000003</v>
          </cell>
          <cell r="O795">
            <v>43.92</v>
          </cell>
          <cell r="P795">
            <v>840</v>
          </cell>
          <cell r="Q795">
            <v>840</v>
          </cell>
          <cell r="R795">
            <v>0</v>
          </cell>
        </row>
        <row r="796">
          <cell r="A796" t="str">
            <v>4A3KDTEZB0797G6W5K</v>
          </cell>
          <cell r="B796" t="str">
            <v>Q3-23</v>
          </cell>
          <cell r="C796" t="str">
            <v>Europe Operations OU</v>
          </cell>
          <cell r="D796">
            <v>2674345</v>
          </cell>
          <cell r="E796" t="str">
            <v>Amazon EU SARL, succursale Italiana</v>
          </cell>
          <cell r="F796" t="str">
            <v>4A3KDTEZ</v>
          </cell>
          <cell r="G796" t="str">
            <v>B0797G6W5K</v>
          </cell>
          <cell r="H796" t="str">
            <v>920-008676</v>
          </cell>
          <cell r="I796" t="str">
            <v>OE INVOICES</v>
          </cell>
          <cell r="J796">
            <v>44422163647</v>
          </cell>
          <cell r="K796">
            <v>44909</v>
          </cell>
          <cell r="L796">
            <v>14</v>
          </cell>
          <cell r="M796" t="str">
            <v>EUR</v>
          </cell>
          <cell r="N796">
            <v>175.68</v>
          </cell>
          <cell r="O796">
            <v>43.92</v>
          </cell>
          <cell r="P796">
            <v>4</v>
          </cell>
          <cell r="Q796">
            <v>4</v>
          </cell>
          <cell r="R796">
            <v>0</v>
          </cell>
        </row>
        <row r="797">
          <cell r="A797" t="str">
            <v>4A3KDTEZB0797JRLQC</v>
          </cell>
          <cell r="B797" t="str">
            <v>Q3-23</v>
          </cell>
          <cell r="C797" t="str">
            <v>Europe Operations OU</v>
          </cell>
          <cell r="D797">
            <v>2674345</v>
          </cell>
          <cell r="E797" t="str">
            <v>Amazon EU SARL, succursale Italiana</v>
          </cell>
          <cell r="F797" t="str">
            <v>4A3KDTEZ</v>
          </cell>
          <cell r="G797" t="str">
            <v>B0797JRLQC</v>
          </cell>
          <cell r="H797" t="str">
            <v>920-008684</v>
          </cell>
          <cell r="I797" t="str">
            <v>OE INVOICES</v>
          </cell>
          <cell r="J797">
            <v>44422163647</v>
          </cell>
          <cell r="K797">
            <v>44909</v>
          </cell>
          <cell r="L797">
            <v>15</v>
          </cell>
          <cell r="M797" t="str">
            <v>EUR</v>
          </cell>
          <cell r="N797">
            <v>351.36</v>
          </cell>
          <cell r="O797">
            <v>43.92</v>
          </cell>
          <cell r="P797">
            <v>8</v>
          </cell>
          <cell r="Q797">
            <v>8</v>
          </cell>
          <cell r="R797">
            <v>0</v>
          </cell>
        </row>
        <row r="798">
          <cell r="A798" t="str">
            <v>4A3KDTEZB0797LMGXH</v>
          </cell>
          <cell r="B798" t="str">
            <v>Q3-23</v>
          </cell>
          <cell r="C798" t="str">
            <v>Europe Operations OU</v>
          </cell>
          <cell r="D798">
            <v>2674345</v>
          </cell>
          <cell r="E798" t="str">
            <v>Amazon EU SARL, succursale Italiana</v>
          </cell>
          <cell r="F798" t="str">
            <v>4A3KDTEZ</v>
          </cell>
          <cell r="G798" t="str">
            <v>B0797LMGXH</v>
          </cell>
          <cell r="H798" t="str">
            <v>920-008680</v>
          </cell>
          <cell r="I798" t="str">
            <v>OE INVOICES</v>
          </cell>
          <cell r="J798">
            <v>44422163647</v>
          </cell>
          <cell r="K798">
            <v>44909</v>
          </cell>
          <cell r="L798">
            <v>16</v>
          </cell>
          <cell r="M798" t="str">
            <v>EUR</v>
          </cell>
          <cell r="N798">
            <v>1581.12</v>
          </cell>
          <cell r="O798">
            <v>43.92</v>
          </cell>
          <cell r="P798">
            <v>36</v>
          </cell>
          <cell r="Q798">
            <v>36</v>
          </cell>
          <cell r="R798">
            <v>0</v>
          </cell>
        </row>
        <row r="799">
          <cell r="A799" t="str">
            <v>4A3KDTEZB079YHHPF2</v>
          </cell>
          <cell r="B799" t="str">
            <v>Q3-23</v>
          </cell>
          <cell r="C799" t="str">
            <v>Europe Operations OU</v>
          </cell>
          <cell r="D799">
            <v>2674345</v>
          </cell>
          <cell r="E799" t="str">
            <v>Amazon EU SARL, succursale Italiana</v>
          </cell>
          <cell r="F799" t="str">
            <v>4A3KDTEZ</v>
          </cell>
          <cell r="G799" t="str">
            <v>B079YHHPF2</v>
          </cell>
          <cell r="H799" t="str">
            <v>920-008685</v>
          </cell>
          <cell r="I799" t="str">
            <v>OE INVOICES</v>
          </cell>
          <cell r="J799">
            <v>44422163647</v>
          </cell>
          <cell r="K799">
            <v>44909</v>
          </cell>
          <cell r="L799">
            <v>17</v>
          </cell>
          <cell r="M799" t="str">
            <v>EUR</v>
          </cell>
          <cell r="N799">
            <v>351.36</v>
          </cell>
          <cell r="O799">
            <v>43.92</v>
          </cell>
          <cell r="P799">
            <v>8</v>
          </cell>
          <cell r="Q799">
            <v>8</v>
          </cell>
          <cell r="R799">
            <v>0</v>
          </cell>
        </row>
        <row r="800">
          <cell r="A800" t="str">
            <v>4A3KDTEZB079Z3DSBK</v>
          </cell>
          <cell r="B800" t="str">
            <v>Q3-23</v>
          </cell>
          <cell r="C800" t="str">
            <v>Europe Operations OU</v>
          </cell>
          <cell r="D800">
            <v>2674345</v>
          </cell>
          <cell r="E800" t="str">
            <v>Amazon EU SARL, succursale Italiana</v>
          </cell>
          <cell r="F800" t="str">
            <v>4A3KDTEZ</v>
          </cell>
          <cell r="G800" t="str">
            <v>B079Z3DSBK</v>
          </cell>
          <cell r="H800" t="str">
            <v>945-000059</v>
          </cell>
          <cell r="I800" t="str">
            <v>OE INVOICES</v>
          </cell>
          <cell r="J800">
            <v>44422163647</v>
          </cell>
          <cell r="K800">
            <v>44909</v>
          </cell>
          <cell r="L800">
            <v>18</v>
          </cell>
          <cell r="M800" t="str">
            <v>EUR</v>
          </cell>
          <cell r="N800">
            <v>1893.12</v>
          </cell>
          <cell r="O800">
            <v>157.76</v>
          </cell>
          <cell r="P800">
            <v>12</v>
          </cell>
          <cell r="Q800">
            <v>12</v>
          </cell>
          <cell r="R800">
            <v>0</v>
          </cell>
        </row>
        <row r="801">
          <cell r="A801" t="str">
            <v>4A3KDTEZB07JB68RTK</v>
          </cell>
          <cell r="B801" t="str">
            <v>Q3-23</v>
          </cell>
          <cell r="C801" t="str">
            <v>Europe Operations OU</v>
          </cell>
          <cell r="D801">
            <v>2674345</v>
          </cell>
          <cell r="E801" t="str">
            <v>Amazon EU SARL, succursale Italiana</v>
          </cell>
          <cell r="F801" t="str">
            <v>4A3KDTEZ</v>
          </cell>
          <cell r="G801" t="str">
            <v>B07JB68RTK</v>
          </cell>
          <cell r="H801" t="str">
            <v>920-008939</v>
          </cell>
          <cell r="I801" t="str">
            <v>OE INVOICES</v>
          </cell>
          <cell r="J801">
            <v>44422163647</v>
          </cell>
          <cell r="K801">
            <v>44909</v>
          </cell>
          <cell r="L801">
            <v>19</v>
          </cell>
          <cell r="M801" t="str">
            <v>EUR</v>
          </cell>
          <cell r="N801">
            <v>586.72</v>
          </cell>
          <cell r="O801">
            <v>73.34</v>
          </cell>
          <cell r="P801">
            <v>8</v>
          </cell>
          <cell r="Q801">
            <v>8</v>
          </cell>
          <cell r="R801">
            <v>0</v>
          </cell>
        </row>
        <row r="802">
          <cell r="A802" t="str">
            <v>4A3KDTEZB07VTRZLWJ</v>
          </cell>
          <cell r="B802" t="str">
            <v>Q3-23</v>
          </cell>
          <cell r="C802" t="str">
            <v>Europe Operations OU</v>
          </cell>
          <cell r="D802">
            <v>2674345</v>
          </cell>
          <cell r="E802" t="str">
            <v>Amazon EU SARL, succursale Italiana</v>
          </cell>
          <cell r="F802" t="str">
            <v>4A3KDTEZ</v>
          </cell>
          <cell r="G802" t="str">
            <v>B07VTRZLWJ</v>
          </cell>
          <cell r="H802" t="str">
            <v>920-008904</v>
          </cell>
          <cell r="I802" t="str">
            <v>OE INVOICES</v>
          </cell>
          <cell r="J802">
            <v>44422163647</v>
          </cell>
          <cell r="K802">
            <v>44909</v>
          </cell>
          <cell r="L802">
            <v>20</v>
          </cell>
          <cell r="M802" t="str">
            <v>EUR</v>
          </cell>
          <cell r="N802">
            <v>8515.7999999999993</v>
          </cell>
          <cell r="O802">
            <v>141.93</v>
          </cell>
          <cell r="P802">
            <v>60</v>
          </cell>
          <cell r="Q802">
            <v>60</v>
          </cell>
          <cell r="R802">
            <v>0</v>
          </cell>
        </row>
        <row r="803">
          <cell r="A803" t="str">
            <v>4A3KDTEZB07W4DHXFT</v>
          </cell>
          <cell r="B803" t="str">
            <v>Q3-23</v>
          </cell>
          <cell r="C803" t="str">
            <v>Europe Operations OU</v>
          </cell>
          <cell r="D803">
            <v>2674345</v>
          </cell>
          <cell r="E803" t="str">
            <v>Amazon EU SARL, succursale Italiana</v>
          </cell>
          <cell r="F803" t="str">
            <v>4A3KDTEZ</v>
          </cell>
          <cell r="G803" t="str">
            <v>B07W4DHXFT</v>
          </cell>
          <cell r="H803" t="str">
            <v>920-010913</v>
          </cell>
          <cell r="I803" t="str">
            <v>OE INVOICES</v>
          </cell>
          <cell r="J803">
            <v>44422163647</v>
          </cell>
          <cell r="K803">
            <v>44909</v>
          </cell>
          <cell r="L803">
            <v>21</v>
          </cell>
          <cell r="M803" t="str">
            <v>EUR</v>
          </cell>
          <cell r="N803">
            <v>1803.76</v>
          </cell>
          <cell r="O803">
            <v>32.21</v>
          </cell>
          <cell r="P803">
            <v>56</v>
          </cell>
          <cell r="Q803">
            <v>56</v>
          </cell>
          <cell r="R803">
            <v>0</v>
          </cell>
        </row>
        <row r="804">
          <cell r="A804" t="str">
            <v>4A3KDTEZB07W5JJPFH</v>
          </cell>
          <cell r="B804" t="str">
            <v>Q3-23</v>
          </cell>
          <cell r="C804" t="str">
            <v>Europe Operations OU</v>
          </cell>
          <cell r="D804">
            <v>2674345</v>
          </cell>
          <cell r="E804" t="str">
            <v>Amazon EU SARL, succursale Italiana</v>
          </cell>
          <cell r="F804" t="str">
            <v>4A3KDTEZ</v>
          </cell>
          <cell r="G804" t="str">
            <v>B07W5JJPFH</v>
          </cell>
          <cell r="H804" t="str">
            <v>920-010022</v>
          </cell>
          <cell r="I804" t="str">
            <v>OE INVOICES</v>
          </cell>
          <cell r="J804">
            <v>44422163647</v>
          </cell>
          <cell r="K804">
            <v>44909</v>
          </cell>
          <cell r="L804">
            <v>22</v>
          </cell>
          <cell r="M804" t="str">
            <v>EUR</v>
          </cell>
          <cell r="N804">
            <v>163.9</v>
          </cell>
          <cell r="O804">
            <v>16.39</v>
          </cell>
          <cell r="P804">
            <v>10</v>
          </cell>
          <cell r="Q804">
            <v>10</v>
          </cell>
          <cell r="R804">
            <v>0</v>
          </cell>
        </row>
        <row r="805">
          <cell r="A805" t="str">
            <v>4A3KDTEZB07W6GVS5C</v>
          </cell>
          <cell r="B805" t="str">
            <v>Q3-23</v>
          </cell>
          <cell r="C805" t="str">
            <v>Europe Operations OU</v>
          </cell>
          <cell r="D805">
            <v>2674345</v>
          </cell>
          <cell r="E805" t="str">
            <v>Amazon EU SARL, succursale Italiana</v>
          </cell>
          <cell r="F805" t="str">
            <v>4A3KDTEZ</v>
          </cell>
          <cell r="G805" t="str">
            <v>B07W6GVS5C</v>
          </cell>
          <cell r="H805" t="str">
            <v>920-009439</v>
          </cell>
          <cell r="I805" t="str">
            <v>OE INVOICES</v>
          </cell>
          <cell r="J805">
            <v>44422163647</v>
          </cell>
          <cell r="K805">
            <v>44909</v>
          </cell>
          <cell r="L805">
            <v>23</v>
          </cell>
          <cell r="M805" t="str">
            <v>EUR</v>
          </cell>
          <cell r="N805">
            <v>1793.6</v>
          </cell>
          <cell r="O805">
            <v>44.84</v>
          </cell>
          <cell r="P805">
            <v>40</v>
          </cell>
          <cell r="Q805">
            <v>40</v>
          </cell>
          <cell r="R805">
            <v>0</v>
          </cell>
        </row>
        <row r="806">
          <cell r="A806" t="str">
            <v>4A3KDTEZB07W6JB7N7</v>
          </cell>
          <cell r="B806" t="str">
            <v>Q3-23</v>
          </cell>
          <cell r="C806" t="str">
            <v>Europe Operations OU</v>
          </cell>
          <cell r="D806">
            <v>2674345</v>
          </cell>
          <cell r="E806" t="str">
            <v>Amazon EU SARL, succursale Italiana</v>
          </cell>
          <cell r="F806" t="str">
            <v>4A3KDTEZ</v>
          </cell>
          <cell r="G806" t="str">
            <v>B07W6JB7N7</v>
          </cell>
          <cell r="H806" t="str">
            <v>941-000150</v>
          </cell>
          <cell r="I806" t="str">
            <v>OE INVOICES</v>
          </cell>
          <cell r="J806">
            <v>44422163647</v>
          </cell>
          <cell r="K806">
            <v>44909</v>
          </cell>
          <cell r="L806">
            <v>24</v>
          </cell>
          <cell r="M806" t="str">
            <v>EUR</v>
          </cell>
          <cell r="N806">
            <v>210.52</v>
          </cell>
          <cell r="O806">
            <v>210.52</v>
          </cell>
          <cell r="P806">
            <v>1</v>
          </cell>
          <cell r="Q806">
            <v>1</v>
          </cell>
          <cell r="R806">
            <v>0</v>
          </cell>
        </row>
        <row r="807">
          <cell r="A807" t="str">
            <v>4A3KDTEZB07W6JGH91</v>
          </cell>
          <cell r="B807" t="str">
            <v>Q3-23</v>
          </cell>
          <cell r="C807" t="str">
            <v>Europe Operations OU</v>
          </cell>
          <cell r="D807">
            <v>2674345</v>
          </cell>
          <cell r="E807" t="str">
            <v>Amazon EU SARL, succursale Italiana</v>
          </cell>
          <cell r="F807" t="str">
            <v>4A3KDTEZ</v>
          </cell>
          <cell r="G807" t="str">
            <v>B07W6JGH91</v>
          </cell>
          <cell r="H807" t="str">
            <v>920-011022</v>
          </cell>
          <cell r="I807" t="str">
            <v>OE INVOICES</v>
          </cell>
          <cell r="J807">
            <v>44422163647</v>
          </cell>
          <cell r="K807">
            <v>44909</v>
          </cell>
          <cell r="L807">
            <v>25</v>
          </cell>
          <cell r="M807" t="str">
            <v>EUR</v>
          </cell>
          <cell r="N807">
            <v>244.48</v>
          </cell>
          <cell r="O807">
            <v>61.12</v>
          </cell>
          <cell r="P807">
            <v>4</v>
          </cell>
          <cell r="Q807">
            <v>4</v>
          </cell>
          <cell r="R807">
            <v>0</v>
          </cell>
        </row>
        <row r="808">
          <cell r="A808" t="str">
            <v>4A3KDTEZB07W6JLQCY</v>
          </cell>
          <cell r="B808" t="str">
            <v>Q3-23</v>
          </cell>
          <cell r="C808" t="str">
            <v>Europe Operations OU</v>
          </cell>
          <cell r="D808">
            <v>2674345</v>
          </cell>
          <cell r="E808" t="str">
            <v>Amazon EU SARL, succursale Italiana</v>
          </cell>
          <cell r="F808" t="str">
            <v>4A3KDTEZ</v>
          </cell>
          <cell r="G808" t="str">
            <v>B07W6JLQCY</v>
          </cell>
          <cell r="H808" t="str">
            <v>920-010107</v>
          </cell>
          <cell r="I808" t="str">
            <v>OE INVOICES</v>
          </cell>
          <cell r="J808">
            <v>44422163647</v>
          </cell>
          <cell r="K808">
            <v>44909</v>
          </cell>
          <cell r="L808">
            <v>26</v>
          </cell>
          <cell r="M808" t="str">
            <v>EUR</v>
          </cell>
          <cell r="N808">
            <v>299.36</v>
          </cell>
          <cell r="O808">
            <v>74.84</v>
          </cell>
          <cell r="P808">
            <v>4</v>
          </cell>
          <cell r="Q808">
            <v>4</v>
          </cell>
          <cell r="R808">
            <v>0</v>
          </cell>
        </row>
        <row r="809">
          <cell r="A809" t="str">
            <v>4A3KDTEZB07W6JPFH1</v>
          </cell>
          <cell r="B809" t="str">
            <v>Q3-23</v>
          </cell>
          <cell r="C809" t="str">
            <v>Europe Operations OU</v>
          </cell>
          <cell r="D809">
            <v>2674345</v>
          </cell>
          <cell r="E809" t="str">
            <v>Amazon EU SARL, succursale Italiana</v>
          </cell>
          <cell r="F809" t="str">
            <v>4A3KDTEZ</v>
          </cell>
          <cell r="G809" t="str">
            <v>B07W6JPFH1</v>
          </cell>
          <cell r="H809" t="str">
            <v>920-009089</v>
          </cell>
          <cell r="I809" t="str">
            <v>OE INVOICES</v>
          </cell>
          <cell r="J809">
            <v>44422163647</v>
          </cell>
          <cell r="K809">
            <v>44909</v>
          </cell>
          <cell r="L809">
            <v>27</v>
          </cell>
          <cell r="M809" t="str">
            <v>EUR</v>
          </cell>
          <cell r="N809">
            <v>2646.48</v>
          </cell>
          <cell r="O809">
            <v>110.27</v>
          </cell>
          <cell r="P809">
            <v>24</v>
          </cell>
          <cell r="Q809">
            <v>24</v>
          </cell>
          <cell r="R809">
            <v>0</v>
          </cell>
        </row>
        <row r="810">
          <cell r="A810" t="str">
            <v>4A3KDTEZB07W6JPZBL</v>
          </cell>
          <cell r="B810" t="str">
            <v>Q3-23</v>
          </cell>
          <cell r="C810" t="str">
            <v>Europe Operations OU</v>
          </cell>
          <cell r="D810">
            <v>2674345</v>
          </cell>
          <cell r="E810" t="str">
            <v>Amazon EU SARL, succursale Italiana</v>
          </cell>
          <cell r="F810" t="str">
            <v>4A3KDTEZ</v>
          </cell>
          <cell r="G810" t="str">
            <v>B07W6JPZBL</v>
          </cell>
          <cell r="H810" t="str">
            <v>984-001804</v>
          </cell>
          <cell r="I810" t="str">
            <v>OE INVOICES</v>
          </cell>
          <cell r="J810">
            <v>44422163647</v>
          </cell>
          <cell r="K810">
            <v>44909</v>
          </cell>
          <cell r="L810">
            <v>28</v>
          </cell>
          <cell r="M810" t="str">
            <v>EUR</v>
          </cell>
          <cell r="N810">
            <v>10091.34</v>
          </cell>
          <cell r="O810">
            <v>240.27</v>
          </cell>
          <cell r="P810">
            <v>42</v>
          </cell>
          <cell r="Q810">
            <v>42</v>
          </cell>
          <cell r="R810">
            <v>0</v>
          </cell>
        </row>
        <row r="811">
          <cell r="A811" t="str">
            <v>4A3KDTEZB07W7KFFFF</v>
          </cell>
          <cell r="B811" t="str">
            <v>Q3-23</v>
          </cell>
          <cell r="C811" t="str">
            <v>Europe Operations OU</v>
          </cell>
          <cell r="D811">
            <v>2674345</v>
          </cell>
          <cell r="E811" t="str">
            <v>Amazon EU SARL, succursale Italiana</v>
          </cell>
          <cell r="F811" t="str">
            <v>4A3KDTEZ</v>
          </cell>
          <cell r="G811" t="str">
            <v>B07W7KFFFF</v>
          </cell>
          <cell r="H811" t="str">
            <v>941-000149</v>
          </cell>
          <cell r="I811" t="str">
            <v>OE INVOICES</v>
          </cell>
          <cell r="J811">
            <v>44422163647</v>
          </cell>
          <cell r="K811">
            <v>44909</v>
          </cell>
          <cell r="L811">
            <v>29</v>
          </cell>
          <cell r="M811" t="str">
            <v>EUR</v>
          </cell>
          <cell r="N811">
            <v>3168.9</v>
          </cell>
          <cell r="O811">
            <v>226.35</v>
          </cell>
          <cell r="P811">
            <v>14</v>
          </cell>
          <cell r="Q811">
            <v>14</v>
          </cell>
          <cell r="R811">
            <v>0</v>
          </cell>
        </row>
        <row r="812">
          <cell r="A812" t="str">
            <v>4A3KDTEZB07W7KFLBN</v>
          </cell>
          <cell r="B812" t="str">
            <v>Q3-23</v>
          </cell>
          <cell r="C812" t="str">
            <v>Europe Operations OU</v>
          </cell>
          <cell r="D812">
            <v>2674345</v>
          </cell>
          <cell r="E812" t="str">
            <v>Amazon EU SARL, succursale Italiana</v>
          </cell>
          <cell r="F812" t="str">
            <v>4A3KDTEZ</v>
          </cell>
          <cell r="G812" t="str">
            <v>B07W7KFLBN</v>
          </cell>
          <cell r="H812" t="str">
            <v>920-009799</v>
          </cell>
          <cell r="I812" t="str">
            <v>OE INVOICES</v>
          </cell>
          <cell r="J812">
            <v>44422163647</v>
          </cell>
          <cell r="K812">
            <v>44909</v>
          </cell>
          <cell r="L812">
            <v>30</v>
          </cell>
          <cell r="M812" t="str">
            <v>EUR</v>
          </cell>
          <cell r="N812">
            <v>522</v>
          </cell>
          <cell r="O812">
            <v>29</v>
          </cell>
          <cell r="P812">
            <v>18</v>
          </cell>
          <cell r="Q812">
            <v>18</v>
          </cell>
          <cell r="R812">
            <v>0</v>
          </cell>
        </row>
        <row r="813">
          <cell r="A813" t="str">
            <v>4A3KDTEZB07W7KJC28</v>
          </cell>
          <cell r="B813" t="str">
            <v>Q3-23</v>
          </cell>
          <cell r="C813" t="str">
            <v>Europe Operations OU</v>
          </cell>
          <cell r="D813">
            <v>2674345</v>
          </cell>
          <cell r="E813" t="str">
            <v>Amazon EU SARL, succursale Italiana</v>
          </cell>
          <cell r="F813" t="str">
            <v>4A3KDTEZ</v>
          </cell>
          <cell r="G813" t="str">
            <v>B07W7KJC28</v>
          </cell>
          <cell r="H813" t="str">
            <v>920-009821</v>
          </cell>
          <cell r="I813" t="str">
            <v>OE INVOICES</v>
          </cell>
          <cell r="J813">
            <v>44422163647</v>
          </cell>
          <cell r="K813">
            <v>44909</v>
          </cell>
          <cell r="L813">
            <v>31</v>
          </cell>
          <cell r="M813" t="str">
            <v>EUR</v>
          </cell>
          <cell r="N813">
            <v>174</v>
          </cell>
          <cell r="O813">
            <v>29</v>
          </cell>
          <cell r="P813">
            <v>6</v>
          </cell>
          <cell r="Q813">
            <v>6</v>
          </cell>
          <cell r="R813">
            <v>0</v>
          </cell>
        </row>
        <row r="814">
          <cell r="A814" t="str">
            <v>4A3KDTEZB07W7MSGPL</v>
          </cell>
          <cell r="B814" t="str">
            <v>Q3-23</v>
          </cell>
          <cell r="C814" t="str">
            <v>Europe Operations OU</v>
          </cell>
          <cell r="D814">
            <v>2674345</v>
          </cell>
          <cell r="E814" t="str">
            <v>Amazon EU SARL, succursale Italiana</v>
          </cell>
          <cell r="F814" t="str">
            <v>4A3KDTEZ</v>
          </cell>
          <cell r="G814" t="str">
            <v>B07W7MSGPL</v>
          </cell>
          <cell r="H814" t="str">
            <v>920-009088</v>
          </cell>
          <cell r="I814" t="str">
            <v>OE INVOICES</v>
          </cell>
          <cell r="J814">
            <v>44422163647</v>
          </cell>
          <cell r="K814">
            <v>44909</v>
          </cell>
          <cell r="L814">
            <v>32</v>
          </cell>
          <cell r="M814" t="str">
            <v>EUR</v>
          </cell>
          <cell r="N814">
            <v>882.16</v>
          </cell>
          <cell r="O814">
            <v>110.27</v>
          </cell>
          <cell r="P814">
            <v>8</v>
          </cell>
          <cell r="Q814">
            <v>8</v>
          </cell>
          <cell r="R814">
            <v>0</v>
          </cell>
        </row>
        <row r="815">
          <cell r="A815" t="str">
            <v>4AP423UWB00CJ5FP04</v>
          </cell>
          <cell r="B815" t="str">
            <v>Q3-23</v>
          </cell>
          <cell r="C815" t="str">
            <v>Europe Operations OU</v>
          </cell>
          <cell r="D815">
            <v>2674345</v>
          </cell>
          <cell r="E815" t="str">
            <v>Amazon EU SARL, succursale Italiana</v>
          </cell>
          <cell r="F815" t="str">
            <v>4AP423UW</v>
          </cell>
          <cell r="G815" t="str">
            <v>B00CJ5FP04</v>
          </cell>
          <cell r="H815" t="str">
            <v>940-000135</v>
          </cell>
          <cell r="I815" t="str">
            <v>OE INVOICES</v>
          </cell>
          <cell r="J815">
            <v>44422133402</v>
          </cell>
          <cell r="K815">
            <v>44890</v>
          </cell>
          <cell r="L815">
            <v>1</v>
          </cell>
          <cell r="M815" t="str">
            <v>EUR</v>
          </cell>
          <cell r="N815">
            <v>506.4</v>
          </cell>
          <cell r="O815">
            <v>21.1</v>
          </cell>
          <cell r="P815">
            <v>24</v>
          </cell>
          <cell r="Q815">
            <v>24</v>
          </cell>
          <cell r="R815">
            <v>0</v>
          </cell>
        </row>
        <row r="816">
          <cell r="A816" t="str">
            <v>4AP423UWB00ZOOKDU4</v>
          </cell>
          <cell r="B816" t="str">
            <v>Q3-23</v>
          </cell>
          <cell r="C816" t="str">
            <v>Europe Operations OU</v>
          </cell>
          <cell r="D816">
            <v>2674345</v>
          </cell>
          <cell r="E816" t="str">
            <v>Amazon EU SARL, succursale Italiana</v>
          </cell>
          <cell r="F816" t="str">
            <v>4AP423UW</v>
          </cell>
          <cell r="G816" t="str">
            <v>B00ZOOKDU4</v>
          </cell>
          <cell r="H816" t="str">
            <v>981-000589</v>
          </cell>
          <cell r="I816" t="str">
            <v>OE INVOICES</v>
          </cell>
          <cell r="J816">
            <v>44422133402</v>
          </cell>
          <cell r="K816">
            <v>44890</v>
          </cell>
          <cell r="L816">
            <v>2</v>
          </cell>
          <cell r="M816" t="str">
            <v>EUR</v>
          </cell>
          <cell r="N816">
            <v>1573.44</v>
          </cell>
          <cell r="O816">
            <v>16.39</v>
          </cell>
          <cell r="P816">
            <v>96</v>
          </cell>
          <cell r="Q816">
            <v>96</v>
          </cell>
          <cell r="R816">
            <v>0</v>
          </cell>
        </row>
        <row r="817">
          <cell r="A817" t="str">
            <v>4AP423UWB00ZOZZM4U</v>
          </cell>
          <cell r="B817" t="str">
            <v>Q3-23</v>
          </cell>
          <cell r="C817" t="str">
            <v>Europe Operations OU</v>
          </cell>
          <cell r="D817">
            <v>2674345</v>
          </cell>
          <cell r="E817" t="str">
            <v>Amazon EU SARL, succursale Italiana</v>
          </cell>
          <cell r="F817" t="str">
            <v>4AP423UW</v>
          </cell>
          <cell r="G817" t="str">
            <v>B00ZOZZM4U</v>
          </cell>
          <cell r="H817" t="str">
            <v>981-000593</v>
          </cell>
          <cell r="I817" t="str">
            <v>OE INVOICES</v>
          </cell>
          <cell r="J817">
            <v>44422133402</v>
          </cell>
          <cell r="K817">
            <v>44890</v>
          </cell>
          <cell r="L817">
            <v>3</v>
          </cell>
          <cell r="M817" t="str">
            <v>EUR</v>
          </cell>
          <cell r="N817">
            <v>618.24</v>
          </cell>
          <cell r="O817">
            <v>12.88</v>
          </cell>
          <cell r="P817">
            <v>48</v>
          </cell>
          <cell r="Q817">
            <v>48</v>
          </cell>
          <cell r="R817">
            <v>0</v>
          </cell>
        </row>
        <row r="818">
          <cell r="A818" t="str">
            <v>4AP423UWB01MQ0GFUH</v>
          </cell>
          <cell r="B818" t="str">
            <v>Q3-23</v>
          </cell>
          <cell r="C818" t="str">
            <v>Europe Operations OU</v>
          </cell>
          <cell r="D818">
            <v>2674345</v>
          </cell>
          <cell r="E818" t="str">
            <v>Amazon EU SARL, succursale Italiana</v>
          </cell>
          <cell r="F818" t="str">
            <v>4AP423UW</v>
          </cell>
          <cell r="G818" t="str">
            <v>B01MQ0GFUH</v>
          </cell>
          <cell r="H818" t="str">
            <v>945-000012</v>
          </cell>
          <cell r="I818" t="str">
            <v>OE INVOICES</v>
          </cell>
          <cell r="J818">
            <v>44422133402</v>
          </cell>
          <cell r="K818">
            <v>44890</v>
          </cell>
          <cell r="L818">
            <v>4</v>
          </cell>
          <cell r="M818" t="str">
            <v>EUR</v>
          </cell>
          <cell r="N818">
            <v>896.8</v>
          </cell>
          <cell r="O818">
            <v>44.84</v>
          </cell>
          <cell r="P818">
            <v>20</v>
          </cell>
          <cell r="Q818">
            <v>20</v>
          </cell>
          <cell r="R818">
            <v>0</v>
          </cell>
        </row>
        <row r="819">
          <cell r="A819" t="str">
            <v>4AP423UWB07QNYCLBJ</v>
          </cell>
          <cell r="B819" t="str">
            <v>Q3-23</v>
          </cell>
          <cell r="C819" t="str">
            <v>Europe Operations OU</v>
          </cell>
          <cell r="D819">
            <v>2674345</v>
          </cell>
          <cell r="E819" t="str">
            <v>Amazon EU SARL, succursale Italiana</v>
          </cell>
          <cell r="F819" t="str">
            <v>4AP423UW</v>
          </cell>
          <cell r="G819" t="str">
            <v>B07QNYCLBJ</v>
          </cell>
          <cell r="H819" t="str">
            <v>910-005567</v>
          </cell>
          <cell r="I819" t="str">
            <v>OE INVOICES</v>
          </cell>
          <cell r="J819">
            <v>44422133402</v>
          </cell>
          <cell r="K819">
            <v>44890</v>
          </cell>
          <cell r="L819">
            <v>5</v>
          </cell>
          <cell r="M819" t="str">
            <v>EUR</v>
          </cell>
          <cell r="N819">
            <v>6711.2</v>
          </cell>
          <cell r="O819">
            <v>83.89</v>
          </cell>
          <cell r="P819">
            <v>80</v>
          </cell>
          <cell r="Q819">
            <v>80</v>
          </cell>
          <cell r="R819">
            <v>0</v>
          </cell>
        </row>
        <row r="820">
          <cell r="A820" t="str">
            <v>4AP423UWB07W5JJVFM</v>
          </cell>
          <cell r="B820" t="str">
            <v>Q3-23</v>
          </cell>
          <cell r="C820" t="str">
            <v>Europe Operations OU</v>
          </cell>
          <cell r="D820">
            <v>2674345</v>
          </cell>
          <cell r="E820" t="str">
            <v>Amazon EU SARL, succursale Italiana</v>
          </cell>
          <cell r="F820" t="str">
            <v>4AP423UW</v>
          </cell>
          <cell r="G820" t="str">
            <v>B07W5JJVFM</v>
          </cell>
          <cell r="H820" t="str">
            <v>956-000053</v>
          </cell>
          <cell r="I820" t="str">
            <v>OE INVOICES</v>
          </cell>
          <cell r="J820">
            <v>44422133402</v>
          </cell>
          <cell r="K820">
            <v>44890</v>
          </cell>
          <cell r="L820">
            <v>6</v>
          </cell>
          <cell r="M820" t="str">
            <v>EUR</v>
          </cell>
          <cell r="N820">
            <v>177.8</v>
          </cell>
          <cell r="O820">
            <v>8.89</v>
          </cell>
          <cell r="P820">
            <v>20</v>
          </cell>
          <cell r="Q820">
            <v>20</v>
          </cell>
          <cell r="R820">
            <v>0</v>
          </cell>
        </row>
        <row r="821">
          <cell r="A821" t="str">
            <v>4AP423UWB07W5JK3Z2</v>
          </cell>
          <cell r="B821" t="str">
            <v>Q3-23</v>
          </cell>
          <cell r="C821" t="str">
            <v>Europe Operations OU</v>
          </cell>
          <cell r="D821">
            <v>2674345</v>
          </cell>
          <cell r="E821" t="str">
            <v>Amazon EU SARL, succursale Italiana</v>
          </cell>
          <cell r="F821" t="str">
            <v>4AP423UW</v>
          </cell>
          <cell r="G821" t="str">
            <v>B07W5JK3Z2</v>
          </cell>
          <cell r="H821" t="str">
            <v>956-000052</v>
          </cell>
          <cell r="I821" t="str">
            <v>OE INVOICES</v>
          </cell>
          <cell r="J821">
            <v>44422144967</v>
          </cell>
          <cell r="K821">
            <v>44897</v>
          </cell>
          <cell r="L821">
            <v>1</v>
          </cell>
          <cell r="M821" t="str">
            <v>EUR</v>
          </cell>
          <cell r="N821">
            <v>355.6</v>
          </cell>
          <cell r="O821">
            <v>8.89</v>
          </cell>
          <cell r="P821">
            <v>40</v>
          </cell>
          <cell r="Q821">
            <v>40</v>
          </cell>
          <cell r="R821">
            <v>0</v>
          </cell>
        </row>
        <row r="822">
          <cell r="A822" t="str">
            <v>4DNB5NLZB079YHHPF2</v>
          </cell>
          <cell r="B822" t="str">
            <v>Q3-23</v>
          </cell>
          <cell r="C822" t="str">
            <v>Europe Operations OU</v>
          </cell>
          <cell r="D822">
            <v>2674345</v>
          </cell>
          <cell r="E822" t="str">
            <v>Amazon EU SARL, succursale Italiana</v>
          </cell>
          <cell r="F822" t="str">
            <v>4DNB5NLZ</v>
          </cell>
          <cell r="G822" t="str">
            <v>B079YHHPF2</v>
          </cell>
          <cell r="H822" t="str">
            <v>920-008685</v>
          </cell>
          <cell r="I822" t="str">
            <v>OE INVOICES</v>
          </cell>
          <cell r="J822">
            <v>44422157424</v>
          </cell>
          <cell r="K822">
            <v>44904</v>
          </cell>
          <cell r="L822">
            <v>1</v>
          </cell>
          <cell r="M822" t="str">
            <v>EUR</v>
          </cell>
          <cell r="N822">
            <v>175.68</v>
          </cell>
          <cell r="O822">
            <v>43.92</v>
          </cell>
          <cell r="P822">
            <v>4</v>
          </cell>
          <cell r="Q822">
            <v>4</v>
          </cell>
          <cell r="R822">
            <v>0</v>
          </cell>
        </row>
        <row r="823">
          <cell r="A823" t="str">
            <v>4E16R26MB003V0QEV0</v>
          </cell>
          <cell r="B823" t="str">
            <v>Q3-23</v>
          </cell>
          <cell r="C823" t="str">
            <v>Europe Operations OU</v>
          </cell>
          <cell r="D823">
            <v>2674345</v>
          </cell>
          <cell r="E823" t="str">
            <v>Amazon EU SARL, succursale Italiana</v>
          </cell>
          <cell r="F823" t="str">
            <v>4E16R26M</v>
          </cell>
          <cell r="G823" t="str">
            <v>B003V0QEV0</v>
          </cell>
          <cell r="H823" t="str">
            <v>920-002515</v>
          </cell>
          <cell r="I823" t="str">
            <v>OE INVOICES</v>
          </cell>
          <cell r="J823">
            <v>44422176510</v>
          </cell>
          <cell r="K823">
            <v>44922</v>
          </cell>
          <cell r="L823">
            <v>1</v>
          </cell>
          <cell r="M823" t="str">
            <v>EUR</v>
          </cell>
          <cell r="N823">
            <v>468</v>
          </cell>
          <cell r="O823">
            <v>9.36</v>
          </cell>
          <cell r="P823">
            <v>50</v>
          </cell>
          <cell r="Q823">
            <v>50</v>
          </cell>
          <cell r="R823">
            <v>0</v>
          </cell>
        </row>
        <row r="824">
          <cell r="A824" t="str">
            <v>4E16R26MB003V4A5UW</v>
          </cell>
          <cell r="B824" t="str">
            <v>Q4-23</v>
          </cell>
          <cell r="C824" t="str">
            <v>Europe Operations OU</v>
          </cell>
          <cell r="D824">
            <v>2674345</v>
          </cell>
          <cell r="E824" t="str">
            <v>Amazon EU SARL, succursale Italiana</v>
          </cell>
          <cell r="F824" t="str">
            <v>4E16R26M</v>
          </cell>
          <cell r="G824" t="str">
            <v>B003V4A5UW</v>
          </cell>
          <cell r="H824" t="str">
            <v>920-002539</v>
          </cell>
          <cell r="I824" t="str">
            <v>OE INVOICES</v>
          </cell>
          <cell r="J824">
            <v>44422188437</v>
          </cell>
          <cell r="K824">
            <v>44931</v>
          </cell>
          <cell r="L824">
            <v>1</v>
          </cell>
          <cell r="M824" t="str">
            <v>EUR</v>
          </cell>
          <cell r="N824">
            <v>702.4</v>
          </cell>
          <cell r="O824">
            <v>17.559999999999999</v>
          </cell>
          <cell r="P824">
            <v>40</v>
          </cell>
          <cell r="Q824">
            <v>40</v>
          </cell>
          <cell r="R824">
            <v>0</v>
          </cell>
        </row>
        <row r="825">
          <cell r="A825" t="str">
            <v>4E16R26MB073399S1L</v>
          </cell>
          <cell r="B825" t="str">
            <v>Q4-23</v>
          </cell>
          <cell r="C825" t="str">
            <v>Europe Operations OU</v>
          </cell>
          <cell r="D825">
            <v>2674345</v>
          </cell>
          <cell r="E825" t="str">
            <v>Amazon EU SARL, succursale Italiana</v>
          </cell>
          <cell r="F825" t="str">
            <v>4E16R26M</v>
          </cell>
          <cell r="G825" t="str">
            <v>B073399S1L</v>
          </cell>
          <cell r="H825" t="str">
            <v>943-000110</v>
          </cell>
          <cell r="I825" t="str">
            <v>OE INVOICES</v>
          </cell>
          <cell r="J825">
            <v>44422188437</v>
          </cell>
          <cell r="K825">
            <v>44931</v>
          </cell>
          <cell r="L825">
            <v>2</v>
          </cell>
          <cell r="M825" t="str">
            <v>EUR</v>
          </cell>
          <cell r="N825">
            <v>1760.16</v>
          </cell>
          <cell r="O825">
            <v>73.34</v>
          </cell>
          <cell r="P825">
            <v>24</v>
          </cell>
          <cell r="Q825">
            <v>24</v>
          </cell>
          <cell r="R825">
            <v>0</v>
          </cell>
        </row>
        <row r="826">
          <cell r="A826" t="str">
            <v>4E16R26MB07DFT9YHV</v>
          </cell>
          <cell r="B826" t="str">
            <v>Q4-23</v>
          </cell>
          <cell r="C826" t="str">
            <v>Europe Operations OU</v>
          </cell>
          <cell r="D826">
            <v>2674345</v>
          </cell>
          <cell r="E826" t="str">
            <v>Amazon EU SARL, succursale Italiana</v>
          </cell>
          <cell r="F826" t="str">
            <v>4E16R26M</v>
          </cell>
          <cell r="G826" t="str">
            <v>B07DFT9YHV</v>
          </cell>
          <cell r="H826" t="str">
            <v>920-008927</v>
          </cell>
          <cell r="I826" t="str">
            <v>OE INVOICES</v>
          </cell>
          <cell r="J826">
            <v>44422188437</v>
          </cell>
          <cell r="K826">
            <v>44931</v>
          </cell>
          <cell r="L826">
            <v>3</v>
          </cell>
          <cell r="M826" t="str">
            <v>EUR</v>
          </cell>
          <cell r="N826">
            <v>398.88</v>
          </cell>
          <cell r="O826">
            <v>99.72</v>
          </cell>
          <cell r="P826">
            <v>4</v>
          </cell>
          <cell r="Q826">
            <v>4</v>
          </cell>
          <cell r="R826">
            <v>0</v>
          </cell>
        </row>
        <row r="827">
          <cell r="A827" t="str">
            <v>4E16R26MB07W6JGP9B</v>
          </cell>
          <cell r="B827" t="str">
            <v>Q4-23</v>
          </cell>
          <cell r="C827" t="str">
            <v>Europe Operations OU</v>
          </cell>
          <cell r="D827">
            <v>2674345</v>
          </cell>
          <cell r="E827" t="str">
            <v>Amazon EU SARL, succursale Italiana</v>
          </cell>
          <cell r="F827" t="str">
            <v>4E16R26M</v>
          </cell>
          <cell r="G827" t="str">
            <v>B07W6JGP9B</v>
          </cell>
          <cell r="H827" t="str">
            <v>920-010994</v>
          </cell>
          <cell r="I827" t="str">
            <v>OE INVOICES</v>
          </cell>
          <cell r="J827">
            <v>44422188437</v>
          </cell>
          <cell r="K827">
            <v>44931</v>
          </cell>
          <cell r="L827">
            <v>4</v>
          </cell>
          <cell r="M827" t="str">
            <v>EUR</v>
          </cell>
          <cell r="N827">
            <v>244.48</v>
          </cell>
          <cell r="O827">
            <v>61.12</v>
          </cell>
          <cell r="P827">
            <v>4</v>
          </cell>
          <cell r="Q827">
            <v>4</v>
          </cell>
          <cell r="R827">
            <v>0</v>
          </cell>
        </row>
        <row r="828">
          <cell r="A828" t="str">
            <v>4E16R26MB07W7LB4T7</v>
          </cell>
          <cell r="B828" t="str">
            <v>Q4-23</v>
          </cell>
          <cell r="C828" t="str">
            <v>Europe Operations OU</v>
          </cell>
          <cell r="D828">
            <v>2674345</v>
          </cell>
          <cell r="E828" t="str">
            <v>Amazon EU SARL, succursale Italiana</v>
          </cell>
          <cell r="F828" t="str">
            <v>4E16R26M</v>
          </cell>
          <cell r="G828" t="str">
            <v>B07W7LB4T7</v>
          </cell>
          <cell r="H828" t="str">
            <v>920-010108</v>
          </cell>
          <cell r="I828" t="str">
            <v>OE INVOICES</v>
          </cell>
          <cell r="J828">
            <v>44422188437</v>
          </cell>
          <cell r="K828">
            <v>44931</v>
          </cell>
          <cell r="L828">
            <v>5</v>
          </cell>
          <cell r="M828" t="str">
            <v>EUR</v>
          </cell>
          <cell r="N828">
            <v>898.08</v>
          </cell>
          <cell r="O828">
            <v>74.84</v>
          </cell>
          <cell r="P828">
            <v>12</v>
          </cell>
          <cell r="Q828">
            <v>12</v>
          </cell>
          <cell r="R828">
            <v>0</v>
          </cell>
        </row>
        <row r="829">
          <cell r="A829" t="str">
            <v>4EYWO72FB0099P55SY</v>
          </cell>
          <cell r="B829" t="str">
            <v>Q3-23</v>
          </cell>
          <cell r="C829" t="str">
            <v>Europe Operations OU</v>
          </cell>
          <cell r="D829">
            <v>2674345</v>
          </cell>
          <cell r="E829" t="str">
            <v>Amazon EU SARL, succursale Italiana</v>
          </cell>
          <cell r="F829" t="str">
            <v>4EYWO72F</v>
          </cell>
          <cell r="G829" t="str">
            <v>B0099P55SY</v>
          </cell>
          <cell r="H829" t="str">
            <v>920-003971</v>
          </cell>
          <cell r="I829" t="str">
            <v>OE INVOICES</v>
          </cell>
          <cell r="J829">
            <v>44422157418</v>
          </cell>
          <cell r="K829">
            <v>44904</v>
          </cell>
          <cell r="L829">
            <v>1</v>
          </cell>
          <cell r="M829" t="str">
            <v>EUR</v>
          </cell>
          <cell r="N829">
            <v>140.52000000000001</v>
          </cell>
          <cell r="O829">
            <v>35.130000000000003</v>
          </cell>
          <cell r="P829">
            <v>4</v>
          </cell>
          <cell r="Q829">
            <v>4</v>
          </cell>
          <cell r="R829">
            <v>0</v>
          </cell>
        </row>
        <row r="830">
          <cell r="A830" t="str">
            <v>4F3XMHTVB00CJ5FP04</v>
          </cell>
          <cell r="B830" t="str">
            <v>Q3-23</v>
          </cell>
          <cell r="C830" t="str">
            <v>Europe Operations OU</v>
          </cell>
          <cell r="D830">
            <v>2674345</v>
          </cell>
          <cell r="E830" t="str">
            <v>Amazon EU SARL, succursale Italiana</v>
          </cell>
          <cell r="F830" t="str">
            <v>4F3XMHTV</v>
          </cell>
          <cell r="G830" t="str">
            <v>B00CJ5FP04</v>
          </cell>
          <cell r="H830" t="str">
            <v>940-000135</v>
          </cell>
          <cell r="I830" t="str">
            <v>OE INVOICES</v>
          </cell>
          <cell r="J830">
            <v>44422176710</v>
          </cell>
          <cell r="K830">
            <v>44922</v>
          </cell>
          <cell r="L830">
            <v>1</v>
          </cell>
          <cell r="M830" t="str">
            <v>EUR</v>
          </cell>
          <cell r="N830">
            <v>6498.8</v>
          </cell>
          <cell r="O830">
            <v>21.1</v>
          </cell>
          <cell r="P830">
            <v>308</v>
          </cell>
          <cell r="Q830">
            <v>308</v>
          </cell>
          <cell r="R830">
            <v>0</v>
          </cell>
        </row>
        <row r="831">
          <cell r="A831" t="str">
            <v>4F3XMHTVB00XJ3LVPI</v>
          </cell>
          <cell r="B831" t="str">
            <v>Q3-23</v>
          </cell>
          <cell r="C831" t="str">
            <v>Europe Operations OU</v>
          </cell>
          <cell r="D831">
            <v>2674345</v>
          </cell>
          <cell r="E831" t="str">
            <v>Amazon EU SARL, succursale Italiana</v>
          </cell>
          <cell r="F831" t="str">
            <v>4F3XMHTV</v>
          </cell>
          <cell r="G831" t="str">
            <v>B00XJ3LVPI</v>
          </cell>
          <cell r="H831" t="str">
            <v>920-007143</v>
          </cell>
          <cell r="I831" t="str">
            <v>OE INVOICES</v>
          </cell>
          <cell r="J831">
            <v>44422176710</v>
          </cell>
          <cell r="K831">
            <v>44922</v>
          </cell>
          <cell r="L831">
            <v>2</v>
          </cell>
          <cell r="M831" t="str">
            <v>EUR</v>
          </cell>
          <cell r="N831">
            <v>1610.5</v>
          </cell>
          <cell r="O831">
            <v>32.21</v>
          </cell>
          <cell r="P831">
            <v>50</v>
          </cell>
          <cell r="Q831">
            <v>50</v>
          </cell>
          <cell r="R831">
            <v>0</v>
          </cell>
        </row>
        <row r="832">
          <cell r="A832" t="str">
            <v>4F3XMHTVB01DIJIDKI</v>
          </cell>
          <cell r="B832" t="str">
            <v>Q3-23</v>
          </cell>
          <cell r="C832" t="str">
            <v>Europe Operations OU</v>
          </cell>
          <cell r="D832">
            <v>2674345</v>
          </cell>
          <cell r="E832" t="str">
            <v>Amazon EU SARL, succursale Italiana</v>
          </cell>
          <cell r="F832" t="str">
            <v>4F3XMHTV</v>
          </cell>
          <cell r="G832" t="str">
            <v>B01DIJIDKI</v>
          </cell>
          <cell r="H832" t="str">
            <v>943-000095</v>
          </cell>
          <cell r="I832" t="str">
            <v>OE INVOICES</v>
          </cell>
          <cell r="J832">
            <v>44422176710</v>
          </cell>
          <cell r="K832">
            <v>44922</v>
          </cell>
          <cell r="L832">
            <v>3</v>
          </cell>
          <cell r="M832" t="str">
            <v>EUR</v>
          </cell>
          <cell r="N832">
            <v>232</v>
          </cell>
          <cell r="O832">
            <v>11.6</v>
          </cell>
          <cell r="P832">
            <v>20</v>
          </cell>
          <cell r="Q832">
            <v>20</v>
          </cell>
          <cell r="R832">
            <v>0</v>
          </cell>
        </row>
        <row r="833">
          <cell r="A833" t="str">
            <v>4F3XMHTVB01DKTP3PY</v>
          </cell>
          <cell r="B833" t="str">
            <v>Q3-23</v>
          </cell>
          <cell r="C833" t="str">
            <v>Europe Operations OU</v>
          </cell>
          <cell r="D833">
            <v>2674345</v>
          </cell>
          <cell r="E833" t="str">
            <v>Amazon EU SARL, succursale Italiana</v>
          </cell>
          <cell r="F833" t="str">
            <v>4F3XMHTV</v>
          </cell>
          <cell r="G833" t="str">
            <v>B01DKTP3PY</v>
          </cell>
          <cell r="H833" t="str">
            <v>943-000099</v>
          </cell>
          <cell r="I833" t="str">
            <v>OE INVOICES</v>
          </cell>
          <cell r="J833">
            <v>44422176710</v>
          </cell>
          <cell r="K833">
            <v>44922</v>
          </cell>
          <cell r="L833">
            <v>4</v>
          </cell>
          <cell r="M833" t="str">
            <v>EUR</v>
          </cell>
          <cell r="N833">
            <v>1772.16</v>
          </cell>
          <cell r="O833">
            <v>18.46</v>
          </cell>
          <cell r="P833">
            <v>96</v>
          </cell>
          <cell r="Q833">
            <v>96</v>
          </cell>
          <cell r="R833">
            <v>0</v>
          </cell>
        </row>
        <row r="834">
          <cell r="A834" t="str">
            <v>4F3XMHTVB01G3WBH9G</v>
          </cell>
          <cell r="B834" t="str">
            <v>Q3-23</v>
          </cell>
          <cell r="C834" t="str">
            <v>Europe Operations OU</v>
          </cell>
          <cell r="D834">
            <v>2674345</v>
          </cell>
          <cell r="E834" t="str">
            <v>Amazon EU SARL, succursale Italiana</v>
          </cell>
          <cell r="F834" t="str">
            <v>4F3XMHTV</v>
          </cell>
          <cell r="G834" t="str">
            <v>B01G3WBH9G</v>
          </cell>
          <cell r="H834" t="str">
            <v>939-001545</v>
          </cell>
          <cell r="I834" t="str">
            <v>OE INVOICES</v>
          </cell>
          <cell r="J834">
            <v>44422176710</v>
          </cell>
          <cell r="K834">
            <v>44922</v>
          </cell>
          <cell r="L834">
            <v>5</v>
          </cell>
          <cell r="M834" t="str">
            <v>EUR</v>
          </cell>
          <cell r="N834">
            <v>719.2</v>
          </cell>
          <cell r="O834">
            <v>44.95</v>
          </cell>
          <cell r="P834">
            <v>16</v>
          </cell>
          <cell r="Q834">
            <v>16</v>
          </cell>
          <cell r="R834">
            <v>0</v>
          </cell>
        </row>
        <row r="835">
          <cell r="A835" t="str">
            <v>4F3XMHTVB01MQ0GFUH</v>
          </cell>
          <cell r="B835" t="str">
            <v>Q3-23</v>
          </cell>
          <cell r="C835" t="str">
            <v>Europe Operations OU</v>
          </cell>
          <cell r="D835">
            <v>2674345</v>
          </cell>
          <cell r="E835" t="str">
            <v>Amazon EU SARL, succursale Italiana</v>
          </cell>
          <cell r="F835" t="str">
            <v>4F3XMHTV</v>
          </cell>
          <cell r="G835" t="str">
            <v>B01MQ0GFUH</v>
          </cell>
          <cell r="H835" t="str">
            <v>945-000012</v>
          </cell>
          <cell r="I835" t="str">
            <v>OE INVOICES</v>
          </cell>
          <cell r="J835">
            <v>44422176710</v>
          </cell>
          <cell r="K835">
            <v>44922</v>
          </cell>
          <cell r="L835">
            <v>6</v>
          </cell>
          <cell r="M835" t="str">
            <v>EUR</v>
          </cell>
          <cell r="N835">
            <v>1793.6</v>
          </cell>
          <cell r="O835">
            <v>44.84</v>
          </cell>
          <cell r="P835">
            <v>40</v>
          </cell>
          <cell r="Q835">
            <v>40</v>
          </cell>
          <cell r="R835">
            <v>0</v>
          </cell>
        </row>
        <row r="836">
          <cell r="A836" t="str">
            <v>4F3XMHTVB0766JZ8Q3</v>
          </cell>
          <cell r="B836" t="str">
            <v>Q3-23</v>
          </cell>
          <cell r="C836" t="str">
            <v>Europe Operations OU</v>
          </cell>
          <cell r="D836">
            <v>2674345</v>
          </cell>
          <cell r="E836" t="str">
            <v>Amazon EU SARL, succursale Italiana</v>
          </cell>
          <cell r="F836" t="str">
            <v>4F3XMHTV</v>
          </cell>
          <cell r="G836" t="str">
            <v>B0766JZ8Q3</v>
          </cell>
          <cell r="H836" t="str">
            <v>943-000118</v>
          </cell>
          <cell r="I836" t="str">
            <v>OE INVOICES</v>
          </cell>
          <cell r="J836">
            <v>44422176710</v>
          </cell>
          <cell r="K836">
            <v>44922</v>
          </cell>
          <cell r="L836">
            <v>7</v>
          </cell>
          <cell r="M836" t="str">
            <v>EUR</v>
          </cell>
          <cell r="N836">
            <v>696.24</v>
          </cell>
          <cell r="O836">
            <v>29.01</v>
          </cell>
          <cell r="P836">
            <v>24</v>
          </cell>
          <cell r="Q836">
            <v>24</v>
          </cell>
          <cell r="R836">
            <v>0</v>
          </cell>
        </row>
        <row r="837">
          <cell r="A837" t="str">
            <v>4F3XMHTVB07G5XJLWK</v>
          </cell>
          <cell r="B837" t="str">
            <v>Q3-23</v>
          </cell>
          <cell r="C837" t="str">
            <v>Europe Operations OU</v>
          </cell>
          <cell r="D837">
            <v>2674345</v>
          </cell>
          <cell r="E837" t="str">
            <v>Amazon EU SARL, succursale Italiana</v>
          </cell>
          <cell r="F837" t="str">
            <v>4F3XMHTV</v>
          </cell>
          <cell r="G837" t="str">
            <v>B07G5XJLWK</v>
          </cell>
          <cell r="H837" t="str">
            <v>910-005273</v>
          </cell>
          <cell r="I837" t="str">
            <v>OE INVOICES</v>
          </cell>
          <cell r="J837">
            <v>44422176710</v>
          </cell>
          <cell r="K837">
            <v>44922</v>
          </cell>
          <cell r="L837">
            <v>8</v>
          </cell>
          <cell r="M837" t="str">
            <v>EUR</v>
          </cell>
          <cell r="N837">
            <v>9974.24</v>
          </cell>
          <cell r="O837">
            <v>73.34</v>
          </cell>
          <cell r="P837">
            <v>136</v>
          </cell>
          <cell r="Q837">
            <v>136</v>
          </cell>
          <cell r="R837">
            <v>0</v>
          </cell>
        </row>
        <row r="838">
          <cell r="A838" t="str">
            <v>4F3XMHTVB07MM4V7NR</v>
          </cell>
          <cell r="B838" t="str">
            <v>Q3-23</v>
          </cell>
          <cell r="C838" t="str">
            <v>Europe Operations OU</v>
          </cell>
          <cell r="D838">
            <v>2674345</v>
          </cell>
          <cell r="E838" t="str">
            <v>Amazon EU SARL, succursale Italiana</v>
          </cell>
          <cell r="F838" t="str">
            <v>4F3XMHTV</v>
          </cell>
          <cell r="G838" t="str">
            <v>B07MM4V7NR</v>
          </cell>
          <cell r="H838" t="str">
            <v>960-001252</v>
          </cell>
          <cell r="I838" t="str">
            <v>OE INVOICES</v>
          </cell>
          <cell r="J838">
            <v>44422176710</v>
          </cell>
          <cell r="K838">
            <v>44922</v>
          </cell>
          <cell r="L838">
            <v>9</v>
          </cell>
          <cell r="M838" t="str">
            <v>EUR</v>
          </cell>
          <cell r="N838">
            <v>20985.119999999999</v>
          </cell>
          <cell r="O838">
            <v>69.03</v>
          </cell>
          <cell r="P838">
            <v>304</v>
          </cell>
          <cell r="Q838">
            <v>304</v>
          </cell>
          <cell r="R838">
            <v>0</v>
          </cell>
        </row>
        <row r="839">
          <cell r="A839" t="str">
            <v>4F3XMHTVB07PYL7WZY</v>
          </cell>
          <cell r="B839" t="str">
            <v>Q3-23</v>
          </cell>
          <cell r="C839" t="str">
            <v>Europe Operations OU</v>
          </cell>
          <cell r="D839">
            <v>2674345</v>
          </cell>
          <cell r="E839" t="str">
            <v>Amazon EU SARL, succursale Italiana</v>
          </cell>
          <cell r="F839" t="str">
            <v>4F3XMHTV</v>
          </cell>
          <cell r="G839" t="str">
            <v>B07PYL7WZY</v>
          </cell>
          <cell r="H839" t="str">
            <v>939-001664</v>
          </cell>
          <cell r="I839" t="str">
            <v>OE INVOICES</v>
          </cell>
          <cell r="J839">
            <v>44422176710</v>
          </cell>
          <cell r="K839">
            <v>44922</v>
          </cell>
          <cell r="L839">
            <v>10</v>
          </cell>
          <cell r="M839" t="str">
            <v>EUR</v>
          </cell>
          <cell r="N839">
            <v>5143.16</v>
          </cell>
          <cell r="O839">
            <v>116.89</v>
          </cell>
          <cell r="P839">
            <v>44</v>
          </cell>
          <cell r="Q839">
            <v>44</v>
          </cell>
          <cell r="R839">
            <v>0</v>
          </cell>
        </row>
        <row r="840">
          <cell r="A840" t="str">
            <v>4F3XMHTVB07QKC4WWD</v>
          </cell>
          <cell r="B840" t="str">
            <v>Q3-23</v>
          </cell>
          <cell r="C840" t="str">
            <v>Europe Operations OU</v>
          </cell>
          <cell r="D840">
            <v>2674345</v>
          </cell>
          <cell r="E840" t="str">
            <v>Amazon EU SARL, succursale Italiana</v>
          </cell>
          <cell r="F840" t="str">
            <v>4F3XMHTV</v>
          </cell>
          <cell r="G840" t="str">
            <v>B07QKC4WWD</v>
          </cell>
          <cell r="H840" t="str">
            <v>910-005568</v>
          </cell>
          <cell r="I840" t="str">
            <v>OE INVOICES</v>
          </cell>
          <cell r="J840">
            <v>44422176710</v>
          </cell>
          <cell r="K840">
            <v>44922</v>
          </cell>
          <cell r="L840">
            <v>11</v>
          </cell>
          <cell r="M840" t="str">
            <v>EUR</v>
          </cell>
          <cell r="N840">
            <v>15100.2</v>
          </cell>
          <cell r="O840">
            <v>83.89</v>
          </cell>
          <cell r="P840">
            <v>180</v>
          </cell>
          <cell r="Q840">
            <v>180</v>
          </cell>
          <cell r="R840">
            <v>0</v>
          </cell>
        </row>
        <row r="841">
          <cell r="A841" t="str">
            <v>4F3XMHTVB07QNYCLBJ</v>
          </cell>
          <cell r="B841" t="str">
            <v>Q3-23</v>
          </cell>
          <cell r="C841" t="str">
            <v>Europe Operations OU</v>
          </cell>
          <cell r="D841">
            <v>2674345</v>
          </cell>
          <cell r="E841" t="str">
            <v>Amazon EU SARL, succursale Italiana</v>
          </cell>
          <cell r="F841" t="str">
            <v>4F3XMHTV</v>
          </cell>
          <cell r="G841" t="str">
            <v>B07QNYCLBJ</v>
          </cell>
          <cell r="H841" t="str">
            <v>910-005567</v>
          </cell>
          <cell r="I841" t="str">
            <v>OE INVOICES</v>
          </cell>
          <cell r="J841">
            <v>44422176710</v>
          </cell>
          <cell r="K841">
            <v>44922</v>
          </cell>
          <cell r="L841">
            <v>12</v>
          </cell>
          <cell r="M841" t="str">
            <v>EUR</v>
          </cell>
          <cell r="N841">
            <v>2013.36</v>
          </cell>
          <cell r="O841">
            <v>83.89</v>
          </cell>
          <cell r="P841">
            <v>24</v>
          </cell>
          <cell r="Q841">
            <v>24</v>
          </cell>
          <cell r="R841">
            <v>0</v>
          </cell>
        </row>
        <row r="842">
          <cell r="A842" t="str">
            <v>4F3XMHTVB07VWZHCNX</v>
          </cell>
          <cell r="B842" t="str">
            <v>Q3-23</v>
          </cell>
          <cell r="C842" t="str">
            <v>Europe Operations OU</v>
          </cell>
          <cell r="D842">
            <v>2674345</v>
          </cell>
          <cell r="E842" t="str">
            <v>Amazon EU SARL, succursale Italiana</v>
          </cell>
          <cell r="F842" t="str">
            <v>4F3XMHTV</v>
          </cell>
          <cell r="G842" t="str">
            <v>B07VWZHCNX</v>
          </cell>
          <cell r="H842" t="str">
            <v>956-000001</v>
          </cell>
          <cell r="I842" t="str">
            <v>OE INVOICES</v>
          </cell>
          <cell r="J842">
            <v>44422176710</v>
          </cell>
          <cell r="K842">
            <v>44922</v>
          </cell>
          <cell r="L842">
            <v>13</v>
          </cell>
          <cell r="M842" t="str">
            <v>EUR</v>
          </cell>
          <cell r="N842">
            <v>741.76</v>
          </cell>
          <cell r="O842">
            <v>11.59</v>
          </cell>
          <cell r="P842">
            <v>64</v>
          </cell>
          <cell r="Q842">
            <v>64</v>
          </cell>
          <cell r="R842">
            <v>0</v>
          </cell>
        </row>
        <row r="843">
          <cell r="A843" t="str">
            <v>4F3XMHTVB07W4DGKZ5</v>
          </cell>
          <cell r="B843" t="str">
            <v>Q3-23</v>
          </cell>
          <cell r="C843" t="str">
            <v>Europe Operations OU</v>
          </cell>
          <cell r="D843">
            <v>2674345</v>
          </cell>
          <cell r="E843" t="str">
            <v>Amazon EU SARL, succursale Italiana</v>
          </cell>
          <cell r="F843" t="str">
            <v>4F3XMHTV</v>
          </cell>
          <cell r="G843" t="str">
            <v>B07W4DGKZ5</v>
          </cell>
          <cell r="H843" t="str">
            <v>920-011435</v>
          </cell>
          <cell r="I843" t="str">
            <v>OE INVOICES</v>
          </cell>
          <cell r="J843">
            <v>44422176710</v>
          </cell>
          <cell r="K843">
            <v>44922</v>
          </cell>
          <cell r="L843">
            <v>14</v>
          </cell>
          <cell r="M843" t="str">
            <v>EUR</v>
          </cell>
          <cell r="N843">
            <v>4176.3999999999996</v>
          </cell>
          <cell r="O843">
            <v>104.41</v>
          </cell>
          <cell r="P843">
            <v>40</v>
          </cell>
          <cell r="Q843">
            <v>40</v>
          </cell>
          <cell r="R843">
            <v>0</v>
          </cell>
        </row>
        <row r="844">
          <cell r="A844" t="str">
            <v>4F3XMHTVB07W4DHG24</v>
          </cell>
          <cell r="B844" t="str">
            <v>Q3-23</v>
          </cell>
          <cell r="C844" t="str">
            <v>Europe Operations OU</v>
          </cell>
          <cell r="D844">
            <v>2674345</v>
          </cell>
          <cell r="E844" t="str">
            <v>Amazon EU SARL, succursale Italiana</v>
          </cell>
          <cell r="F844" t="str">
            <v>4F3XMHTV</v>
          </cell>
          <cell r="G844" t="str">
            <v>B07W4DHG24</v>
          </cell>
          <cell r="H844" t="str">
            <v>943-000544</v>
          </cell>
          <cell r="I844" t="str">
            <v>OE INVOICES</v>
          </cell>
          <cell r="J844">
            <v>44422176710</v>
          </cell>
          <cell r="K844">
            <v>44922</v>
          </cell>
          <cell r="L844">
            <v>15</v>
          </cell>
          <cell r="M844" t="str">
            <v>EUR</v>
          </cell>
          <cell r="N844">
            <v>316.44</v>
          </cell>
          <cell r="O844">
            <v>26.37</v>
          </cell>
          <cell r="P844">
            <v>12</v>
          </cell>
          <cell r="Q844">
            <v>12</v>
          </cell>
          <cell r="R844">
            <v>0</v>
          </cell>
        </row>
        <row r="845">
          <cell r="A845" t="str">
            <v>4F3XMHTVB07W5JHLCB</v>
          </cell>
          <cell r="B845" t="str">
            <v>Q3-23</v>
          </cell>
          <cell r="C845" t="str">
            <v>Europe Operations OU</v>
          </cell>
          <cell r="D845">
            <v>2674345</v>
          </cell>
          <cell r="E845" t="str">
            <v>Amazon EU SARL, succursale Italiana</v>
          </cell>
          <cell r="F845" t="str">
            <v>4F3XMHTV</v>
          </cell>
          <cell r="G845" t="str">
            <v>B07W5JHLCB</v>
          </cell>
          <cell r="H845" t="str">
            <v>910-005988</v>
          </cell>
          <cell r="I845" t="str">
            <v>OE INVOICES</v>
          </cell>
          <cell r="J845">
            <v>44422176710</v>
          </cell>
          <cell r="K845">
            <v>44922</v>
          </cell>
          <cell r="L845">
            <v>16</v>
          </cell>
          <cell r="M845" t="str">
            <v>EUR</v>
          </cell>
          <cell r="N845">
            <v>5220</v>
          </cell>
          <cell r="O845">
            <v>58</v>
          </cell>
          <cell r="P845">
            <v>90</v>
          </cell>
          <cell r="Q845">
            <v>90</v>
          </cell>
          <cell r="R845">
            <v>0</v>
          </cell>
        </row>
        <row r="846">
          <cell r="A846" t="str">
            <v>4F3XMHTVB07W5JJVFM</v>
          </cell>
          <cell r="B846" t="str">
            <v>Q3-23</v>
          </cell>
          <cell r="C846" t="str">
            <v>Europe Operations OU</v>
          </cell>
          <cell r="D846">
            <v>2674345</v>
          </cell>
          <cell r="E846" t="str">
            <v>Amazon EU SARL, succursale Italiana</v>
          </cell>
          <cell r="F846" t="str">
            <v>4F3XMHTV</v>
          </cell>
          <cell r="G846" t="str">
            <v>B07W5JJVFM</v>
          </cell>
          <cell r="H846" t="str">
            <v>956-000053</v>
          </cell>
          <cell r="I846" t="str">
            <v>OE INVOICES</v>
          </cell>
          <cell r="J846">
            <v>44422176710</v>
          </cell>
          <cell r="K846">
            <v>44922</v>
          </cell>
          <cell r="L846">
            <v>17</v>
          </cell>
          <cell r="M846" t="str">
            <v>EUR</v>
          </cell>
          <cell r="N846">
            <v>355.6</v>
          </cell>
          <cell r="O846">
            <v>8.89</v>
          </cell>
          <cell r="P846">
            <v>40</v>
          </cell>
          <cell r="Q846">
            <v>40</v>
          </cell>
          <cell r="R846">
            <v>0</v>
          </cell>
        </row>
        <row r="847">
          <cell r="A847" t="str">
            <v>4F3XMHTVB07W5JKFQC</v>
          </cell>
          <cell r="B847" t="str">
            <v>Q3-23</v>
          </cell>
          <cell r="C847" t="str">
            <v>Europe Operations OU</v>
          </cell>
          <cell r="D847">
            <v>2674345</v>
          </cell>
          <cell r="E847" t="str">
            <v>Amazon EU SARL, succursale Italiana</v>
          </cell>
          <cell r="F847" t="str">
            <v>4F3XMHTV</v>
          </cell>
          <cell r="G847" t="str">
            <v>B07W5JKFQC</v>
          </cell>
          <cell r="H847" t="str">
            <v>910-005796</v>
          </cell>
          <cell r="I847" t="str">
            <v>OE INVOICES</v>
          </cell>
          <cell r="J847">
            <v>44422176710</v>
          </cell>
          <cell r="K847">
            <v>44922</v>
          </cell>
          <cell r="L847">
            <v>18</v>
          </cell>
          <cell r="M847" t="str">
            <v>EUR</v>
          </cell>
          <cell r="N847">
            <v>3513.52</v>
          </cell>
          <cell r="O847">
            <v>23.74</v>
          </cell>
          <cell r="P847">
            <v>148</v>
          </cell>
          <cell r="Q847">
            <v>148</v>
          </cell>
          <cell r="R847">
            <v>0</v>
          </cell>
        </row>
        <row r="848">
          <cell r="A848" t="str">
            <v>4F3XMHTVB07W5JKLRF</v>
          </cell>
          <cell r="B848" t="str">
            <v>Q3-23</v>
          </cell>
          <cell r="C848" t="str">
            <v>Europe Operations OU</v>
          </cell>
          <cell r="D848">
            <v>2674345</v>
          </cell>
          <cell r="E848" t="str">
            <v>Amazon EU SARL, succursale Italiana</v>
          </cell>
          <cell r="F848" t="str">
            <v>4F3XMHTV</v>
          </cell>
          <cell r="G848" t="str">
            <v>B07W5JKLRF</v>
          </cell>
          <cell r="H848" t="str">
            <v>939-002064</v>
          </cell>
          <cell r="I848" t="str">
            <v>OE INVOICES</v>
          </cell>
          <cell r="J848">
            <v>44422176710</v>
          </cell>
          <cell r="K848">
            <v>44922</v>
          </cell>
          <cell r="L848">
            <v>19</v>
          </cell>
          <cell r="M848" t="str">
            <v>EUR</v>
          </cell>
          <cell r="N848">
            <v>179.8</v>
          </cell>
          <cell r="O848">
            <v>44.95</v>
          </cell>
          <cell r="P848">
            <v>4</v>
          </cell>
          <cell r="Q848">
            <v>4</v>
          </cell>
          <cell r="R848">
            <v>0</v>
          </cell>
        </row>
        <row r="849">
          <cell r="A849" t="str">
            <v>4F3XMHTVB07W5JKPK4</v>
          </cell>
          <cell r="B849" t="str">
            <v>Q3-23</v>
          </cell>
          <cell r="C849" t="str">
            <v>Europe Operations OU</v>
          </cell>
          <cell r="D849">
            <v>2674345</v>
          </cell>
          <cell r="E849" t="str">
            <v>Amazon EU SARL, succursale Italiana</v>
          </cell>
          <cell r="F849" t="str">
            <v>4F3XMHTV</v>
          </cell>
          <cell r="G849" t="str">
            <v>B07W5JKPK4</v>
          </cell>
          <cell r="H849" t="str">
            <v>920-010558</v>
          </cell>
          <cell r="I849" t="str">
            <v>OE INVOICES</v>
          </cell>
          <cell r="J849">
            <v>44422176710</v>
          </cell>
          <cell r="K849">
            <v>44922</v>
          </cell>
          <cell r="L849">
            <v>20</v>
          </cell>
          <cell r="M849" t="str">
            <v>EUR</v>
          </cell>
          <cell r="N849">
            <v>379.84</v>
          </cell>
          <cell r="O849">
            <v>47.48</v>
          </cell>
          <cell r="P849">
            <v>8</v>
          </cell>
          <cell r="Q849">
            <v>8</v>
          </cell>
          <cell r="R849">
            <v>0</v>
          </cell>
        </row>
        <row r="850">
          <cell r="A850" t="str">
            <v>4F3XMHTVB07W5JKT4S</v>
          </cell>
          <cell r="B850" t="str">
            <v>Q3-23</v>
          </cell>
          <cell r="C850" t="str">
            <v>Europe Operations OU</v>
          </cell>
          <cell r="D850">
            <v>2674345</v>
          </cell>
          <cell r="E850" t="str">
            <v>Amazon EU SARL, succursale Italiana</v>
          </cell>
          <cell r="F850" t="str">
            <v>4F3XMHTV</v>
          </cell>
          <cell r="G850" t="str">
            <v>B07W5JKT4S</v>
          </cell>
          <cell r="H850" t="str">
            <v>943-000458</v>
          </cell>
          <cell r="I850" t="str">
            <v>OE INVOICES</v>
          </cell>
          <cell r="J850">
            <v>44422176710</v>
          </cell>
          <cell r="K850">
            <v>44922</v>
          </cell>
          <cell r="L850">
            <v>21</v>
          </cell>
          <cell r="M850" t="str">
            <v>EUR</v>
          </cell>
          <cell r="N850">
            <v>843.84</v>
          </cell>
          <cell r="O850">
            <v>26.37</v>
          </cell>
          <cell r="P850">
            <v>32</v>
          </cell>
          <cell r="Q850">
            <v>32</v>
          </cell>
          <cell r="R850">
            <v>0</v>
          </cell>
        </row>
        <row r="851">
          <cell r="A851" t="str">
            <v>4F3XMHTVB07W6GVHD8</v>
          </cell>
          <cell r="B851" t="str">
            <v>Q3-23</v>
          </cell>
          <cell r="C851" t="str">
            <v>Europe Operations OU</v>
          </cell>
          <cell r="D851">
            <v>2674345</v>
          </cell>
          <cell r="E851" t="str">
            <v>Amazon EU SARL, succursale Italiana</v>
          </cell>
          <cell r="F851" t="str">
            <v>4F3XMHTV</v>
          </cell>
          <cell r="G851" t="str">
            <v>B07W6GVHD8</v>
          </cell>
          <cell r="H851" t="str">
            <v>920-009748</v>
          </cell>
          <cell r="I851" t="str">
            <v>OE INVOICES</v>
          </cell>
          <cell r="J851">
            <v>44422176710</v>
          </cell>
          <cell r="K851">
            <v>44922</v>
          </cell>
          <cell r="L851">
            <v>22</v>
          </cell>
          <cell r="M851" t="str">
            <v>EUR</v>
          </cell>
          <cell r="N851">
            <v>737.92</v>
          </cell>
          <cell r="O851">
            <v>92.24</v>
          </cell>
          <cell r="P851">
            <v>8</v>
          </cell>
          <cell r="Q851">
            <v>8</v>
          </cell>
          <cell r="R851">
            <v>0</v>
          </cell>
        </row>
        <row r="852">
          <cell r="A852" t="str">
            <v>4F3XMHTVB07W6H83LD</v>
          </cell>
          <cell r="B852" t="str">
            <v>Q3-23</v>
          </cell>
          <cell r="C852" t="str">
            <v>Europe Operations OU</v>
          </cell>
          <cell r="D852">
            <v>2674345</v>
          </cell>
          <cell r="E852" t="str">
            <v>Amazon EU SARL, succursale Italiana</v>
          </cell>
          <cell r="F852" t="str">
            <v>4F3XMHTV</v>
          </cell>
          <cell r="G852" t="str">
            <v>B07W6H83LD</v>
          </cell>
          <cell r="H852" t="str">
            <v>943-000798</v>
          </cell>
          <cell r="I852" t="str">
            <v>OE INVOICES</v>
          </cell>
          <cell r="J852">
            <v>44422176710</v>
          </cell>
          <cell r="K852">
            <v>44922</v>
          </cell>
          <cell r="L852">
            <v>23</v>
          </cell>
          <cell r="M852" t="str">
            <v>EUR</v>
          </cell>
          <cell r="N852">
            <v>73.84</v>
          </cell>
          <cell r="O852">
            <v>18.46</v>
          </cell>
          <cell r="P852">
            <v>4</v>
          </cell>
          <cell r="Q852">
            <v>4</v>
          </cell>
          <cell r="R852">
            <v>0</v>
          </cell>
        </row>
        <row r="853">
          <cell r="A853" t="str">
            <v>4F3XMHTVB07W6HBBMH</v>
          </cell>
          <cell r="B853" t="str">
            <v>Q3-23</v>
          </cell>
          <cell r="C853" t="str">
            <v>Europe Operations OU</v>
          </cell>
          <cell r="D853">
            <v>2674345</v>
          </cell>
          <cell r="E853" t="str">
            <v>Amazon EU SARL, succursale Italiana</v>
          </cell>
          <cell r="F853" t="str">
            <v>4F3XMHTV</v>
          </cell>
          <cell r="G853" t="str">
            <v>B07W6HBBMH</v>
          </cell>
          <cell r="H853" t="str">
            <v>943-000777</v>
          </cell>
          <cell r="I853" t="str">
            <v>OE INVOICES</v>
          </cell>
          <cell r="J853">
            <v>44422176710</v>
          </cell>
          <cell r="K853">
            <v>44922</v>
          </cell>
          <cell r="L853">
            <v>24</v>
          </cell>
          <cell r="M853" t="str">
            <v>EUR</v>
          </cell>
          <cell r="N853">
            <v>2943.76</v>
          </cell>
          <cell r="O853">
            <v>23.74</v>
          </cell>
          <cell r="P853">
            <v>124</v>
          </cell>
          <cell r="Q853">
            <v>124</v>
          </cell>
          <cell r="R853">
            <v>0</v>
          </cell>
        </row>
        <row r="854">
          <cell r="A854" t="str">
            <v>4F3XMHTVB07W6HDNPF</v>
          </cell>
          <cell r="B854" t="str">
            <v>Q3-23</v>
          </cell>
          <cell r="C854" t="str">
            <v>Europe Operations OU</v>
          </cell>
          <cell r="D854">
            <v>2674345</v>
          </cell>
          <cell r="E854" t="str">
            <v>Amazon EU SARL, succursale Italiana</v>
          </cell>
          <cell r="F854" t="str">
            <v>4F3XMHTV</v>
          </cell>
          <cell r="G854" t="str">
            <v>B07W6HDNPF</v>
          </cell>
          <cell r="H854" t="str">
            <v>939-002047</v>
          </cell>
          <cell r="I854" t="str">
            <v>OE INVOICES</v>
          </cell>
          <cell r="J854">
            <v>44422176710</v>
          </cell>
          <cell r="K854">
            <v>44922</v>
          </cell>
          <cell r="L854">
            <v>25</v>
          </cell>
          <cell r="M854" t="str">
            <v>EUR</v>
          </cell>
          <cell r="N854">
            <v>179.8</v>
          </cell>
          <cell r="O854">
            <v>44.95</v>
          </cell>
          <cell r="P854">
            <v>4</v>
          </cell>
          <cell r="Q854">
            <v>4</v>
          </cell>
          <cell r="R854">
            <v>0</v>
          </cell>
        </row>
        <row r="855">
          <cell r="A855" t="str">
            <v>4F3XMHTVB07W6HDNPG</v>
          </cell>
          <cell r="B855" t="str">
            <v>Q3-23</v>
          </cell>
          <cell r="C855" t="str">
            <v>Europe Operations OU</v>
          </cell>
          <cell r="D855">
            <v>2674345</v>
          </cell>
          <cell r="E855" t="str">
            <v>Amazon EU SARL, succursale Italiana</v>
          </cell>
          <cell r="F855" t="str">
            <v>4F3XMHTV</v>
          </cell>
          <cell r="G855" t="str">
            <v>B07W6HDNPG</v>
          </cell>
          <cell r="H855" t="str">
            <v>939-002057</v>
          </cell>
          <cell r="I855" t="str">
            <v>OE INVOICES</v>
          </cell>
          <cell r="J855">
            <v>44422176710</v>
          </cell>
          <cell r="K855">
            <v>44922</v>
          </cell>
          <cell r="L855">
            <v>26</v>
          </cell>
          <cell r="M855" t="str">
            <v>EUR</v>
          </cell>
          <cell r="N855">
            <v>539.4</v>
          </cell>
          <cell r="O855">
            <v>44.95</v>
          </cell>
          <cell r="P855">
            <v>12</v>
          </cell>
          <cell r="Q855">
            <v>12</v>
          </cell>
          <cell r="R855">
            <v>0</v>
          </cell>
        </row>
        <row r="856">
          <cell r="A856" t="str">
            <v>4F3XMHTVB07W6HJPSW</v>
          </cell>
          <cell r="B856" t="str">
            <v>Q3-23</v>
          </cell>
          <cell r="C856" t="str">
            <v>Europe Operations OU</v>
          </cell>
          <cell r="D856">
            <v>2674345</v>
          </cell>
          <cell r="E856" t="str">
            <v>Amazon EU SARL, succursale Italiana</v>
          </cell>
          <cell r="F856" t="str">
            <v>4F3XMHTV</v>
          </cell>
          <cell r="G856" t="str">
            <v>B07W6HJPSW</v>
          </cell>
          <cell r="H856" t="str">
            <v>981-001106</v>
          </cell>
          <cell r="I856" t="str">
            <v>OE INVOICES</v>
          </cell>
          <cell r="J856">
            <v>44422176710</v>
          </cell>
          <cell r="K856">
            <v>44922</v>
          </cell>
          <cell r="L856">
            <v>27</v>
          </cell>
          <cell r="M856" t="str">
            <v>EUR</v>
          </cell>
          <cell r="N856">
            <v>272.24</v>
          </cell>
          <cell r="O856">
            <v>68.06</v>
          </cell>
          <cell r="P856">
            <v>4</v>
          </cell>
          <cell r="Q856">
            <v>4</v>
          </cell>
          <cell r="R856">
            <v>0</v>
          </cell>
        </row>
        <row r="857">
          <cell r="A857" t="str">
            <v>4F3XMHTVB07W6HLN9H</v>
          </cell>
          <cell r="B857" t="str">
            <v>Q3-23</v>
          </cell>
          <cell r="C857" t="str">
            <v>Europe Operations OU</v>
          </cell>
          <cell r="D857">
            <v>2674345</v>
          </cell>
          <cell r="E857" t="str">
            <v>Amazon EU SARL, succursale Italiana</v>
          </cell>
          <cell r="F857" t="str">
            <v>4F3XMHTV</v>
          </cell>
          <cell r="G857" t="str">
            <v>B07W6HLN9H</v>
          </cell>
          <cell r="H857" t="str">
            <v>939-002078</v>
          </cell>
          <cell r="I857" t="str">
            <v>OE INVOICES</v>
          </cell>
          <cell r="J857">
            <v>44422176710</v>
          </cell>
          <cell r="K857">
            <v>44922</v>
          </cell>
          <cell r="L857">
            <v>28</v>
          </cell>
          <cell r="M857" t="str">
            <v>EUR</v>
          </cell>
          <cell r="N857">
            <v>179.8</v>
          </cell>
          <cell r="O857">
            <v>44.95</v>
          </cell>
          <cell r="P857">
            <v>4</v>
          </cell>
          <cell r="Q857">
            <v>4</v>
          </cell>
          <cell r="R857">
            <v>0</v>
          </cell>
        </row>
        <row r="858">
          <cell r="A858" t="str">
            <v>4F3XMHTVB07W6HLSFF</v>
          </cell>
          <cell r="B858" t="str">
            <v>Q3-23</v>
          </cell>
          <cell r="C858" t="str">
            <v>Europe Operations OU</v>
          </cell>
          <cell r="D858">
            <v>2674345</v>
          </cell>
          <cell r="E858" t="str">
            <v>Amazon EU SARL, succursale Italiana</v>
          </cell>
          <cell r="F858" t="str">
            <v>4F3XMHTV</v>
          </cell>
          <cell r="G858" t="str">
            <v>B07W6HLSFF</v>
          </cell>
          <cell r="H858" t="str">
            <v>981-001024</v>
          </cell>
          <cell r="I858" t="str">
            <v>OE INVOICES</v>
          </cell>
          <cell r="J858">
            <v>44422176710</v>
          </cell>
          <cell r="K858">
            <v>44922</v>
          </cell>
          <cell r="L858">
            <v>29</v>
          </cell>
          <cell r="M858" t="str">
            <v>EUR</v>
          </cell>
          <cell r="N858">
            <v>791.2</v>
          </cell>
          <cell r="O858">
            <v>39.56</v>
          </cell>
          <cell r="P858">
            <v>20</v>
          </cell>
          <cell r="Q858">
            <v>20</v>
          </cell>
          <cell r="R858">
            <v>0</v>
          </cell>
        </row>
        <row r="859">
          <cell r="A859" t="str">
            <v>4F3XMHTVB07W6J3W3B</v>
          </cell>
          <cell r="B859" t="str">
            <v>Q3-23</v>
          </cell>
          <cell r="C859" t="str">
            <v>Europe Operations OU</v>
          </cell>
          <cell r="D859">
            <v>2674345</v>
          </cell>
          <cell r="E859" t="str">
            <v>Amazon EU SARL, succursale Italiana</v>
          </cell>
          <cell r="F859" t="str">
            <v>4F3XMHTV</v>
          </cell>
          <cell r="G859" t="str">
            <v>B07W6J3W3B</v>
          </cell>
          <cell r="H859" t="str">
            <v>920-011441</v>
          </cell>
          <cell r="I859" t="str">
            <v>OE INVOICES</v>
          </cell>
          <cell r="J859">
            <v>44422176710</v>
          </cell>
          <cell r="K859">
            <v>44922</v>
          </cell>
          <cell r="L859">
            <v>30</v>
          </cell>
          <cell r="M859" t="str">
            <v>EUR</v>
          </cell>
          <cell r="N859">
            <v>2505.84</v>
          </cell>
          <cell r="O859">
            <v>104.41</v>
          </cell>
          <cell r="P859">
            <v>24</v>
          </cell>
          <cell r="Q859">
            <v>24</v>
          </cell>
          <cell r="R859">
            <v>0</v>
          </cell>
        </row>
        <row r="860">
          <cell r="A860" t="str">
            <v>4F3XMHTVB07W6JGH8Z</v>
          </cell>
          <cell r="B860" t="str">
            <v>Q3-23</v>
          </cell>
          <cell r="C860" t="str">
            <v>Europe Operations OU</v>
          </cell>
          <cell r="D860">
            <v>2674345</v>
          </cell>
          <cell r="E860" t="str">
            <v>Amazon EU SARL, succursale Italiana</v>
          </cell>
          <cell r="F860" t="str">
            <v>4F3XMHTV</v>
          </cell>
          <cell r="G860" t="str">
            <v>B07W6JGH8Z</v>
          </cell>
          <cell r="H860" t="str">
            <v>981-001044</v>
          </cell>
          <cell r="I860" t="str">
            <v>OE INVOICES</v>
          </cell>
          <cell r="J860">
            <v>44422176710</v>
          </cell>
          <cell r="K860">
            <v>44922</v>
          </cell>
          <cell r="L860">
            <v>31</v>
          </cell>
          <cell r="M860" t="str">
            <v>EUR</v>
          </cell>
          <cell r="N860">
            <v>211.04</v>
          </cell>
          <cell r="O860">
            <v>52.76</v>
          </cell>
          <cell r="P860">
            <v>4</v>
          </cell>
          <cell r="Q860">
            <v>4</v>
          </cell>
          <cell r="R860">
            <v>0</v>
          </cell>
        </row>
        <row r="861">
          <cell r="A861" t="str">
            <v>4F3XMHTVB07W6JPM9P</v>
          </cell>
          <cell r="B861" t="str">
            <v>Q3-23</v>
          </cell>
          <cell r="C861" t="str">
            <v>Europe Operations OU</v>
          </cell>
          <cell r="D861">
            <v>2674345</v>
          </cell>
          <cell r="E861" t="str">
            <v>Amazon EU SARL, succursale Italiana</v>
          </cell>
          <cell r="F861" t="str">
            <v>4F3XMHTV</v>
          </cell>
          <cell r="G861" t="str">
            <v>B07W6JPM9P</v>
          </cell>
          <cell r="H861" t="str">
            <v>943-000785</v>
          </cell>
          <cell r="I861" t="str">
            <v>OE INVOICES</v>
          </cell>
          <cell r="J861">
            <v>44422176710</v>
          </cell>
          <cell r="K861">
            <v>44922</v>
          </cell>
          <cell r="L861">
            <v>32</v>
          </cell>
          <cell r="M861" t="str">
            <v>EUR</v>
          </cell>
          <cell r="N861">
            <v>25.28</v>
          </cell>
          <cell r="O861">
            <v>6.32</v>
          </cell>
          <cell r="P861">
            <v>4</v>
          </cell>
          <cell r="Q861">
            <v>4</v>
          </cell>
          <cell r="R861">
            <v>0</v>
          </cell>
        </row>
        <row r="862">
          <cell r="A862" t="str">
            <v>4F3XMHTVB07W7KB8L6</v>
          </cell>
          <cell r="B862" t="str">
            <v>Q3-23</v>
          </cell>
          <cell r="C862" t="str">
            <v>Europe Operations OU</v>
          </cell>
          <cell r="D862">
            <v>2674345</v>
          </cell>
          <cell r="E862" t="str">
            <v>Amazon EU SARL, succursale Italiana</v>
          </cell>
          <cell r="F862" t="str">
            <v>4F3XMHTV</v>
          </cell>
          <cell r="G862" t="str">
            <v>B07W7KB8L6</v>
          </cell>
          <cell r="H862" t="str">
            <v>960-001364</v>
          </cell>
          <cell r="I862" t="str">
            <v>OE INVOICES</v>
          </cell>
          <cell r="J862">
            <v>44422176710</v>
          </cell>
          <cell r="K862">
            <v>44922</v>
          </cell>
          <cell r="L862">
            <v>33</v>
          </cell>
          <cell r="M862" t="str">
            <v>EUR</v>
          </cell>
          <cell r="N862">
            <v>2741.04</v>
          </cell>
          <cell r="O862">
            <v>38.07</v>
          </cell>
          <cell r="P862">
            <v>72</v>
          </cell>
          <cell r="Q862">
            <v>72</v>
          </cell>
          <cell r="R862">
            <v>0</v>
          </cell>
        </row>
        <row r="863">
          <cell r="A863" t="str">
            <v>4F3XMHTVB07W7LNTMC</v>
          </cell>
          <cell r="B863" t="str">
            <v>Q3-23</v>
          </cell>
          <cell r="C863" t="str">
            <v>Europe Operations OU</v>
          </cell>
          <cell r="D863">
            <v>2674345</v>
          </cell>
          <cell r="E863" t="str">
            <v>Amazon EU SARL, succursale Italiana</v>
          </cell>
          <cell r="F863" t="str">
            <v>4F3XMHTV</v>
          </cell>
          <cell r="G863" t="str">
            <v>B07W7LNTMC</v>
          </cell>
          <cell r="H863" t="str">
            <v>943-000792</v>
          </cell>
          <cell r="I863" t="str">
            <v>OE INVOICES</v>
          </cell>
          <cell r="J863">
            <v>44422176710</v>
          </cell>
          <cell r="K863">
            <v>44922</v>
          </cell>
          <cell r="L863">
            <v>34</v>
          </cell>
          <cell r="M863" t="str">
            <v>EUR</v>
          </cell>
          <cell r="N863">
            <v>185.6</v>
          </cell>
          <cell r="O863">
            <v>11.6</v>
          </cell>
          <cell r="P863">
            <v>16</v>
          </cell>
          <cell r="Q863">
            <v>16</v>
          </cell>
          <cell r="R863">
            <v>0</v>
          </cell>
        </row>
        <row r="864">
          <cell r="A864" t="str">
            <v>4GF112AEB003D8ZT0C</v>
          </cell>
          <cell r="B864" t="str">
            <v>Q3-23</v>
          </cell>
          <cell r="C864" t="str">
            <v>Europe Operations OU</v>
          </cell>
          <cell r="D864">
            <v>2674345</v>
          </cell>
          <cell r="E864" t="str">
            <v>Amazon EU SARL, succursale Italiana</v>
          </cell>
          <cell r="F864" t="str">
            <v>4GF112AE</v>
          </cell>
          <cell r="G864" t="str">
            <v>B003D8ZT0C</v>
          </cell>
          <cell r="H864" t="str">
            <v>910-001793</v>
          </cell>
          <cell r="I864" t="str">
            <v>OE INVOICES</v>
          </cell>
          <cell r="J864">
            <v>44422170772</v>
          </cell>
          <cell r="K864">
            <v>44915</v>
          </cell>
          <cell r="L864">
            <v>1</v>
          </cell>
          <cell r="M864" t="str">
            <v>EUR</v>
          </cell>
          <cell r="N864">
            <v>4446</v>
          </cell>
          <cell r="O864">
            <v>5.85</v>
          </cell>
          <cell r="P864">
            <v>760</v>
          </cell>
          <cell r="Q864">
            <v>760</v>
          </cell>
          <cell r="R864">
            <v>0</v>
          </cell>
        </row>
        <row r="865">
          <cell r="A865" t="str">
            <v>4GF112AEB00544XFHC</v>
          </cell>
          <cell r="B865" t="str">
            <v>Q3-23</v>
          </cell>
          <cell r="C865" t="str">
            <v>Europe Operations OU</v>
          </cell>
          <cell r="D865">
            <v>2674345</v>
          </cell>
          <cell r="E865" t="str">
            <v>Amazon EU SARL, succursale Italiana</v>
          </cell>
          <cell r="F865" t="str">
            <v>4GF112AE</v>
          </cell>
          <cell r="G865" t="str">
            <v>B00544XFHC</v>
          </cell>
          <cell r="H865" t="str">
            <v>910-002240</v>
          </cell>
          <cell r="I865" t="str">
            <v>OE INVOICES</v>
          </cell>
          <cell r="J865">
            <v>44422170772</v>
          </cell>
          <cell r="K865">
            <v>44915</v>
          </cell>
          <cell r="L865">
            <v>2</v>
          </cell>
          <cell r="M865" t="str">
            <v>EUR</v>
          </cell>
          <cell r="N865">
            <v>105.3</v>
          </cell>
          <cell r="O865">
            <v>10.53</v>
          </cell>
          <cell r="P865">
            <v>10</v>
          </cell>
          <cell r="Q865">
            <v>10</v>
          </cell>
          <cell r="R865">
            <v>0</v>
          </cell>
        </row>
        <row r="866">
          <cell r="A866" t="str">
            <v>4GF112AEB00745IE0W</v>
          </cell>
          <cell r="B866" t="str">
            <v>Q3-23</v>
          </cell>
          <cell r="C866" t="str">
            <v>Europe Operations OU</v>
          </cell>
          <cell r="D866">
            <v>2674345</v>
          </cell>
          <cell r="E866" t="str">
            <v>Amazon EU SARL, succursale Italiana</v>
          </cell>
          <cell r="F866" t="str">
            <v>4GF112AE</v>
          </cell>
          <cell r="G866" t="str">
            <v>B00745IE0W</v>
          </cell>
          <cell r="H866" t="str">
            <v>910-002732</v>
          </cell>
          <cell r="I866" t="str">
            <v>OE INVOICES</v>
          </cell>
          <cell r="J866">
            <v>44422170772</v>
          </cell>
          <cell r="K866">
            <v>44915</v>
          </cell>
          <cell r="L866">
            <v>3</v>
          </cell>
          <cell r="M866" t="str">
            <v>EUR</v>
          </cell>
          <cell r="N866">
            <v>206.08</v>
          </cell>
          <cell r="O866">
            <v>12.88</v>
          </cell>
          <cell r="P866">
            <v>16</v>
          </cell>
          <cell r="Q866">
            <v>16</v>
          </cell>
          <cell r="R866">
            <v>0</v>
          </cell>
        </row>
        <row r="867">
          <cell r="A867" t="str">
            <v>4GF112AEB0078M385M</v>
          </cell>
          <cell r="B867" t="str">
            <v>Q3-23</v>
          </cell>
          <cell r="C867" t="str">
            <v>Europe Operations OU</v>
          </cell>
          <cell r="D867">
            <v>2674345</v>
          </cell>
          <cell r="E867" t="str">
            <v>Amazon EU SARL, succursale Italiana</v>
          </cell>
          <cell r="F867" t="str">
            <v>4GF112AE</v>
          </cell>
          <cell r="G867" t="str">
            <v>B0078M385M</v>
          </cell>
          <cell r="H867" t="str">
            <v>920-003748</v>
          </cell>
          <cell r="I867" t="str">
            <v>OE INVOICES</v>
          </cell>
          <cell r="J867">
            <v>44422170772</v>
          </cell>
          <cell r="K867">
            <v>44915</v>
          </cell>
          <cell r="L867">
            <v>4</v>
          </cell>
          <cell r="M867" t="str">
            <v>EUR</v>
          </cell>
          <cell r="N867">
            <v>936.8</v>
          </cell>
          <cell r="O867">
            <v>23.42</v>
          </cell>
          <cell r="P867">
            <v>40</v>
          </cell>
          <cell r="Q867">
            <v>40</v>
          </cell>
          <cell r="R867">
            <v>0</v>
          </cell>
        </row>
        <row r="868">
          <cell r="A868" t="str">
            <v>4GF112AEB00CJAEX5M</v>
          </cell>
          <cell r="B868" t="str">
            <v>Q3-23</v>
          </cell>
          <cell r="C868" t="str">
            <v>Europe Operations OU</v>
          </cell>
          <cell r="D868">
            <v>2674345</v>
          </cell>
          <cell r="E868" t="str">
            <v>Amazon EU SARL, succursale Italiana</v>
          </cell>
          <cell r="F868" t="str">
            <v>4GF112AE</v>
          </cell>
          <cell r="G868" t="str">
            <v>B00CJAEX5M</v>
          </cell>
          <cell r="H868" t="str">
            <v>940-000142</v>
          </cell>
          <cell r="I868" t="str">
            <v>OE INVOICES</v>
          </cell>
          <cell r="J868">
            <v>44422170772</v>
          </cell>
          <cell r="K868">
            <v>44915</v>
          </cell>
          <cell r="L868">
            <v>5</v>
          </cell>
          <cell r="M868" t="str">
            <v>EUR</v>
          </cell>
          <cell r="N868">
            <v>1392.48</v>
          </cell>
          <cell r="O868">
            <v>29.01</v>
          </cell>
          <cell r="P868">
            <v>48</v>
          </cell>
          <cell r="Q868">
            <v>48</v>
          </cell>
          <cell r="R868">
            <v>0</v>
          </cell>
        </row>
        <row r="869">
          <cell r="A869" t="str">
            <v>4GF112AEB00MWNDUDM</v>
          </cell>
          <cell r="B869" t="str">
            <v>Q3-23</v>
          </cell>
          <cell r="C869" t="str">
            <v>Europe Operations OU</v>
          </cell>
          <cell r="D869">
            <v>2674345</v>
          </cell>
          <cell r="E869" t="str">
            <v>Amazon EU SARL, succursale Italiana</v>
          </cell>
          <cell r="F869" t="str">
            <v>4GF112AE</v>
          </cell>
          <cell r="G869" t="str">
            <v>B00MWNDUDM</v>
          </cell>
          <cell r="H869" t="str">
            <v>920-006350</v>
          </cell>
          <cell r="I869" t="str">
            <v>OE INVOICES</v>
          </cell>
          <cell r="J869">
            <v>44422176558</v>
          </cell>
          <cell r="K869">
            <v>44922</v>
          </cell>
          <cell r="L869">
            <v>1</v>
          </cell>
          <cell r="M869" t="str">
            <v>EUR</v>
          </cell>
          <cell r="N869">
            <v>1030.72</v>
          </cell>
          <cell r="O869">
            <v>32.21</v>
          </cell>
          <cell r="P869">
            <v>32</v>
          </cell>
          <cell r="Q869">
            <v>32</v>
          </cell>
          <cell r="R869">
            <v>0</v>
          </cell>
        </row>
        <row r="870">
          <cell r="A870" t="str">
            <v>4GF112AEB00MWR5IVA</v>
          </cell>
          <cell r="B870" t="str">
            <v>Q3-23</v>
          </cell>
          <cell r="C870" t="str">
            <v>Europe Operations OU</v>
          </cell>
          <cell r="D870">
            <v>2674345</v>
          </cell>
          <cell r="E870" t="str">
            <v>Amazon EU SARL, succursale Italiana</v>
          </cell>
          <cell r="F870" t="str">
            <v>4GF112AE</v>
          </cell>
          <cell r="G870" t="str">
            <v>B00MWR5IVA</v>
          </cell>
          <cell r="H870" t="str">
            <v>910-004287</v>
          </cell>
          <cell r="I870" t="str">
            <v>OE INVOICES</v>
          </cell>
          <cell r="J870">
            <v>44422176558</v>
          </cell>
          <cell r="K870">
            <v>44922</v>
          </cell>
          <cell r="L870">
            <v>2</v>
          </cell>
          <cell r="M870" t="str">
            <v>EUR</v>
          </cell>
          <cell r="N870">
            <v>468.4</v>
          </cell>
          <cell r="O870">
            <v>23.42</v>
          </cell>
          <cell r="P870">
            <v>20</v>
          </cell>
          <cell r="Q870">
            <v>20</v>
          </cell>
          <cell r="R870">
            <v>0</v>
          </cell>
        </row>
        <row r="871">
          <cell r="A871" t="str">
            <v>4GF112AEB00P7RAI8A</v>
          </cell>
          <cell r="B871" t="str">
            <v>Q3-23</v>
          </cell>
          <cell r="C871" t="str">
            <v>Europe Operations OU</v>
          </cell>
          <cell r="D871">
            <v>2674345</v>
          </cell>
          <cell r="E871" t="str">
            <v>Amazon EU SARL, succursale Italiana</v>
          </cell>
          <cell r="F871" t="str">
            <v>4GF112AE</v>
          </cell>
          <cell r="G871" t="str">
            <v>B00P7RAI8A</v>
          </cell>
          <cell r="H871" t="str">
            <v>920-002526</v>
          </cell>
          <cell r="I871" t="str">
            <v>OE INVOICES</v>
          </cell>
          <cell r="J871">
            <v>44422170772</v>
          </cell>
          <cell r="K871">
            <v>44915</v>
          </cell>
          <cell r="L871">
            <v>6</v>
          </cell>
          <cell r="M871" t="str">
            <v>EUR</v>
          </cell>
          <cell r="N871">
            <v>374.4</v>
          </cell>
          <cell r="O871">
            <v>9.36</v>
          </cell>
          <cell r="P871">
            <v>40</v>
          </cell>
          <cell r="Q871">
            <v>40</v>
          </cell>
          <cell r="R871">
            <v>0</v>
          </cell>
        </row>
        <row r="872">
          <cell r="A872" t="str">
            <v>4GF112AEB00Y0PP7B8</v>
          </cell>
          <cell r="B872" t="str">
            <v>Q3-23</v>
          </cell>
          <cell r="C872" t="str">
            <v>Europe Operations OU</v>
          </cell>
          <cell r="D872">
            <v>2674345</v>
          </cell>
          <cell r="E872" t="str">
            <v>Amazon EU SARL, succursale Italiana</v>
          </cell>
          <cell r="F872" t="str">
            <v>4GF112AE</v>
          </cell>
          <cell r="G872" t="str">
            <v>B00Y0PP7B8</v>
          </cell>
          <cell r="H872" t="str">
            <v>920-007129</v>
          </cell>
          <cell r="I872" t="str">
            <v>OE INVOICES</v>
          </cell>
          <cell r="J872">
            <v>44422170772</v>
          </cell>
          <cell r="K872">
            <v>44915</v>
          </cell>
          <cell r="L872">
            <v>7</v>
          </cell>
          <cell r="M872" t="str">
            <v>EUR</v>
          </cell>
          <cell r="N872">
            <v>644.20000000000005</v>
          </cell>
          <cell r="O872">
            <v>32.21</v>
          </cell>
          <cell r="P872">
            <v>20</v>
          </cell>
          <cell r="Q872">
            <v>20</v>
          </cell>
          <cell r="R872">
            <v>0</v>
          </cell>
        </row>
        <row r="873">
          <cell r="A873" t="str">
            <v>4GF112AEB0105Y2T5Y</v>
          </cell>
          <cell r="B873" t="str">
            <v>Q3-23</v>
          </cell>
          <cell r="C873" t="str">
            <v>Europe Operations OU</v>
          </cell>
          <cell r="D873">
            <v>2674345</v>
          </cell>
          <cell r="E873" t="str">
            <v>Amazon EU SARL, succursale Italiana</v>
          </cell>
          <cell r="F873" t="str">
            <v>4GF112AE</v>
          </cell>
          <cell r="G873" t="str">
            <v>B0105Y2T5Y</v>
          </cell>
          <cell r="H873" t="str">
            <v>980-001055</v>
          </cell>
          <cell r="I873" t="str">
            <v>OE INVOICES</v>
          </cell>
          <cell r="J873">
            <v>44422170772</v>
          </cell>
          <cell r="K873">
            <v>44915</v>
          </cell>
          <cell r="L873">
            <v>8</v>
          </cell>
          <cell r="M873" t="str">
            <v>EUR</v>
          </cell>
          <cell r="N873">
            <v>488.46</v>
          </cell>
          <cell r="O873">
            <v>81.41</v>
          </cell>
          <cell r="P873">
            <v>6</v>
          </cell>
          <cell r="Q873">
            <v>6</v>
          </cell>
          <cell r="R873">
            <v>0</v>
          </cell>
        </row>
        <row r="874">
          <cell r="A874" t="str">
            <v>4GF112AEB013SL2712</v>
          </cell>
          <cell r="B874" t="str">
            <v>Q3-23</v>
          </cell>
          <cell r="C874" t="str">
            <v>Europe Operations OU</v>
          </cell>
          <cell r="D874">
            <v>2674345</v>
          </cell>
          <cell r="E874" t="str">
            <v>Amazon EU SARL, succursale Italiana</v>
          </cell>
          <cell r="F874" t="str">
            <v>4GF112AE</v>
          </cell>
          <cell r="G874" t="str">
            <v>B013SL2712</v>
          </cell>
          <cell r="H874" t="str">
            <v>920-007581</v>
          </cell>
          <cell r="I874" t="str">
            <v>OE INVOICES</v>
          </cell>
          <cell r="J874">
            <v>44422170772</v>
          </cell>
          <cell r="K874">
            <v>44915</v>
          </cell>
          <cell r="L874">
            <v>9</v>
          </cell>
          <cell r="M874" t="str">
            <v>EUR</v>
          </cell>
          <cell r="N874">
            <v>257.68</v>
          </cell>
          <cell r="O874">
            <v>32.21</v>
          </cell>
          <cell r="P874">
            <v>8</v>
          </cell>
          <cell r="Q874">
            <v>8</v>
          </cell>
          <cell r="R874">
            <v>0</v>
          </cell>
        </row>
        <row r="875">
          <cell r="A875" t="str">
            <v>4GF112AEB01K7GEG9W</v>
          </cell>
          <cell r="B875" t="str">
            <v>Q3-23</v>
          </cell>
          <cell r="C875" t="str">
            <v>Europe Operations OU</v>
          </cell>
          <cell r="D875">
            <v>2674345</v>
          </cell>
          <cell r="E875" t="str">
            <v>Amazon EU SARL, succursale Italiana</v>
          </cell>
          <cell r="F875" t="str">
            <v>4GF112AE</v>
          </cell>
          <cell r="G875" t="str">
            <v>B01K7GEG9W</v>
          </cell>
          <cell r="H875" t="str">
            <v>910-004878</v>
          </cell>
          <cell r="I875" t="str">
            <v>OE INVOICES</v>
          </cell>
          <cell r="J875">
            <v>44422170772</v>
          </cell>
          <cell r="K875">
            <v>44915</v>
          </cell>
          <cell r="L875">
            <v>10</v>
          </cell>
          <cell r="M875" t="str">
            <v>EUR</v>
          </cell>
          <cell r="N875">
            <v>10325.700000000001</v>
          </cell>
          <cell r="O875">
            <v>16.39</v>
          </cell>
          <cell r="P875">
            <v>630</v>
          </cell>
          <cell r="Q875">
            <v>630</v>
          </cell>
          <cell r="R875">
            <v>0</v>
          </cell>
        </row>
        <row r="876">
          <cell r="A876" t="str">
            <v>4GF112AEB01MYW8COY</v>
          </cell>
          <cell r="B876" t="str">
            <v>Q3-23</v>
          </cell>
          <cell r="C876" t="str">
            <v>Europe Operations OU</v>
          </cell>
          <cell r="D876">
            <v>2674345</v>
          </cell>
          <cell r="E876" t="str">
            <v>Amazon EU SARL, succursale Italiana</v>
          </cell>
          <cell r="F876" t="str">
            <v>4GF112AE</v>
          </cell>
          <cell r="G876" t="str">
            <v>B01MYW8COY</v>
          </cell>
          <cell r="H876" t="str">
            <v>981-000634</v>
          </cell>
          <cell r="I876" t="str">
            <v>OE INVOICES</v>
          </cell>
          <cell r="J876">
            <v>44422170772</v>
          </cell>
          <cell r="K876">
            <v>44915</v>
          </cell>
          <cell r="L876">
            <v>11</v>
          </cell>
          <cell r="M876" t="str">
            <v>EUR</v>
          </cell>
          <cell r="N876">
            <v>314.48</v>
          </cell>
          <cell r="O876">
            <v>78.62</v>
          </cell>
          <cell r="P876">
            <v>4</v>
          </cell>
          <cell r="Q876">
            <v>4</v>
          </cell>
          <cell r="R876">
            <v>0</v>
          </cell>
        </row>
        <row r="877">
          <cell r="A877" t="str">
            <v>4GF112AEB01N5NYRES</v>
          </cell>
          <cell r="B877" t="str">
            <v>Q3-23</v>
          </cell>
          <cell r="C877" t="str">
            <v>Europe Operations OU</v>
          </cell>
          <cell r="D877">
            <v>2674345</v>
          </cell>
          <cell r="E877" t="str">
            <v>Amazon EU SARL, succursale Italiana</v>
          </cell>
          <cell r="F877" t="str">
            <v>4GF112AE</v>
          </cell>
          <cell r="G877" t="str">
            <v>B01N5NYRES</v>
          </cell>
          <cell r="H877" t="str">
            <v>960-001106</v>
          </cell>
          <cell r="I877" t="str">
            <v>OE INVOICES</v>
          </cell>
          <cell r="J877">
            <v>44422170772</v>
          </cell>
          <cell r="K877">
            <v>44915</v>
          </cell>
          <cell r="L877">
            <v>12</v>
          </cell>
          <cell r="M877" t="str">
            <v>EUR</v>
          </cell>
          <cell r="N877">
            <v>51801</v>
          </cell>
          <cell r="O877">
            <v>172.67</v>
          </cell>
          <cell r="P877">
            <v>300</v>
          </cell>
          <cell r="Q877">
            <v>300</v>
          </cell>
          <cell r="R877">
            <v>0</v>
          </cell>
        </row>
        <row r="878">
          <cell r="A878" t="str">
            <v>4GF112AEB07SF1RCYF</v>
          </cell>
          <cell r="B878" t="str">
            <v>Q3-23</v>
          </cell>
          <cell r="C878" t="str">
            <v>Europe Operations OU</v>
          </cell>
          <cell r="D878">
            <v>2674345</v>
          </cell>
          <cell r="E878" t="str">
            <v>Amazon EU SARL, succursale Italiana</v>
          </cell>
          <cell r="F878" t="str">
            <v>4GF112AE</v>
          </cell>
          <cell r="G878" t="str">
            <v>B07SF1RCYF</v>
          </cell>
          <cell r="H878" t="str">
            <v>910-005673</v>
          </cell>
          <cell r="I878" t="str">
            <v>OE INVOICES</v>
          </cell>
          <cell r="J878">
            <v>44422176558</v>
          </cell>
          <cell r="K878">
            <v>44922</v>
          </cell>
          <cell r="L878">
            <v>3</v>
          </cell>
          <cell r="M878" t="str">
            <v>EUR</v>
          </cell>
          <cell r="N878">
            <v>32213.759999999998</v>
          </cell>
          <cell r="O878">
            <v>83.89</v>
          </cell>
          <cell r="P878">
            <v>384</v>
          </cell>
          <cell r="Q878">
            <v>384</v>
          </cell>
          <cell r="R878">
            <v>0</v>
          </cell>
        </row>
        <row r="879">
          <cell r="A879" t="str">
            <v>4GF112AEB07W4DGFSM</v>
          </cell>
          <cell r="B879" t="str">
            <v>Q3-23</v>
          </cell>
          <cell r="C879" t="str">
            <v>Europe Operations OU</v>
          </cell>
          <cell r="D879">
            <v>2674345</v>
          </cell>
          <cell r="E879" t="str">
            <v>Amazon EU SARL, succursale Italiana</v>
          </cell>
          <cell r="F879" t="str">
            <v>4GF112AE</v>
          </cell>
          <cell r="G879" t="str">
            <v>B07W4DGFSM</v>
          </cell>
          <cell r="H879" t="str">
            <v>910-006560</v>
          </cell>
          <cell r="I879" t="str">
            <v>OE INVOICES</v>
          </cell>
          <cell r="J879">
            <v>44422170772</v>
          </cell>
          <cell r="K879">
            <v>44915</v>
          </cell>
          <cell r="L879">
            <v>13</v>
          </cell>
          <cell r="M879" t="str">
            <v>EUR</v>
          </cell>
          <cell r="N879">
            <v>6636.08</v>
          </cell>
          <cell r="O879">
            <v>75.41</v>
          </cell>
          <cell r="P879">
            <v>88</v>
          </cell>
          <cell r="Q879">
            <v>88</v>
          </cell>
          <cell r="R879">
            <v>0</v>
          </cell>
        </row>
        <row r="880">
          <cell r="A880" t="str">
            <v>4GF112AEB07W4DGVFS</v>
          </cell>
          <cell r="B880" t="str">
            <v>Q3-23</v>
          </cell>
          <cell r="C880" t="str">
            <v>Europe Operations OU</v>
          </cell>
          <cell r="D880">
            <v>2674345</v>
          </cell>
          <cell r="E880" t="str">
            <v>Amazon EU SARL, succursale Italiana</v>
          </cell>
          <cell r="F880" t="str">
            <v>4GF112AE</v>
          </cell>
          <cell r="G880" t="str">
            <v>B07W4DGVFS</v>
          </cell>
          <cell r="H880" t="str">
            <v>910-005976</v>
          </cell>
          <cell r="I880" t="str">
            <v>OE INVOICES</v>
          </cell>
          <cell r="J880">
            <v>44422170772</v>
          </cell>
          <cell r="K880">
            <v>44915</v>
          </cell>
          <cell r="L880">
            <v>14</v>
          </cell>
          <cell r="M880" t="str">
            <v>EUR</v>
          </cell>
          <cell r="N880">
            <v>314.48</v>
          </cell>
          <cell r="O880">
            <v>78.62</v>
          </cell>
          <cell r="P880">
            <v>4</v>
          </cell>
          <cell r="Q880">
            <v>4</v>
          </cell>
          <cell r="R880">
            <v>0</v>
          </cell>
        </row>
        <row r="881">
          <cell r="A881" t="str">
            <v>4GF112AEB07W4DH1XZ</v>
          </cell>
          <cell r="B881" t="str">
            <v>Q3-23</v>
          </cell>
          <cell r="C881" t="str">
            <v>Europe Operations OU</v>
          </cell>
          <cell r="D881">
            <v>2674345</v>
          </cell>
          <cell r="E881" t="str">
            <v>Amazon EU SARL, succursale Italiana</v>
          </cell>
          <cell r="F881" t="str">
            <v>4GF112AE</v>
          </cell>
          <cell r="G881" t="str">
            <v>B07W4DH1XZ</v>
          </cell>
          <cell r="H881" t="str">
            <v>920-010491</v>
          </cell>
          <cell r="I881" t="str">
            <v>OE INVOICES</v>
          </cell>
          <cell r="J881">
            <v>44422170772</v>
          </cell>
          <cell r="K881">
            <v>44915</v>
          </cell>
          <cell r="L881">
            <v>15</v>
          </cell>
          <cell r="M881" t="str">
            <v>EUR</v>
          </cell>
          <cell r="N881">
            <v>1656.72</v>
          </cell>
          <cell r="O881">
            <v>69.03</v>
          </cell>
          <cell r="P881">
            <v>24</v>
          </cell>
          <cell r="Q881">
            <v>24</v>
          </cell>
          <cell r="R881">
            <v>0</v>
          </cell>
        </row>
        <row r="882">
          <cell r="A882" t="str">
            <v>4GF112AEB07W4DH8JM</v>
          </cell>
          <cell r="B882" t="str">
            <v>Q3-23</v>
          </cell>
          <cell r="C882" t="str">
            <v>Europe Operations OU</v>
          </cell>
          <cell r="D882">
            <v>2674345</v>
          </cell>
          <cell r="E882" t="str">
            <v>Amazon EU SARL, succursale Italiana</v>
          </cell>
          <cell r="F882" t="str">
            <v>4GF112AE</v>
          </cell>
          <cell r="G882" t="str">
            <v>B07W4DH8JM</v>
          </cell>
          <cell r="H882" t="str">
            <v>920-011151</v>
          </cell>
          <cell r="I882" t="str">
            <v>OE INVOICES</v>
          </cell>
          <cell r="J882">
            <v>44422170772</v>
          </cell>
          <cell r="K882">
            <v>44915</v>
          </cell>
          <cell r="L882">
            <v>16</v>
          </cell>
          <cell r="M882" t="str">
            <v>EUR</v>
          </cell>
          <cell r="N882">
            <v>515.36</v>
          </cell>
          <cell r="O882">
            <v>32.21</v>
          </cell>
          <cell r="P882">
            <v>16</v>
          </cell>
          <cell r="Q882">
            <v>16</v>
          </cell>
          <cell r="R882">
            <v>0</v>
          </cell>
        </row>
        <row r="883">
          <cell r="A883" t="str">
            <v>4GF112AEB07W4DHNBF</v>
          </cell>
          <cell r="B883" t="str">
            <v>Q3-23</v>
          </cell>
          <cell r="C883" t="str">
            <v>Europe Operations OU</v>
          </cell>
          <cell r="D883">
            <v>2674345</v>
          </cell>
          <cell r="E883" t="str">
            <v>Amazon EU SARL, succursale Italiana</v>
          </cell>
          <cell r="F883" t="str">
            <v>4GF112AE</v>
          </cell>
          <cell r="G883" t="str">
            <v>B07W4DHNBF</v>
          </cell>
          <cell r="H883" t="str">
            <v>960-001281</v>
          </cell>
          <cell r="I883" t="str">
            <v>OE INVOICES</v>
          </cell>
          <cell r="J883">
            <v>44422170772</v>
          </cell>
          <cell r="K883">
            <v>44915</v>
          </cell>
          <cell r="L883">
            <v>17</v>
          </cell>
          <cell r="M883" t="str">
            <v>EUR</v>
          </cell>
          <cell r="N883">
            <v>737.92</v>
          </cell>
          <cell r="O883">
            <v>92.24</v>
          </cell>
          <cell r="P883">
            <v>8</v>
          </cell>
          <cell r="Q883">
            <v>8</v>
          </cell>
          <cell r="R883">
            <v>0</v>
          </cell>
        </row>
        <row r="884">
          <cell r="A884" t="str">
            <v>4GF112AEB07W4DHNBL</v>
          </cell>
          <cell r="B884" t="str">
            <v>Q3-23</v>
          </cell>
          <cell r="C884" t="str">
            <v>Europe Operations OU</v>
          </cell>
          <cell r="D884">
            <v>2674345</v>
          </cell>
          <cell r="E884" t="str">
            <v>Amazon EU SARL, succursale Italiana</v>
          </cell>
          <cell r="F884" t="str">
            <v>4GF112AE</v>
          </cell>
          <cell r="G884" t="str">
            <v>B07W4DHNBL</v>
          </cell>
          <cell r="H884" t="str">
            <v>920-009587</v>
          </cell>
          <cell r="I884" t="str">
            <v>OE INVOICES</v>
          </cell>
          <cell r="J884">
            <v>44422170772</v>
          </cell>
          <cell r="K884">
            <v>44915</v>
          </cell>
          <cell r="L884">
            <v>18</v>
          </cell>
          <cell r="M884" t="str">
            <v>EUR</v>
          </cell>
          <cell r="N884">
            <v>4638.24</v>
          </cell>
          <cell r="O884">
            <v>32.21</v>
          </cell>
          <cell r="P884">
            <v>144</v>
          </cell>
          <cell r="Q884">
            <v>144</v>
          </cell>
          <cell r="R884">
            <v>0</v>
          </cell>
        </row>
        <row r="885">
          <cell r="A885" t="str">
            <v>4GF112AEB07W4DHP2H</v>
          </cell>
          <cell r="B885" t="str">
            <v>Q3-23</v>
          </cell>
          <cell r="C885" t="str">
            <v>Europe Operations OU</v>
          </cell>
          <cell r="D885">
            <v>2674345</v>
          </cell>
          <cell r="E885" t="str">
            <v>Amazon EU SARL, succursale Italiana</v>
          </cell>
          <cell r="F885" t="str">
            <v>4GF112AE</v>
          </cell>
          <cell r="G885" t="str">
            <v>B07W4DHP2H</v>
          </cell>
          <cell r="H885" t="str">
            <v>920-010400</v>
          </cell>
          <cell r="I885" t="str">
            <v>OE INVOICES</v>
          </cell>
          <cell r="J885">
            <v>44422170772</v>
          </cell>
          <cell r="K885">
            <v>44915</v>
          </cell>
          <cell r="L885">
            <v>19</v>
          </cell>
          <cell r="M885" t="str">
            <v>EUR</v>
          </cell>
          <cell r="N885">
            <v>1546.08</v>
          </cell>
          <cell r="O885">
            <v>32.21</v>
          </cell>
          <cell r="P885">
            <v>48</v>
          </cell>
          <cell r="Q885">
            <v>48</v>
          </cell>
          <cell r="R885">
            <v>0</v>
          </cell>
        </row>
        <row r="886">
          <cell r="A886" t="str">
            <v>4GF112AEB07W5JJP7Q</v>
          </cell>
          <cell r="B886" t="str">
            <v>Q3-23</v>
          </cell>
          <cell r="C886" t="str">
            <v>Europe Operations OU</v>
          </cell>
          <cell r="D886">
            <v>2674345</v>
          </cell>
          <cell r="E886" t="str">
            <v>Amazon EU SARL, succursale Italiana</v>
          </cell>
          <cell r="F886" t="str">
            <v>4GF112AE</v>
          </cell>
          <cell r="G886" t="str">
            <v>B07W5JJP7Q</v>
          </cell>
          <cell r="H886" t="str">
            <v>920-009531</v>
          </cell>
          <cell r="I886" t="str">
            <v>OE INVOICES</v>
          </cell>
          <cell r="J886">
            <v>44422170772</v>
          </cell>
          <cell r="K886">
            <v>44915</v>
          </cell>
          <cell r="L886">
            <v>20</v>
          </cell>
          <cell r="M886" t="str">
            <v>EUR</v>
          </cell>
          <cell r="N886">
            <v>1051.04</v>
          </cell>
          <cell r="O886">
            <v>131.38</v>
          </cell>
          <cell r="P886">
            <v>8</v>
          </cell>
          <cell r="Q886">
            <v>8</v>
          </cell>
          <cell r="R886">
            <v>0</v>
          </cell>
        </row>
        <row r="887">
          <cell r="A887" t="str">
            <v>4GF112AEB07W5JJP7R</v>
          </cell>
          <cell r="B887" t="str">
            <v>Q3-23</v>
          </cell>
          <cell r="C887" t="str">
            <v>Europe Operations OU</v>
          </cell>
          <cell r="D887">
            <v>2674345</v>
          </cell>
          <cell r="E887" t="str">
            <v>Amazon EU SARL, succursale Italiana</v>
          </cell>
          <cell r="F887" t="str">
            <v>4GF112AE</v>
          </cell>
          <cell r="G887" t="str">
            <v>B07W5JJP7R</v>
          </cell>
          <cell r="H887" t="str">
            <v>920-009626</v>
          </cell>
          <cell r="I887" t="str">
            <v>OE INVOICES</v>
          </cell>
          <cell r="J887">
            <v>44422170772</v>
          </cell>
          <cell r="K887">
            <v>44915</v>
          </cell>
          <cell r="L887">
            <v>21</v>
          </cell>
          <cell r="M887" t="str">
            <v>EUR</v>
          </cell>
          <cell r="N887">
            <v>2783.68</v>
          </cell>
          <cell r="O887">
            <v>86.99</v>
          </cell>
          <cell r="P887">
            <v>32</v>
          </cell>
          <cell r="Q887">
            <v>32</v>
          </cell>
          <cell r="R887">
            <v>0</v>
          </cell>
        </row>
        <row r="888">
          <cell r="A888" t="str">
            <v>4GF112AEB07W5JJP7W</v>
          </cell>
          <cell r="B888" t="str">
            <v>Q3-23</v>
          </cell>
          <cell r="C888" t="str">
            <v>Europe Operations OU</v>
          </cell>
          <cell r="D888">
            <v>2674345</v>
          </cell>
          <cell r="E888" t="str">
            <v>Amazon EU SARL, succursale Italiana</v>
          </cell>
          <cell r="F888" t="str">
            <v>4GF112AE</v>
          </cell>
          <cell r="G888" t="str">
            <v>B07W5JJP7W</v>
          </cell>
          <cell r="H888" t="str">
            <v>920-011157</v>
          </cell>
          <cell r="I888" t="str">
            <v>OE INVOICES</v>
          </cell>
          <cell r="J888">
            <v>44422170772</v>
          </cell>
          <cell r="K888">
            <v>44915</v>
          </cell>
          <cell r="L888">
            <v>22</v>
          </cell>
          <cell r="M888" t="str">
            <v>EUR</v>
          </cell>
          <cell r="N888">
            <v>2061.44</v>
          </cell>
          <cell r="O888">
            <v>32.21</v>
          </cell>
          <cell r="P888">
            <v>64</v>
          </cell>
          <cell r="Q888">
            <v>64</v>
          </cell>
          <cell r="R888">
            <v>0</v>
          </cell>
        </row>
        <row r="889">
          <cell r="A889" t="str">
            <v>4GF112AEB07W5JJSBK</v>
          </cell>
          <cell r="B889" t="str">
            <v>Q3-23</v>
          </cell>
          <cell r="C889" t="str">
            <v>Europe Operations OU</v>
          </cell>
          <cell r="D889">
            <v>2674345</v>
          </cell>
          <cell r="E889" t="str">
            <v>Amazon EU SARL, succursale Italiana</v>
          </cell>
          <cell r="F889" t="str">
            <v>4GF112AE</v>
          </cell>
          <cell r="G889" t="str">
            <v>B07W5JJSBK</v>
          </cell>
          <cell r="H889" t="str">
            <v>910-005956</v>
          </cell>
          <cell r="I889" t="str">
            <v>OE INVOICES</v>
          </cell>
          <cell r="J889">
            <v>44422170772</v>
          </cell>
          <cell r="K889">
            <v>44915</v>
          </cell>
          <cell r="L889">
            <v>23</v>
          </cell>
          <cell r="M889" t="str">
            <v>EUR</v>
          </cell>
          <cell r="N889">
            <v>1677.8</v>
          </cell>
          <cell r="O889">
            <v>83.89</v>
          </cell>
          <cell r="P889">
            <v>20</v>
          </cell>
          <cell r="Q889">
            <v>20</v>
          </cell>
          <cell r="R889">
            <v>0</v>
          </cell>
        </row>
        <row r="890">
          <cell r="A890" t="str">
            <v>4GF112AEB07W5JK1JN</v>
          </cell>
          <cell r="B890" t="str">
            <v>Q3-23</v>
          </cell>
          <cell r="C890" t="str">
            <v>Europe Operations OU</v>
          </cell>
          <cell r="D890">
            <v>2674345</v>
          </cell>
          <cell r="E890" t="str">
            <v>Amazon EU SARL, succursale Italiana</v>
          </cell>
          <cell r="F890" t="str">
            <v>4GF112AE</v>
          </cell>
          <cell r="G890" t="str">
            <v>B07W5JK1JN</v>
          </cell>
          <cell r="H890" t="str">
            <v>920-009415</v>
          </cell>
          <cell r="I890" t="str">
            <v>OE INVOICES</v>
          </cell>
          <cell r="J890">
            <v>44422170772</v>
          </cell>
          <cell r="K890">
            <v>44915</v>
          </cell>
          <cell r="L890">
            <v>24</v>
          </cell>
          <cell r="M890" t="str">
            <v>EUR</v>
          </cell>
          <cell r="N890">
            <v>301.64</v>
          </cell>
          <cell r="O890">
            <v>75.41</v>
          </cell>
          <cell r="P890">
            <v>4</v>
          </cell>
          <cell r="Q890">
            <v>4</v>
          </cell>
          <cell r="R890">
            <v>0</v>
          </cell>
        </row>
        <row r="891">
          <cell r="A891" t="str">
            <v>4GF112AEB07W5JK8YR</v>
          </cell>
          <cell r="B891" t="str">
            <v>Q3-23</v>
          </cell>
          <cell r="C891" t="str">
            <v>Europe Operations OU</v>
          </cell>
          <cell r="D891">
            <v>2674345</v>
          </cell>
          <cell r="E891" t="str">
            <v>Amazon EU SARL, succursale Italiana</v>
          </cell>
          <cell r="F891" t="str">
            <v>4GF112AE</v>
          </cell>
          <cell r="G891" t="str">
            <v>B07W5JK8YR</v>
          </cell>
          <cell r="H891" t="str">
            <v>910-006015</v>
          </cell>
          <cell r="I891" t="str">
            <v>OE INVOICES</v>
          </cell>
          <cell r="J891">
            <v>44422170772</v>
          </cell>
          <cell r="K891">
            <v>44915</v>
          </cell>
          <cell r="L891">
            <v>25</v>
          </cell>
          <cell r="M891" t="str">
            <v>EUR</v>
          </cell>
          <cell r="N891">
            <v>443.16</v>
          </cell>
          <cell r="O891">
            <v>36.93</v>
          </cell>
          <cell r="P891">
            <v>12</v>
          </cell>
          <cell r="Q891">
            <v>12</v>
          </cell>
          <cell r="R891">
            <v>0</v>
          </cell>
        </row>
        <row r="892">
          <cell r="A892" t="str">
            <v>4GF112AEB07W5JKHFZ</v>
          </cell>
          <cell r="B892" t="str">
            <v>Q3-23</v>
          </cell>
          <cell r="C892" t="str">
            <v>Europe Operations OU</v>
          </cell>
          <cell r="D892">
            <v>2674345</v>
          </cell>
          <cell r="E892" t="str">
            <v>Amazon EU SARL, succursale Italiana</v>
          </cell>
          <cell r="F892" t="str">
            <v>4GF112AE</v>
          </cell>
          <cell r="G892" t="str">
            <v>B07W5JKHFZ</v>
          </cell>
          <cell r="H892" t="str">
            <v>910-006559</v>
          </cell>
          <cell r="I892" t="str">
            <v>OE INVOICES</v>
          </cell>
          <cell r="J892">
            <v>44422170772</v>
          </cell>
          <cell r="K892">
            <v>44915</v>
          </cell>
          <cell r="L892">
            <v>26</v>
          </cell>
          <cell r="M892" t="str">
            <v>EUR</v>
          </cell>
          <cell r="N892">
            <v>5731.16</v>
          </cell>
          <cell r="O892">
            <v>75.41</v>
          </cell>
          <cell r="P892">
            <v>76</v>
          </cell>
          <cell r="Q892">
            <v>76</v>
          </cell>
          <cell r="R892">
            <v>0</v>
          </cell>
        </row>
        <row r="893">
          <cell r="A893" t="str">
            <v>4GF112AEB07W5JKPFG</v>
          </cell>
          <cell r="B893" t="str">
            <v>Q3-23</v>
          </cell>
          <cell r="C893" t="str">
            <v>Europe Operations OU</v>
          </cell>
          <cell r="D893">
            <v>2674345</v>
          </cell>
          <cell r="E893" t="str">
            <v>Amazon EU SARL, succursale Italiana</v>
          </cell>
          <cell r="F893" t="str">
            <v>4GF112AE</v>
          </cell>
          <cell r="G893" t="str">
            <v>B07W5JKPFG</v>
          </cell>
          <cell r="H893" t="str">
            <v>920-011160</v>
          </cell>
          <cell r="I893" t="str">
            <v>OE INVOICES</v>
          </cell>
          <cell r="J893">
            <v>44422170772</v>
          </cell>
          <cell r="K893">
            <v>44915</v>
          </cell>
          <cell r="L893">
            <v>27</v>
          </cell>
          <cell r="M893" t="str">
            <v>EUR</v>
          </cell>
          <cell r="N893">
            <v>1030.72</v>
          </cell>
          <cell r="O893">
            <v>32.21</v>
          </cell>
          <cell r="P893">
            <v>32</v>
          </cell>
          <cell r="Q893">
            <v>32</v>
          </cell>
          <cell r="R893">
            <v>0</v>
          </cell>
        </row>
        <row r="894">
          <cell r="A894" t="str">
            <v>4GF112AEB07W5JKPJY</v>
          </cell>
          <cell r="B894" t="str">
            <v>Q3-23</v>
          </cell>
          <cell r="C894" t="str">
            <v>Europe Operations OU</v>
          </cell>
          <cell r="D894">
            <v>2674345</v>
          </cell>
          <cell r="E894" t="str">
            <v>Amazon EU SARL, succursale Italiana</v>
          </cell>
          <cell r="F894" t="str">
            <v>4GF112AE</v>
          </cell>
          <cell r="G894" t="str">
            <v>B07W5JKPJY</v>
          </cell>
          <cell r="H894" t="str">
            <v>910-006348</v>
          </cell>
          <cell r="I894" t="str">
            <v>OE INVOICES</v>
          </cell>
          <cell r="J894">
            <v>44422170772</v>
          </cell>
          <cell r="K894">
            <v>44915</v>
          </cell>
          <cell r="L894">
            <v>28</v>
          </cell>
          <cell r="M894" t="str">
            <v>EUR</v>
          </cell>
          <cell r="N894">
            <v>359.5</v>
          </cell>
          <cell r="O894">
            <v>35.950000000000003</v>
          </cell>
          <cell r="P894">
            <v>10</v>
          </cell>
          <cell r="Q894">
            <v>10</v>
          </cell>
          <cell r="R894">
            <v>0</v>
          </cell>
        </row>
        <row r="895">
          <cell r="A895" t="str">
            <v>4GF112AEB07W6GFN9S</v>
          </cell>
          <cell r="B895" t="str">
            <v>Q3-23</v>
          </cell>
          <cell r="C895" t="str">
            <v>Europe Operations OU</v>
          </cell>
          <cell r="D895">
            <v>2674345</v>
          </cell>
          <cell r="E895" t="str">
            <v>Amazon EU SARL, succursale Italiana</v>
          </cell>
          <cell r="F895" t="str">
            <v>4GF112AE</v>
          </cell>
          <cell r="G895" t="str">
            <v>B07W6GFN9S</v>
          </cell>
          <cell r="H895" t="str">
            <v>910-006221</v>
          </cell>
          <cell r="I895" t="str">
            <v>OE INVOICES</v>
          </cell>
          <cell r="J895">
            <v>44422170772</v>
          </cell>
          <cell r="K895">
            <v>44915</v>
          </cell>
          <cell r="L895">
            <v>29</v>
          </cell>
          <cell r="M895" t="str">
            <v>EUR</v>
          </cell>
          <cell r="N895">
            <v>431.4</v>
          </cell>
          <cell r="O895">
            <v>43.14</v>
          </cell>
          <cell r="P895">
            <v>10</v>
          </cell>
          <cell r="Q895">
            <v>10</v>
          </cell>
          <cell r="R895">
            <v>0</v>
          </cell>
        </row>
        <row r="896">
          <cell r="A896" t="str">
            <v>4GF112AEB07W6HCFYS</v>
          </cell>
          <cell r="B896" t="str">
            <v>Q3-23</v>
          </cell>
          <cell r="C896" t="str">
            <v>Europe Operations OU</v>
          </cell>
          <cell r="D896">
            <v>2674345</v>
          </cell>
          <cell r="E896" t="str">
            <v>Amazon EU SARL, succursale Italiana</v>
          </cell>
          <cell r="F896" t="str">
            <v>4GF112AE</v>
          </cell>
          <cell r="G896" t="str">
            <v>B07W6HCFYS</v>
          </cell>
          <cell r="H896" t="str">
            <v>910-006582</v>
          </cell>
          <cell r="I896" t="str">
            <v>OE INVOICES</v>
          </cell>
          <cell r="J896">
            <v>44422170772</v>
          </cell>
          <cell r="K896">
            <v>44915</v>
          </cell>
          <cell r="L896">
            <v>30</v>
          </cell>
          <cell r="M896" t="str">
            <v>EUR</v>
          </cell>
          <cell r="N896">
            <v>373.96</v>
          </cell>
          <cell r="O896">
            <v>93.49</v>
          </cell>
          <cell r="P896">
            <v>4</v>
          </cell>
          <cell r="Q896">
            <v>4</v>
          </cell>
          <cell r="R896">
            <v>0</v>
          </cell>
        </row>
        <row r="897">
          <cell r="A897" t="str">
            <v>4GF112AEB07W6HSPY7</v>
          </cell>
          <cell r="B897" t="str">
            <v>Q3-23</v>
          </cell>
          <cell r="C897" t="str">
            <v>Europe Operations OU</v>
          </cell>
          <cell r="D897">
            <v>2674345</v>
          </cell>
          <cell r="E897" t="str">
            <v>Amazon EU SARL, succursale Italiana</v>
          </cell>
          <cell r="F897" t="str">
            <v>4GF112AE</v>
          </cell>
          <cell r="G897" t="str">
            <v>B07W6HSPY7</v>
          </cell>
          <cell r="H897" t="str">
            <v>910-006237</v>
          </cell>
          <cell r="I897" t="str">
            <v>OE INVOICES</v>
          </cell>
          <cell r="J897">
            <v>44422170772</v>
          </cell>
          <cell r="K897">
            <v>44915</v>
          </cell>
          <cell r="L897">
            <v>31</v>
          </cell>
          <cell r="M897" t="str">
            <v>EUR</v>
          </cell>
          <cell r="N897">
            <v>292.8</v>
          </cell>
          <cell r="O897">
            <v>29.28</v>
          </cell>
          <cell r="P897">
            <v>10</v>
          </cell>
          <cell r="Q897">
            <v>10</v>
          </cell>
          <cell r="R897">
            <v>0</v>
          </cell>
        </row>
        <row r="898">
          <cell r="A898" t="str">
            <v>4GF112AEB07W6HY5TH</v>
          </cell>
          <cell r="B898" t="str">
            <v>Q3-23</v>
          </cell>
          <cell r="C898" t="str">
            <v>Europe Operations OU</v>
          </cell>
          <cell r="D898">
            <v>2674345</v>
          </cell>
          <cell r="E898" t="str">
            <v>Amazon EU SARL, succursale Italiana</v>
          </cell>
          <cell r="F898" t="str">
            <v>4GF112AE</v>
          </cell>
          <cell r="G898" t="str">
            <v>B07W6HY5TH</v>
          </cell>
          <cell r="H898" t="str">
            <v>920-009585</v>
          </cell>
          <cell r="I898" t="str">
            <v>OE INVOICES</v>
          </cell>
          <cell r="J898">
            <v>44422170772</v>
          </cell>
          <cell r="K898">
            <v>44915</v>
          </cell>
          <cell r="L898">
            <v>32</v>
          </cell>
          <cell r="M898" t="str">
            <v>EUR</v>
          </cell>
          <cell r="N898">
            <v>515.36</v>
          </cell>
          <cell r="O898">
            <v>32.21</v>
          </cell>
          <cell r="P898">
            <v>16</v>
          </cell>
          <cell r="Q898">
            <v>16</v>
          </cell>
          <cell r="R898">
            <v>0</v>
          </cell>
        </row>
        <row r="899">
          <cell r="A899" t="str">
            <v>4GF112AEB07W6J6W4P</v>
          </cell>
          <cell r="B899" t="str">
            <v>Q3-23</v>
          </cell>
          <cell r="C899" t="str">
            <v>Europe Operations OU</v>
          </cell>
          <cell r="D899">
            <v>2674345</v>
          </cell>
          <cell r="E899" t="str">
            <v>Amazon EU SARL, succursale Italiana</v>
          </cell>
          <cell r="F899" t="str">
            <v>4GF112AE</v>
          </cell>
          <cell r="G899" t="str">
            <v>B07W6J6W4P</v>
          </cell>
          <cell r="H899" t="str">
            <v>910-005905</v>
          </cell>
          <cell r="I899" t="str">
            <v>OE INVOICES</v>
          </cell>
          <cell r="J899">
            <v>44422170772</v>
          </cell>
          <cell r="K899">
            <v>44915</v>
          </cell>
          <cell r="L899">
            <v>33</v>
          </cell>
          <cell r="M899" t="str">
            <v>EUR</v>
          </cell>
          <cell r="N899">
            <v>421.2</v>
          </cell>
          <cell r="O899">
            <v>10.53</v>
          </cell>
          <cell r="P899">
            <v>40</v>
          </cell>
          <cell r="Q899">
            <v>40</v>
          </cell>
          <cell r="R899">
            <v>0</v>
          </cell>
        </row>
        <row r="900">
          <cell r="A900" t="str">
            <v>4GF112AEB07W6J829F</v>
          </cell>
          <cell r="B900" t="str">
            <v>Q3-23</v>
          </cell>
          <cell r="C900" t="str">
            <v>Europe Operations OU</v>
          </cell>
          <cell r="D900">
            <v>2674345</v>
          </cell>
          <cell r="E900" t="str">
            <v>Amazon EU SARL, succursale Italiana</v>
          </cell>
          <cell r="F900" t="str">
            <v>4GF112AE</v>
          </cell>
          <cell r="G900" t="str">
            <v>B07W6J829F</v>
          </cell>
          <cell r="H900" t="str">
            <v>910-005784</v>
          </cell>
          <cell r="I900" t="str">
            <v>OE INVOICES</v>
          </cell>
          <cell r="J900">
            <v>44422176558</v>
          </cell>
          <cell r="K900">
            <v>44922</v>
          </cell>
          <cell r="L900">
            <v>4</v>
          </cell>
          <cell r="M900" t="str">
            <v>EUR</v>
          </cell>
          <cell r="N900">
            <v>263.5</v>
          </cell>
          <cell r="O900">
            <v>26.35</v>
          </cell>
          <cell r="P900">
            <v>10</v>
          </cell>
          <cell r="Q900">
            <v>10</v>
          </cell>
          <cell r="R900">
            <v>0</v>
          </cell>
        </row>
        <row r="901">
          <cell r="A901" t="str">
            <v>4GF112AEB07W6J829G</v>
          </cell>
          <cell r="B901" t="str">
            <v>Q3-23</v>
          </cell>
          <cell r="C901" t="str">
            <v>Europe Operations OU</v>
          </cell>
          <cell r="D901">
            <v>2674345</v>
          </cell>
          <cell r="E901" t="str">
            <v>Amazon EU SARL, succursale Italiana</v>
          </cell>
          <cell r="F901" t="str">
            <v>4GF112AE</v>
          </cell>
          <cell r="G901" t="str">
            <v>B07W6J829G</v>
          </cell>
          <cell r="H901" t="str">
            <v>910-006239</v>
          </cell>
          <cell r="I901" t="str">
            <v>OE INVOICES</v>
          </cell>
          <cell r="J901">
            <v>44422170772</v>
          </cell>
          <cell r="K901">
            <v>44915</v>
          </cell>
          <cell r="L901">
            <v>34</v>
          </cell>
          <cell r="M901" t="str">
            <v>EUR</v>
          </cell>
          <cell r="N901">
            <v>292.8</v>
          </cell>
          <cell r="O901">
            <v>29.28</v>
          </cell>
          <cell r="P901">
            <v>10</v>
          </cell>
          <cell r="Q901">
            <v>10</v>
          </cell>
          <cell r="R901">
            <v>0</v>
          </cell>
        </row>
        <row r="902">
          <cell r="A902" t="str">
            <v>4GF112AEB07W6JM8BJ</v>
          </cell>
          <cell r="B902" t="str">
            <v>Q3-23</v>
          </cell>
          <cell r="C902" t="str">
            <v>Europe Operations OU</v>
          </cell>
          <cell r="D902">
            <v>2674345</v>
          </cell>
          <cell r="E902" t="str">
            <v>Amazon EU SARL, succursale Italiana</v>
          </cell>
          <cell r="F902" t="str">
            <v>4GF112AE</v>
          </cell>
          <cell r="G902" t="str">
            <v>B07W6JM8BJ</v>
          </cell>
          <cell r="H902" t="str">
            <v>910-006240</v>
          </cell>
          <cell r="I902" t="str">
            <v>OE INVOICES</v>
          </cell>
          <cell r="J902">
            <v>44422170772</v>
          </cell>
          <cell r="K902">
            <v>44915</v>
          </cell>
          <cell r="L902">
            <v>35</v>
          </cell>
          <cell r="M902" t="str">
            <v>EUR</v>
          </cell>
          <cell r="N902">
            <v>292.8</v>
          </cell>
          <cell r="O902">
            <v>29.28</v>
          </cell>
          <cell r="P902">
            <v>10</v>
          </cell>
          <cell r="Q902">
            <v>10</v>
          </cell>
          <cell r="R902">
            <v>0</v>
          </cell>
        </row>
        <row r="903">
          <cell r="A903" t="str">
            <v>4GF112AEB07W6JNG11</v>
          </cell>
          <cell r="B903" t="str">
            <v>Q3-23</v>
          </cell>
          <cell r="C903" t="str">
            <v>Europe Operations OU</v>
          </cell>
          <cell r="D903">
            <v>2674345</v>
          </cell>
          <cell r="E903" t="str">
            <v>Amazon EU SARL, succursale Italiana</v>
          </cell>
          <cell r="F903" t="str">
            <v>4GF112AE</v>
          </cell>
          <cell r="G903" t="str">
            <v>B07W6JNG11</v>
          </cell>
          <cell r="H903" t="str">
            <v>920-009554</v>
          </cell>
          <cell r="I903" t="str">
            <v>OE INVOICES</v>
          </cell>
          <cell r="J903">
            <v>44422170772</v>
          </cell>
          <cell r="K903">
            <v>44915</v>
          </cell>
          <cell r="L903">
            <v>36</v>
          </cell>
          <cell r="M903" t="str">
            <v>EUR</v>
          </cell>
          <cell r="N903">
            <v>904.92</v>
          </cell>
          <cell r="O903">
            <v>75.41</v>
          </cell>
          <cell r="P903">
            <v>12</v>
          </cell>
          <cell r="Q903">
            <v>12</v>
          </cell>
          <cell r="R903">
            <v>0</v>
          </cell>
        </row>
        <row r="904">
          <cell r="A904" t="str">
            <v>4GF112AEB07W6JNQ82</v>
          </cell>
          <cell r="B904" t="str">
            <v>Q3-23</v>
          </cell>
          <cell r="C904" t="str">
            <v>Europe Operations OU</v>
          </cell>
          <cell r="D904">
            <v>2674345</v>
          </cell>
          <cell r="E904" t="str">
            <v>Amazon EU SARL, succursale Italiana</v>
          </cell>
          <cell r="F904" t="str">
            <v>4GF112AE</v>
          </cell>
          <cell r="G904" t="str">
            <v>B07W6JNQ82</v>
          </cell>
          <cell r="H904" t="str">
            <v>920-009392</v>
          </cell>
          <cell r="I904" t="str">
            <v>OE INVOICES</v>
          </cell>
          <cell r="J904">
            <v>44422170772</v>
          </cell>
          <cell r="K904">
            <v>44915</v>
          </cell>
          <cell r="L904">
            <v>37</v>
          </cell>
          <cell r="M904" t="str">
            <v>EUR</v>
          </cell>
          <cell r="N904">
            <v>586.72</v>
          </cell>
          <cell r="O904">
            <v>73.34</v>
          </cell>
          <cell r="P904">
            <v>8</v>
          </cell>
          <cell r="Q904">
            <v>8</v>
          </cell>
          <cell r="R904">
            <v>0</v>
          </cell>
        </row>
        <row r="905">
          <cell r="A905" t="str">
            <v>4GF112AEB07W7KV7TQ</v>
          </cell>
          <cell r="B905" t="str">
            <v>Q3-23</v>
          </cell>
          <cell r="C905" t="str">
            <v>Europe Operations OU</v>
          </cell>
          <cell r="D905">
            <v>2674345</v>
          </cell>
          <cell r="E905" t="str">
            <v>Amazon EU SARL, succursale Italiana</v>
          </cell>
          <cell r="F905" t="str">
            <v>4GF112AE</v>
          </cell>
          <cell r="G905" t="str">
            <v>B07W7KV7TQ</v>
          </cell>
          <cell r="H905" t="str">
            <v>920-011166</v>
          </cell>
          <cell r="I905" t="str">
            <v>OE INVOICES</v>
          </cell>
          <cell r="J905">
            <v>44422170772</v>
          </cell>
          <cell r="K905">
            <v>44915</v>
          </cell>
          <cell r="L905">
            <v>38</v>
          </cell>
          <cell r="M905" t="str">
            <v>EUR</v>
          </cell>
          <cell r="N905">
            <v>257.68</v>
          </cell>
          <cell r="O905">
            <v>32.21</v>
          </cell>
          <cell r="P905">
            <v>8</v>
          </cell>
          <cell r="Q905">
            <v>8</v>
          </cell>
          <cell r="R905">
            <v>0</v>
          </cell>
        </row>
        <row r="906">
          <cell r="A906" t="str">
            <v>4GF112AEB07W7L9JXG</v>
          </cell>
          <cell r="B906" t="str">
            <v>Q3-23</v>
          </cell>
          <cell r="C906" t="str">
            <v>Europe Operations OU</v>
          </cell>
          <cell r="D906">
            <v>2674345</v>
          </cell>
          <cell r="E906" t="str">
            <v>Amazon EU SARL, succursale Italiana</v>
          </cell>
          <cell r="F906" t="str">
            <v>4GF112AE</v>
          </cell>
          <cell r="G906" t="str">
            <v>B07W7L9JXG</v>
          </cell>
          <cell r="H906" t="str">
            <v>920-010593</v>
          </cell>
          <cell r="I906" t="str">
            <v>OE INVOICES</v>
          </cell>
          <cell r="J906">
            <v>44422170772</v>
          </cell>
          <cell r="K906">
            <v>44915</v>
          </cell>
          <cell r="L906">
            <v>39</v>
          </cell>
          <cell r="M906" t="str">
            <v>EUR</v>
          </cell>
          <cell r="N906">
            <v>2994.64</v>
          </cell>
          <cell r="O906">
            <v>68.06</v>
          </cell>
          <cell r="P906">
            <v>44</v>
          </cell>
          <cell r="Q906">
            <v>44</v>
          </cell>
          <cell r="R906">
            <v>0</v>
          </cell>
        </row>
        <row r="907">
          <cell r="A907" t="str">
            <v>4GF112AEB07W7L9JXH</v>
          </cell>
          <cell r="B907" t="str">
            <v>Q3-23</v>
          </cell>
          <cell r="C907" t="str">
            <v>Europe Operations OU</v>
          </cell>
          <cell r="D907">
            <v>2674345</v>
          </cell>
          <cell r="E907" t="str">
            <v>Amazon EU SARL, succursale Italiana</v>
          </cell>
          <cell r="F907" t="str">
            <v>4GF112AE</v>
          </cell>
          <cell r="G907" t="str">
            <v>B07W7L9JXH</v>
          </cell>
          <cell r="H907" t="str">
            <v>920-010523</v>
          </cell>
          <cell r="I907" t="str">
            <v>OE INVOICES</v>
          </cell>
          <cell r="J907">
            <v>44422170772</v>
          </cell>
          <cell r="K907">
            <v>44915</v>
          </cell>
          <cell r="L907">
            <v>40</v>
          </cell>
          <cell r="M907" t="str">
            <v>EUR</v>
          </cell>
          <cell r="N907">
            <v>552.24</v>
          </cell>
          <cell r="O907">
            <v>69.03</v>
          </cell>
          <cell r="P907">
            <v>8</v>
          </cell>
          <cell r="Q907">
            <v>8</v>
          </cell>
          <cell r="R907">
            <v>0</v>
          </cell>
        </row>
        <row r="908">
          <cell r="A908" t="str">
            <v>4GF112AEB07W7MY2K8</v>
          </cell>
          <cell r="B908" t="str">
            <v>Q3-23</v>
          </cell>
          <cell r="C908" t="str">
            <v>Europe Operations OU</v>
          </cell>
          <cell r="D908">
            <v>2674345</v>
          </cell>
          <cell r="E908" t="str">
            <v>Amazon EU SARL, succursale Italiana</v>
          </cell>
          <cell r="F908" t="str">
            <v>4GF112AE</v>
          </cell>
          <cell r="G908" t="str">
            <v>B07W7MY2K8</v>
          </cell>
          <cell r="H908" t="str">
            <v>910-005906</v>
          </cell>
          <cell r="I908" t="str">
            <v>OE INVOICES</v>
          </cell>
          <cell r="J908">
            <v>44422170772</v>
          </cell>
          <cell r="K908">
            <v>44915</v>
          </cell>
          <cell r="L908">
            <v>41</v>
          </cell>
          <cell r="M908" t="str">
            <v>EUR</v>
          </cell>
          <cell r="N908">
            <v>105.3</v>
          </cell>
          <cell r="O908">
            <v>10.53</v>
          </cell>
          <cell r="P908">
            <v>10</v>
          </cell>
          <cell r="Q908">
            <v>10</v>
          </cell>
          <cell r="R908">
            <v>0</v>
          </cell>
        </row>
        <row r="909">
          <cell r="A909" t="str">
            <v>4GF112AEB07W8LZB2L</v>
          </cell>
          <cell r="B909" t="str">
            <v>Q3-23</v>
          </cell>
          <cell r="C909" t="str">
            <v>Europe Operations OU</v>
          </cell>
          <cell r="D909">
            <v>2674345</v>
          </cell>
          <cell r="E909" t="str">
            <v>Amazon EU SARL, succursale Italiana</v>
          </cell>
          <cell r="F909" t="str">
            <v>4GF112AE</v>
          </cell>
          <cell r="G909" t="str">
            <v>B07W8LZB2L</v>
          </cell>
          <cell r="H909" t="str">
            <v>910-006652</v>
          </cell>
          <cell r="I909" t="str">
            <v>OE INVOICES</v>
          </cell>
          <cell r="J909">
            <v>44422170772</v>
          </cell>
          <cell r="K909">
            <v>44915</v>
          </cell>
          <cell r="L909">
            <v>42</v>
          </cell>
          <cell r="M909" t="str">
            <v>EUR</v>
          </cell>
          <cell r="N909">
            <v>1978.6</v>
          </cell>
          <cell r="O909">
            <v>7.61</v>
          </cell>
          <cell r="P909">
            <v>260</v>
          </cell>
          <cell r="Q909">
            <v>260</v>
          </cell>
          <cell r="R909">
            <v>0</v>
          </cell>
        </row>
        <row r="910">
          <cell r="A910" t="str">
            <v>4JN5J65ZB07W5JHF97</v>
          </cell>
          <cell r="B910" t="str">
            <v>Q3-23</v>
          </cell>
          <cell r="C910" t="str">
            <v>Europe Operations OU</v>
          </cell>
          <cell r="D910">
            <v>2674345</v>
          </cell>
          <cell r="E910" t="str">
            <v>Amazon EU SARL, succursale Italiana</v>
          </cell>
          <cell r="F910" t="str">
            <v>4JN5J65Z</v>
          </cell>
          <cell r="G910" t="str">
            <v>B07W5JHF97</v>
          </cell>
          <cell r="H910" t="str">
            <v>984-001829</v>
          </cell>
          <cell r="I910" t="str">
            <v>OE INVOICES</v>
          </cell>
          <cell r="J910">
            <v>44422159277</v>
          </cell>
          <cell r="K910">
            <v>44907</v>
          </cell>
          <cell r="L910">
            <v>1</v>
          </cell>
          <cell r="M910" t="str">
            <v>EUR</v>
          </cell>
          <cell r="N910">
            <v>856.16</v>
          </cell>
          <cell r="O910">
            <v>53.51</v>
          </cell>
          <cell r="P910">
            <v>16</v>
          </cell>
          <cell r="Q910">
            <v>16</v>
          </cell>
          <cell r="R910">
            <v>0</v>
          </cell>
        </row>
        <row r="911">
          <cell r="A911" t="str">
            <v>4JN5J65ZB07W7LMCF9</v>
          </cell>
          <cell r="B911" t="str">
            <v>Q3-23</v>
          </cell>
          <cell r="C911" t="str">
            <v>Europe Operations OU</v>
          </cell>
          <cell r="D911">
            <v>2674345</v>
          </cell>
          <cell r="E911" t="str">
            <v>Amazon EU SARL, succursale Italiana</v>
          </cell>
          <cell r="F911" t="str">
            <v>4JN5J65Z</v>
          </cell>
          <cell r="G911" t="str">
            <v>B07W7LMCF9</v>
          </cell>
          <cell r="H911" t="str">
            <v>920-009553</v>
          </cell>
          <cell r="I911" t="str">
            <v>OE INVOICES</v>
          </cell>
          <cell r="J911">
            <v>44422159277</v>
          </cell>
          <cell r="K911">
            <v>44907</v>
          </cell>
          <cell r="L911">
            <v>2</v>
          </cell>
          <cell r="M911" t="str">
            <v>EUR</v>
          </cell>
          <cell r="N911">
            <v>603.28</v>
          </cell>
          <cell r="O911">
            <v>75.41</v>
          </cell>
          <cell r="P911">
            <v>8</v>
          </cell>
          <cell r="Q911">
            <v>8</v>
          </cell>
          <cell r="R911">
            <v>0</v>
          </cell>
        </row>
        <row r="912">
          <cell r="A912" t="str">
            <v>4KGCSU5VB074KMD92K</v>
          </cell>
          <cell r="B912" t="str">
            <v>Q3-23</v>
          </cell>
          <cell r="C912" t="str">
            <v>Europe Operations OU</v>
          </cell>
          <cell r="D912">
            <v>2674345</v>
          </cell>
          <cell r="E912" t="str">
            <v>Amazon EU SARL, succursale Italiana</v>
          </cell>
          <cell r="F912" t="str">
            <v>4KGCSU5V</v>
          </cell>
          <cell r="G912" t="str">
            <v>B074KMD92K</v>
          </cell>
          <cell r="H912" t="str">
            <v>920-008497</v>
          </cell>
          <cell r="I912" t="str">
            <v>OE INVOICES</v>
          </cell>
          <cell r="J912">
            <v>44422142935</v>
          </cell>
          <cell r="K912">
            <v>44896</v>
          </cell>
          <cell r="L912">
            <v>1</v>
          </cell>
          <cell r="M912" t="str">
            <v>EUR</v>
          </cell>
          <cell r="N912">
            <v>485</v>
          </cell>
          <cell r="O912">
            <v>121.25</v>
          </cell>
          <cell r="P912">
            <v>4</v>
          </cell>
          <cell r="Q912">
            <v>4</v>
          </cell>
          <cell r="R912">
            <v>0</v>
          </cell>
        </row>
        <row r="913">
          <cell r="A913" t="str">
            <v>4KLKWTOEB002VA464S</v>
          </cell>
          <cell r="B913" t="str">
            <v>Q3-23</v>
          </cell>
          <cell r="C913" t="str">
            <v>Europe Operations OU</v>
          </cell>
          <cell r="D913">
            <v>2674345</v>
          </cell>
          <cell r="E913" t="str">
            <v>Amazon EU SARL, succursale Italiana</v>
          </cell>
          <cell r="F913" t="str">
            <v>4KLKWTOE</v>
          </cell>
          <cell r="G913" t="str">
            <v>B002VA464S</v>
          </cell>
          <cell r="H913" t="str">
            <v>988-000238</v>
          </cell>
          <cell r="I913" t="str">
            <v>OE INVOICES</v>
          </cell>
          <cell r="J913">
            <v>44422176564</v>
          </cell>
          <cell r="K913">
            <v>44922</v>
          </cell>
          <cell r="L913">
            <v>1</v>
          </cell>
          <cell r="M913" t="str">
            <v>EUR</v>
          </cell>
          <cell r="N913">
            <v>1549.28</v>
          </cell>
          <cell r="O913">
            <v>96.83</v>
          </cell>
          <cell r="P913">
            <v>16</v>
          </cell>
          <cell r="Q913">
            <v>16</v>
          </cell>
          <cell r="R913">
            <v>0</v>
          </cell>
        </row>
        <row r="914">
          <cell r="A914" t="str">
            <v>4LYATDUXB002VA464S</v>
          </cell>
          <cell r="B914" t="str">
            <v>Q3-23</v>
          </cell>
          <cell r="C914" t="str">
            <v>Europe Operations OU</v>
          </cell>
          <cell r="D914">
            <v>2674345</v>
          </cell>
          <cell r="E914" t="str">
            <v>Amazon EU SARL, succursale Italiana</v>
          </cell>
          <cell r="F914" t="str">
            <v>4LYATDUX</v>
          </cell>
          <cell r="G914" t="str">
            <v>B002VA464S</v>
          </cell>
          <cell r="H914" t="str">
            <v>988-000238</v>
          </cell>
          <cell r="I914" t="str">
            <v>OE INVOICES</v>
          </cell>
          <cell r="J914">
            <v>44422170755</v>
          </cell>
          <cell r="K914">
            <v>44915</v>
          </cell>
          <cell r="L914">
            <v>1</v>
          </cell>
          <cell r="M914" t="str">
            <v>EUR</v>
          </cell>
          <cell r="N914">
            <v>774.64</v>
          </cell>
          <cell r="O914">
            <v>96.83</v>
          </cell>
          <cell r="P914">
            <v>8</v>
          </cell>
          <cell r="Q914">
            <v>8</v>
          </cell>
          <cell r="R914">
            <v>0</v>
          </cell>
        </row>
        <row r="915">
          <cell r="A915" t="str">
            <v>4LYATDUXB0056466CQ</v>
          </cell>
          <cell r="B915" t="str">
            <v>Q3-23</v>
          </cell>
          <cell r="C915" t="str">
            <v>Europe Operations OU</v>
          </cell>
          <cell r="D915">
            <v>2674345</v>
          </cell>
          <cell r="E915" t="str">
            <v>Amazon EU SARL, succursale Italiana</v>
          </cell>
          <cell r="F915" t="str">
            <v>4LYATDUX</v>
          </cell>
          <cell r="G915" t="str">
            <v>B0056466CQ</v>
          </cell>
          <cell r="H915" t="str">
            <v>920-003080</v>
          </cell>
          <cell r="I915" t="str">
            <v>OE INVOICES</v>
          </cell>
          <cell r="J915">
            <v>44422170755</v>
          </cell>
          <cell r="K915">
            <v>44915</v>
          </cell>
          <cell r="L915">
            <v>2</v>
          </cell>
          <cell r="M915" t="str">
            <v>EUR</v>
          </cell>
          <cell r="N915">
            <v>527.04</v>
          </cell>
          <cell r="O915">
            <v>29.28</v>
          </cell>
          <cell r="P915">
            <v>18</v>
          </cell>
          <cell r="Q915">
            <v>18</v>
          </cell>
          <cell r="R915">
            <v>0</v>
          </cell>
        </row>
        <row r="916">
          <cell r="A916" t="str">
            <v>4LYATDUXB005BFCNYU</v>
          </cell>
          <cell r="B916" t="str">
            <v>Q3-23</v>
          </cell>
          <cell r="C916" t="str">
            <v>Europe Operations OU</v>
          </cell>
          <cell r="D916">
            <v>2674345</v>
          </cell>
          <cell r="E916" t="str">
            <v>Amazon EU SARL, succursale Italiana</v>
          </cell>
          <cell r="F916" t="str">
            <v>4LYATDUX</v>
          </cell>
          <cell r="G916" t="str">
            <v>B005BFCNYU</v>
          </cell>
          <cell r="H916" t="str">
            <v>981-000406</v>
          </cell>
          <cell r="I916" t="str">
            <v>OE INVOICES</v>
          </cell>
          <cell r="J916">
            <v>44422170755</v>
          </cell>
          <cell r="K916">
            <v>44915</v>
          </cell>
          <cell r="L916">
            <v>3</v>
          </cell>
          <cell r="M916" t="str">
            <v>EUR</v>
          </cell>
          <cell r="N916">
            <v>1405.44</v>
          </cell>
          <cell r="O916">
            <v>29.28</v>
          </cell>
          <cell r="P916">
            <v>48</v>
          </cell>
          <cell r="Q916">
            <v>48</v>
          </cell>
          <cell r="R916">
            <v>0</v>
          </cell>
        </row>
        <row r="917">
          <cell r="A917" t="str">
            <v>4LYATDUXB006YYNGNY</v>
          </cell>
          <cell r="B917" t="str">
            <v>Q3-23</v>
          </cell>
          <cell r="C917" t="str">
            <v>Europe Operations OU</v>
          </cell>
          <cell r="D917">
            <v>2674345</v>
          </cell>
          <cell r="E917" t="str">
            <v>Amazon EU SARL, succursale Italiana</v>
          </cell>
          <cell r="F917" t="str">
            <v>4LYATDUX</v>
          </cell>
          <cell r="G917" t="str">
            <v>B006YYNGNY</v>
          </cell>
          <cell r="H917" t="str">
            <v>920-003161</v>
          </cell>
          <cell r="I917" t="str">
            <v>OE INVOICES</v>
          </cell>
          <cell r="J917">
            <v>44422170755</v>
          </cell>
          <cell r="K917">
            <v>44915</v>
          </cell>
          <cell r="L917">
            <v>4</v>
          </cell>
          <cell r="M917" t="str">
            <v>EUR</v>
          </cell>
          <cell r="N917">
            <v>656</v>
          </cell>
          <cell r="O917">
            <v>20.5</v>
          </cell>
          <cell r="P917">
            <v>32</v>
          </cell>
          <cell r="Q917">
            <v>32</v>
          </cell>
          <cell r="R917">
            <v>0</v>
          </cell>
        </row>
        <row r="918">
          <cell r="A918" t="str">
            <v>4LYATDUXB00C7INSWU</v>
          </cell>
          <cell r="B918" t="str">
            <v>Q3-23</v>
          </cell>
          <cell r="C918" t="str">
            <v>Europe Operations OU</v>
          </cell>
          <cell r="D918">
            <v>2674345</v>
          </cell>
          <cell r="E918" t="str">
            <v>Amazon EU SARL, succursale Italiana</v>
          </cell>
          <cell r="F918" t="str">
            <v>4LYATDUX</v>
          </cell>
          <cell r="G918" t="str">
            <v>B00C7INSWU</v>
          </cell>
          <cell r="H918" t="str">
            <v>981-000514</v>
          </cell>
          <cell r="I918" t="str">
            <v>OE INVOICES</v>
          </cell>
          <cell r="J918">
            <v>44422170755</v>
          </cell>
          <cell r="K918">
            <v>44915</v>
          </cell>
          <cell r="L918">
            <v>5</v>
          </cell>
          <cell r="M918" t="str">
            <v>EUR</v>
          </cell>
          <cell r="N918">
            <v>279.95999999999998</v>
          </cell>
          <cell r="O918">
            <v>46.66</v>
          </cell>
          <cell r="P918">
            <v>6</v>
          </cell>
          <cell r="Q918">
            <v>6</v>
          </cell>
          <cell r="R918">
            <v>0</v>
          </cell>
        </row>
        <row r="919">
          <cell r="A919" t="str">
            <v>4LYATDUXB00EUUXBDE</v>
          </cell>
          <cell r="B919" t="str">
            <v>Q3-23</v>
          </cell>
          <cell r="C919" t="str">
            <v>Europe Operations OU</v>
          </cell>
          <cell r="D919">
            <v>2674345</v>
          </cell>
          <cell r="E919" t="str">
            <v>Amazon EU SARL, succursale Italiana</v>
          </cell>
          <cell r="F919" t="str">
            <v>4LYATDUX</v>
          </cell>
          <cell r="G919" t="str">
            <v>B00EUUXBDE</v>
          </cell>
          <cell r="H919" t="str">
            <v>980-000810</v>
          </cell>
          <cell r="I919" t="str">
            <v>OE INVOICES</v>
          </cell>
          <cell r="J919">
            <v>44422170755</v>
          </cell>
          <cell r="K919">
            <v>44915</v>
          </cell>
          <cell r="L919">
            <v>6</v>
          </cell>
          <cell r="M919" t="str">
            <v>EUR</v>
          </cell>
          <cell r="N919">
            <v>585.6</v>
          </cell>
          <cell r="O919">
            <v>29.28</v>
          </cell>
          <cell r="P919">
            <v>20</v>
          </cell>
          <cell r="Q919">
            <v>20</v>
          </cell>
          <cell r="R919">
            <v>0</v>
          </cell>
        </row>
        <row r="920">
          <cell r="A920" t="str">
            <v>4LYATDUXB00EUUXBEI</v>
          </cell>
          <cell r="B920" t="str">
            <v>Q3-23</v>
          </cell>
          <cell r="C920" t="str">
            <v>Europe Operations OU</v>
          </cell>
          <cell r="D920">
            <v>2674345</v>
          </cell>
          <cell r="E920" t="str">
            <v>Amazon EU SARL, succursale Italiana</v>
          </cell>
          <cell r="F920" t="str">
            <v>4LYATDUX</v>
          </cell>
          <cell r="G920" t="str">
            <v>B00EUUXBEI</v>
          </cell>
          <cell r="H920" t="str">
            <v>980-000815</v>
          </cell>
          <cell r="I920" t="str">
            <v>OE INVOICES</v>
          </cell>
          <cell r="J920">
            <v>44422170755</v>
          </cell>
          <cell r="K920">
            <v>44915</v>
          </cell>
          <cell r="L920">
            <v>7</v>
          </cell>
          <cell r="M920" t="str">
            <v>EUR</v>
          </cell>
          <cell r="N920">
            <v>492</v>
          </cell>
          <cell r="O920">
            <v>20.5</v>
          </cell>
          <cell r="P920">
            <v>24</v>
          </cell>
          <cell r="Q920">
            <v>24</v>
          </cell>
          <cell r="R920">
            <v>0</v>
          </cell>
        </row>
        <row r="921">
          <cell r="A921" t="str">
            <v>4LYATDUXB00M6S9O9C</v>
          </cell>
          <cell r="B921" t="str">
            <v>Q3-23</v>
          </cell>
          <cell r="C921" t="str">
            <v>Europe Operations OU</v>
          </cell>
          <cell r="D921">
            <v>2674345</v>
          </cell>
          <cell r="E921" t="str">
            <v>Amazon EU SARL, succursale Italiana</v>
          </cell>
          <cell r="F921" t="str">
            <v>4LYATDUX</v>
          </cell>
          <cell r="G921" t="str">
            <v>B00M6S9O9C</v>
          </cell>
          <cell r="H921" t="str">
            <v>981-000571</v>
          </cell>
          <cell r="I921" t="str">
            <v>OE INVOICES</v>
          </cell>
          <cell r="J921">
            <v>44422170755</v>
          </cell>
          <cell r="K921">
            <v>44915</v>
          </cell>
          <cell r="L921">
            <v>8</v>
          </cell>
          <cell r="M921" t="str">
            <v>EUR</v>
          </cell>
          <cell r="N921">
            <v>399.96</v>
          </cell>
          <cell r="O921">
            <v>33.33</v>
          </cell>
          <cell r="P921">
            <v>12</v>
          </cell>
          <cell r="Q921">
            <v>12</v>
          </cell>
          <cell r="R921">
            <v>0</v>
          </cell>
        </row>
        <row r="922">
          <cell r="A922" t="str">
            <v>4LYATDUXB00Q6MR0UO</v>
          </cell>
          <cell r="B922" t="str">
            <v>Q3-23</v>
          </cell>
          <cell r="C922" t="str">
            <v>Europe Operations OU</v>
          </cell>
          <cell r="D922">
            <v>2674345</v>
          </cell>
          <cell r="E922" t="str">
            <v>Amazon EU SARL, succursale Italiana</v>
          </cell>
          <cell r="F922" t="str">
            <v>4LYATDUX</v>
          </cell>
          <cell r="G922" t="str">
            <v>B00Q6MR0UO</v>
          </cell>
          <cell r="H922" t="str">
            <v>910-004345</v>
          </cell>
          <cell r="I922" t="str">
            <v>OE INVOICES</v>
          </cell>
          <cell r="J922">
            <v>44422170755</v>
          </cell>
          <cell r="K922">
            <v>44915</v>
          </cell>
          <cell r="L922">
            <v>9</v>
          </cell>
          <cell r="M922" t="str">
            <v>EUR</v>
          </cell>
          <cell r="N922">
            <v>949.32</v>
          </cell>
          <cell r="O922">
            <v>26.37</v>
          </cell>
          <cell r="P922">
            <v>36</v>
          </cell>
          <cell r="Q922">
            <v>36</v>
          </cell>
          <cell r="R922">
            <v>0</v>
          </cell>
        </row>
        <row r="923">
          <cell r="A923" t="str">
            <v>4LYATDUXB00VHHWNMI</v>
          </cell>
          <cell r="B923" t="str">
            <v>Q3-23</v>
          </cell>
          <cell r="C923" t="str">
            <v>Europe Operations OU</v>
          </cell>
          <cell r="D923">
            <v>2674345</v>
          </cell>
          <cell r="E923" t="str">
            <v>Amazon EU SARL, succursale Italiana</v>
          </cell>
          <cell r="F923" t="str">
            <v>4LYATDUX</v>
          </cell>
          <cell r="G923" t="str">
            <v>B00VHHWNMI</v>
          </cell>
          <cell r="H923" t="str">
            <v>920-007127</v>
          </cell>
          <cell r="I923" t="str">
            <v>OE INVOICES</v>
          </cell>
          <cell r="J923">
            <v>44422170755</v>
          </cell>
          <cell r="K923">
            <v>44915</v>
          </cell>
          <cell r="L923">
            <v>10</v>
          </cell>
          <cell r="M923" t="str">
            <v>EUR</v>
          </cell>
          <cell r="N923">
            <v>322.10000000000002</v>
          </cell>
          <cell r="O923">
            <v>32.21</v>
          </cell>
          <cell r="P923">
            <v>10</v>
          </cell>
          <cell r="Q923">
            <v>10</v>
          </cell>
          <cell r="R923">
            <v>0</v>
          </cell>
        </row>
        <row r="924">
          <cell r="A924" t="str">
            <v>4LYATDUXB013SL1ZBK</v>
          </cell>
          <cell r="B924" t="str">
            <v>Q3-23</v>
          </cell>
          <cell r="C924" t="str">
            <v>Europe Operations OU</v>
          </cell>
          <cell r="D924">
            <v>2674345</v>
          </cell>
          <cell r="E924" t="str">
            <v>Amazon EU SARL, succursale Italiana</v>
          </cell>
          <cell r="F924" t="str">
            <v>4LYATDUX</v>
          </cell>
          <cell r="G924" t="str">
            <v>B013SL1ZBK</v>
          </cell>
          <cell r="H924" t="str">
            <v>920-007576</v>
          </cell>
          <cell r="I924" t="str">
            <v>OE INVOICES</v>
          </cell>
          <cell r="J924">
            <v>44422170755</v>
          </cell>
          <cell r="K924">
            <v>44915</v>
          </cell>
          <cell r="L924">
            <v>11</v>
          </cell>
          <cell r="M924" t="str">
            <v>EUR</v>
          </cell>
          <cell r="N924">
            <v>9534.16</v>
          </cell>
          <cell r="O924">
            <v>32.21</v>
          </cell>
          <cell r="P924">
            <v>296</v>
          </cell>
          <cell r="Q924">
            <v>296</v>
          </cell>
          <cell r="R924">
            <v>0</v>
          </cell>
        </row>
        <row r="925">
          <cell r="A925" t="str">
            <v>4LYATDUXB019RPQML4</v>
          </cell>
          <cell r="B925" t="str">
            <v>Q3-23</v>
          </cell>
          <cell r="C925" t="str">
            <v>Europe Operations OU</v>
          </cell>
          <cell r="D925">
            <v>2674345</v>
          </cell>
          <cell r="E925" t="str">
            <v>Amazon EU SARL, succursale Italiana</v>
          </cell>
          <cell r="F925" t="str">
            <v>4LYATDUX</v>
          </cell>
          <cell r="G925" t="str">
            <v>B019RPQML4</v>
          </cell>
          <cell r="H925" t="str">
            <v>910-004641</v>
          </cell>
          <cell r="I925" t="str">
            <v>OE INVOICES</v>
          </cell>
          <cell r="J925">
            <v>44422170755</v>
          </cell>
          <cell r="K925">
            <v>44915</v>
          </cell>
          <cell r="L925">
            <v>12</v>
          </cell>
          <cell r="M925" t="str">
            <v>EUR</v>
          </cell>
          <cell r="N925">
            <v>468</v>
          </cell>
          <cell r="O925">
            <v>9.36</v>
          </cell>
          <cell r="P925">
            <v>50</v>
          </cell>
          <cell r="Q925">
            <v>50</v>
          </cell>
          <cell r="R925">
            <v>0</v>
          </cell>
        </row>
        <row r="926">
          <cell r="A926" t="str">
            <v>4LYATDUXB01A9GXMW2</v>
          </cell>
          <cell r="B926" t="str">
            <v>Q3-23</v>
          </cell>
          <cell r="C926" t="str">
            <v>Europe Operations OU</v>
          </cell>
          <cell r="D926">
            <v>2674345</v>
          </cell>
          <cell r="E926" t="str">
            <v>Amazon EU SARL, succursale Italiana</v>
          </cell>
          <cell r="F926" t="str">
            <v>4LYATDUX</v>
          </cell>
          <cell r="G926" t="str">
            <v>B01A9GXMW2</v>
          </cell>
          <cell r="H926" t="str">
            <v>910-004642</v>
          </cell>
          <cell r="I926" t="str">
            <v>OE INVOICES</v>
          </cell>
          <cell r="J926">
            <v>44422170755</v>
          </cell>
          <cell r="K926">
            <v>44915</v>
          </cell>
          <cell r="L926">
            <v>13</v>
          </cell>
          <cell r="M926" t="str">
            <v>EUR</v>
          </cell>
          <cell r="N926">
            <v>1591.2</v>
          </cell>
          <cell r="O926">
            <v>9.36</v>
          </cell>
          <cell r="P926">
            <v>170</v>
          </cell>
          <cell r="Q926">
            <v>170</v>
          </cell>
          <cell r="R926">
            <v>0</v>
          </cell>
        </row>
        <row r="927">
          <cell r="A927" t="str">
            <v>4LYATDUXB01M9EWQ2W</v>
          </cell>
          <cell r="B927" t="str">
            <v>Q3-23</v>
          </cell>
          <cell r="C927" t="str">
            <v>Europe Operations OU</v>
          </cell>
          <cell r="D927">
            <v>2674345</v>
          </cell>
          <cell r="E927" t="str">
            <v>Amazon EU SARL, succursale Italiana</v>
          </cell>
          <cell r="F927" t="str">
            <v>4LYATDUX</v>
          </cell>
          <cell r="G927" t="str">
            <v>B01M9EWQ2W</v>
          </cell>
          <cell r="H927" t="str">
            <v>945-000006</v>
          </cell>
          <cell r="I927" t="str">
            <v>OE INVOICES</v>
          </cell>
          <cell r="J927">
            <v>44422170755</v>
          </cell>
          <cell r="K927">
            <v>44915</v>
          </cell>
          <cell r="L927">
            <v>14</v>
          </cell>
          <cell r="M927" t="str">
            <v>EUR</v>
          </cell>
          <cell r="N927">
            <v>188.88</v>
          </cell>
          <cell r="O927">
            <v>94.44</v>
          </cell>
          <cell r="P927">
            <v>2</v>
          </cell>
          <cell r="Q927">
            <v>2</v>
          </cell>
          <cell r="R927">
            <v>0</v>
          </cell>
        </row>
        <row r="928">
          <cell r="A928" t="str">
            <v>4LYATDUXB06VTVGSDW</v>
          </cell>
          <cell r="B928" t="str">
            <v>Q3-23</v>
          </cell>
          <cell r="C928" t="str">
            <v>Europe Operations OU</v>
          </cell>
          <cell r="D928">
            <v>2674345</v>
          </cell>
          <cell r="E928" t="str">
            <v>Amazon EU SARL, succursale Italiana</v>
          </cell>
          <cell r="F928" t="str">
            <v>4LYATDUX</v>
          </cell>
          <cell r="G928" t="str">
            <v>B06VTVGSDW</v>
          </cell>
          <cell r="H928" t="str">
            <v>910-004862</v>
          </cell>
          <cell r="I928" t="str">
            <v>OE INVOICES</v>
          </cell>
          <cell r="J928">
            <v>44422170755</v>
          </cell>
          <cell r="K928">
            <v>44915</v>
          </cell>
          <cell r="L928">
            <v>15</v>
          </cell>
          <cell r="M928" t="str">
            <v>EUR</v>
          </cell>
          <cell r="N928">
            <v>1740.2</v>
          </cell>
          <cell r="O928">
            <v>87.01</v>
          </cell>
          <cell r="P928">
            <v>20</v>
          </cell>
          <cell r="Q928">
            <v>20</v>
          </cell>
          <cell r="R928">
            <v>0</v>
          </cell>
        </row>
        <row r="929">
          <cell r="A929" t="str">
            <v>4LYATDUXB06W547XN2</v>
          </cell>
          <cell r="B929" t="str">
            <v>Q3-23</v>
          </cell>
          <cell r="C929" t="str">
            <v>Europe Operations OU</v>
          </cell>
          <cell r="D929">
            <v>2674345</v>
          </cell>
          <cell r="E929" t="str">
            <v>Amazon EU SARL, succursale Italiana</v>
          </cell>
          <cell r="F929" t="str">
            <v>4LYATDUX</v>
          </cell>
          <cell r="G929" t="str">
            <v>B06W547XN2</v>
          </cell>
          <cell r="H929" t="str">
            <v>920-008318</v>
          </cell>
          <cell r="I929" t="str">
            <v>OE INVOICES</v>
          </cell>
          <cell r="J929">
            <v>44422170755</v>
          </cell>
          <cell r="K929">
            <v>44915</v>
          </cell>
          <cell r="L929">
            <v>16</v>
          </cell>
          <cell r="M929" t="str">
            <v>EUR</v>
          </cell>
          <cell r="N929">
            <v>164</v>
          </cell>
          <cell r="O929">
            <v>20.5</v>
          </cell>
          <cell r="P929">
            <v>8</v>
          </cell>
          <cell r="Q929">
            <v>8</v>
          </cell>
          <cell r="R929">
            <v>0</v>
          </cell>
        </row>
        <row r="930">
          <cell r="A930" t="str">
            <v>4LYATDUXB07CGVGMLD</v>
          </cell>
          <cell r="B930" t="str">
            <v>Q3-23</v>
          </cell>
          <cell r="C930" t="str">
            <v>Europe Operations OU</v>
          </cell>
          <cell r="D930">
            <v>2674345</v>
          </cell>
          <cell r="E930" t="str">
            <v>Amazon EU SARL, succursale Italiana</v>
          </cell>
          <cell r="F930" t="str">
            <v>4LYATDUX</v>
          </cell>
          <cell r="G930" t="str">
            <v>B07CGVGMLD</v>
          </cell>
          <cell r="H930" t="str">
            <v>910-005291</v>
          </cell>
          <cell r="I930" t="str">
            <v>OE INVOICES</v>
          </cell>
          <cell r="J930">
            <v>44422170755</v>
          </cell>
          <cell r="K930">
            <v>44915</v>
          </cell>
          <cell r="L930">
            <v>17</v>
          </cell>
          <cell r="M930" t="str">
            <v>EUR</v>
          </cell>
          <cell r="N930">
            <v>1329.48</v>
          </cell>
          <cell r="O930">
            <v>36.93</v>
          </cell>
          <cell r="P930">
            <v>36</v>
          </cell>
          <cell r="Q930">
            <v>36</v>
          </cell>
          <cell r="R930">
            <v>0</v>
          </cell>
        </row>
        <row r="931">
          <cell r="A931" t="str">
            <v>4LYATDUXB07DTTGZ7M</v>
          </cell>
          <cell r="B931" t="str">
            <v>Q3-23</v>
          </cell>
          <cell r="C931" t="str">
            <v>Europe Operations OU</v>
          </cell>
          <cell r="D931">
            <v>2674345</v>
          </cell>
          <cell r="E931" t="str">
            <v>Amazon EU SARL, succursale Italiana</v>
          </cell>
          <cell r="F931" t="str">
            <v>4LYATDUX</v>
          </cell>
          <cell r="G931" t="str">
            <v>B07DTTGZ7M</v>
          </cell>
          <cell r="H931" t="str">
            <v>988-000205</v>
          </cell>
          <cell r="I931" t="str">
            <v>OE INVOICES</v>
          </cell>
          <cell r="J931">
            <v>44422170755</v>
          </cell>
          <cell r="K931">
            <v>44915</v>
          </cell>
          <cell r="L931">
            <v>18</v>
          </cell>
          <cell r="M931" t="str">
            <v>EUR</v>
          </cell>
          <cell r="N931">
            <v>664</v>
          </cell>
          <cell r="O931">
            <v>83</v>
          </cell>
          <cell r="P931">
            <v>8</v>
          </cell>
          <cell r="Q931">
            <v>8</v>
          </cell>
          <cell r="R931">
            <v>0</v>
          </cell>
        </row>
        <row r="932">
          <cell r="A932" t="str">
            <v>4LYATDUXB07H3HGVDW</v>
          </cell>
          <cell r="B932" t="str">
            <v>Q3-23</v>
          </cell>
          <cell r="C932" t="str">
            <v>Europe Operations OU</v>
          </cell>
          <cell r="D932">
            <v>2674345</v>
          </cell>
          <cell r="E932" t="str">
            <v>Amazon EU SARL, succursale Italiana</v>
          </cell>
          <cell r="F932" t="str">
            <v>4LYATDUX</v>
          </cell>
          <cell r="G932" t="str">
            <v>B07H3HGVDW</v>
          </cell>
          <cell r="H932" t="str">
            <v>914-000034</v>
          </cell>
          <cell r="I932" t="str">
            <v>OE INVOICES</v>
          </cell>
          <cell r="J932">
            <v>44422170755</v>
          </cell>
          <cell r="K932">
            <v>44915</v>
          </cell>
          <cell r="L932">
            <v>19</v>
          </cell>
          <cell r="M932" t="str">
            <v>EUR</v>
          </cell>
          <cell r="N932">
            <v>514.32000000000005</v>
          </cell>
          <cell r="O932">
            <v>42.86</v>
          </cell>
          <cell r="P932">
            <v>12</v>
          </cell>
          <cell r="Q932">
            <v>12</v>
          </cell>
          <cell r="R932">
            <v>0</v>
          </cell>
        </row>
        <row r="933">
          <cell r="A933" t="str">
            <v>4LYATDUXB07SCMTKGB</v>
          </cell>
          <cell r="B933" t="str">
            <v>Q3-23</v>
          </cell>
          <cell r="C933" t="str">
            <v>Europe Operations OU</v>
          </cell>
          <cell r="D933">
            <v>2674345</v>
          </cell>
          <cell r="E933" t="str">
            <v>Amazon EU SARL, succursale Italiana</v>
          </cell>
          <cell r="F933" t="str">
            <v>4LYATDUX</v>
          </cell>
          <cell r="G933" t="str">
            <v>B07SCMTKGB</v>
          </cell>
          <cell r="H933" t="str">
            <v>910-005633</v>
          </cell>
          <cell r="I933" t="str">
            <v>OE INVOICES</v>
          </cell>
          <cell r="J933">
            <v>44422170755</v>
          </cell>
          <cell r="K933">
            <v>44915</v>
          </cell>
          <cell r="L933">
            <v>20</v>
          </cell>
          <cell r="M933" t="str">
            <v>EUR</v>
          </cell>
          <cell r="N933">
            <v>1107.68</v>
          </cell>
          <cell r="O933">
            <v>39.56</v>
          </cell>
          <cell r="P933">
            <v>28</v>
          </cell>
          <cell r="Q933">
            <v>28</v>
          </cell>
          <cell r="R933">
            <v>0</v>
          </cell>
        </row>
        <row r="934">
          <cell r="A934" t="str">
            <v>4LYATDUXB07W4DGZ53</v>
          </cell>
          <cell r="B934" t="str">
            <v>Q3-23</v>
          </cell>
          <cell r="C934" t="str">
            <v>Europe Operations OU</v>
          </cell>
          <cell r="D934">
            <v>2674345</v>
          </cell>
          <cell r="E934" t="str">
            <v>Amazon EU SARL, succursale Italiana</v>
          </cell>
          <cell r="F934" t="str">
            <v>4LYATDUX</v>
          </cell>
          <cell r="G934" t="str">
            <v>B07W4DGZ53</v>
          </cell>
          <cell r="H934" t="str">
            <v>920-010394</v>
          </cell>
          <cell r="I934" t="str">
            <v>OE INVOICES</v>
          </cell>
          <cell r="J934">
            <v>44422170755</v>
          </cell>
          <cell r="K934">
            <v>44915</v>
          </cell>
          <cell r="L934">
            <v>21</v>
          </cell>
          <cell r="M934" t="str">
            <v>EUR</v>
          </cell>
          <cell r="N934">
            <v>257.68</v>
          </cell>
          <cell r="O934">
            <v>32.21</v>
          </cell>
          <cell r="P934">
            <v>8</v>
          </cell>
          <cell r="Q934">
            <v>8</v>
          </cell>
          <cell r="R934">
            <v>0</v>
          </cell>
        </row>
        <row r="935">
          <cell r="A935" t="str">
            <v>4LYATDUXB07W4DH9CW</v>
          </cell>
          <cell r="B935" t="str">
            <v>Q3-23</v>
          </cell>
          <cell r="C935" t="str">
            <v>Europe Operations OU</v>
          </cell>
          <cell r="D935">
            <v>2674345</v>
          </cell>
          <cell r="E935" t="str">
            <v>Amazon EU SARL, succursale Italiana</v>
          </cell>
          <cell r="F935" t="str">
            <v>4LYATDUX</v>
          </cell>
          <cell r="G935" t="str">
            <v>B07W4DH9CW</v>
          </cell>
          <cell r="H935" t="str">
            <v>910-005907</v>
          </cell>
          <cell r="I935" t="str">
            <v>OE INVOICES</v>
          </cell>
          <cell r="J935">
            <v>44422170755</v>
          </cell>
          <cell r="K935">
            <v>44915</v>
          </cell>
          <cell r="L935">
            <v>22</v>
          </cell>
          <cell r="M935" t="str">
            <v>EUR</v>
          </cell>
          <cell r="N935">
            <v>1790.1</v>
          </cell>
          <cell r="O935">
            <v>10.53</v>
          </cell>
          <cell r="P935">
            <v>170</v>
          </cell>
          <cell r="Q935">
            <v>170</v>
          </cell>
          <cell r="R935">
            <v>0</v>
          </cell>
        </row>
        <row r="936">
          <cell r="A936" t="str">
            <v>4LYATDUXB07W4DHCS5</v>
          </cell>
          <cell r="B936" t="str">
            <v>Q3-23</v>
          </cell>
          <cell r="C936" t="str">
            <v>Europe Operations OU</v>
          </cell>
          <cell r="D936">
            <v>2674345</v>
          </cell>
          <cell r="E936" t="str">
            <v>Amazon EU SARL, succursale Italiana</v>
          </cell>
          <cell r="F936" t="str">
            <v>4LYATDUX</v>
          </cell>
          <cell r="G936" t="str">
            <v>B07W4DHCS5</v>
          </cell>
          <cell r="H936" t="str">
            <v>920-009194</v>
          </cell>
          <cell r="I936" t="str">
            <v>OE INVOICES</v>
          </cell>
          <cell r="J936">
            <v>44422170755</v>
          </cell>
          <cell r="K936">
            <v>44915</v>
          </cell>
          <cell r="L936">
            <v>23</v>
          </cell>
          <cell r="M936" t="str">
            <v>EUR</v>
          </cell>
          <cell r="N936">
            <v>281.04000000000002</v>
          </cell>
          <cell r="O936">
            <v>35.130000000000003</v>
          </cell>
          <cell r="P936">
            <v>8</v>
          </cell>
          <cell r="Q936">
            <v>8</v>
          </cell>
          <cell r="R936">
            <v>0</v>
          </cell>
        </row>
        <row r="937">
          <cell r="A937" t="str">
            <v>4LYATDUXB07W4DHMVB</v>
          </cell>
          <cell r="B937" t="str">
            <v>Q3-23</v>
          </cell>
          <cell r="C937" t="str">
            <v>Europe Operations OU</v>
          </cell>
          <cell r="D937">
            <v>2674345</v>
          </cell>
          <cell r="E937" t="str">
            <v>Amazon EU SARL, succursale Italiana</v>
          </cell>
          <cell r="F937" t="str">
            <v>4LYATDUX</v>
          </cell>
          <cell r="G937" t="str">
            <v>B07W4DHMVB</v>
          </cell>
          <cell r="H937" t="str">
            <v>981-001074</v>
          </cell>
          <cell r="I937" t="str">
            <v>OE INVOICES</v>
          </cell>
          <cell r="J937">
            <v>44422170755</v>
          </cell>
          <cell r="K937">
            <v>44915</v>
          </cell>
          <cell r="L937">
            <v>24</v>
          </cell>
          <cell r="M937" t="str">
            <v>EUR</v>
          </cell>
          <cell r="N937">
            <v>896.8</v>
          </cell>
          <cell r="O937">
            <v>44.84</v>
          </cell>
          <cell r="P937">
            <v>20</v>
          </cell>
          <cell r="Q937">
            <v>20</v>
          </cell>
          <cell r="R937">
            <v>0</v>
          </cell>
        </row>
        <row r="938">
          <cell r="A938" t="str">
            <v>4LYATDUXB07W4DHT47</v>
          </cell>
          <cell r="B938" t="str">
            <v>Q3-23</v>
          </cell>
          <cell r="C938" t="str">
            <v>Europe Operations OU</v>
          </cell>
          <cell r="D938">
            <v>2674345</v>
          </cell>
          <cell r="E938" t="str">
            <v>Amazon EU SARL, succursale Italiana</v>
          </cell>
          <cell r="F938" t="str">
            <v>4LYATDUX</v>
          </cell>
          <cell r="G938" t="str">
            <v>B07W4DHT47</v>
          </cell>
          <cell r="H938" t="str">
            <v>910-006034</v>
          </cell>
          <cell r="I938" t="str">
            <v>OE INVOICES</v>
          </cell>
          <cell r="J938">
            <v>44422170755</v>
          </cell>
          <cell r="K938">
            <v>44915</v>
          </cell>
          <cell r="L938">
            <v>25</v>
          </cell>
          <cell r="M938" t="str">
            <v>EUR</v>
          </cell>
          <cell r="N938">
            <v>11595.6</v>
          </cell>
          <cell r="O938">
            <v>32.21</v>
          </cell>
          <cell r="P938">
            <v>360</v>
          </cell>
          <cell r="Q938">
            <v>360</v>
          </cell>
          <cell r="R938">
            <v>0</v>
          </cell>
        </row>
        <row r="939">
          <cell r="A939" t="str">
            <v>4LYATDUXB07W5JHX84</v>
          </cell>
          <cell r="B939" t="str">
            <v>Q3-23</v>
          </cell>
          <cell r="C939" t="str">
            <v>Europe Operations OU</v>
          </cell>
          <cell r="D939">
            <v>2674345</v>
          </cell>
          <cell r="E939" t="str">
            <v>Amazon EU SARL, succursale Italiana</v>
          </cell>
          <cell r="F939" t="str">
            <v>4LYATDUX</v>
          </cell>
          <cell r="G939" t="str">
            <v>B07W5JHX84</v>
          </cell>
          <cell r="H939" t="str">
            <v>910-006023</v>
          </cell>
          <cell r="I939" t="str">
            <v>OE INVOICES</v>
          </cell>
          <cell r="J939">
            <v>44422170755</v>
          </cell>
          <cell r="K939">
            <v>44915</v>
          </cell>
          <cell r="L939">
            <v>26</v>
          </cell>
          <cell r="M939" t="str">
            <v>EUR</v>
          </cell>
          <cell r="N939">
            <v>738.6</v>
          </cell>
          <cell r="O939">
            <v>36.93</v>
          </cell>
          <cell r="P939">
            <v>20</v>
          </cell>
          <cell r="Q939">
            <v>20</v>
          </cell>
          <cell r="R939">
            <v>0</v>
          </cell>
        </row>
        <row r="940">
          <cell r="A940" t="str">
            <v>4LYATDUXB07W5JJ85P</v>
          </cell>
          <cell r="B940" t="str">
            <v>Q3-23</v>
          </cell>
          <cell r="C940" t="str">
            <v>Europe Operations OU</v>
          </cell>
          <cell r="D940">
            <v>2674345</v>
          </cell>
          <cell r="E940" t="str">
            <v>Amazon EU SARL, succursale Italiana</v>
          </cell>
          <cell r="F940" t="str">
            <v>4LYATDUX</v>
          </cell>
          <cell r="G940" t="str">
            <v>B07W5JJ85P</v>
          </cell>
          <cell r="H940" t="str">
            <v>920-009390</v>
          </cell>
          <cell r="I940" t="str">
            <v>OE INVOICES</v>
          </cell>
          <cell r="J940">
            <v>44422170755</v>
          </cell>
          <cell r="K940">
            <v>44915</v>
          </cell>
          <cell r="L940">
            <v>27</v>
          </cell>
          <cell r="M940" t="str">
            <v>EUR</v>
          </cell>
          <cell r="N940">
            <v>880.08</v>
          </cell>
          <cell r="O940">
            <v>73.34</v>
          </cell>
          <cell r="P940">
            <v>12</v>
          </cell>
          <cell r="Q940">
            <v>12</v>
          </cell>
          <cell r="R940">
            <v>0</v>
          </cell>
        </row>
        <row r="941">
          <cell r="A941" t="str">
            <v>4LYATDUXB07W5JJ85Z</v>
          </cell>
          <cell r="B941" t="str">
            <v>Q3-23</v>
          </cell>
          <cell r="C941" t="str">
            <v>Europe Operations OU</v>
          </cell>
          <cell r="D941">
            <v>2674345</v>
          </cell>
          <cell r="E941" t="str">
            <v>Amazon EU SARL, succursale Italiana</v>
          </cell>
          <cell r="F941" t="str">
            <v>4LYATDUX</v>
          </cell>
          <cell r="G941" t="str">
            <v>B07W5JJ85Z</v>
          </cell>
          <cell r="H941" t="str">
            <v>910-006238</v>
          </cell>
          <cell r="I941" t="str">
            <v>OE INVOICES</v>
          </cell>
          <cell r="J941">
            <v>44422170755</v>
          </cell>
          <cell r="K941">
            <v>44915</v>
          </cell>
          <cell r="L941">
            <v>28</v>
          </cell>
          <cell r="M941" t="str">
            <v>EUR</v>
          </cell>
          <cell r="N941">
            <v>878.4</v>
          </cell>
          <cell r="O941">
            <v>29.28</v>
          </cell>
          <cell r="P941">
            <v>30</v>
          </cell>
          <cell r="Q941">
            <v>30</v>
          </cell>
          <cell r="R941">
            <v>0</v>
          </cell>
        </row>
        <row r="942">
          <cell r="A942" t="str">
            <v>4LYATDUXB07W5JK4VQ</v>
          </cell>
          <cell r="B942" t="str">
            <v>Q3-23</v>
          </cell>
          <cell r="C942" t="str">
            <v>Europe Operations OU</v>
          </cell>
          <cell r="D942">
            <v>2674345</v>
          </cell>
          <cell r="E942" t="str">
            <v>Amazon EU SARL, succursale Italiana</v>
          </cell>
          <cell r="F942" t="str">
            <v>4LYATDUX</v>
          </cell>
          <cell r="G942" t="str">
            <v>B07W5JK4VQ</v>
          </cell>
          <cell r="H942" t="str">
            <v>910-005908</v>
          </cell>
          <cell r="I942" t="str">
            <v>OE INVOICES</v>
          </cell>
          <cell r="J942">
            <v>44422170755</v>
          </cell>
          <cell r="K942">
            <v>44915</v>
          </cell>
          <cell r="L942">
            <v>29</v>
          </cell>
          <cell r="M942" t="str">
            <v>EUR</v>
          </cell>
          <cell r="N942">
            <v>421.2</v>
          </cell>
          <cell r="O942">
            <v>10.53</v>
          </cell>
          <cell r="P942">
            <v>40</v>
          </cell>
          <cell r="Q942">
            <v>40</v>
          </cell>
          <cell r="R942">
            <v>0</v>
          </cell>
        </row>
        <row r="943">
          <cell r="A943" t="str">
            <v>4LYATDUXB07W5JKKHL</v>
          </cell>
          <cell r="B943" t="str">
            <v>Q3-23</v>
          </cell>
          <cell r="C943" t="str">
            <v>Europe Operations OU</v>
          </cell>
          <cell r="D943">
            <v>2674345</v>
          </cell>
          <cell r="E943" t="str">
            <v>Amazon EU SARL, succursale Italiana</v>
          </cell>
          <cell r="F943" t="str">
            <v>4LYATDUX</v>
          </cell>
          <cell r="G943" t="str">
            <v>B07W5JKKHL</v>
          </cell>
          <cell r="H943" t="str">
            <v>920-009583</v>
          </cell>
          <cell r="I943" t="str">
            <v>OE INVOICES</v>
          </cell>
          <cell r="J943">
            <v>44422170755</v>
          </cell>
          <cell r="K943">
            <v>44915</v>
          </cell>
          <cell r="L943">
            <v>30</v>
          </cell>
          <cell r="M943" t="str">
            <v>EUR</v>
          </cell>
          <cell r="N943">
            <v>4122.88</v>
          </cell>
          <cell r="O943">
            <v>32.21</v>
          </cell>
          <cell r="P943">
            <v>128</v>
          </cell>
          <cell r="Q943">
            <v>128</v>
          </cell>
          <cell r="R943">
            <v>0</v>
          </cell>
        </row>
        <row r="944">
          <cell r="A944" t="str">
            <v>4LYATDUXB07W6G822V</v>
          </cell>
          <cell r="B944" t="str">
            <v>Q3-23</v>
          </cell>
          <cell r="C944" t="str">
            <v>Europe Operations OU</v>
          </cell>
          <cell r="D944">
            <v>2674345</v>
          </cell>
          <cell r="E944" t="str">
            <v>Amazon EU SARL, succursale Italiana</v>
          </cell>
          <cell r="F944" t="str">
            <v>4LYATDUX</v>
          </cell>
          <cell r="G944" t="str">
            <v>B07W6G822V</v>
          </cell>
          <cell r="H944" t="str">
            <v>910-006751</v>
          </cell>
          <cell r="I944" t="str">
            <v>OE INVOICES</v>
          </cell>
          <cell r="J944">
            <v>44422170755</v>
          </cell>
          <cell r="K944">
            <v>44915</v>
          </cell>
          <cell r="L944">
            <v>31</v>
          </cell>
          <cell r="M944" t="str">
            <v>EUR</v>
          </cell>
          <cell r="N944">
            <v>1966.8</v>
          </cell>
          <cell r="O944">
            <v>16.39</v>
          </cell>
          <cell r="P944">
            <v>120</v>
          </cell>
          <cell r="Q944">
            <v>120</v>
          </cell>
          <cell r="R944">
            <v>0</v>
          </cell>
        </row>
        <row r="945">
          <cell r="A945" t="str">
            <v>4LYATDUXB07W6HBPSX</v>
          </cell>
          <cell r="B945" t="str">
            <v>Q3-23</v>
          </cell>
          <cell r="C945" t="str">
            <v>Europe Operations OU</v>
          </cell>
          <cell r="D945">
            <v>2674345</v>
          </cell>
          <cell r="E945" t="str">
            <v>Amazon EU SARL, succursale Italiana</v>
          </cell>
          <cell r="F945" t="str">
            <v>4LYATDUX</v>
          </cell>
          <cell r="G945" t="str">
            <v>B07W6HBPSX</v>
          </cell>
          <cell r="H945" t="str">
            <v>981-001101</v>
          </cell>
          <cell r="I945" t="str">
            <v>OE INVOICES</v>
          </cell>
          <cell r="J945">
            <v>44422170755</v>
          </cell>
          <cell r="K945">
            <v>44915</v>
          </cell>
          <cell r="L945">
            <v>32</v>
          </cell>
          <cell r="M945" t="str">
            <v>EUR</v>
          </cell>
          <cell r="N945">
            <v>580.08000000000004</v>
          </cell>
          <cell r="O945">
            <v>145.02000000000001</v>
          </cell>
          <cell r="P945">
            <v>4</v>
          </cell>
          <cell r="Q945">
            <v>4</v>
          </cell>
          <cell r="R945">
            <v>0</v>
          </cell>
        </row>
        <row r="946">
          <cell r="A946" t="str">
            <v>4LYATDUXB07W6HLJJT</v>
          </cell>
          <cell r="B946" t="str">
            <v>Q3-23</v>
          </cell>
          <cell r="C946" t="str">
            <v>Europe Operations OU</v>
          </cell>
          <cell r="D946">
            <v>2674345</v>
          </cell>
          <cell r="E946" t="str">
            <v>Amazon EU SARL, succursale Italiana</v>
          </cell>
          <cell r="F946" t="str">
            <v>4LYATDUX</v>
          </cell>
          <cell r="G946" t="str">
            <v>B07W6HLJJT</v>
          </cell>
          <cell r="H946" t="str">
            <v>920-010498</v>
          </cell>
          <cell r="I946" t="str">
            <v>OE INVOICES</v>
          </cell>
          <cell r="J946">
            <v>44422170755</v>
          </cell>
          <cell r="K946">
            <v>44915</v>
          </cell>
          <cell r="L946">
            <v>33</v>
          </cell>
          <cell r="M946" t="str">
            <v>EUR</v>
          </cell>
          <cell r="N946">
            <v>1380.6</v>
          </cell>
          <cell r="O946">
            <v>69.03</v>
          </cell>
          <cell r="P946">
            <v>20</v>
          </cell>
          <cell r="Q946">
            <v>20</v>
          </cell>
          <cell r="R946">
            <v>0</v>
          </cell>
        </row>
        <row r="947">
          <cell r="A947" t="str">
            <v>4LYATDUXB07W6HVXXN</v>
          </cell>
          <cell r="B947" t="str">
            <v>Q3-23</v>
          </cell>
          <cell r="C947" t="str">
            <v>Europe Operations OU</v>
          </cell>
          <cell r="D947">
            <v>2674345</v>
          </cell>
          <cell r="E947" t="str">
            <v>Amazon EU SARL, succursale Italiana</v>
          </cell>
          <cell r="F947" t="str">
            <v>4LYATDUX</v>
          </cell>
          <cell r="G947" t="str">
            <v>B07W6HVXXN</v>
          </cell>
          <cell r="H947" t="str">
            <v>920-009404</v>
          </cell>
          <cell r="I947" t="str">
            <v>OE INVOICES</v>
          </cell>
          <cell r="J947">
            <v>44422170755</v>
          </cell>
          <cell r="K947">
            <v>44915</v>
          </cell>
          <cell r="L947">
            <v>34</v>
          </cell>
          <cell r="M947" t="str">
            <v>EUR</v>
          </cell>
          <cell r="N947">
            <v>13968.12</v>
          </cell>
          <cell r="O947">
            <v>81.209999999999994</v>
          </cell>
          <cell r="P947">
            <v>172</v>
          </cell>
          <cell r="Q947">
            <v>172</v>
          </cell>
          <cell r="R947">
            <v>0</v>
          </cell>
        </row>
        <row r="948">
          <cell r="A948" t="str">
            <v>4LYATDUXB07W6HXZ5J</v>
          </cell>
          <cell r="B948" t="str">
            <v>Q3-23</v>
          </cell>
          <cell r="C948" t="str">
            <v>Europe Operations OU</v>
          </cell>
          <cell r="D948">
            <v>2674345</v>
          </cell>
          <cell r="E948" t="str">
            <v>Amazon EU SARL, succursale Italiana</v>
          </cell>
          <cell r="F948" t="str">
            <v>4LYATDUX</v>
          </cell>
          <cell r="G948" t="str">
            <v>B07W6HXZ5J</v>
          </cell>
          <cell r="H948" t="str">
            <v>920-009413</v>
          </cell>
          <cell r="I948" t="str">
            <v>OE INVOICES</v>
          </cell>
          <cell r="J948">
            <v>44422170755</v>
          </cell>
          <cell r="K948">
            <v>44915</v>
          </cell>
          <cell r="L948">
            <v>35</v>
          </cell>
          <cell r="M948" t="str">
            <v>EUR</v>
          </cell>
          <cell r="N948">
            <v>4524.6000000000004</v>
          </cell>
          <cell r="O948">
            <v>75.41</v>
          </cell>
          <cell r="P948">
            <v>60</v>
          </cell>
          <cell r="Q948">
            <v>60</v>
          </cell>
          <cell r="R948">
            <v>0</v>
          </cell>
        </row>
        <row r="949">
          <cell r="A949" t="str">
            <v>4LYATDUXB07W6JHB2P</v>
          </cell>
          <cell r="B949" t="str">
            <v>Q3-23</v>
          </cell>
          <cell r="C949" t="str">
            <v>Europe Operations OU</v>
          </cell>
          <cell r="D949">
            <v>2674345</v>
          </cell>
          <cell r="E949" t="str">
            <v>Amazon EU SARL, succursale Italiana</v>
          </cell>
          <cell r="F949" t="str">
            <v>4LYATDUX</v>
          </cell>
          <cell r="G949" t="str">
            <v>B07W6JHB2P</v>
          </cell>
          <cell r="H949" t="str">
            <v>910-006254</v>
          </cell>
          <cell r="I949" t="str">
            <v>OE INVOICES</v>
          </cell>
          <cell r="J949">
            <v>44422170755</v>
          </cell>
          <cell r="K949">
            <v>44915</v>
          </cell>
          <cell r="L949">
            <v>36</v>
          </cell>
          <cell r="M949" t="str">
            <v>EUR</v>
          </cell>
          <cell r="N949">
            <v>292.8</v>
          </cell>
          <cell r="O949">
            <v>29.28</v>
          </cell>
          <cell r="P949">
            <v>10</v>
          </cell>
          <cell r="Q949">
            <v>10</v>
          </cell>
          <cell r="R949">
            <v>0</v>
          </cell>
        </row>
        <row r="950">
          <cell r="A950" t="str">
            <v>4LYATDUXB07W6JM289</v>
          </cell>
          <cell r="B950" t="str">
            <v>Q3-23</v>
          </cell>
          <cell r="C950" t="str">
            <v>Europe Operations OU</v>
          </cell>
          <cell r="D950">
            <v>2674345</v>
          </cell>
          <cell r="E950" t="str">
            <v>Amazon EU SARL, succursale Italiana</v>
          </cell>
          <cell r="F950" t="str">
            <v>4LYATDUX</v>
          </cell>
          <cell r="G950" t="str">
            <v>B07W6JM289</v>
          </cell>
          <cell r="H950" t="str">
            <v>920-009584</v>
          </cell>
          <cell r="I950" t="str">
            <v>OE INVOICES</v>
          </cell>
          <cell r="J950">
            <v>44422170755</v>
          </cell>
          <cell r="K950">
            <v>44915</v>
          </cell>
          <cell r="L950">
            <v>37</v>
          </cell>
          <cell r="M950" t="str">
            <v>EUR</v>
          </cell>
          <cell r="N950">
            <v>1288.4000000000001</v>
          </cell>
          <cell r="O950">
            <v>32.21</v>
          </cell>
          <cell r="P950">
            <v>40</v>
          </cell>
          <cell r="Q950">
            <v>40</v>
          </cell>
          <cell r="R950">
            <v>0</v>
          </cell>
        </row>
        <row r="951">
          <cell r="A951" t="str">
            <v>4LYATDUXB07W6JM35X</v>
          </cell>
          <cell r="B951" t="str">
            <v>Q3-23</v>
          </cell>
          <cell r="C951" t="str">
            <v>Europe Operations OU</v>
          </cell>
          <cell r="D951">
            <v>2674345</v>
          </cell>
          <cell r="E951" t="str">
            <v>Amazon EU SARL, succursale Italiana</v>
          </cell>
          <cell r="F951" t="str">
            <v>4LYATDUX</v>
          </cell>
          <cell r="G951" t="str">
            <v>B07W6JM35X</v>
          </cell>
          <cell r="H951" t="str">
            <v>981-001062</v>
          </cell>
          <cell r="I951" t="str">
            <v>OE INVOICES</v>
          </cell>
          <cell r="J951">
            <v>44422170755</v>
          </cell>
          <cell r="K951">
            <v>44915</v>
          </cell>
          <cell r="L951">
            <v>38</v>
          </cell>
          <cell r="M951" t="str">
            <v>EUR</v>
          </cell>
          <cell r="N951">
            <v>179.36</v>
          </cell>
          <cell r="O951">
            <v>44.84</v>
          </cell>
          <cell r="P951">
            <v>4</v>
          </cell>
          <cell r="Q951">
            <v>4</v>
          </cell>
          <cell r="R951">
            <v>0</v>
          </cell>
        </row>
        <row r="952">
          <cell r="A952" t="str">
            <v>4LYATDUXB07W7JHZKR</v>
          </cell>
          <cell r="B952" t="str">
            <v>Q3-23</v>
          </cell>
          <cell r="C952" t="str">
            <v>Europe Operations OU</v>
          </cell>
          <cell r="D952">
            <v>2674345</v>
          </cell>
          <cell r="E952" t="str">
            <v>Amazon EU SARL, succursale Italiana</v>
          </cell>
          <cell r="F952" t="str">
            <v>4LYATDUX</v>
          </cell>
          <cell r="G952" t="str">
            <v>B07W7JHZKR</v>
          </cell>
          <cell r="H952" t="str">
            <v>920-010483</v>
          </cell>
          <cell r="I952" t="str">
            <v>OE INVOICES</v>
          </cell>
          <cell r="J952">
            <v>44422170755</v>
          </cell>
          <cell r="K952">
            <v>44915</v>
          </cell>
          <cell r="L952">
            <v>39</v>
          </cell>
          <cell r="M952" t="str">
            <v>EUR</v>
          </cell>
          <cell r="N952">
            <v>552.24</v>
          </cell>
          <cell r="O952">
            <v>69.03</v>
          </cell>
          <cell r="P952">
            <v>8</v>
          </cell>
          <cell r="Q952">
            <v>8</v>
          </cell>
          <cell r="R952">
            <v>0</v>
          </cell>
        </row>
        <row r="953">
          <cell r="A953" t="str">
            <v>4LYATDUXB07W7KCF3W</v>
          </cell>
          <cell r="B953" t="str">
            <v>Q3-23</v>
          </cell>
          <cell r="C953" t="str">
            <v>Europe Operations OU</v>
          </cell>
          <cell r="D953">
            <v>2674345</v>
          </cell>
          <cell r="E953" t="str">
            <v>Amazon EU SARL, succursale Italiana</v>
          </cell>
          <cell r="F953" t="str">
            <v>4LYATDUX</v>
          </cell>
          <cell r="G953" t="str">
            <v>B07W7KCF3W</v>
          </cell>
          <cell r="H953" t="str">
            <v>910-005989</v>
          </cell>
          <cell r="I953" t="str">
            <v>OE INVOICES</v>
          </cell>
          <cell r="J953">
            <v>44422170755</v>
          </cell>
          <cell r="K953">
            <v>44915</v>
          </cell>
          <cell r="L953">
            <v>40</v>
          </cell>
          <cell r="M953" t="str">
            <v>EUR</v>
          </cell>
          <cell r="N953">
            <v>1160</v>
          </cell>
          <cell r="O953">
            <v>58</v>
          </cell>
          <cell r="P953">
            <v>20</v>
          </cell>
          <cell r="Q953">
            <v>20</v>
          </cell>
          <cell r="R953">
            <v>0</v>
          </cell>
        </row>
        <row r="954">
          <cell r="A954" t="str">
            <v>4LYATDUXB07W7KHGMB</v>
          </cell>
          <cell r="B954" t="str">
            <v>Q3-23</v>
          </cell>
          <cell r="C954" t="str">
            <v>Europe Operations OU</v>
          </cell>
          <cell r="D954">
            <v>2674345</v>
          </cell>
          <cell r="E954" t="str">
            <v>Amazon EU SARL, succursale Italiana</v>
          </cell>
          <cell r="F954" t="str">
            <v>4LYATDUX</v>
          </cell>
          <cell r="G954" t="str">
            <v>B07W7KHGMB</v>
          </cell>
          <cell r="H954" t="str">
            <v>920-010537</v>
          </cell>
          <cell r="I954" t="str">
            <v>OE INVOICES</v>
          </cell>
          <cell r="J954">
            <v>44422170755</v>
          </cell>
          <cell r="K954">
            <v>44915</v>
          </cell>
          <cell r="L954">
            <v>41</v>
          </cell>
          <cell r="M954" t="str">
            <v>EUR</v>
          </cell>
          <cell r="N954">
            <v>272.24</v>
          </cell>
          <cell r="O954">
            <v>68.06</v>
          </cell>
          <cell r="P954">
            <v>4</v>
          </cell>
          <cell r="Q954">
            <v>4</v>
          </cell>
          <cell r="R954">
            <v>0</v>
          </cell>
        </row>
        <row r="955">
          <cell r="A955" t="str">
            <v>4LYATDUXB07W7KMK4W</v>
          </cell>
          <cell r="B955" t="str">
            <v>Q3-23</v>
          </cell>
          <cell r="C955" t="str">
            <v>Europe Operations OU</v>
          </cell>
          <cell r="D955">
            <v>2674345</v>
          </cell>
          <cell r="E955" t="str">
            <v>Amazon EU SARL, succursale Italiana</v>
          </cell>
          <cell r="F955" t="str">
            <v>4LYATDUX</v>
          </cell>
          <cell r="G955" t="str">
            <v>B07W7KMK4W</v>
          </cell>
          <cell r="H955" t="str">
            <v>920-010559</v>
          </cell>
          <cell r="I955" t="str">
            <v>OE INVOICES</v>
          </cell>
          <cell r="J955">
            <v>44422170755</v>
          </cell>
          <cell r="K955">
            <v>44915</v>
          </cell>
          <cell r="L955">
            <v>42</v>
          </cell>
          <cell r="M955" t="str">
            <v>EUR</v>
          </cell>
          <cell r="N955">
            <v>2194.4</v>
          </cell>
          <cell r="O955">
            <v>42.2</v>
          </cell>
          <cell r="P955">
            <v>52</v>
          </cell>
          <cell r="Q955">
            <v>52</v>
          </cell>
          <cell r="R955">
            <v>0</v>
          </cell>
        </row>
        <row r="956">
          <cell r="A956" t="str">
            <v>4LYATDUXB07W7L3HJP</v>
          </cell>
          <cell r="B956" t="str">
            <v>Q3-23</v>
          </cell>
          <cell r="C956" t="str">
            <v>Europe Operations OU</v>
          </cell>
          <cell r="D956">
            <v>2674345</v>
          </cell>
          <cell r="E956" t="str">
            <v>Amazon EU SARL, succursale Italiana</v>
          </cell>
          <cell r="F956" t="str">
            <v>4LYATDUX</v>
          </cell>
          <cell r="G956" t="str">
            <v>B07W7L3HJP</v>
          </cell>
          <cell r="H956" t="str">
            <v>914-000074</v>
          </cell>
          <cell r="I956" t="str">
            <v>OE INVOICES</v>
          </cell>
          <cell r="J956">
            <v>44422170755</v>
          </cell>
          <cell r="K956">
            <v>44915</v>
          </cell>
          <cell r="L956">
            <v>43</v>
          </cell>
          <cell r="M956" t="str">
            <v>EUR</v>
          </cell>
          <cell r="N956">
            <v>6612</v>
          </cell>
          <cell r="O956">
            <v>55.1</v>
          </cell>
          <cell r="P956">
            <v>120</v>
          </cell>
          <cell r="Q956">
            <v>120</v>
          </cell>
          <cell r="R956">
            <v>0</v>
          </cell>
        </row>
        <row r="957">
          <cell r="A957" t="str">
            <v>4LYATDUXB07W7L62FX</v>
          </cell>
          <cell r="B957" t="str">
            <v>Q3-23</v>
          </cell>
          <cell r="C957" t="str">
            <v>Europe Operations OU</v>
          </cell>
          <cell r="D957">
            <v>2674345</v>
          </cell>
          <cell r="E957" t="str">
            <v>Amazon EU SARL, succursale Italiana</v>
          </cell>
          <cell r="F957" t="str">
            <v>4LYATDUX</v>
          </cell>
          <cell r="G957" t="str">
            <v>B07W7L62FX</v>
          </cell>
          <cell r="H957" t="str">
            <v>920-010220</v>
          </cell>
          <cell r="I957" t="str">
            <v>OE INVOICES</v>
          </cell>
          <cell r="J957">
            <v>44422170755</v>
          </cell>
          <cell r="K957">
            <v>44915</v>
          </cell>
          <cell r="L957">
            <v>44</v>
          </cell>
          <cell r="M957" t="str">
            <v>EUR</v>
          </cell>
          <cell r="N957">
            <v>8538.8799999999992</v>
          </cell>
          <cell r="O957">
            <v>133.41999999999999</v>
          </cell>
          <cell r="P957">
            <v>64</v>
          </cell>
          <cell r="Q957">
            <v>64</v>
          </cell>
          <cell r="R957">
            <v>0</v>
          </cell>
        </row>
        <row r="958">
          <cell r="A958" t="str">
            <v>4LYATDUXB07W7L6HHN</v>
          </cell>
          <cell r="B958" t="str">
            <v>Q3-23</v>
          </cell>
          <cell r="C958" t="str">
            <v>Europe Operations OU</v>
          </cell>
          <cell r="D958">
            <v>2674345</v>
          </cell>
          <cell r="E958" t="str">
            <v>Amazon EU SARL, succursale Italiana</v>
          </cell>
          <cell r="F958" t="str">
            <v>4LYATDUX</v>
          </cell>
          <cell r="G958" t="str">
            <v>B07W7L6HHN</v>
          </cell>
          <cell r="H958" t="str">
            <v>910-006764</v>
          </cell>
          <cell r="I958" t="str">
            <v>OE INVOICES</v>
          </cell>
          <cell r="J958">
            <v>44422170755</v>
          </cell>
          <cell r="K958">
            <v>44915</v>
          </cell>
          <cell r="L958">
            <v>45</v>
          </cell>
          <cell r="M958" t="str">
            <v>EUR</v>
          </cell>
          <cell r="N958">
            <v>152.19999999999999</v>
          </cell>
          <cell r="O958">
            <v>7.61</v>
          </cell>
          <cell r="P958">
            <v>20</v>
          </cell>
          <cell r="Q958">
            <v>20</v>
          </cell>
          <cell r="R958">
            <v>0</v>
          </cell>
        </row>
        <row r="959">
          <cell r="A959" t="str">
            <v>4LYATDUXB07W7LM8SS</v>
          </cell>
          <cell r="B959" t="str">
            <v>Q3-23</v>
          </cell>
          <cell r="C959" t="str">
            <v>Europe Operations OU</v>
          </cell>
          <cell r="D959">
            <v>2674345</v>
          </cell>
          <cell r="E959" t="str">
            <v>Amazon EU SARL, succursale Italiana</v>
          </cell>
          <cell r="F959" t="str">
            <v>4LYATDUX</v>
          </cell>
          <cell r="G959" t="str">
            <v>B07W7LM8SS</v>
          </cell>
          <cell r="H959" t="str">
            <v>910-006379</v>
          </cell>
          <cell r="I959" t="str">
            <v>OE INVOICES</v>
          </cell>
          <cell r="J959">
            <v>44422176563</v>
          </cell>
          <cell r="K959">
            <v>44922</v>
          </cell>
          <cell r="L959">
            <v>1</v>
          </cell>
          <cell r="M959" t="str">
            <v>EUR</v>
          </cell>
          <cell r="N959">
            <v>253.2</v>
          </cell>
          <cell r="O959">
            <v>31.65</v>
          </cell>
          <cell r="P959">
            <v>8</v>
          </cell>
          <cell r="Q959">
            <v>8</v>
          </cell>
          <cell r="R959">
            <v>0</v>
          </cell>
        </row>
        <row r="960">
          <cell r="A960" t="str">
            <v>4LYATDUXB07W7MKLNT</v>
          </cell>
          <cell r="B960" t="str">
            <v>Q3-23</v>
          </cell>
          <cell r="C960" t="str">
            <v>Europe Operations OU</v>
          </cell>
          <cell r="D960">
            <v>2674345</v>
          </cell>
          <cell r="E960" t="str">
            <v>Amazon EU SARL, succursale Italiana</v>
          </cell>
          <cell r="F960" t="str">
            <v>4LYATDUX</v>
          </cell>
          <cell r="G960" t="str">
            <v>B07W7MKLNT</v>
          </cell>
          <cell r="H960" t="str">
            <v>910-005943</v>
          </cell>
          <cell r="I960" t="str">
            <v>OE INVOICES</v>
          </cell>
          <cell r="J960">
            <v>44422176563</v>
          </cell>
          <cell r="K960">
            <v>44922</v>
          </cell>
          <cell r="L960">
            <v>2</v>
          </cell>
          <cell r="M960" t="str">
            <v>EUR</v>
          </cell>
          <cell r="N960">
            <v>7046.76</v>
          </cell>
          <cell r="O960">
            <v>83.89</v>
          </cell>
          <cell r="P960">
            <v>84</v>
          </cell>
          <cell r="Q960">
            <v>84</v>
          </cell>
          <cell r="R960">
            <v>0</v>
          </cell>
        </row>
        <row r="961">
          <cell r="A961" t="str">
            <v>4LYATDUXB0866PZN76</v>
          </cell>
          <cell r="B961" t="str">
            <v>Q3-23</v>
          </cell>
          <cell r="C961" t="str">
            <v>Europe Operations OU</v>
          </cell>
          <cell r="D961">
            <v>2674345</v>
          </cell>
          <cell r="E961" t="str">
            <v>Amazon EU SARL, succursale Italiana</v>
          </cell>
          <cell r="F961" t="str">
            <v>4LYATDUX</v>
          </cell>
          <cell r="G961" t="str">
            <v>B0866PZN76</v>
          </cell>
          <cell r="H961" t="str">
            <v>961-000499</v>
          </cell>
          <cell r="I961" t="str">
            <v>OE INVOICES</v>
          </cell>
          <cell r="J961">
            <v>44422170755</v>
          </cell>
          <cell r="K961">
            <v>44915</v>
          </cell>
          <cell r="L961">
            <v>46</v>
          </cell>
          <cell r="M961" t="str">
            <v>EUR</v>
          </cell>
          <cell r="N961">
            <v>1194.3599999999999</v>
          </cell>
          <cell r="O961">
            <v>298.58999999999997</v>
          </cell>
          <cell r="P961">
            <v>4</v>
          </cell>
          <cell r="Q961">
            <v>4</v>
          </cell>
          <cell r="R961">
            <v>0</v>
          </cell>
        </row>
        <row r="962">
          <cell r="A962" t="str">
            <v>4LYATDUXB0B8W3JR26</v>
          </cell>
          <cell r="B962" t="str">
            <v>Q3-23</v>
          </cell>
          <cell r="C962" t="str">
            <v>Europe Operations OU</v>
          </cell>
          <cell r="D962">
            <v>2674345</v>
          </cell>
          <cell r="E962" t="str">
            <v>Amazon EU SARL, succursale Italiana</v>
          </cell>
          <cell r="F962" t="str">
            <v>4LYATDUX</v>
          </cell>
          <cell r="G962" t="str">
            <v>B0B8W3JR26</v>
          </cell>
          <cell r="H962" t="str">
            <v>910-006477</v>
          </cell>
          <cell r="I962" t="str">
            <v>OE INVOICES</v>
          </cell>
          <cell r="J962">
            <v>44422170755</v>
          </cell>
          <cell r="K962">
            <v>44915</v>
          </cell>
          <cell r="L962">
            <v>47</v>
          </cell>
          <cell r="M962" t="str">
            <v>EUR</v>
          </cell>
          <cell r="N962">
            <v>556.79999999999995</v>
          </cell>
          <cell r="O962">
            <v>46.4</v>
          </cell>
          <cell r="P962">
            <v>12</v>
          </cell>
          <cell r="Q962">
            <v>12</v>
          </cell>
          <cell r="R962">
            <v>0</v>
          </cell>
        </row>
        <row r="963">
          <cell r="A963" t="str">
            <v>4O4TKA6PB00O8K42LQ</v>
          </cell>
          <cell r="B963" t="str">
            <v>Q3-23</v>
          </cell>
          <cell r="C963" t="str">
            <v>Europe Operations OU</v>
          </cell>
          <cell r="D963">
            <v>2674345</v>
          </cell>
          <cell r="E963" t="str">
            <v>Amazon EU SARL, succursale Italiana</v>
          </cell>
          <cell r="F963" t="str">
            <v>4O4TKA6P</v>
          </cell>
          <cell r="G963" t="str">
            <v>B00O8K42LQ</v>
          </cell>
          <cell r="H963" t="str">
            <v>920-006707</v>
          </cell>
          <cell r="I963" t="str">
            <v>OE INVOICES</v>
          </cell>
          <cell r="J963">
            <v>44422170769</v>
          </cell>
          <cell r="K963">
            <v>44915</v>
          </cell>
          <cell r="L963">
            <v>1</v>
          </cell>
          <cell r="M963" t="str">
            <v>EUR</v>
          </cell>
          <cell r="N963">
            <v>649.6</v>
          </cell>
          <cell r="O963">
            <v>40.6</v>
          </cell>
          <cell r="P963">
            <v>16</v>
          </cell>
          <cell r="Q963">
            <v>16</v>
          </cell>
          <cell r="R963">
            <v>0</v>
          </cell>
        </row>
        <row r="964">
          <cell r="A964" t="str">
            <v>4O4TKA6PB07S7CKTBR</v>
          </cell>
          <cell r="B964" t="str">
            <v>Q3-23</v>
          </cell>
          <cell r="C964" t="str">
            <v>Europe Operations OU</v>
          </cell>
          <cell r="D964">
            <v>2674345</v>
          </cell>
          <cell r="E964" t="str">
            <v>Amazon EU SARL, succursale Italiana</v>
          </cell>
          <cell r="F964" t="str">
            <v>4O4TKA6P</v>
          </cell>
          <cell r="G964" t="str">
            <v>B07S7CKTBR</v>
          </cell>
          <cell r="H964" t="str">
            <v>910-005640</v>
          </cell>
          <cell r="I964" t="str">
            <v>OE INVOICES</v>
          </cell>
          <cell r="J964">
            <v>44422170769</v>
          </cell>
          <cell r="K964">
            <v>44915</v>
          </cell>
          <cell r="L964">
            <v>2</v>
          </cell>
          <cell r="M964" t="str">
            <v>EUR</v>
          </cell>
          <cell r="N964">
            <v>1840.32</v>
          </cell>
          <cell r="O964">
            <v>57.51</v>
          </cell>
          <cell r="P964">
            <v>32</v>
          </cell>
          <cell r="Q964">
            <v>32</v>
          </cell>
          <cell r="R964">
            <v>0</v>
          </cell>
        </row>
        <row r="965">
          <cell r="A965" t="str">
            <v>4O4TKA6PB07W6HKMCN</v>
          </cell>
          <cell r="B965" t="str">
            <v>Q3-23</v>
          </cell>
          <cell r="C965" t="str">
            <v>Europe Operations OU</v>
          </cell>
          <cell r="D965">
            <v>2674345</v>
          </cell>
          <cell r="E965" t="str">
            <v>Amazon EU SARL, succursale Italiana</v>
          </cell>
          <cell r="F965" t="str">
            <v>4O4TKA6P</v>
          </cell>
          <cell r="G965" t="str">
            <v>B07W6HKMCN</v>
          </cell>
          <cell r="H965" t="str">
            <v>910-005870</v>
          </cell>
          <cell r="I965" t="str">
            <v>OE INVOICES</v>
          </cell>
          <cell r="J965">
            <v>44422170769</v>
          </cell>
          <cell r="K965">
            <v>44915</v>
          </cell>
          <cell r="L965">
            <v>3</v>
          </cell>
          <cell r="M965" t="str">
            <v>EUR</v>
          </cell>
          <cell r="N965">
            <v>9251</v>
          </cell>
          <cell r="O965">
            <v>31.9</v>
          </cell>
          <cell r="P965">
            <v>290</v>
          </cell>
          <cell r="Q965">
            <v>290</v>
          </cell>
          <cell r="R965">
            <v>0</v>
          </cell>
        </row>
        <row r="966">
          <cell r="A966" t="str">
            <v>4O4TKA6PB07W6JKH1B</v>
          </cell>
          <cell r="B966" t="str">
            <v>Q3-23</v>
          </cell>
          <cell r="C966" t="str">
            <v>Europe Operations OU</v>
          </cell>
          <cell r="D966">
            <v>2674345</v>
          </cell>
          <cell r="E966" t="str">
            <v>Amazon EU SARL, succursale Italiana</v>
          </cell>
          <cell r="F966" t="str">
            <v>4O4TKA6P</v>
          </cell>
          <cell r="G966" t="str">
            <v>B07W6JKH1B</v>
          </cell>
          <cell r="H966" t="str">
            <v>920-011176</v>
          </cell>
          <cell r="I966" t="str">
            <v>OE INVOICES</v>
          </cell>
          <cell r="J966">
            <v>44422170769</v>
          </cell>
          <cell r="K966">
            <v>44915</v>
          </cell>
          <cell r="L966">
            <v>4</v>
          </cell>
          <cell r="M966" t="str">
            <v>EUR</v>
          </cell>
          <cell r="N966">
            <v>515.36</v>
          </cell>
          <cell r="O966">
            <v>32.21</v>
          </cell>
          <cell r="P966">
            <v>16</v>
          </cell>
          <cell r="Q966">
            <v>16</v>
          </cell>
          <cell r="R966">
            <v>0</v>
          </cell>
        </row>
        <row r="967">
          <cell r="A967" t="str">
            <v>4O4TKA6PB07W7LMCF9</v>
          </cell>
          <cell r="B967" t="str">
            <v>Q3-23</v>
          </cell>
          <cell r="C967" t="str">
            <v>Europe Operations OU</v>
          </cell>
          <cell r="D967">
            <v>2674345</v>
          </cell>
          <cell r="E967" t="str">
            <v>Amazon EU SARL, succursale Italiana</v>
          </cell>
          <cell r="F967" t="str">
            <v>4O4TKA6P</v>
          </cell>
          <cell r="G967" t="str">
            <v>B07W7LMCF9</v>
          </cell>
          <cell r="H967" t="str">
            <v>920-009553</v>
          </cell>
          <cell r="I967" t="str">
            <v>OE INVOICES</v>
          </cell>
          <cell r="J967">
            <v>44422170769</v>
          </cell>
          <cell r="K967">
            <v>44915</v>
          </cell>
          <cell r="L967">
            <v>5</v>
          </cell>
          <cell r="M967" t="str">
            <v>EUR</v>
          </cell>
          <cell r="N967">
            <v>57009.96</v>
          </cell>
          <cell r="O967">
            <v>75.41</v>
          </cell>
          <cell r="P967">
            <v>756</v>
          </cell>
          <cell r="Q967">
            <v>756</v>
          </cell>
          <cell r="R967">
            <v>0</v>
          </cell>
        </row>
        <row r="968">
          <cell r="A968" t="str">
            <v>4P7SEHJSB073399S1L</v>
          </cell>
          <cell r="B968" t="str">
            <v>Q3-23</v>
          </cell>
          <cell r="C968" t="str">
            <v>Europe Operations OU</v>
          </cell>
          <cell r="D968">
            <v>2674345</v>
          </cell>
          <cell r="E968" t="str">
            <v>Amazon EU SARL, succursale Italiana</v>
          </cell>
          <cell r="F968" t="str">
            <v>4P7SEHJS</v>
          </cell>
          <cell r="G968" t="str">
            <v>B073399S1L</v>
          </cell>
          <cell r="H968" t="str">
            <v>943-000110</v>
          </cell>
          <cell r="I968" t="str">
            <v>OE INVOICES</v>
          </cell>
          <cell r="J968">
            <v>44422140669</v>
          </cell>
          <cell r="K968">
            <v>44895</v>
          </cell>
          <cell r="L968">
            <v>1</v>
          </cell>
          <cell r="M968" t="str">
            <v>EUR</v>
          </cell>
          <cell r="N968">
            <v>5867.2</v>
          </cell>
          <cell r="O968">
            <v>73.34</v>
          </cell>
          <cell r="P968">
            <v>80</v>
          </cell>
          <cell r="Q968">
            <v>80</v>
          </cell>
          <cell r="R968">
            <v>0</v>
          </cell>
        </row>
        <row r="969">
          <cell r="A969" t="str">
            <v>4PYL6E1EB0044AFFMK</v>
          </cell>
          <cell r="B969" t="str">
            <v>Q3-23</v>
          </cell>
          <cell r="C969" t="str">
            <v>Europe Operations OU</v>
          </cell>
          <cell r="D969">
            <v>2674345</v>
          </cell>
          <cell r="E969" t="str">
            <v>Amazon EU SARL, succursale Italiana</v>
          </cell>
          <cell r="F969" t="str">
            <v>4PYL6E1E</v>
          </cell>
          <cell r="G969" t="str">
            <v>B0044AFFMK</v>
          </cell>
          <cell r="H969" t="str">
            <v>920-002431</v>
          </cell>
          <cell r="I969" t="str">
            <v>OE INVOICES</v>
          </cell>
          <cell r="J969">
            <v>44422177163</v>
          </cell>
          <cell r="K969">
            <v>44922</v>
          </cell>
          <cell r="L969">
            <v>1</v>
          </cell>
          <cell r="M969" t="str">
            <v>EUR</v>
          </cell>
          <cell r="N969">
            <v>835.32</v>
          </cell>
          <cell r="O969">
            <v>69.61</v>
          </cell>
          <cell r="P969">
            <v>12</v>
          </cell>
          <cell r="Q969">
            <v>12</v>
          </cell>
          <cell r="R969">
            <v>0</v>
          </cell>
        </row>
        <row r="970">
          <cell r="A970" t="str">
            <v>4QG6L28MB07DFT9YHV</v>
          </cell>
          <cell r="B970" t="str">
            <v>Q3-23</v>
          </cell>
          <cell r="C970" t="str">
            <v>Europe Operations OU</v>
          </cell>
          <cell r="D970">
            <v>2674345</v>
          </cell>
          <cell r="E970" t="str">
            <v>Amazon EU SARL, succursale Italiana</v>
          </cell>
          <cell r="F970" t="str">
            <v>4QG6L28M</v>
          </cell>
          <cell r="G970" t="str">
            <v>B07DFT9YHV</v>
          </cell>
          <cell r="H970" t="str">
            <v>920-008927</v>
          </cell>
          <cell r="I970" t="str">
            <v>OE INVOICES</v>
          </cell>
          <cell r="J970">
            <v>44422163398</v>
          </cell>
          <cell r="K970">
            <v>44909</v>
          </cell>
          <cell r="L970">
            <v>1</v>
          </cell>
          <cell r="M970" t="str">
            <v>EUR</v>
          </cell>
          <cell r="N970">
            <v>797.76</v>
          </cell>
          <cell r="O970">
            <v>99.72</v>
          </cell>
          <cell r="P970">
            <v>8</v>
          </cell>
          <cell r="Q970">
            <v>8</v>
          </cell>
          <cell r="R970">
            <v>0</v>
          </cell>
        </row>
        <row r="971">
          <cell r="A971" t="str">
            <v>4QG6L28MB07W7LB4T7</v>
          </cell>
          <cell r="B971" t="str">
            <v>Q3-23</v>
          </cell>
          <cell r="C971" t="str">
            <v>Europe Operations OU</v>
          </cell>
          <cell r="D971">
            <v>2674345</v>
          </cell>
          <cell r="E971" t="str">
            <v>Amazon EU SARL, succursale Italiana</v>
          </cell>
          <cell r="F971" t="str">
            <v>4QG6L28M</v>
          </cell>
          <cell r="G971" t="str">
            <v>B07W7LB4T7</v>
          </cell>
          <cell r="H971" t="str">
            <v>920-010108</v>
          </cell>
          <cell r="I971" t="str">
            <v>OE INVOICES</v>
          </cell>
          <cell r="J971">
            <v>44422156273</v>
          </cell>
          <cell r="K971">
            <v>44904</v>
          </cell>
          <cell r="L971">
            <v>1</v>
          </cell>
          <cell r="M971" t="str">
            <v>EUR</v>
          </cell>
          <cell r="N971">
            <v>898.08</v>
          </cell>
          <cell r="O971">
            <v>74.84</v>
          </cell>
          <cell r="P971">
            <v>12</v>
          </cell>
          <cell r="Q971">
            <v>12</v>
          </cell>
          <cell r="R971">
            <v>0</v>
          </cell>
        </row>
        <row r="972">
          <cell r="A972" t="str">
            <v>4QG6L28MB07W7MQTQD</v>
          </cell>
          <cell r="B972" t="str">
            <v>Q3-23</v>
          </cell>
          <cell r="C972" t="str">
            <v>Europe Operations OU</v>
          </cell>
          <cell r="D972">
            <v>2674345</v>
          </cell>
          <cell r="E972" t="str">
            <v>Amazon EU SARL, succursale Italiana</v>
          </cell>
          <cell r="F972" t="str">
            <v>4QG6L28M</v>
          </cell>
          <cell r="G972" t="str">
            <v>B07W7MQTQD</v>
          </cell>
          <cell r="H972" t="str">
            <v>920-010227</v>
          </cell>
          <cell r="I972" t="str">
            <v>OE INVOICES</v>
          </cell>
          <cell r="J972">
            <v>44422163398</v>
          </cell>
          <cell r="K972">
            <v>44909</v>
          </cell>
          <cell r="L972">
            <v>2</v>
          </cell>
          <cell r="M972" t="str">
            <v>EUR</v>
          </cell>
          <cell r="N972">
            <v>805.44</v>
          </cell>
          <cell r="O972">
            <v>201.36</v>
          </cell>
          <cell r="P972">
            <v>4</v>
          </cell>
          <cell r="Q972">
            <v>4</v>
          </cell>
          <cell r="R972">
            <v>0</v>
          </cell>
        </row>
        <row r="973">
          <cell r="A973" t="str">
            <v>4TBDRH5TB00ITLJB84</v>
          </cell>
          <cell r="B973" t="str">
            <v>Q3-23</v>
          </cell>
          <cell r="C973" t="str">
            <v>Europe Operations OU</v>
          </cell>
          <cell r="D973">
            <v>2674345</v>
          </cell>
          <cell r="E973" t="str">
            <v>Amazon EU SARL, succursale Italiana</v>
          </cell>
          <cell r="F973" t="str">
            <v>4TBDRH5T</v>
          </cell>
          <cell r="G973" t="str">
            <v>B00ITLJB84</v>
          </cell>
          <cell r="H973" t="str">
            <v>920-005216</v>
          </cell>
          <cell r="I973" t="str">
            <v>OE INVOICES</v>
          </cell>
          <cell r="J973">
            <v>44422142930</v>
          </cell>
          <cell r="K973">
            <v>44896</v>
          </cell>
          <cell r="L973">
            <v>1</v>
          </cell>
          <cell r="M973" t="str">
            <v>EUR</v>
          </cell>
          <cell r="N973">
            <v>163.9</v>
          </cell>
          <cell r="O973">
            <v>16.39</v>
          </cell>
          <cell r="P973">
            <v>10</v>
          </cell>
          <cell r="Q973">
            <v>10</v>
          </cell>
          <cell r="R973">
            <v>0</v>
          </cell>
        </row>
        <row r="974">
          <cell r="A974" t="str">
            <v>4TBDRH5TB07W4DG81W</v>
          </cell>
          <cell r="B974" t="str">
            <v>Q3-23</v>
          </cell>
          <cell r="C974" t="str">
            <v>Europe Operations OU</v>
          </cell>
          <cell r="D974">
            <v>2674345</v>
          </cell>
          <cell r="E974" t="str">
            <v>Amazon EU SARL, succursale Italiana</v>
          </cell>
          <cell r="F974" t="str">
            <v>4TBDRH5T</v>
          </cell>
          <cell r="G974" t="str">
            <v>B07W4DG81W</v>
          </cell>
          <cell r="H974" t="str">
            <v>941-000158</v>
          </cell>
          <cell r="I974" t="str">
            <v>OE INVOICES</v>
          </cell>
          <cell r="J974">
            <v>44422156174</v>
          </cell>
          <cell r="K974">
            <v>44904</v>
          </cell>
          <cell r="L974">
            <v>1</v>
          </cell>
          <cell r="M974" t="str">
            <v>EUR</v>
          </cell>
          <cell r="N974">
            <v>29199.15</v>
          </cell>
          <cell r="O974">
            <v>226.35</v>
          </cell>
          <cell r="P974">
            <v>129</v>
          </cell>
          <cell r="Q974">
            <v>129</v>
          </cell>
          <cell r="R974">
            <v>0</v>
          </cell>
        </row>
        <row r="975">
          <cell r="A975" t="str">
            <v>4TPDM63YB07VZLMQN7</v>
          </cell>
          <cell r="B975" t="str">
            <v>Q3-23</v>
          </cell>
          <cell r="C975" t="str">
            <v>Europe Operations OU</v>
          </cell>
          <cell r="D975">
            <v>2674345</v>
          </cell>
          <cell r="E975" t="str">
            <v>Amazon EU SARL, succursale Italiana</v>
          </cell>
          <cell r="F975" t="str">
            <v>4TPDM63Y</v>
          </cell>
          <cell r="G975" t="str">
            <v>B07VZLMQN7</v>
          </cell>
          <cell r="H975" t="str">
            <v>920-008903</v>
          </cell>
          <cell r="I975" t="str">
            <v>OE INVOICES</v>
          </cell>
          <cell r="J975">
            <v>44422163650</v>
          </cell>
          <cell r="K975">
            <v>44909</v>
          </cell>
          <cell r="L975">
            <v>1</v>
          </cell>
          <cell r="M975" t="str">
            <v>EUR</v>
          </cell>
          <cell r="N975">
            <v>21005.64</v>
          </cell>
          <cell r="O975">
            <v>141.93</v>
          </cell>
          <cell r="P975">
            <v>148</v>
          </cell>
          <cell r="Q975">
            <v>148</v>
          </cell>
          <cell r="R975">
            <v>0</v>
          </cell>
        </row>
        <row r="976">
          <cell r="A976" t="str">
            <v>4VH7UODNB07VTSZ63W</v>
          </cell>
          <cell r="B976" t="str">
            <v>Q3-23</v>
          </cell>
          <cell r="C976" t="str">
            <v>Europe Operations OU</v>
          </cell>
          <cell r="D976">
            <v>2674345</v>
          </cell>
          <cell r="E976" t="str">
            <v>Amazon EU SARL, succursale Italiana</v>
          </cell>
          <cell r="F976" t="str">
            <v>4VH7UODN</v>
          </cell>
          <cell r="G976" t="str">
            <v>B07VTSZ63W</v>
          </cell>
          <cell r="H976" t="str">
            <v>920-008985</v>
          </cell>
          <cell r="I976" t="str">
            <v>OE INVOICES</v>
          </cell>
          <cell r="J976">
            <v>44422157520</v>
          </cell>
          <cell r="K976">
            <v>44904</v>
          </cell>
          <cell r="L976">
            <v>1</v>
          </cell>
          <cell r="M976" t="str">
            <v>EUR</v>
          </cell>
          <cell r="N976">
            <v>1323.24</v>
          </cell>
          <cell r="O976">
            <v>110.27</v>
          </cell>
          <cell r="P976">
            <v>12</v>
          </cell>
          <cell r="Q976">
            <v>12</v>
          </cell>
          <cell r="R976">
            <v>0</v>
          </cell>
        </row>
        <row r="977">
          <cell r="A977" t="str">
            <v>4VH7UODNB07VWF2HCL</v>
          </cell>
          <cell r="B977" t="str">
            <v>Q3-23</v>
          </cell>
          <cell r="C977" t="str">
            <v>Europe Operations OU</v>
          </cell>
          <cell r="D977">
            <v>2674345</v>
          </cell>
          <cell r="E977" t="str">
            <v>Amazon EU SARL, succursale Italiana</v>
          </cell>
          <cell r="F977" t="str">
            <v>4VH7UODN</v>
          </cell>
          <cell r="G977" t="str">
            <v>B07VWF2HCL</v>
          </cell>
          <cell r="H977" t="str">
            <v>920-008990</v>
          </cell>
          <cell r="I977" t="str">
            <v>OE INVOICES</v>
          </cell>
          <cell r="J977">
            <v>44422157520</v>
          </cell>
          <cell r="K977">
            <v>44904</v>
          </cell>
          <cell r="L977">
            <v>2</v>
          </cell>
          <cell r="M977" t="str">
            <v>EUR</v>
          </cell>
          <cell r="N977">
            <v>2205.4</v>
          </cell>
          <cell r="O977">
            <v>110.27</v>
          </cell>
          <cell r="P977">
            <v>20</v>
          </cell>
          <cell r="Q977">
            <v>20</v>
          </cell>
          <cell r="R977">
            <v>0</v>
          </cell>
        </row>
        <row r="978">
          <cell r="A978" t="str">
            <v>4YV2PIQLB01L6L46LK</v>
          </cell>
          <cell r="B978" t="str">
            <v>Q3-23</v>
          </cell>
          <cell r="C978" t="str">
            <v>Europe Operations OU</v>
          </cell>
          <cell r="D978">
            <v>2674345</v>
          </cell>
          <cell r="E978" t="str">
            <v>Amazon EU SARL, succursale Italiana</v>
          </cell>
          <cell r="F978" t="str">
            <v>4YV2PIQL</v>
          </cell>
          <cell r="G978" t="str">
            <v>B01L6L46LK</v>
          </cell>
          <cell r="H978" t="str">
            <v>920-008087</v>
          </cell>
          <cell r="I978" t="str">
            <v>OE INVOICES</v>
          </cell>
          <cell r="J978">
            <v>44422157519</v>
          </cell>
          <cell r="K978">
            <v>44904</v>
          </cell>
          <cell r="L978">
            <v>1</v>
          </cell>
          <cell r="M978" t="str">
            <v>EUR</v>
          </cell>
          <cell r="N978">
            <v>179.36</v>
          </cell>
          <cell r="O978">
            <v>44.84</v>
          </cell>
          <cell r="P978">
            <v>4</v>
          </cell>
          <cell r="Q978">
            <v>4</v>
          </cell>
          <cell r="R978">
            <v>0</v>
          </cell>
        </row>
        <row r="979">
          <cell r="A979" t="str">
            <v>4YV2PIQLB01MT5WLHY</v>
          </cell>
          <cell r="B979" t="str">
            <v>Q3-23</v>
          </cell>
          <cell r="C979" t="str">
            <v>Europe Operations OU</v>
          </cell>
          <cell r="D979">
            <v>2674345</v>
          </cell>
          <cell r="E979" t="str">
            <v>Amazon EU SARL, succursale Italiana</v>
          </cell>
          <cell r="F979" t="str">
            <v>4YV2PIQL</v>
          </cell>
          <cell r="G979" t="str">
            <v>B01MT5WLHY</v>
          </cell>
          <cell r="H979" t="str">
            <v>920-008224</v>
          </cell>
          <cell r="I979" t="str">
            <v>OE INVOICES</v>
          </cell>
          <cell r="J979">
            <v>44422157519</v>
          </cell>
          <cell r="K979">
            <v>44904</v>
          </cell>
          <cell r="L979">
            <v>2</v>
          </cell>
          <cell r="M979" t="str">
            <v>EUR</v>
          </cell>
          <cell r="N979">
            <v>603.28</v>
          </cell>
          <cell r="O979">
            <v>75.41</v>
          </cell>
          <cell r="P979">
            <v>8</v>
          </cell>
          <cell r="Q979">
            <v>8</v>
          </cell>
          <cell r="R979">
            <v>0</v>
          </cell>
        </row>
        <row r="980">
          <cell r="A980" t="str">
            <v>4YV2PIQLB07W4DGZ54</v>
          </cell>
          <cell r="B980" t="str">
            <v>Q3-23</v>
          </cell>
          <cell r="C980" t="str">
            <v>Europe Operations OU</v>
          </cell>
          <cell r="D980">
            <v>2674345</v>
          </cell>
          <cell r="E980" t="str">
            <v>Amazon EU SARL, succursale Italiana</v>
          </cell>
          <cell r="F980" t="str">
            <v>4YV2PIQL</v>
          </cell>
          <cell r="G980" t="str">
            <v>B07W4DGZ54</v>
          </cell>
          <cell r="H980" t="str">
            <v>920-009794</v>
          </cell>
          <cell r="I980" t="str">
            <v>OE INVOICES</v>
          </cell>
          <cell r="J980">
            <v>44422157519</v>
          </cell>
          <cell r="K980">
            <v>44904</v>
          </cell>
          <cell r="L980">
            <v>3</v>
          </cell>
          <cell r="M980" t="str">
            <v>EUR</v>
          </cell>
          <cell r="N980">
            <v>1218</v>
          </cell>
          <cell r="O980">
            <v>29</v>
          </cell>
          <cell r="P980">
            <v>42</v>
          </cell>
          <cell r="Q980">
            <v>42</v>
          </cell>
          <cell r="R980">
            <v>0</v>
          </cell>
        </row>
        <row r="981">
          <cell r="A981" t="str">
            <v>548AEZALB073399S1L</v>
          </cell>
          <cell r="B981" t="str">
            <v>Q3-23</v>
          </cell>
          <cell r="C981" t="str">
            <v>Europe Operations OU</v>
          </cell>
          <cell r="D981">
            <v>2674345</v>
          </cell>
          <cell r="E981" t="str">
            <v>Amazon EU SARL, succursale Italiana</v>
          </cell>
          <cell r="F981" t="str">
            <v>548AEZAL</v>
          </cell>
          <cell r="G981" t="str">
            <v>B073399S1L</v>
          </cell>
          <cell r="H981" t="str">
            <v>943-000110</v>
          </cell>
          <cell r="I981" t="str">
            <v>OE INVOICES</v>
          </cell>
          <cell r="J981">
            <v>44422140670</v>
          </cell>
          <cell r="K981">
            <v>44895</v>
          </cell>
          <cell r="L981">
            <v>1</v>
          </cell>
          <cell r="M981" t="str">
            <v>EUR</v>
          </cell>
          <cell r="N981">
            <v>2346.88</v>
          </cell>
          <cell r="O981">
            <v>73.34</v>
          </cell>
          <cell r="P981">
            <v>32</v>
          </cell>
          <cell r="Q981">
            <v>32</v>
          </cell>
          <cell r="R981">
            <v>0</v>
          </cell>
        </row>
        <row r="982">
          <cell r="A982" t="str">
            <v>54JZ1ZVPB07H3HGVDW</v>
          </cell>
          <cell r="B982" t="str">
            <v>Q3-23</v>
          </cell>
          <cell r="C982" t="str">
            <v>Europe Operations OU</v>
          </cell>
          <cell r="D982">
            <v>2674345</v>
          </cell>
          <cell r="E982" t="str">
            <v>Amazon EU SARL, succursale Italiana</v>
          </cell>
          <cell r="F982" t="str">
            <v>54JZ1ZVP</v>
          </cell>
          <cell r="G982" t="str">
            <v>B07H3HGVDW</v>
          </cell>
          <cell r="H982" t="str">
            <v>914-000034</v>
          </cell>
          <cell r="I982" t="str">
            <v>OE INVOICES</v>
          </cell>
          <cell r="J982">
            <v>44422163640</v>
          </cell>
          <cell r="K982">
            <v>44909</v>
          </cell>
          <cell r="L982">
            <v>1</v>
          </cell>
          <cell r="M982" t="str">
            <v>EUR</v>
          </cell>
          <cell r="N982">
            <v>69433.2</v>
          </cell>
          <cell r="O982">
            <v>42.86</v>
          </cell>
          <cell r="P982">
            <v>1620</v>
          </cell>
          <cell r="Q982">
            <v>1620</v>
          </cell>
          <cell r="R982">
            <v>0</v>
          </cell>
        </row>
        <row r="983">
          <cell r="A983" t="str">
            <v>54JZ1ZVPB07W4DHNBF</v>
          </cell>
          <cell r="B983" t="str">
            <v>Q3-23</v>
          </cell>
          <cell r="C983" t="str">
            <v>Europe Operations OU</v>
          </cell>
          <cell r="D983">
            <v>2674345</v>
          </cell>
          <cell r="E983" t="str">
            <v>Amazon EU SARL, succursale Italiana</v>
          </cell>
          <cell r="F983" t="str">
            <v>54JZ1ZVP</v>
          </cell>
          <cell r="G983" t="str">
            <v>B07W4DHNBF</v>
          </cell>
          <cell r="H983" t="str">
            <v>960-001281</v>
          </cell>
          <cell r="I983" t="str">
            <v>OE INVOICES</v>
          </cell>
          <cell r="J983">
            <v>44422163640</v>
          </cell>
          <cell r="K983">
            <v>44909</v>
          </cell>
          <cell r="L983">
            <v>2</v>
          </cell>
          <cell r="M983" t="str">
            <v>EUR</v>
          </cell>
          <cell r="N983">
            <v>737.92</v>
          </cell>
          <cell r="O983">
            <v>92.24</v>
          </cell>
          <cell r="P983">
            <v>8</v>
          </cell>
          <cell r="Q983">
            <v>8</v>
          </cell>
          <cell r="R983">
            <v>0</v>
          </cell>
        </row>
        <row r="984">
          <cell r="A984" t="str">
            <v>54JZ1ZVPB07W5JKPJX</v>
          </cell>
          <cell r="B984" t="str">
            <v>Q3-23</v>
          </cell>
          <cell r="C984" t="str">
            <v>Europe Operations OU</v>
          </cell>
          <cell r="D984">
            <v>2674345</v>
          </cell>
          <cell r="E984" t="str">
            <v>Amazon EU SARL, succursale Italiana</v>
          </cell>
          <cell r="F984" t="str">
            <v>54JZ1ZVP</v>
          </cell>
          <cell r="G984" t="str">
            <v>B07W5JKPJX</v>
          </cell>
          <cell r="H984" t="str">
            <v>910-005881</v>
          </cell>
          <cell r="I984" t="str">
            <v>OE INVOICES</v>
          </cell>
          <cell r="J984">
            <v>44422163640</v>
          </cell>
          <cell r="K984">
            <v>44909</v>
          </cell>
          <cell r="L984">
            <v>3</v>
          </cell>
          <cell r="M984" t="str">
            <v>EUR</v>
          </cell>
          <cell r="N984">
            <v>68789.8</v>
          </cell>
          <cell r="O984">
            <v>83.89</v>
          </cell>
          <cell r="P984">
            <v>820</v>
          </cell>
          <cell r="Q984">
            <v>820</v>
          </cell>
          <cell r="R984">
            <v>0</v>
          </cell>
        </row>
        <row r="985">
          <cell r="A985" t="str">
            <v>54JZ1ZVPB07W6J829F</v>
          </cell>
          <cell r="B985" t="str">
            <v>Q3-23</v>
          </cell>
          <cell r="C985" t="str">
            <v>Europe Operations OU</v>
          </cell>
          <cell r="D985">
            <v>2674345</v>
          </cell>
          <cell r="E985" t="str">
            <v>Amazon EU SARL, succursale Italiana</v>
          </cell>
          <cell r="F985" t="str">
            <v>54JZ1ZVP</v>
          </cell>
          <cell r="G985" t="str">
            <v>B07W6J829F</v>
          </cell>
          <cell r="H985" t="str">
            <v>910-005784</v>
          </cell>
          <cell r="I985" t="str">
            <v>OE INVOICES</v>
          </cell>
          <cell r="J985">
            <v>44422170042</v>
          </cell>
          <cell r="K985">
            <v>44915</v>
          </cell>
          <cell r="L985">
            <v>1</v>
          </cell>
          <cell r="M985" t="str">
            <v>EUR</v>
          </cell>
          <cell r="N985">
            <v>6060.5</v>
          </cell>
          <cell r="O985">
            <v>26.35</v>
          </cell>
          <cell r="P985">
            <v>230</v>
          </cell>
          <cell r="Q985">
            <v>230</v>
          </cell>
          <cell r="R985">
            <v>0</v>
          </cell>
        </row>
        <row r="986">
          <cell r="A986" t="str">
            <v>56UO2L2IB0013N474I</v>
          </cell>
          <cell r="B986" t="str">
            <v>Q3-23</v>
          </cell>
          <cell r="C986" t="str">
            <v>Europe Operations OU</v>
          </cell>
          <cell r="D986">
            <v>2674345</v>
          </cell>
          <cell r="E986" t="str">
            <v>Amazon EU SARL, succursale Italiana</v>
          </cell>
          <cell r="F986" t="str">
            <v>56UO2L2I</v>
          </cell>
          <cell r="G986" t="str">
            <v>B0013N474I</v>
          </cell>
          <cell r="H986" t="str">
            <v>981-000100</v>
          </cell>
          <cell r="I986" t="str">
            <v>OE INVOICES</v>
          </cell>
          <cell r="J986">
            <v>44422146167</v>
          </cell>
          <cell r="K986">
            <v>44900</v>
          </cell>
          <cell r="L986">
            <v>1</v>
          </cell>
          <cell r="M986" t="str">
            <v>EUR</v>
          </cell>
          <cell r="N986">
            <v>9020</v>
          </cell>
          <cell r="O986">
            <v>20.5</v>
          </cell>
          <cell r="P986">
            <v>440</v>
          </cell>
          <cell r="Q986">
            <v>440</v>
          </cell>
          <cell r="R986">
            <v>0</v>
          </cell>
        </row>
        <row r="987">
          <cell r="A987" t="str">
            <v>56UO2L2IB006T02YRM</v>
          </cell>
          <cell r="B987" t="str">
            <v>Q3-23</v>
          </cell>
          <cell r="C987" t="str">
            <v>Europe Operations OU</v>
          </cell>
          <cell r="D987">
            <v>2674345</v>
          </cell>
          <cell r="E987" t="str">
            <v>Amazon EU SARL, succursale Italiana</v>
          </cell>
          <cell r="F987" t="str">
            <v>56UO2L2I</v>
          </cell>
          <cell r="G987" t="str">
            <v>B006T02YRM</v>
          </cell>
          <cell r="H987" t="str">
            <v>920-003052</v>
          </cell>
          <cell r="I987" t="str">
            <v>OE INVOICES</v>
          </cell>
          <cell r="J987">
            <v>44422146167</v>
          </cell>
          <cell r="K987">
            <v>44900</v>
          </cell>
          <cell r="L987">
            <v>2</v>
          </cell>
          <cell r="M987" t="str">
            <v>EUR</v>
          </cell>
          <cell r="N987">
            <v>5527.12</v>
          </cell>
          <cell r="O987">
            <v>23.42</v>
          </cell>
          <cell r="P987">
            <v>236</v>
          </cell>
          <cell r="Q987">
            <v>236</v>
          </cell>
          <cell r="R987">
            <v>0</v>
          </cell>
        </row>
        <row r="988">
          <cell r="A988" t="str">
            <v>56UO2L2IB00745IE1Q</v>
          </cell>
          <cell r="B988" t="str">
            <v>Q3-23</v>
          </cell>
          <cell r="C988" t="str">
            <v>Europe Operations OU</v>
          </cell>
          <cell r="D988">
            <v>2674345</v>
          </cell>
          <cell r="E988" t="str">
            <v>Amazon EU SARL, succursale Italiana</v>
          </cell>
          <cell r="F988" t="str">
            <v>56UO2L2I</v>
          </cell>
          <cell r="G988" t="str">
            <v>B00745IE1Q</v>
          </cell>
          <cell r="H988" t="str">
            <v>910-002731</v>
          </cell>
          <cell r="I988" t="str">
            <v>OE INVOICES</v>
          </cell>
          <cell r="J988">
            <v>44422157197</v>
          </cell>
          <cell r="K988">
            <v>44904</v>
          </cell>
          <cell r="L988">
            <v>1</v>
          </cell>
          <cell r="M988" t="str">
            <v>EUR</v>
          </cell>
          <cell r="N988">
            <v>103.04</v>
          </cell>
          <cell r="O988">
            <v>12.88</v>
          </cell>
          <cell r="P988">
            <v>8</v>
          </cell>
          <cell r="Q988">
            <v>8</v>
          </cell>
          <cell r="R988">
            <v>0</v>
          </cell>
        </row>
        <row r="989">
          <cell r="A989" t="str">
            <v>56UO2L2IB00CJ5FPTA</v>
          </cell>
          <cell r="B989" t="str">
            <v>Q3-23</v>
          </cell>
          <cell r="C989" t="str">
            <v>Europe Operations OU</v>
          </cell>
          <cell r="D989">
            <v>2674345</v>
          </cell>
          <cell r="E989" t="str">
            <v>Amazon EU SARL, succursale Italiana</v>
          </cell>
          <cell r="F989" t="str">
            <v>56UO2L2I</v>
          </cell>
          <cell r="G989" t="str">
            <v>B00CJ5FPTA</v>
          </cell>
          <cell r="H989" t="str">
            <v>942-000031</v>
          </cell>
          <cell r="I989" t="str">
            <v>OE INVOICES</v>
          </cell>
          <cell r="J989">
            <v>44422157197</v>
          </cell>
          <cell r="K989">
            <v>44904</v>
          </cell>
          <cell r="L989">
            <v>2</v>
          </cell>
          <cell r="M989" t="str">
            <v>EUR</v>
          </cell>
          <cell r="N989">
            <v>274.32</v>
          </cell>
          <cell r="O989">
            <v>34.29</v>
          </cell>
          <cell r="P989">
            <v>8</v>
          </cell>
          <cell r="Q989">
            <v>8</v>
          </cell>
          <cell r="R989">
            <v>0</v>
          </cell>
        </row>
        <row r="990">
          <cell r="A990" t="str">
            <v>56UO2L2IB00CJAEX5M</v>
          </cell>
          <cell r="B990" t="str">
            <v>Q3-23</v>
          </cell>
          <cell r="C990" t="str">
            <v>Europe Operations OU</v>
          </cell>
          <cell r="D990">
            <v>2674345</v>
          </cell>
          <cell r="E990" t="str">
            <v>Amazon EU SARL, succursale Italiana</v>
          </cell>
          <cell r="F990" t="str">
            <v>56UO2L2I</v>
          </cell>
          <cell r="G990" t="str">
            <v>B00CJAEX5M</v>
          </cell>
          <cell r="H990" t="str">
            <v>940-000142</v>
          </cell>
          <cell r="I990" t="str">
            <v>OE INVOICES</v>
          </cell>
          <cell r="J990">
            <v>44422157197</v>
          </cell>
          <cell r="K990">
            <v>44904</v>
          </cell>
          <cell r="L990">
            <v>3</v>
          </cell>
          <cell r="M990" t="str">
            <v>EUR</v>
          </cell>
          <cell r="N990">
            <v>116.04</v>
          </cell>
          <cell r="O990">
            <v>29.01</v>
          </cell>
          <cell r="P990">
            <v>4</v>
          </cell>
          <cell r="Q990">
            <v>4</v>
          </cell>
          <cell r="R990">
            <v>0</v>
          </cell>
        </row>
        <row r="991">
          <cell r="A991" t="str">
            <v>56UO2L2IB01K7GEA3O</v>
          </cell>
          <cell r="B991" t="str">
            <v>Q3-23</v>
          </cell>
          <cell r="C991" t="str">
            <v>Europe Operations OU</v>
          </cell>
          <cell r="D991">
            <v>2674345</v>
          </cell>
          <cell r="E991" t="str">
            <v>Amazon EU SARL, succursale Italiana</v>
          </cell>
          <cell r="F991" t="str">
            <v>56UO2L2I</v>
          </cell>
          <cell r="G991" t="str">
            <v>B01K7GEA3O</v>
          </cell>
          <cell r="H991" t="str">
            <v>910-004911</v>
          </cell>
          <cell r="I991" t="str">
            <v>OE INVOICES</v>
          </cell>
          <cell r="J991">
            <v>44422157197</v>
          </cell>
          <cell r="K991">
            <v>44904</v>
          </cell>
          <cell r="L991">
            <v>4</v>
          </cell>
          <cell r="M991" t="str">
            <v>EUR</v>
          </cell>
          <cell r="N991">
            <v>263.5</v>
          </cell>
          <cell r="O991">
            <v>26.35</v>
          </cell>
          <cell r="P991">
            <v>10</v>
          </cell>
          <cell r="Q991">
            <v>10</v>
          </cell>
          <cell r="R991">
            <v>0</v>
          </cell>
        </row>
        <row r="992">
          <cell r="A992" t="str">
            <v>56UO2L2IB01K7GEAF2</v>
          </cell>
          <cell r="B992" t="str">
            <v>Q3-23</v>
          </cell>
          <cell r="C992" t="str">
            <v>Europe Operations OU</v>
          </cell>
          <cell r="D992">
            <v>2674345</v>
          </cell>
          <cell r="E992" t="str">
            <v>Amazon EU SARL, succursale Italiana</v>
          </cell>
          <cell r="F992" t="str">
            <v>56UO2L2I</v>
          </cell>
          <cell r="G992" t="str">
            <v>B01K7GEAF2</v>
          </cell>
          <cell r="H992" t="str">
            <v>910-004879</v>
          </cell>
          <cell r="I992" t="str">
            <v>OE INVOICES</v>
          </cell>
          <cell r="J992">
            <v>44422146167</v>
          </cell>
          <cell r="K992">
            <v>44900</v>
          </cell>
          <cell r="L992">
            <v>3</v>
          </cell>
          <cell r="M992" t="str">
            <v>EUR</v>
          </cell>
          <cell r="N992">
            <v>1966.8</v>
          </cell>
          <cell r="O992">
            <v>16.39</v>
          </cell>
          <cell r="P992">
            <v>120</v>
          </cell>
          <cell r="Q992">
            <v>120</v>
          </cell>
          <cell r="R992">
            <v>0</v>
          </cell>
        </row>
        <row r="993">
          <cell r="A993" t="str">
            <v>56UO2L2IB01LCQTEXE</v>
          </cell>
          <cell r="B993" t="str">
            <v>Q3-23</v>
          </cell>
          <cell r="C993" t="str">
            <v>Europe Operations OU</v>
          </cell>
          <cell r="D993">
            <v>2674345</v>
          </cell>
          <cell r="E993" t="str">
            <v>Amazon EU SARL, succursale Italiana</v>
          </cell>
          <cell r="F993" t="str">
            <v>56UO2L2I</v>
          </cell>
          <cell r="G993" t="str">
            <v>B01LCQTEXE</v>
          </cell>
          <cell r="H993" t="str">
            <v>910-004881</v>
          </cell>
          <cell r="I993" t="str">
            <v>OE INVOICES</v>
          </cell>
          <cell r="J993">
            <v>44422158770</v>
          </cell>
          <cell r="K993">
            <v>44907</v>
          </cell>
          <cell r="L993">
            <v>1</v>
          </cell>
          <cell r="M993" t="str">
            <v>EUR</v>
          </cell>
          <cell r="N993">
            <v>163.9</v>
          </cell>
          <cell r="O993">
            <v>16.39</v>
          </cell>
          <cell r="P993">
            <v>10</v>
          </cell>
          <cell r="Q993">
            <v>10</v>
          </cell>
          <cell r="R993">
            <v>0</v>
          </cell>
        </row>
        <row r="994">
          <cell r="A994" t="str">
            <v>56UO2L2IB01LCQTF4M</v>
          </cell>
          <cell r="B994" t="str">
            <v>Q3-23</v>
          </cell>
          <cell r="C994" t="str">
            <v>Europe Operations OU</v>
          </cell>
          <cell r="D994">
            <v>2674345</v>
          </cell>
          <cell r="E994" t="str">
            <v>Amazon EU SARL, succursale Italiana</v>
          </cell>
          <cell r="F994" t="str">
            <v>56UO2L2I</v>
          </cell>
          <cell r="G994" t="str">
            <v>B01LCQTF4M</v>
          </cell>
          <cell r="H994" t="str">
            <v>910-004913</v>
          </cell>
          <cell r="I994" t="str">
            <v>OE INVOICES</v>
          </cell>
          <cell r="J994">
            <v>44422158770</v>
          </cell>
          <cell r="K994">
            <v>44907</v>
          </cell>
          <cell r="L994">
            <v>2</v>
          </cell>
          <cell r="M994" t="str">
            <v>EUR</v>
          </cell>
          <cell r="N994">
            <v>263.5</v>
          </cell>
          <cell r="O994">
            <v>26.35</v>
          </cell>
          <cell r="P994">
            <v>10</v>
          </cell>
          <cell r="Q994">
            <v>10</v>
          </cell>
          <cell r="R994">
            <v>0</v>
          </cell>
        </row>
        <row r="995">
          <cell r="A995" t="str">
            <v>56UO2L2IB01M9EWQ2W</v>
          </cell>
          <cell r="B995" t="str">
            <v>Q3-23</v>
          </cell>
          <cell r="C995" t="str">
            <v>Europe Operations OU</v>
          </cell>
          <cell r="D995">
            <v>2674345</v>
          </cell>
          <cell r="E995" t="str">
            <v>Amazon EU SARL, succursale Italiana</v>
          </cell>
          <cell r="F995" t="str">
            <v>56UO2L2I</v>
          </cell>
          <cell r="G995" t="str">
            <v>B01M9EWQ2W</v>
          </cell>
          <cell r="H995" t="str">
            <v>945-000006</v>
          </cell>
          <cell r="I995" t="str">
            <v>OE INVOICES</v>
          </cell>
          <cell r="J995">
            <v>44422157197</v>
          </cell>
          <cell r="K995">
            <v>44904</v>
          </cell>
          <cell r="L995">
            <v>5</v>
          </cell>
          <cell r="M995" t="str">
            <v>EUR</v>
          </cell>
          <cell r="N995">
            <v>377.76</v>
          </cell>
          <cell r="O995">
            <v>94.44</v>
          </cell>
          <cell r="P995">
            <v>4</v>
          </cell>
          <cell r="Q995">
            <v>4</v>
          </cell>
          <cell r="R995">
            <v>0</v>
          </cell>
        </row>
        <row r="996">
          <cell r="A996" t="str">
            <v>56UO2L2IB074N6823V</v>
          </cell>
          <cell r="B996" t="str">
            <v>Q3-23</v>
          </cell>
          <cell r="C996" t="str">
            <v>Europe Operations OU</v>
          </cell>
          <cell r="D996">
            <v>2674345</v>
          </cell>
          <cell r="E996" t="str">
            <v>Amazon EU SARL, succursale Italiana</v>
          </cell>
          <cell r="F996" t="str">
            <v>56UO2L2I</v>
          </cell>
          <cell r="G996" t="str">
            <v>B074N6823V</v>
          </cell>
          <cell r="H996" t="str">
            <v>980-001295</v>
          </cell>
          <cell r="I996" t="str">
            <v>OE INVOICES</v>
          </cell>
          <cell r="J996">
            <v>44422157197</v>
          </cell>
          <cell r="K996">
            <v>44904</v>
          </cell>
          <cell r="L996">
            <v>6</v>
          </cell>
          <cell r="M996" t="str">
            <v>EUR</v>
          </cell>
          <cell r="N996">
            <v>163.96</v>
          </cell>
          <cell r="O996">
            <v>40.99</v>
          </cell>
          <cell r="P996">
            <v>4</v>
          </cell>
          <cell r="Q996">
            <v>4</v>
          </cell>
          <cell r="R996">
            <v>0</v>
          </cell>
        </row>
        <row r="997">
          <cell r="A997" t="str">
            <v>56UO2L2IB07CGVGMLD</v>
          </cell>
          <cell r="B997" t="str">
            <v>Q3-23</v>
          </cell>
          <cell r="C997" t="str">
            <v>Europe Operations OU</v>
          </cell>
          <cell r="D997">
            <v>2674345</v>
          </cell>
          <cell r="E997" t="str">
            <v>Amazon EU SARL, succursale Italiana</v>
          </cell>
          <cell r="F997" t="str">
            <v>56UO2L2I</v>
          </cell>
          <cell r="G997" t="str">
            <v>B07CGVGMLD</v>
          </cell>
          <cell r="H997" t="str">
            <v>910-005291</v>
          </cell>
          <cell r="I997" t="str">
            <v>OE INVOICES</v>
          </cell>
          <cell r="J997">
            <v>44422158770</v>
          </cell>
          <cell r="K997">
            <v>44907</v>
          </cell>
          <cell r="L997">
            <v>3</v>
          </cell>
          <cell r="M997" t="str">
            <v>EUR</v>
          </cell>
          <cell r="N997">
            <v>1034.04</v>
          </cell>
          <cell r="O997">
            <v>36.93</v>
          </cell>
          <cell r="P997">
            <v>28</v>
          </cell>
          <cell r="Q997">
            <v>28</v>
          </cell>
          <cell r="R997">
            <v>0</v>
          </cell>
        </row>
        <row r="998">
          <cell r="A998" t="str">
            <v>56UO2L2IB07G6B2SGF</v>
          </cell>
          <cell r="B998" t="str">
            <v>Q3-23</v>
          </cell>
          <cell r="C998" t="str">
            <v>Europe Operations OU</v>
          </cell>
          <cell r="D998">
            <v>2674345</v>
          </cell>
          <cell r="E998" t="str">
            <v>Amazon EU SARL, succursale Italiana</v>
          </cell>
          <cell r="F998" t="str">
            <v>56UO2L2I</v>
          </cell>
          <cell r="G998" t="str">
            <v>B07G6B2SGF</v>
          </cell>
          <cell r="H998" t="str">
            <v>989-000434</v>
          </cell>
          <cell r="I998" t="str">
            <v>OE INVOICES</v>
          </cell>
          <cell r="J998">
            <v>44422157197</v>
          </cell>
          <cell r="K998">
            <v>44904</v>
          </cell>
          <cell r="L998">
            <v>7</v>
          </cell>
          <cell r="M998" t="str">
            <v>EUR</v>
          </cell>
          <cell r="N998">
            <v>513.6</v>
          </cell>
          <cell r="O998">
            <v>21.4</v>
          </cell>
          <cell r="P998">
            <v>24</v>
          </cell>
          <cell r="Q998">
            <v>24</v>
          </cell>
          <cell r="R998">
            <v>0</v>
          </cell>
        </row>
        <row r="999">
          <cell r="A999" t="str">
            <v>56UO2L2IB07PPNT9B2</v>
          </cell>
          <cell r="B999" t="str">
            <v>Q3-23</v>
          </cell>
          <cell r="C999" t="str">
            <v>Europe Operations OU</v>
          </cell>
          <cell r="D999">
            <v>2674345</v>
          </cell>
          <cell r="E999" t="str">
            <v>Amazon EU SARL, succursale Italiana</v>
          </cell>
          <cell r="F999" t="str">
            <v>56UO2L2I</v>
          </cell>
          <cell r="G999" t="str">
            <v>B07PPNT9B2</v>
          </cell>
          <cell r="H999" t="str">
            <v>939-001731</v>
          </cell>
          <cell r="I999" t="str">
            <v>OE INVOICES</v>
          </cell>
          <cell r="J999">
            <v>44422157197</v>
          </cell>
          <cell r="K999">
            <v>44904</v>
          </cell>
          <cell r="L999">
            <v>8</v>
          </cell>
          <cell r="M999" t="str">
            <v>EUR</v>
          </cell>
          <cell r="N999">
            <v>1648.96</v>
          </cell>
          <cell r="O999">
            <v>103.06</v>
          </cell>
          <cell r="P999">
            <v>16</v>
          </cell>
          <cell r="Q999">
            <v>16</v>
          </cell>
          <cell r="R999">
            <v>0</v>
          </cell>
        </row>
        <row r="1000">
          <cell r="A1000" t="str">
            <v>56UO2L2IB07VK1S68S</v>
          </cell>
          <cell r="B1000" t="str">
            <v>Q3-23</v>
          </cell>
          <cell r="C1000" t="str">
            <v>Europe Operations OU</v>
          </cell>
          <cell r="D1000">
            <v>2674345</v>
          </cell>
          <cell r="E1000" t="str">
            <v>Amazon EU SARL, succursale Italiana</v>
          </cell>
          <cell r="F1000" t="str">
            <v>56UO2L2I</v>
          </cell>
          <cell r="G1000" t="str">
            <v>B07VK1S68S</v>
          </cell>
          <cell r="H1000" t="str">
            <v>920-009196</v>
          </cell>
          <cell r="I1000" t="str">
            <v>OE INVOICES</v>
          </cell>
          <cell r="J1000">
            <v>44422157197</v>
          </cell>
          <cell r="K1000">
            <v>44904</v>
          </cell>
          <cell r="L1000">
            <v>9</v>
          </cell>
          <cell r="M1000" t="str">
            <v>EUR</v>
          </cell>
          <cell r="N1000">
            <v>3372.48</v>
          </cell>
          <cell r="O1000">
            <v>35.130000000000003</v>
          </cell>
          <cell r="P1000">
            <v>96</v>
          </cell>
          <cell r="Q1000">
            <v>96</v>
          </cell>
          <cell r="R1000">
            <v>0</v>
          </cell>
        </row>
        <row r="1001">
          <cell r="A1001" t="str">
            <v>56UO2L2IB07VL9YHC9</v>
          </cell>
          <cell r="B1001" t="str">
            <v>Q3-23</v>
          </cell>
          <cell r="C1001" t="str">
            <v>Europe Operations OU</v>
          </cell>
          <cell r="D1001">
            <v>2674345</v>
          </cell>
          <cell r="E1001" t="str">
            <v>Amazon EU SARL, succursale Italiana</v>
          </cell>
          <cell r="F1001" t="str">
            <v>56UO2L2I</v>
          </cell>
          <cell r="G1001" t="str">
            <v>B07VL9YHC9</v>
          </cell>
          <cell r="H1001" t="str">
            <v>920-009189</v>
          </cell>
          <cell r="I1001" t="str">
            <v>OE INVOICES</v>
          </cell>
          <cell r="J1001">
            <v>44422157197</v>
          </cell>
          <cell r="K1001">
            <v>44904</v>
          </cell>
          <cell r="L1001">
            <v>10</v>
          </cell>
          <cell r="M1001" t="str">
            <v>EUR</v>
          </cell>
          <cell r="N1001">
            <v>2107.8000000000002</v>
          </cell>
          <cell r="O1001">
            <v>35.130000000000003</v>
          </cell>
          <cell r="P1001">
            <v>60</v>
          </cell>
          <cell r="Q1001">
            <v>60</v>
          </cell>
          <cell r="R1001">
            <v>0</v>
          </cell>
        </row>
        <row r="1002">
          <cell r="A1002" t="str">
            <v>56UO2L2IB07W4DGQC1</v>
          </cell>
          <cell r="B1002" t="str">
            <v>Q3-23</v>
          </cell>
          <cell r="C1002" t="str">
            <v>Europe Operations OU</v>
          </cell>
          <cell r="D1002">
            <v>2674345</v>
          </cell>
          <cell r="E1002" t="str">
            <v>Amazon EU SARL, succursale Italiana</v>
          </cell>
          <cell r="F1002" t="str">
            <v>56UO2L2I</v>
          </cell>
          <cell r="G1002" t="str">
            <v>B07W4DGQC1</v>
          </cell>
          <cell r="H1002" t="str">
            <v>961-000501</v>
          </cell>
          <cell r="I1002" t="str">
            <v>OE INVOICES</v>
          </cell>
          <cell r="J1002">
            <v>44422157197</v>
          </cell>
          <cell r="K1002">
            <v>44904</v>
          </cell>
          <cell r="L1002">
            <v>11</v>
          </cell>
          <cell r="M1002" t="str">
            <v>EUR</v>
          </cell>
          <cell r="N1002">
            <v>3056.36</v>
          </cell>
          <cell r="O1002">
            <v>764.09</v>
          </cell>
          <cell r="P1002">
            <v>4</v>
          </cell>
          <cell r="Q1002">
            <v>4</v>
          </cell>
          <cell r="R1002">
            <v>0</v>
          </cell>
        </row>
        <row r="1003">
          <cell r="A1003" t="str">
            <v>56UO2L2IB07W4DHMVB</v>
          </cell>
          <cell r="B1003" t="str">
            <v>Q3-23</v>
          </cell>
          <cell r="C1003" t="str">
            <v>Europe Operations OU</v>
          </cell>
          <cell r="D1003">
            <v>2674345</v>
          </cell>
          <cell r="E1003" t="str">
            <v>Amazon EU SARL, succursale Italiana</v>
          </cell>
          <cell r="F1003" t="str">
            <v>56UO2L2I</v>
          </cell>
          <cell r="G1003" t="str">
            <v>B07W4DHMVB</v>
          </cell>
          <cell r="H1003" t="str">
            <v>981-001074</v>
          </cell>
          <cell r="I1003" t="str">
            <v>OE INVOICES</v>
          </cell>
          <cell r="J1003">
            <v>44422157197</v>
          </cell>
          <cell r="K1003">
            <v>44904</v>
          </cell>
          <cell r="L1003">
            <v>12</v>
          </cell>
          <cell r="M1003" t="str">
            <v>EUR</v>
          </cell>
          <cell r="N1003">
            <v>538.08000000000004</v>
          </cell>
          <cell r="O1003">
            <v>44.84</v>
          </cell>
          <cell r="P1003">
            <v>12</v>
          </cell>
          <cell r="Q1003">
            <v>12</v>
          </cell>
          <cell r="R1003">
            <v>0</v>
          </cell>
        </row>
        <row r="1004">
          <cell r="A1004" t="str">
            <v>56UO2L2IB07W4DHXC8</v>
          </cell>
          <cell r="B1004" t="str">
            <v>Q3-23</v>
          </cell>
          <cell r="C1004" t="str">
            <v>Europe Operations OU</v>
          </cell>
          <cell r="D1004">
            <v>2674345</v>
          </cell>
          <cell r="E1004" t="str">
            <v>Amazon EU SARL, succursale Italiana</v>
          </cell>
          <cell r="F1004" t="str">
            <v>56UO2L2I</v>
          </cell>
          <cell r="G1004" t="str">
            <v>B07W4DHXC8</v>
          </cell>
          <cell r="H1004" t="str">
            <v>946-000002</v>
          </cell>
          <cell r="I1004" t="str">
            <v>OE INVOICES</v>
          </cell>
          <cell r="J1004">
            <v>44422157197</v>
          </cell>
          <cell r="K1004">
            <v>44904</v>
          </cell>
          <cell r="L1004">
            <v>13</v>
          </cell>
          <cell r="M1004" t="str">
            <v>EUR</v>
          </cell>
          <cell r="N1004">
            <v>3522.64</v>
          </cell>
          <cell r="O1004">
            <v>40.03</v>
          </cell>
          <cell r="P1004">
            <v>88</v>
          </cell>
          <cell r="Q1004">
            <v>88</v>
          </cell>
          <cell r="R1004">
            <v>0</v>
          </cell>
        </row>
        <row r="1005">
          <cell r="A1005" t="str">
            <v>56UO2L2IB07W5JJ85Z</v>
          </cell>
          <cell r="B1005" t="str">
            <v>Q3-23</v>
          </cell>
          <cell r="C1005" t="str">
            <v>Europe Operations OU</v>
          </cell>
          <cell r="D1005">
            <v>2674345</v>
          </cell>
          <cell r="E1005" t="str">
            <v>Amazon EU SARL, succursale Italiana</v>
          </cell>
          <cell r="F1005" t="str">
            <v>56UO2L2I</v>
          </cell>
          <cell r="G1005" t="str">
            <v>B07W5JJ85Z</v>
          </cell>
          <cell r="H1005" t="str">
            <v>910-006238</v>
          </cell>
          <cell r="I1005" t="str">
            <v>OE INVOICES</v>
          </cell>
          <cell r="J1005">
            <v>44422157197</v>
          </cell>
          <cell r="K1005">
            <v>44904</v>
          </cell>
          <cell r="L1005">
            <v>14</v>
          </cell>
          <cell r="M1005" t="str">
            <v>EUR</v>
          </cell>
          <cell r="N1005">
            <v>292.8</v>
          </cell>
          <cell r="O1005">
            <v>29.28</v>
          </cell>
          <cell r="P1005">
            <v>10</v>
          </cell>
          <cell r="Q1005">
            <v>10</v>
          </cell>
          <cell r="R1005">
            <v>0</v>
          </cell>
        </row>
        <row r="1006">
          <cell r="A1006" t="str">
            <v>56UO2L2IB07W5JK1JN</v>
          </cell>
          <cell r="B1006" t="str">
            <v>Q3-23</v>
          </cell>
          <cell r="C1006" t="str">
            <v>Europe Operations OU</v>
          </cell>
          <cell r="D1006">
            <v>2674345</v>
          </cell>
          <cell r="E1006" t="str">
            <v>Amazon EU SARL, succursale Italiana</v>
          </cell>
          <cell r="F1006" t="str">
            <v>56UO2L2I</v>
          </cell>
          <cell r="G1006" t="str">
            <v>B07W5JK1JN</v>
          </cell>
          <cell r="H1006" t="str">
            <v>920-009415</v>
          </cell>
          <cell r="I1006" t="str">
            <v>OE INVOICES</v>
          </cell>
          <cell r="J1006">
            <v>44422157197</v>
          </cell>
          <cell r="K1006">
            <v>44904</v>
          </cell>
          <cell r="L1006">
            <v>15</v>
          </cell>
          <cell r="M1006" t="str">
            <v>EUR</v>
          </cell>
          <cell r="N1006">
            <v>1508.2</v>
          </cell>
          <cell r="O1006">
            <v>75.41</v>
          </cell>
          <cell r="P1006">
            <v>20</v>
          </cell>
          <cell r="Q1006">
            <v>20</v>
          </cell>
          <cell r="R1006">
            <v>0</v>
          </cell>
        </row>
        <row r="1007">
          <cell r="A1007" t="str">
            <v>56UO2L2IB07W5JKNB9</v>
          </cell>
          <cell r="B1007" t="str">
            <v>Q3-23</v>
          </cell>
          <cell r="C1007" t="str">
            <v>Europe Operations OU</v>
          </cell>
          <cell r="D1007">
            <v>2674345</v>
          </cell>
          <cell r="E1007" t="str">
            <v>Amazon EU SARL, succursale Italiana</v>
          </cell>
          <cell r="F1007" t="str">
            <v>56UO2L2I</v>
          </cell>
          <cell r="G1007" t="str">
            <v>B07W5JKNB9</v>
          </cell>
          <cell r="H1007" t="str">
            <v>920-010522</v>
          </cell>
          <cell r="I1007" t="str">
            <v>OE INVOICES</v>
          </cell>
          <cell r="J1007">
            <v>44422157197</v>
          </cell>
          <cell r="K1007">
            <v>44904</v>
          </cell>
          <cell r="L1007">
            <v>16</v>
          </cell>
          <cell r="M1007" t="str">
            <v>EUR</v>
          </cell>
          <cell r="N1007">
            <v>1932.84</v>
          </cell>
          <cell r="O1007">
            <v>69.03</v>
          </cell>
          <cell r="P1007">
            <v>28</v>
          </cell>
          <cell r="Q1007">
            <v>28</v>
          </cell>
          <cell r="R1007">
            <v>0</v>
          </cell>
        </row>
        <row r="1008">
          <cell r="A1008" t="str">
            <v>56UO2L2IB07W5JKPFG</v>
          </cell>
          <cell r="B1008" t="str">
            <v>Q3-23</v>
          </cell>
          <cell r="C1008" t="str">
            <v>Europe Operations OU</v>
          </cell>
          <cell r="D1008">
            <v>2674345</v>
          </cell>
          <cell r="E1008" t="str">
            <v>Amazon EU SARL, succursale Italiana</v>
          </cell>
          <cell r="F1008" t="str">
            <v>56UO2L2I</v>
          </cell>
          <cell r="G1008" t="str">
            <v>B07W5JKPFG</v>
          </cell>
          <cell r="H1008" t="str">
            <v>920-011160</v>
          </cell>
          <cell r="I1008" t="str">
            <v>OE INVOICES</v>
          </cell>
          <cell r="J1008">
            <v>44422157197</v>
          </cell>
          <cell r="K1008">
            <v>44904</v>
          </cell>
          <cell r="L1008">
            <v>17</v>
          </cell>
          <cell r="M1008" t="str">
            <v>EUR</v>
          </cell>
          <cell r="N1008">
            <v>257.68</v>
          </cell>
          <cell r="O1008">
            <v>32.21</v>
          </cell>
          <cell r="P1008">
            <v>8</v>
          </cell>
          <cell r="Q1008">
            <v>8</v>
          </cell>
          <cell r="R1008">
            <v>0</v>
          </cell>
        </row>
        <row r="1009">
          <cell r="A1009" t="str">
            <v>56UO2L2IB07W6FNF6N</v>
          </cell>
          <cell r="B1009" t="str">
            <v>Q3-23</v>
          </cell>
          <cell r="C1009" t="str">
            <v>Europe Operations OU</v>
          </cell>
          <cell r="D1009">
            <v>2674345</v>
          </cell>
          <cell r="E1009" t="str">
            <v>Amazon EU SARL, succursale Italiana</v>
          </cell>
          <cell r="F1009" t="str">
            <v>56UO2L2I</v>
          </cell>
          <cell r="G1009" t="str">
            <v>B07W6FNF6N</v>
          </cell>
          <cell r="H1009" t="str">
            <v>920-009841</v>
          </cell>
          <cell r="I1009" t="str">
            <v>OE INVOICES</v>
          </cell>
          <cell r="J1009">
            <v>44422146167</v>
          </cell>
          <cell r="K1009">
            <v>44900</v>
          </cell>
          <cell r="L1009">
            <v>4</v>
          </cell>
          <cell r="M1009" t="str">
            <v>EUR</v>
          </cell>
          <cell r="N1009">
            <v>9652.48</v>
          </cell>
          <cell r="O1009">
            <v>75.41</v>
          </cell>
          <cell r="P1009">
            <v>128</v>
          </cell>
          <cell r="Q1009">
            <v>128</v>
          </cell>
          <cell r="R1009">
            <v>0</v>
          </cell>
        </row>
        <row r="1010">
          <cell r="A1010" t="str">
            <v>56UO2L2IB07W6HKMCN</v>
          </cell>
          <cell r="B1010" t="str">
            <v>Q3-23</v>
          </cell>
          <cell r="C1010" t="str">
            <v>Europe Operations OU</v>
          </cell>
          <cell r="D1010">
            <v>2674345</v>
          </cell>
          <cell r="E1010" t="str">
            <v>Amazon EU SARL, succursale Italiana</v>
          </cell>
          <cell r="F1010" t="str">
            <v>56UO2L2I</v>
          </cell>
          <cell r="G1010" t="str">
            <v>B07W6HKMCN</v>
          </cell>
          <cell r="H1010" t="str">
            <v>910-005870</v>
          </cell>
          <cell r="I1010" t="str">
            <v>OE INVOICES</v>
          </cell>
          <cell r="J1010">
            <v>44422146167</v>
          </cell>
          <cell r="K1010">
            <v>44900</v>
          </cell>
          <cell r="L1010">
            <v>5</v>
          </cell>
          <cell r="M1010" t="str">
            <v>EUR</v>
          </cell>
          <cell r="N1010">
            <v>957</v>
          </cell>
          <cell r="O1010">
            <v>31.9</v>
          </cell>
          <cell r="P1010">
            <v>30</v>
          </cell>
          <cell r="Q1010">
            <v>30</v>
          </cell>
          <cell r="R1010">
            <v>0</v>
          </cell>
        </row>
        <row r="1011">
          <cell r="A1011" t="str">
            <v>56UO2L2IB07W6HLQ35</v>
          </cell>
          <cell r="B1011" t="str">
            <v>Q3-23</v>
          </cell>
          <cell r="C1011" t="str">
            <v>Europe Operations OU</v>
          </cell>
          <cell r="D1011">
            <v>2674345</v>
          </cell>
          <cell r="E1011" t="str">
            <v>Amazon EU SARL, succursale Italiana</v>
          </cell>
          <cell r="F1011" t="str">
            <v>56UO2L2I</v>
          </cell>
          <cell r="G1011" t="str">
            <v>B07W6HLQ35</v>
          </cell>
          <cell r="H1011" t="str">
            <v>984-001830</v>
          </cell>
          <cell r="I1011" t="str">
            <v>OE INVOICES</v>
          </cell>
          <cell r="J1011">
            <v>44422158770</v>
          </cell>
          <cell r="K1011">
            <v>44907</v>
          </cell>
          <cell r="L1011">
            <v>4</v>
          </cell>
          <cell r="M1011" t="str">
            <v>EUR</v>
          </cell>
          <cell r="N1011">
            <v>428.08</v>
          </cell>
          <cell r="O1011">
            <v>53.51</v>
          </cell>
          <cell r="P1011">
            <v>8</v>
          </cell>
          <cell r="Q1011">
            <v>8</v>
          </cell>
          <cell r="R1011">
            <v>0</v>
          </cell>
        </row>
        <row r="1012">
          <cell r="A1012" t="str">
            <v>56UO2L2IB07W6JNWP8</v>
          </cell>
          <cell r="B1012" t="str">
            <v>Q3-23</v>
          </cell>
          <cell r="C1012" t="str">
            <v>Europe Operations OU</v>
          </cell>
          <cell r="D1012">
            <v>2674345</v>
          </cell>
          <cell r="E1012" t="str">
            <v>Amazon EU SARL, succursale Italiana</v>
          </cell>
          <cell r="F1012" t="str">
            <v>56UO2L2I</v>
          </cell>
          <cell r="G1012" t="str">
            <v>B07W6JNWP8</v>
          </cell>
          <cell r="H1012" t="str">
            <v>910-006548</v>
          </cell>
          <cell r="I1012" t="str">
            <v>OE INVOICES</v>
          </cell>
          <cell r="J1012">
            <v>44422157197</v>
          </cell>
          <cell r="K1012">
            <v>44904</v>
          </cell>
          <cell r="L1012">
            <v>18</v>
          </cell>
          <cell r="M1012" t="str">
            <v>EUR</v>
          </cell>
          <cell r="N1012">
            <v>468.4</v>
          </cell>
          <cell r="O1012">
            <v>23.42</v>
          </cell>
          <cell r="P1012">
            <v>20</v>
          </cell>
          <cell r="Q1012">
            <v>20</v>
          </cell>
          <cell r="R1012">
            <v>0</v>
          </cell>
        </row>
        <row r="1013">
          <cell r="A1013" t="str">
            <v>56UO2L2IB07W6JPTXG</v>
          </cell>
          <cell r="B1013" t="str">
            <v>Q3-23</v>
          </cell>
          <cell r="C1013" t="str">
            <v>Europe Operations OU</v>
          </cell>
          <cell r="D1013">
            <v>2674345</v>
          </cell>
          <cell r="E1013" t="str">
            <v>Amazon EU SARL, succursale Italiana</v>
          </cell>
          <cell r="F1013" t="str">
            <v>56UO2L2I</v>
          </cell>
          <cell r="G1013" t="str">
            <v>B07W6JPTXG</v>
          </cell>
          <cell r="H1013" t="str">
            <v>981-000854</v>
          </cell>
          <cell r="I1013" t="str">
            <v>OE INVOICES</v>
          </cell>
          <cell r="J1013">
            <v>44422157197</v>
          </cell>
          <cell r="K1013">
            <v>44904</v>
          </cell>
          <cell r="L1013">
            <v>19</v>
          </cell>
          <cell r="M1013" t="str">
            <v>EUR</v>
          </cell>
          <cell r="N1013">
            <v>610.67999999999995</v>
          </cell>
          <cell r="O1013">
            <v>152.66999999999999</v>
          </cell>
          <cell r="P1013">
            <v>4</v>
          </cell>
          <cell r="Q1013">
            <v>4</v>
          </cell>
          <cell r="R1013">
            <v>0</v>
          </cell>
        </row>
        <row r="1014">
          <cell r="A1014" t="str">
            <v>56UO2L2IB07W6JQ52X</v>
          </cell>
          <cell r="B1014" t="str">
            <v>Q3-23</v>
          </cell>
          <cell r="C1014" t="str">
            <v>Europe Operations OU</v>
          </cell>
          <cell r="D1014">
            <v>2674345</v>
          </cell>
          <cell r="E1014" t="str">
            <v>Amazon EU SARL, succursale Italiana</v>
          </cell>
          <cell r="F1014" t="str">
            <v>56UO2L2I</v>
          </cell>
          <cell r="G1014" t="str">
            <v>B07W6JQ52X</v>
          </cell>
          <cell r="H1014" t="str">
            <v>920-009710</v>
          </cell>
          <cell r="I1014" t="str">
            <v>OE INVOICES</v>
          </cell>
          <cell r="J1014">
            <v>44422157197</v>
          </cell>
          <cell r="K1014">
            <v>44904</v>
          </cell>
          <cell r="L1014">
            <v>20</v>
          </cell>
          <cell r="M1014" t="str">
            <v>EUR</v>
          </cell>
          <cell r="N1014">
            <v>603.12</v>
          </cell>
          <cell r="O1014">
            <v>75.39</v>
          </cell>
          <cell r="P1014">
            <v>8</v>
          </cell>
          <cell r="Q1014">
            <v>8</v>
          </cell>
          <cell r="R1014">
            <v>0</v>
          </cell>
        </row>
        <row r="1015">
          <cell r="A1015" t="str">
            <v>56UO2L2IB07W7J6RBC</v>
          </cell>
          <cell r="B1015" t="str">
            <v>Q3-23</v>
          </cell>
          <cell r="C1015" t="str">
            <v>Europe Operations OU</v>
          </cell>
          <cell r="D1015">
            <v>2674345</v>
          </cell>
          <cell r="E1015" t="str">
            <v>Amazon EU SARL, succursale Italiana</v>
          </cell>
          <cell r="F1015" t="str">
            <v>56UO2L2I</v>
          </cell>
          <cell r="G1015" t="str">
            <v>B07W7J6RBC</v>
          </cell>
          <cell r="H1015" t="str">
            <v>981-001126</v>
          </cell>
          <cell r="I1015" t="str">
            <v>OE INVOICES</v>
          </cell>
          <cell r="J1015">
            <v>44422157197</v>
          </cell>
          <cell r="K1015">
            <v>44904</v>
          </cell>
          <cell r="L1015">
            <v>21</v>
          </cell>
          <cell r="M1015" t="str">
            <v>EUR</v>
          </cell>
          <cell r="N1015">
            <v>322.56</v>
          </cell>
          <cell r="O1015">
            <v>80.64</v>
          </cell>
          <cell r="P1015">
            <v>4</v>
          </cell>
          <cell r="Q1015">
            <v>4</v>
          </cell>
          <cell r="R1015">
            <v>0</v>
          </cell>
        </row>
        <row r="1016">
          <cell r="A1016" t="str">
            <v>56UO2L2IB07W7JR6BZ</v>
          </cell>
          <cell r="B1016" t="str">
            <v>Q3-23</v>
          </cell>
          <cell r="C1016" t="str">
            <v>Europe Operations OU</v>
          </cell>
          <cell r="D1016">
            <v>2674345</v>
          </cell>
          <cell r="E1016" t="str">
            <v>Amazon EU SARL, succursale Italiana</v>
          </cell>
          <cell r="F1016" t="str">
            <v>56UO2L2I</v>
          </cell>
          <cell r="G1016" t="str">
            <v>B07W7JR6BZ</v>
          </cell>
          <cell r="H1016" t="str">
            <v>910-006255</v>
          </cell>
          <cell r="I1016" t="str">
            <v>OE INVOICES</v>
          </cell>
          <cell r="J1016">
            <v>44422157197</v>
          </cell>
          <cell r="K1016">
            <v>44904</v>
          </cell>
          <cell r="L1016">
            <v>22</v>
          </cell>
          <cell r="M1016" t="str">
            <v>EUR</v>
          </cell>
          <cell r="N1016">
            <v>292.8</v>
          </cell>
          <cell r="O1016">
            <v>29.28</v>
          </cell>
          <cell r="P1016">
            <v>10</v>
          </cell>
          <cell r="Q1016">
            <v>10</v>
          </cell>
          <cell r="R1016">
            <v>0</v>
          </cell>
        </row>
        <row r="1017">
          <cell r="A1017" t="str">
            <v>56UO2L2IB07W7KMK4Y</v>
          </cell>
          <cell r="B1017" t="str">
            <v>Q3-23</v>
          </cell>
          <cell r="C1017" t="str">
            <v>Europe Operations OU</v>
          </cell>
          <cell r="D1017">
            <v>2674345</v>
          </cell>
          <cell r="E1017" t="str">
            <v>Amazon EU SARL, succursale Italiana</v>
          </cell>
          <cell r="F1017" t="str">
            <v>56UO2L2I</v>
          </cell>
          <cell r="G1017" t="str">
            <v>B07W7KMK4Y</v>
          </cell>
          <cell r="H1017" t="str">
            <v>920-010488</v>
          </cell>
          <cell r="I1017" t="str">
            <v>OE INVOICES</v>
          </cell>
          <cell r="J1017">
            <v>44422157197</v>
          </cell>
          <cell r="K1017">
            <v>44904</v>
          </cell>
          <cell r="L1017">
            <v>23</v>
          </cell>
          <cell r="M1017" t="str">
            <v>EUR</v>
          </cell>
          <cell r="N1017">
            <v>1932.84</v>
          </cell>
          <cell r="O1017">
            <v>69.03</v>
          </cell>
          <cell r="P1017">
            <v>28</v>
          </cell>
          <cell r="Q1017">
            <v>28</v>
          </cell>
          <cell r="R1017">
            <v>0</v>
          </cell>
        </row>
        <row r="1018">
          <cell r="A1018" t="str">
            <v>56UO2L2IB07W7KV4GH</v>
          </cell>
          <cell r="B1018" t="str">
            <v>Q3-23</v>
          </cell>
          <cell r="C1018" t="str">
            <v>Europe Operations OU</v>
          </cell>
          <cell r="D1018">
            <v>2674345</v>
          </cell>
          <cell r="E1018" t="str">
            <v>Amazon EU SARL, succursale Italiana</v>
          </cell>
          <cell r="F1018" t="str">
            <v>56UO2L2I</v>
          </cell>
          <cell r="G1018" t="str">
            <v>B07W7KV4GH</v>
          </cell>
          <cell r="H1018" t="str">
            <v>920-010837</v>
          </cell>
          <cell r="I1018" t="str">
            <v>OE INVOICES</v>
          </cell>
          <cell r="J1018">
            <v>44422157197</v>
          </cell>
          <cell r="K1018">
            <v>44904</v>
          </cell>
          <cell r="L1018">
            <v>24</v>
          </cell>
          <cell r="M1018" t="str">
            <v>EUR</v>
          </cell>
          <cell r="N1018">
            <v>371.24</v>
          </cell>
          <cell r="O1018">
            <v>92.81</v>
          </cell>
          <cell r="P1018">
            <v>4</v>
          </cell>
          <cell r="Q1018">
            <v>4</v>
          </cell>
          <cell r="R1018">
            <v>0</v>
          </cell>
        </row>
        <row r="1019">
          <cell r="A1019" t="str">
            <v>56UO2L2IB07W7LQDX7</v>
          </cell>
          <cell r="B1019" t="str">
            <v>Q3-23</v>
          </cell>
          <cell r="C1019" t="str">
            <v>Europe Operations OU</v>
          </cell>
          <cell r="D1019">
            <v>2674345</v>
          </cell>
          <cell r="E1019" t="str">
            <v>Amazon EU SARL, succursale Italiana</v>
          </cell>
          <cell r="F1019" t="str">
            <v>56UO2L2I</v>
          </cell>
          <cell r="G1019" t="str">
            <v>B07W7LQDX7</v>
          </cell>
          <cell r="H1019" t="str">
            <v>920-009520</v>
          </cell>
          <cell r="I1019" t="str">
            <v>OE INVOICES</v>
          </cell>
          <cell r="J1019">
            <v>44422158817</v>
          </cell>
          <cell r="K1019">
            <v>44907</v>
          </cell>
          <cell r="L1019">
            <v>1</v>
          </cell>
          <cell r="M1019" t="str">
            <v>EUR</v>
          </cell>
          <cell r="N1019">
            <v>525.52</v>
          </cell>
          <cell r="O1019">
            <v>131.38</v>
          </cell>
          <cell r="P1019">
            <v>4</v>
          </cell>
          <cell r="Q1019">
            <v>4</v>
          </cell>
          <cell r="R1019">
            <v>0</v>
          </cell>
        </row>
        <row r="1020">
          <cell r="A1020" t="str">
            <v>56UO2L2IB07W8P4PDD</v>
          </cell>
          <cell r="B1020" t="str">
            <v>Q3-23</v>
          </cell>
          <cell r="C1020" t="str">
            <v>Europe Operations OU</v>
          </cell>
          <cell r="D1020">
            <v>2674345</v>
          </cell>
          <cell r="E1020" t="str">
            <v>Amazon EU SARL, succursale Italiana</v>
          </cell>
          <cell r="F1020" t="str">
            <v>56UO2L2I</v>
          </cell>
          <cell r="G1020" t="str">
            <v>B07W8P4PDD</v>
          </cell>
          <cell r="H1020" t="str">
            <v>910-006474</v>
          </cell>
          <cell r="I1020" t="str">
            <v>OE INVOICES</v>
          </cell>
          <cell r="J1020">
            <v>44422157197</v>
          </cell>
          <cell r="K1020">
            <v>44904</v>
          </cell>
          <cell r="L1020">
            <v>25</v>
          </cell>
          <cell r="M1020" t="str">
            <v>EUR</v>
          </cell>
          <cell r="N1020">
            <v>185.6</v>
          </cell>
          <cell r="O1020">
            <v>46.4</v>
          </cell>
          <cell r="P1020">
            <v>4</v>
          </cell>
          <cell r="Q1020">
            <v>4</v>
          </cell>
          <cell r="R1020">
            <v>0</v>
          </cell>
        </row>
        <row r="1021">
          <cell r="A1021" t="str">
            <v>5ACDL3WJB003UPJXIC</v>
          </cell>
          <cell r="B1021" t="str">
            <v>Q3-23</v>
          </cell>
          <cell r="C1021" t="str">
            <v>Europe Operations OU</v>
          </cell>
          <cell r="D1021">
            <v>2674345</v>
          </cell>
          <cell r="E1021" t="str">
            <v>Amazon EU SARL, succursale Italiana</v>
          </cell>
          <cell r="F1021" t="str">
            <v>5ACDL3WJ</v>
          </cell>
          <cell r="G1021" t="str">
            <v>B003UPJXIC</v>
          </cell>
          <cell r="H1021" t="str">
            <v>980-000403</v>
          </cell>
          <cell r="I1021" t="str">
            <v>OE INVOICES</v>
          </cell>
          <cell r="J1021">
            <v>44422136819</v>
          </cell>
          <cell r="K1021">
            <v>44893</v>
          </cell>
          <cell r="L1021">
            <v>1</v>
          </cell>
          <cell r="M1021" t="str">
            <v>EUR</v>
          </cell>
          <cell r="N1021">
            <v>4386.72</v>
          </cell>
          <cell r="O1021">
            <v>115.44</v>
          </cell>
          <cell r="P1021">
            <v>38</v>
          </cell>
          <cell r="Q1021">
            <v>38</v>
          </cell>
          <cell r="R1021">
            <v>0</v>
          </cell>
        </row>
        <row r="1022">
          <cell r="A1022" t="str">
            <v>5ACDL3WJB0042BBR1E</v>
          </cell>
          <cell r="B1022" t="str">
            <v>Q3-23</v>
          </cell>
          <cell r="C1022" t="str">
            <v>Europe Operations OU</v>
          </cell>
          <cell r="D1022">
            <v>2674345</v>
          </cell>
          <cell r="E1022" t="str">
            <v>Amazon EU SARL, succursale Italiana</v>
          </cell>
          <cell r="F1022" t="str">
            <v>5ACDL3WJ</v>
          </cell>
          <cell r="G1022" t="str">
            <v>B0042BBR1E</v>
          </cell>
          <cell r="H1022" t="str">
            <v>920-002508</v>
          </cell>
          <cell r="I1022" t="str">
            <v>OE INVOICES</v>
          </cell>
          <cell r="J1022">
            <v>44422136819</v>
          </cell>
          <cell r="K1022">
            <v>44893</v>
          </cell>
          <cell r="L1022">
            <v>2</v>
          </cell>
          <cell r="M1022" t="str">
            <v>EUR</v>
          </cell>
          <cell r="N1022">
            <v>421.2</v>
          </cell>
          <cell r="O1022">
            <v>10.53</v>
          </cell>
          <cell r="P1022">
            <v>40</v>
          </cell>
          <cell r="Q1022">
            <v>40</v>
          </cell>
          <cell r="R1022">
            <v>0</v>
          </cell>
        </row>
        <row r="1023">
          <cell r="A1023" t="str">
            <v>5ACDL3WJB01AUGT964</v>
          </cell>
          <cell r="B1023" t="str">
            <v>Q3-23</v>
          </cell>
          <cell r="C1023" t="str">
            <v>Europe Operations OU</v>
          </cell>
          <cell r="D1023">
            <v>2674345</v>
          </cell>
          <cell r="E1023" t="str">
            <v>Amazon EU SARL, succursale Italiana</v>
          </cell>
          <cell r="F1023" t="str">
            <v>5ACDL3WJ</v>
          </cell>
          <cell r="G1023" t="str">
            <v>B01AUGT964</v>
          </cell>
          <cell r="H1023" t="str">
            <v>920-007905</v>
          </cell>
          <cell r="I1023" t="str">
            <v>OE INVOICES</v>
          </cell>
          <cell r="J1023">
            <v>44422136819</v>
          </cell>
          <cell r="K1023">
            <v>44893</v>
          </cell>
          <cell r="L1023">
            <v>3</v>
          </cell>
          <cell r="M1023" t="str">
            <v>EUR</v>
          </cell>
          <cell r="N1023">
            <v>187.36</v>
          </cell>
          <cell r="O1023">
            <v>23.42</v>
          </cell>
          <cell r="P1023">
            <v>8</v>
          </cell>
          <cell r="Q1023">
            <v>8</v>
          </cell>
          <cell r="R1023">
            <v>0</v>
          </cell>
        </row>
        <row r="1024">
          <cell r="A1024" t="str">
            <v>5ACDL3WJB01C4HCV58</v>
          </cell>
          <cell r="B1024" t="str">
            <v>Q3-23</v>
          </cell>
          <cell r="C1024" t="str">
            <v>Europe Operations OU</v>
          </cell>
          <cell r="D1024">
            <v>2674345</v>
          </cell>
          <cell r="E1024" t="str">
            <v>Amazon EU SARL, succursale Italiana</v>
          </cell>
          <cell r="F1024" t="str">
            <v>5ACDL3WJ</v>
          </cell>
          <cell r="G1024" t="str">
            <v>B01C4HCV58</v>
          </cell>
          <cell r="H1024" t="str">
            <v>920-007919</v>
          </cell>
          <cell r="I1024" t="str">
            <v>OE INVOICES</v>
          </cell>
          <cell r="J1024">
            <v>44422136819</v>
          </cell>
          <cell r="K1024">
            <v>44893</v>
          </cell>
          <cell r="L1024">
            <v>4</v>
          </cell>
          <cell r="M1024" t="str">
            <v>EUR</v>
          </cell>
          <cell r="N1024">
            <v>749.44</v>
          </cell>
          <cell r="O1024">
            <v>23.42</v>
          </cell>
          <cell r="P1024">
            <v>32</v>
          </cell>
          <cell r="Q1024">
            <v>32</v>
          </cell>
          <cell r="R1024">
            <v>0</v>
          </cell>
        </row>
        <row r="1025">
          <cell r="A1025" t="str">
            <v>5ACDL3WJB01I252A34</v>
          </cell>
          <cell r="B1025" t="str">
            <v>Q3-23</v>
          </cell>
          <cell r="C1025" t="str">
            <v>Europe Operations OU</v>
          </cell>
          <cell r="D1025">
            <v>2674345</v>
          </cell>
          <cell r="E1025" t="str">
            <v>Amazon EU SARL, succursale Italiana</v>
          </cell>
          <cell r="F1025" t="str">
            <v>5ACDL3WJ</v>
          </cell>
          <cell r="G1025" t="str">
            <v>B01I252A34</v>
          </cell>
          <cell r="H1025" t="str">
            <v>920-005214</v>
          </cell>
          <cell r="I1025" t="str">
            <v>OE INVOICES</v>
          </cell>
          <cell r="J1025">
            <v>44422136819</v>
          </cell>
          <cell r="K1025">
            <v>44893</v>
          </cell>
          <cell r="L1025">
            <v>5</v>
          </cell>
          <cell r="M1025" t="str">
            <v>EUR</v>
          </cell>
          <cell r="N1025">
            <v>491.7</v>
          </cell>
          <cell r="O1025">
            <v>16.39</v>
          </cell>
          <cell r="P1025">
            <v>30</v>
          </cell>
          <cell r="Q1025">
            <v>30</v>
          </cell>
          <cell r="R1025">
            <v>0</v>
          </cell>
        </row>
        <row r="1026">
          <cell r="A1026" t="str">
            <v>5ACDL3WJB071KBDVV5</v>
          </cell>
          <cell r="B1026" t="str">
            <v>Q3-23</v>
          </cell>
          <cell r="C1026" t="str">
            <v>Europe Operations OU</v>
          </cell>
          <cell r="D1026">
            <v>2674345</v>
          </cell>
          <cell r="E1026" t="str">
            <v>Amazon EU SARL, succursale Italiana</v>
          </cell>
          <cell r="F1026" t="str">
            <v>5ACDL3WJ</v>
          </cell>
          <cell r="G1026" t="str">
            <v>B071KBDVV5</v>
          </cell>
          <cell r="H1026" t="str">
            <v>960-001102</v>
          </cell>
          <cell r="I1026" t="str">
            <v>OE INVOICES</v>
          </cell>
          <cell r="J1026">
            <v>44422136819</v>
          </cell>
          <cell r="K1026">
            <v>44893</v>
          </cell>
          <cell r="L1026">
            <v>6</v>
          </cell>
          <cell r="M1026" t="str">
            <v>EUR</v>
          </cell>
          <cell r="N1026">
            <v>39564.18</v>
          </cell>
          <cell r="O1026">
            <v>732.67</v>
          </cell>
          <cell r="P1026">
            <v>54</v>
          </cell>
          <cell r="Q1026">
            <v>54</v>
          </cell>
          <cell r="R1026">
            <v>0</v>
          </cell>
        </row>
        <row r="1027">
          <cell r="A1027" t="str">
            <v>5ACDL3WJB07W6JB7N7</v>
          </cell>
          <cell r="B1027" t="str">
            <v>Q3-23</v>
          </cell>
          <cell r="C1027" t="str">
            <v>Europe Operations OU</v>
          </cell>
          <cell r="D1027">
            <v>2674345</v>
          </cell>
          <cell r="E1027" t="str">
            <v>Amazon EU SARL, succursale Italiana</v>
          </cell>
          <cell r="F1027" t="str">
            <v>5ACDL3WJ</v>
          </cell>
          <cell r="G1027" t="str">
            <v>B07W6JB7N7</v>
          </cell>
          <cell r="H1027" t="str">
            <v>941-000150</v>
          </cell>
          <cell r="I1027" t="str">
            <v>OE INVOICES</v>
          </cell>
          <cell r="J1027">
            <v>44422129753</v>
          </cell>
          <cell r="K1027">
            <v>44888</v>
          </cell>
          <cell r="L1027">
            <v>1</v>
          </cell>
          <cell r="M1027" t="str">
            <v>EUR</v>
          </cell>
          <cell r="N1027">
            <v>4841.96</v>
          </cell>
          <cell r="O1027">
            <v>210.52</v>
          </cell>
          <cell r="P1027">
            <v>23</v>
          </cell>
          <cell r="Q1027">
            <v>23</v>
          </cell>
          <cell r="R1027">
            <v>0</v>
          </cell>
        </row>
        <row r="1028">
          <cell r="A1028" t="str">
            <v>5ACDL3WJB07W7KFFFF</v>
          </cell>
          <cell r="B1028" t="str">
            <v>Q3-23</v>
          </cell>
          <cell r="C1028" t="str">
            <v>Europe Operations OU</v>
          </cell>
          <cell r="D1028">
            <v>2674345</v>
          </cell>
          <cell r="E1028" t="str">
            <v>Amazon EU SARL, succursale Italiana</v>
          </cell>
          <cell r="F1028" t="str">
            <v>5ACDL3WJ</v>
          </cell>
          <cell r="G1028" t="str">
            <v>B07W7KFFFF</v>
          </cell>
          <cell r="H1028" t="str">
            <v>941-000149</v>
          </cell>
          <cell r="I1028" t="str">
            <v>OE INVOICES</v>
          </cell>
          <cell r="J1028">
            <v>44422129753</v>
          </cell>
          <cell r="K1028">
            <v>44888</v>
          </cell>
          <cell r="L1028">
            <v>2</v>
          </cell>
          <cell r="M1028" t="str">
            <v>EUR</v>
          </cell>
          <cell r="N1028">
            <v>15391.8</v>
          </cell>
          <cell r="O1028">
            <v>226.35</v>
          </cell>
          <cell r="P1028">
            <v>68</v>
          </cell>
          <cell r="Q1028">
            <v>68</v>
          </cell>
          <cell r="R1028">
            <v>0</v>
          </cell>
        </row>
        <row r="1029">
          <cell r="A1029" t="str">
            <v>5AWKJCHNB00544XFHC</v>
          </cell>
          <cell r="B1029" t="str">
            <v>Q3-23</v>
          </cell>
          <cell r="C1029" t="str">
            <v>Europe Operations OU</v>
          </cell>
          <cell r="D1029">
            <v>2674345</v>
          </cell>
          <cell r="E1029" t="str">
            <v>Amazon EU SARL, succursale Italiana</v>
          </cell>
          <cell r="F1029" t="str">
            <v>5AWKJCHN</v>
          </cell>
          <cell r="G1029" t="str">
            <v>B00544XFHC</v>
          </cell>
          <cell r="H1029" t="str">
            <v>910-002240</v>
          </cell>
          <cell r="I1029" t="str">
            <v>OE INVOICES</v>
          </cell>
          <cell r="J1029">
            <v>44422122658</v>
          </cell>
          <cell r="K1029">
            <v>44882</v>
          </cell>
          <cell r="L1029">
            <v>1</v>
          </cell>
          <cell r="M1029" t="str">
            <v>EUR</v>
          </cell>
          <cell r="N1029">
            <v>631.79999999999995</v>
          </cell>
          <cell r="O1029">
            <v>10.53</v>
          </cell>
          <cell r="P1029">
            <v>60</v>
          </cell>
          <cell r="Q1029">
            <v>60</v>
          </cell>
          <cell r="R1029">
            <v>0</v>
          </cell>
        </row>
        <row r="1030">
          <cell r="A1030" t="str">
            <v>5AWKJCHNB00PVWZH78</v>
          </cell>
          <cell r="B1030" t="str">
            <v>Q3-23</v>
          </cell>
          <cell r="C1030" t="str">
            <v>Europe Operations OU</v>
          </cell>
          <cell r="D1030">
            <v>2674345</v>
          </cell>
          <cell r="E1030" t="str">
            <v>Amazon EU SARL, succursale Italiana</v>
          </cell>
          <cell r="F1030" t="str">
            <v>5AWKJCHN</v>
          </cell>
          <cell r="G1030" t="str">
            <v>B00PVWZH78</v>
          </cell>
          <cell r="H1030" t="str">
            <v>910-004346</v>
          </cell>
          <cell r="I1030" t="str">
            <v>OE INVOICES</v>
          </cell>
          <cell r="J1030">
            <v>44422122658</v>
          </cell>
          <cell r="K1030">
            <v>44882</v>
          </cell>
          <cell r="L1030">
            <v>2</v>
          </cell>
          <cell r="M1030" t="str">
            <v>EUR</v>
          </cell>
          <cell r="N1030">
            <v>632.88</v>
          </cell>
          <cell r="O1030">
            <v>26.37</v>
          </cell>
          <cell r="P1030">
            <v>24</v>
          </cell>
          <cell r="Q1030">
            <v>24</v>
          </cell>
          <cell r="R1030">
            <v>0</v>
          </cell>
        </row>
        <row r="1031">
          <cell r="A1031" t="str">
            <v>5AWKJCHNB00VHHWNMI</v>
          </cell>
          <cell r="B1031" t="str">
            <v>Q3-23</v>
          </cell>
          <cell r="C1031" t="str">
            <v>Europe Operations OU</v>
          </cell>
          <cell r="D1031">
            <v>2674345</v>
          </cell>
          <cell r="E1031" t="str">
            <v>Amazon EU SARL, succursale Italiana</v>
          </cell>
          <cell r="F1031" t="str">
            <v>5AWKJCHN</v>
          </cell>
          <cell r="G1031" t="str">
            <v>B00VHHWNMI</v>
          </cell>
          <cell r="H1031" t="str">
            <v>920-007127</v>
          </cell>
          <cell r="I1031" t="str">
            <v>OE INVOICES</v>
          </cell>
          <cell r="J1031">
            <v>44422130175</v>
          </cell>
          <cell r="K1031">
            <v>44888</v>
          </cell>
          <cell r="L1031">
            <v>1</v>
          </cell>
          <cell r="M1031" t="str">
            <v>EUR</v>
          </cell>
          <cell r="N1031">
            <v>7730.4</v>
          </cell>
          <cell r="O1031">
            <v>32.21</v>
          </cell>
          <cell r="P1031">
            <v>240</v>
          </cell>
          <cell r="Q1031">
            <v>240</v>
          </cell>
          <cell r="R1031">
            <v>0</v>
          </cell>
        </row>
        <row r="1032">
          <cell r="A1032" t="str">
            <v>5AWKJCHNB013SL1YXO</v>
          </cell>
          <cell r="B1032" t="str">
            <v>Q3-23</v>
          </cell>
          <cell r="C1032" t="str">
            <v>Europe Operations OU</v>
          </cell>
          <cell r="D1032">
            <v>2674345</v>
          </cell>
          <cell r="E1032" t="str">
            <v>Amazon EU SARL, succursale Italiana</v>
          </cell>
          <cell r="F1032" t="str">
            <v>5AWKJCHN</v>
          </cell>
          <cell r="G1032" t="str">
            <v>B013SL1YXO</v>
          </cell>
          <cell r="H1032" t="str">
            <v>920-007580</v>
          </cell>
          <cell r="I1032" t="str">
            <v>OE INVOICES</v>
          </cell>
          <cell r="J1032">
            <v>44422122658</v>
          </cell>
          <cell r="K1032">
            <v>44882</v>
          </cell>
          <cell r="L1032">
            <v>3</v>
          </cell>
          <cell r="M1032" t="str">
            <v>EUR</v>
          </cell>
          <cell r="N1032">
            <v>515.36</v>
          </cell>
          <cell r="O1032">
            <v>32.21</v>
          </cell>
          <cell r="P1032">
            <v>16</v>
          </cell>
          <cell r="Q1032">
            <v>16</v>
          </cell>
          <cell r="R1032">
            <v>0</v>
          </cell>
        </row>
        <row r="1033">
          <cell r="A1033" t="str">
            <v>5AWKJCHNB01K7GEA3O</v>
          </cell>
          <cell r="B1033" t="str">
            <v>Q3-23</v>
          </cell>
          <cell r="C1033" t="str">
            <v>Europe Operations OU</v>
          </cell>
          <cell r="D1033">
            <v>2674345</v>
          </cell>
          <cell r="E1033" t="str">
            <v>Amazon EU SARL, succursale Italiana</v>
          </cell>
          <cell r="F1033" t="str">
            <v>5AWKJCHN</v>
          </cell>
          <cell r="G1033" t="str">
            <v>B01K7GEA3O</v>
          </cell>
          <cell r="H1033" t="str">
            <v>910-004911</v>
          </cell>
          <cell r="I1033" t="str">
            <v>OE INVOICES</v>
          </cell>
          <cell r="J1033">
            <v>44422122658</v>
          </cell>
          <cell r="K1033">
            <v>44882</v>
          </cell>
          <cell r="L1033">
            <v>4</v>
          </cell>
          <cell r="M1033" t="str">
            <v>EUR</v>
          </cell>
          <cell r="N1033">
            <v>790.5</v>
          </cell>
          <cell r="O1033">
            <v>26.35</v>
          </cell>
          <cell r="P1033">
            <v>30</v>
          </cell>
          <cell r="Q1033">
            <v>30</v>
          </cell>
          <cell r="R1033">
            <v>0</v>
          </cell>
        </row>
        <row r="1034">
          <cell r="A1034" t="str">
            <v>5AWKJCHNB0728J7D3B</v>
          </cell>
          <cell r="B1034" t="str">
            <v>Q3-23</v>
          </cell>
          <cell r="C1034" t="str">
            <v>Europe Operations OU</v>
          </cell>
          <cell r="D1034">
            <v>2674345</v>
          </cell>
          <cell r="E1034" t="str">
            <v>Amazon EU SARL, succursale Italiana</v>
          </cell>
          <cell r="F1034" t="str">
            <v>5AWKJCHN</v>
          </cell>
          <cell r="G1034" t="str">
            <v>B0728J7D3B</v>
          </cell>
          <cell r="H1034" t="str">
            <v>981-000668</v>
          </cell>
          <cell r="I1034" t="str">
            <v>OE INVOICES</v>
          </cell>
          <cell r="J1034">
            <v>44422122658</v>
          </cell>
          <cell r="K1034">
            <v>44882</v>
          </cell>
          <cell r="L1034">
            <v>5</v>
          </cell>
          <cell r="M1034" t="str">
            <v>EUR</v>
          </cell>
          <cell r="N1034">
            <v>1466.8</v>
          </cell>
          <cell r="O1034">
            <v>73.34</v>
          </cell>
          <cell r="P1034">
            <v>20</v>
          </cell>
          <cell r="Q1034">
            <v>20</v>
          </cell>
          <cell r="R1034">
            <v>0</v>
          </cell>
        </row>
        <row r="1035">
          <cell r="A1035" t="str">
            <v>5AWKJCHNB07MTY7N22</v>
          </cell>
          <cell r="B1035" t="str">
            <v>Q3-23</v>
          </cell>
          <cell r="C1035" t="str">
            <v>Europe Operations OU</v>
          </cell>
          <cell r="D1035">
            <v>2674345</v>
          </cell>
          <cell r="E1035" t="str">
            <v>Amazon EU SARL, succursale Italiana</v>
          </cell>
          <cell r="F1035" t="str">
            <v>5AWKJCHN</v>
          </cell>
          <cell r="G1035" t="str">
            <v>B07MTY7N22</v>
          </cell>
          <cell r="H1035" t="str">
            <v>981-000744</v>
          </cell>
          <cell r="I1035" t="str">
            <v>OE INVOICES</v>
          </cell>
          <cell r="J1035">
            <v>44422122658</v>
          </cell>
          <cell r="K1035">
            <v>44882</v>
          </cell>
          <cell r="L1035">
            <v>6</v>
          </cell>
          <cell r="M1035" t="str">
            <v>EUR</v>
          </cell>
          <cell r="N1035">
            <v>8400</v>
          </cell>
          <cell r="O1035">
            <v>105</v>
          </cell>
          <cell r="P1035">
            <v>80</v>
          </cell>
          <cell r="Q1035">
            <v>80</v>
          </cell>
          <cell r="R1035">
            <v>0</v>
          </cell>
        </row>
        <row r="1036">
          <cell r="A1036" t="str">
            <v>5AWKJCHNB07VCFS1WM</v>
          </cell>
          <cell r="B1036" t="str">
            <v>Q3-23</v>
          </cell>
          <cell r="C1036" t="str">
            <v>Europe Operations OU</v>
          </cell>
          <cell r="D1036">
            <v>2674345</v>
          </cell>
          <cell r="E1036" t="str">
            <v>Amazon EU SARL, succursale Italiana</v>
          </cell>
          <cell r="F1036" t="str">
            <v>5AWKJCHN</v>
          </cell>
          <cell r="G1036" t="str">
            <v>B07VCFS1WM</v>
          </cell>
          <cell r="H1036" t="str">
            <v>910-005717</v>
          </cell>
          <cell r="I1036" t="str">
            <v>OE INVOICES</v>
          </cell>
          <cell r="J1036">
            <v>44422122658</v>
          </cell>
          <cell r="K1036">
            <v>44882</v>
          </cell>
          <cell r="L1036">
            <v>7</v>
          </cell>
          <cell r="M1036" t="str">
            <v>EUR</v>
          </cell>
          <cell r="N1036">
            <v>655.6</v>
          </cell>
          <cell r="O1036">
            <v>16.39</v>
          </cell>
          <cell r="P1036">
            <v>40</v>
          </cell>
          <cell r="Q1036">
            <v>40</v>
          </cell>
          <cell r="R1036">
            <v>0</v>
          </cell>
        </row>
        <row r="1037">
          <cell r="A1037" t="str">
            <v>5AWKJCHNB07W5JK4VQ</v>
          </cell>
          <cell r="B1037" t="str">
            <v>Q3-23</v>
          </cell>
          <cell r="C1037" t="str">
            <v>Europe Operations OU</v>
          </cell>
          <cell r="D1037">
            <v>2674345</v>
          </cell>
          <cell r="E1037" t="str">
            <v>Amazon EU SARL, succursale Italiana</v>
          </cell>
          <cell r="F1037" t="str">
            <v>5AWKJCHN</v>
          </cell>
          <cell r="G1037" t="str">
            <v>B07W5JK4VQ</v>
          </cell>
          <cell r="H1037" t="str">
            <v>910-005908</v>
          </cell>
          <cell r="I1037" t="str">
            <v>OE INVOICES</v>
          </cell>
          <cell r="J1037">
            <v>44422122658</v>
          </cell>
          <cell r="K1037">
            <v>44882</v>
          </cell>
          <cell r="L1037">
            <v>8</v>
          </cell>
          <cell r="M1037" t="str">
            <v>EUR</v>
          </cell>
          <cell r="N1037">
            <v>315.89999999999998</v>
          </cell>
          <cell r="O1037">
            <v>10.53</v>
          </cell>
          <cell r="P1037">
            <v>30</v>
          </cell>
          <cell r="Q1037">
            <v>30</v>
          </cell>
          <cell r="R1037">
            <v>0</v>
          </cell>
        </row>
        <row r="1038">
          <cell r="A1038" t="str">
            <v>5AWKJCHNB07W7KRXDW</v>
          </cell>
          <cell r="B1038" t="str">
            <v>Q3-23</v>
          </cell>
          <cell r="C1038" t="str">
            <v>Europe Operations OU</v>
          </cell>
          <cell r="D1038">
            <v>2674345</v>
          </cell>
          <cell r="E1038" t="str">
            <v>Amazon EU SARL, succursale Italiana</v>
          </cell>
          <cell r="F1038" t="str">
            <v>5AWKJCHN</v>
          </cell>
          <cell r="G1038" t="str">
            <v>B07W7KRXDW</v>
          </cell>
          <cell r="H1038" t="str">
            <v>920-009403</v>
          </cell>
          <cell r="I1038" t="str">
            <v>OE INVOICES</v>
          </cell>
          <cell r="J1038">
            <v>44422122658</v>
          </cell>
          <cell r="K1038">
            <v>44882</v>
          </cell>
          <cell r="L1038">
            <v>9</v>
          </cell>
          <cell r="M1038" t="str">
            <v>EUR</v>
          </cell>
          <cell r="N1038">
            <v>301.64</v>
          </cell>
          <cell r="O1038">
            <v>75.41</v>
          </cell>
          <cell r="P1038">
            <v>4</v>
          </cell>
          <cell r="Q1038">
            <v>4</v>
          </cell>
          <cell r="R1038">
            <v>0</v>
          </cell>
        </row>
        <row r="1039">
          <cell r="A1039" t="str">
            <v>5FPQ9KSZB002L3TSLQ</v>
          </cell>
          <cell r="B1039" t="str">
            <v>Q3-23</v>
          </cell>
          <cell r="C1039" t="str">
            <v>Europe Operations OU</v>
          </cell>
          <cell r="D1039">
            <v>2674345</v>
          </cell>
          <cell r="E1039" t="str">
            <v>Amazon EU SARL, succursale Italiana</v>
          </cell>
          <cell r="F1039" t="str">
            <v>5FPQ9KSZ</v>
          </cell>
          <cell r="G1039" t="str">
            <v>B002L3TSLQ</v>
          </cell>
          <cell r="H1039" t="str">
            <v>910-001356</v>
          </cell>
          <cell r="I1039" t="str">
            <v>OE INVOICES</v>
          </cell>
          <cell r="J1039">
            <v>44422145151</v>
          </cell>
          <cell r="K1039">
            <v>44897</v>
          </cell>
          <cell r="L1039">
            <v>1</v>
          </cell>
          <cell r="M1039" t="str">
            <v>EUR</v>
          </cell>
          <cell r="N1039">
            <v>3936</v>
          </cell>
          <cell r="O1039">
            <v>20.5</v>
          </cell>
          <cell r="P1039">
            <v>192</v>
          </cell>
          <cell r="Q1039">
            <v>192</v>
          </cell>
          <cell r="R1039">
            <v>0</v>
          </cell>
        </row>
        <row r="1040">
          <cell r="A1040" t="str">
            <v>5FPQ9KSZB0050FBK90</v>
          </cell>
          <cell r="B1040" t="str">
            <v>Q3-23</v>
          </cell>
          <cell r="C1040" t="str">
            <v>Europe Operations OU</v>
          </cell>
          <cell r="D1040">
            <v>2674345</v>
          </cell>
          <cell r="E1040" t="str">
            <v>Amazon EU SARL, succursale Italiana</v>
          </cell>
          <cell r="F1040" t="str">
            <v>5FPQ9KSZ</v>
          </cell>
          <cell r="G1040" t="str">
            <v>B0050FBK90</v>
          </cell>
          <cell r="H1040" t="str">
            <v>920-003072</v>
          </cell>
          <cell r="I1040" t="str">
            <v>OE INVOICES</v>
          </cell>
          <cell r="J1040">
            <v>44422133414</v>
          </cell>
          <cell r="K1040">
            <v>44890</v>
          </cell>
          <cell r="L1040">
            <v>1</v>
          </cell>
          <cell r="M1040" t="str">
            <v>EUR</v>
          </cell>
          <cell r="N1040">
            <v>527.04</v>
          </cell>
          <cell r="O1040">
            <v>29.28</v>
          </cell>
          <cell r="P1040">
            <v>18</v>
          </cell>
          <cell r="Q1040">
            <v>18</v>
          </cell>
          <cell r="R1040">
            <v>0</v>
          </cell>
        </row>
        <row r="1041">
          <cell r="A1041" t="str">
            <v>5FPQ9KSZB00EUUXBDE</v>
          </cell>
          <cell r="B1041" t="str">
            <v>Q3-23</v>
          </cell>
          <cell r="C1041" t="str">
            <v>Europe Operations OU</v>
          </cell>
          <cell r="D1041">
            <v>2674345</v>
          </cell>
          <cell r="E1041" t="str">
            <v>Amazon EU SARL, succursale Italiana</v>
          </cell>
          <cell r="F1041" t="str">
            <v>5FPQ9KSZ</v>
          </cell>
          <cell r="G1041" t="str">
            <v>B00EUUXBDE</v>
          </cell>
          <cell r="H1041" t="str">
            <v>980-000810</v>
          </cell>
          <cell r="I1041" t="str">
            <v>OE INVOICES</v>
          </cell>
          <cell r="J1041">
            <v>44422133414</v>
          </cell>
          <cell r="K1041">
            <v>44890</v>
          </cell>
          <cell r="L1041">
            <v>2</v>
          </cell>
          <cell r="M1041" t="str">
            <v>EUR</v>
          </cell>
          <cell r="N1041">
            <v>936.96</v>
          </cell>
          <cell r="O1041">
            <v>29.28</v>
          </cell>
          <cell r="P1041">
            <v>32</v>
          </cell>
          <cell r="Q1041">
            <v>32</v>
          </cell>
          <cell r="R1041">
            <v>0</v>
          </cell>
        </row>
        <row r="1042">
          <cell r="A1042" t="str">
            <v>5FPQ9KSZB00OUK0QL4</v>
          </cell>
          <cell r="B1042" t="str">
            <v>Q3-23</v>
          </cell>
          <cell r="C1042" t="str">
            <v>Europe Operations OU</v>
          </cell>
          <cell r="D1042">
            <v>2674345</v>
          </cell>
          <cell r="E1042" t="str">
            <v>Amazon EU SARL, succursale Italiana</v>
          </cell>
          <cell r="F1042" t="str">
            <v>5FPQ9KSZ</v>
          </cell>
          <cell r="G1042" t="str">
            <v>B00OUK0QL4</v>
          </cell>
          <cell r="H1042" t="str">
            <v>920-006705</v>
          </cell>
          <cell r="I1042" t="str">
            <v>OE INVOICES</v>
          </cell>
          <cell r="J1042">
            <v>44422133414</v>
          </cell>
          <cell r="K1042">
            <v>44890</v>
          </cell>
          <cell r="L1042">
            <v>3</v>
          </cell>
          <cell r="M1042" t="str">
            <v>EUR</v>
          </cell>
          <cell r="N1042">
            <v>324.8</v>
          </cell>
          <cell r="O1042">
            <v>40.6</v>
          </cell>
          <cell r="P1042">
            <v>8</v>
          </cell>
          <cell r="Q1042">
            <v>8</v>
          </cell>
          <cell r="R1042">
            <v>0</v>
          </cell>
        </row>
        <row r="1043">
          <cell r="A1043" t="str">
            <v>5FPQ9KSZB01A9GXEOI</v>
          </cell>
          <cell r="B1043" t="str">
            <v>Q3-23</v>
          </cell>
          <cell r="C1043" t="str">
            <v>Europe Operations OU</v>
          </cell>
          <cell r="D1043">
            <v>2674345</v>
          </cell>
          <cell r="E1043" t="str">
            <v>Amazon EU SARL, succursale Italiana</v>
          </cell>
          <cell r="F1043" t="str">
            <v>5FPQ9KSZ</v>
          </cell>
          <cell r="G1043" t="str">
            <v>B01A9GXEOI</v>
          </cell>
          <cell r="H1043" t="str">
            <v>910-004424</v>
          </cell>
          <cell r="I1043" t="str">
            <v>OE INVOICES</v>
          </cell>
          <cell r="J1043">
            <v>44422145151</v>
          </cell>
          <cell r="K1043">
            <v>44897</v>
          </cell>
          <cell r="L1043">
            <v>2</v>
          </cell>
          <cell r="M1043" t="str">
            <v>EUR</v>
          </cell>
          <cell r="N1043">
            <v>468</v>
          </cell>
          <cell r="O1043">
            <v>9.36</v>
          </cell>
          <cell r="P1043">
            <v>50</v>
          </cell>
          <cell r="Q1043">
            <v>50</v>
          </cell>
          <cell r="R1043">
            <v>0</v>
          </cell>
        </row>
        <row r="1044">
          <cell r="A1044" t="str">
            <v>5FPQ9KSZB01LY6Z2M6</v>
          </cell>
          <cell r="B1044" t="str">
            <v>Q3-23</v>
          </cell>
          <cell r="C1044" t="str">
            <v>Europe Operations OU</v>
          </cell>
          <cell r="D1044">
            <v>2674345</v>
          </cell>
          <cell r="E1044" t="str">
            <v>Amazon EU SARL, succursale Italiana</v>
          </cell>
          <cell r="F1044" t="str">
            <v>5FPQ9KSZ</v>
          </cell>
          <cell r="G1044" t="str">
            <v>B01LY6Z2M6</v>
          </cell>
          <cell r="H1044" t="str">
            <v>988-000232</v>
          </cell>
          <cell r="I1044" t="str">
            <v>OE INVOICES</v>
          </cell>
          <cell r="J1044">
            <v>44422133414</v>
          </cell>
          <cell r="K1044">
            <v>44890</v>
          </cell>
          <cell r="L1044">
            <v>4</v>
          </cell>
          <cell r="M1044" t="str">
            <v>EUR</v>
          </cell>
          <cell r="N1044">
            <v>774.64</v>
          </cell>
          <cell r="O1044">
            <v>96.83</v>
          </cell>
          <cell r="P1044">
            <v>8</v>
          </cell>
          <cell r="Q1044">
            <v>8</v>
          </cell>
          <cell r="R1044">
            <v>0</v>
          </cell>
        </row>
        <row r="1045">
          <cell r="A1045" t="str">
            <v>5FPQ9KSZB07TTB3SR2</v>
          </cell>
          <cell r="B1045" t="str">
            <v>Q3-23</v>
          </cell>
          <cell r="C1045" t="str">
            <v>Europe Operations OU</v>
          </cell>
          <cell r="D1045">
            <v>2674345</v>
          </cell>
          <cell r="E1045" t="str">
            <v>Amazon EU SARL, succursale Italiana</v>
          </cell>
          <cell r="F1045" t="str">
            <v>5FPQ9KSZ</v>
          </cell>
          <cell r="G1045" t="str">
            <v>B07TTB3SR2</v>
          </cell>
          <cell r="H1045" t="str">
            <v>939-001676</v>
          </cell>
          <cell r="I1045" t="str">
            <v>OE INVOICES</v>
          </cell>
          <cell r="J1045">
            <v>44422133414</v>
          </cell>
          <cell r="K1045">
            <v>44890</v>
          </cell>
          <cell r="L1045">
            <v>5</v>
          </cell>
          <cell r="M1045" t="str">
            <v>EUR</v>
          </cell>
          <cell r="N1045">
            <v>2813.76</v>
          </cell>
          <cell r="O1045">
            <v>234.48</v>
          </cell>
          <cell r="P1045">
            <v>12</v>
          </cell>
          <cell r="Q1045">
            <v>12</v>
          </cell>
          <cell r="R1045">
            <v>0</v>
          </cell>
        </row>
        <row r="1046">
          <cell r="A1046" t="str">
            <v>5FPQ9KSZB07W4DHL8V</v>
          </cell>
          <cell r="B1046" t="str">
            <v>Q3-23</v>
          </cell>
          <cell r="C1046" t="str">
            <v>Europe Operations OU</v>
          </cell>
          <cell r="D1046">
            <v>2674345</v>
          </cell>
          <cell r="E1046" t="str">
            <v>Amazon EU SARL, succursale Italiana</v>
          </cell>
          <cell r="F1046" t="str">
            <v>5FPQ9KSZ</v>
          </cell>
          <cell r="G1046" t="str">
            <v>B07W4DHL8V</v>
          </cell>
          <cell r="H1046" t="str">
            <v>988-000528</v>
          </cell>
          <cell r="I1046" t="str">
            <v>OE INVOICES</v>
          </cell>
          <cell r="J1046">
            <v>44422145151</v>
          </cell>
          <cell r="K1046">
            <v>44897</v>
          </cell>
          <cell r="L1046">
            <v>3</v>
          </cell>
          <cell r="M1046" t="str">
            <v>EUR</v>
          </cell>
          <cell r="N1046">
            <v>387.32</v>
          </cell>
          <cell r="O1046">
            <v>96.83</v>
          </cell>
          <cell r="P1046">
            <v>4</v>
          </cell>
          <cell r="Q1046">
            <v>4</v>
          </cell>
          <cell r="R1046">
            <v>0</v>
          </cell>
        </row>
        <row r="1047">
          <cell r="A1047" t="str">
            <v>5FPQ9KSZB07W5JHF5D</v>
          </cell>
          <cell r="B1047" t="str">
            <v>Q3-23</v>
          </cell>
          <cell r="C1047" t="str">
            <v>Europe Operations OU</v>
          </cell>
          <cell r="D1047">
            <v>2674345</v>
          </cell>
          <cell r="E1047" t="str">
            <v>Amazon EU SARL, succursale Italiana</v>
          </cell>
          <cell r="F1047" t="str">
            <v>5FPQ9KSZ</v>
          </cell>
          <cell r="G1047" t="str">
            <v>B07W5JHF5D</v>
          </cell>
          <cell r="H1047" t="str">
            <v>920-009866</v>
          </cell>
          <cell r="I1047" t="str">
            <v>OE INVOICES</v>
          </cell>
          <cell r="J1047">
            <v>44422133414</v>
          </cell>
          <cell r="K1047">
            <v>44890</v>
          </cell>
          <cell r="L1047">
            <v>6</v>
          </cell>
          <cell r="M1047" t="str">
            <v>EUR</v>
          </cell>
          <cell r="N1047">
            <v>12626.32</v>
          </cell>
          <cell r="O1047">
            <v>32.21</v>
          </cell>
          <cell r="P1047">
            <v>392</v>
          </cell>
          <cell r="Q1047">
            <v>392</v>
          </cell>
          <cell r="R1047">
            <v>0</v>
          </cell>
        </row>
        <row r="1048">
          <cell r="A1048" t="str">
            <v>5FPQ9KSZB07W5JJ85P</v>
          </cell>
          <cell r="B1048" t="str">
            <v>Q3-23</v>
          </cell>
          <cell r="C1048" t="str">
            <v>Europe Operations OU</v>
          </cell>
          <cell r="D1048">
            <v>2674345</v>
          </cell>
          <cell r="E1048" t="str">
            <v>Amazon EU SARL, succursale Italiana</v>
          </cell>
          <cell r="F1048" t="str">
            <v>5FPQ9KSZ</v>
          </cell>
          <cell r="G1048" t="str">
            <v>B07W5JJ85P</v>
          </cell>
          <cell r="H1048" t="str">
            <v>920-009390</v>
          </cell>
          <cell r="I1048" t="str">
            <v>OE INVOICES</v>
          </cell>
          <cell r="J1048">
            <v>44422145151</v>
          </cell>
          <cell r="K1048">
            <v>44897</v>
          </cell>
          <cell r="L1048">
            <v>4</v>
          </cell>
          <cell r="M1048" t="str">
            <v>EUR</v>
          </cell>
          <cell r="N1048">
            <v>293.36</v>
          </cell>
          <cell r="O1048">
            <v>73.34</v>
          </cell>
          <cell r="P1048">
            <v>4</v>
          </cell>
          <cell r="Q1048">
            <v>4</v>
          </cell>
          <cell r="R1048">
            <v>0</v>
          </cell>
        </row>
        <row r="1049">
          <cell r="A1049" t="str">
            <v>5FPQ9KSZB07W6FQ659</v>
          </cell>
          <cell r="B1049" t="str">
            <v>Q3-23</v>
          </cell>
          <cell r="C1049" t="str">
            <v>Europe Operations OU</v>
          </cell>
          <cell r="D1049">
            <v>2674345</v>
          </cell>
          <cell r="E1049" t="str">
            <v>Amazon EU SARL, succursale Italiana</v>
          </cell>
          <cell r="F1049" t="str">
            <v>5FPQ9KSZ</v>
          </cell>
          <cell r="G1049" t="str">
            <v>B07W6FQ659</v>
          </cell>
          <cell r="H1049" t="str">
            <v>981-000972</v>
          </cell>
          <cell r="I1049" t="str">
            <v>OE INVOICES</v>
          </cell>
          <cell r="J1049">
            <v>44422145151</v>
          </cell>
          <cell r="K1049">
            <v>44897</v>
          </cell>
          <cell r="L1049">
            <v>5</v>
          </cell>
          <cell r="M1049" t="str">
            <v>EUR</v>
          </cell>
          <cell r="N1049">
            <v>293.36</v>
          </cell>
          <cell r="O1049">
            <v>73.34</v>
          </cell>
          <cell r="P1049">
            <v>4</v>
          </cell>
          <cell r="Q1049">
            <v>4</v>
          </cell>
          <cell r="R1049">
            <v>0</v>
          </cell>
        </row>
        <row r="1050">
          <cell r="A1050" t="str">
            <v>5FPQ9KSZB07W6JNF81</v>
          </cell>
          <cell r="B1050" t="str">
            <v>Q3-23</v>
          </cell>
          <cell r="C1050" t="str">
            <v>Europe Operations OU</v>
          </cell>
          <cell r="D1050">
            <v>2674345</v>
          </cell>
          <cell r="E1050" t="str">
            <v>Amazon EU SARL, succursale Italiana</v>
          </cell>
          <cell r="F1050" t="str">
            <v>5FPQ9KSZ</v>
          </cell>
          <cell r="G1050" t="str">
            <v>B07W6JNF81</v>
          </cell>
          <cell r="H1050" t="str">
            <v>920-010212</v>
          </cell>
          <cell r="I1050" t="str">
            <v>OE INVOICES</v>
          </cell>
          <cell r="J1050">
            <v>44422145151</v>
          </cell>
          <cell r="K1050">
            <v>44897</v>
          </cell>
          <cell r="L1050">
            <v>6</v>
          </cell>
          <cell r="M1050" t="str">
            <v>EUR</v>
          </cell>
          <cell r="N1050">
            <v>2134.7199999999998</v>
          </cell>
          <cell r="O1050">
            <v>133.41999999999999</v>
          </cell>
          <cell r="P1050">
            <v>16</v>
          </cell>
          <cell r="Q1050">
            <v>16</v>
          </cell>
          <cell r="R1050">
            <v>0</v>
          </cell>
        </row>
        <row r="1051">
          <cell r="A1051" t="str">
            <v>5FPQ9KSZB07W7LW3VS</v>
          </cell>
          <cell r="B1051" t="str">
            <v>Q3-23</v>
          </cell>
          <cell r="C1051" t="str">
            <v>Europe Operations OU</v>
          </cell>
          <cell r="D1051">
            <v>2674345</v>
          </cell>
          <cell r="E1051" t="str">
            <v>Amazon EU SARL, succursale Italiana</v>
          </cell>
          <cell r="F1051" t="str">
            <v>5FPQ9KSZ</v>
          </cell>
          <cell r="G1051" t="str">
            <v>B07W7LW3VS</v>
          </cell>
          <cell r="H1051" t="str">
            <v>920-009707</v>
          </cell>
          <cell r="I1051" t="str">
            <v>OE INVOICES</v>
          </cell>
          <cell r="J1051">
            <v>44422133414</v>
          </cell>
          <cell r="K1051">
            <v>44890</v>
          </cell>
          <cell r="L1051">
            <v>7</v>
          </cell>
          <cell r="M1051" t="str">
            <v>EUR</v>
          </cell>
          <cell r="N1051">
            <v>603.12</v>
          </cell>
          <cell r="O1051">
            <v>75.39</v>
          </cell>
          <cell r="P1051">
            <v>8</v>
          </cell>
          <cell r="Q1051">
            <v>8</v>
          </cell>
          <cell r="R1051">
            <v>0</v>
          </cell>
        </row>
        <row r="1052">
          <cell r="A1052" t="str">
            <v>5IOQE4AWB07CGPZ3ZQ</v>
          </cell>
          <cell r="B1052" t="str">
            <v>Q3-23</v>
          </cell>
          <cell r="C1052" t="str">
            <v>Europe Operations OU</v>
          </cell>
          <cell r="D1052">
            <v>2674345</v>
          </cell>
          <cell r="E1052" t="str">
            <v>Amazon EU SARL, succursale Italiana</v>
          </cell>
          <cell r="F1052" t="str">
            <v>5IOQE4AW</v>
          </cell>
          <cell r="G1052" t="str">
            <v>B07CGPZ3ZQ</v>
          </cell>
          <cell r="H1052" t="str">
            <v>910-005283</v>
          </cell>
          <cell r="I1052" t="str">
            <v>OE INVOICES</v>
          </cell>
          <cell r="J1052">
            <v>44422123642</v>
          </cell>
          <cell r="K1052">
            <v>44883</v>
          </cell>
          <cell r="L1052">
            <v>1</v>
          </cell>
          <cell r="M1052" t="str">
            <v>EUR</v>
          </cell>
          <cell r="N1052">
            <v>1624.92</v>
          </cell>
          <cell r="O1052">
            <v>36.93</v>
          </cell>
          <cell r="P1052">
            <v>44</v>
          </cell>
          <cell r="Q1052">
            <v>44</v>
          </cell>
          <cell r="R1052">
            <v>0</v>
          </cell>
        </row>
        <row r="1053">
          <cell r="A1053" t="str">
            <v>5IOQE4AWB07G5XJLWK</v>
          </cell>
          <cell r="B1053" t="str">
            <v>Q3-23</v>
          </cell>
          <cell r="C1053" t="str">
            <v>Europe Operations OU</v>
          </cell>
          <cell r="D1053">
            <v>2674345</v>
          </cell>
          <cell r="E1053" t="str">
            <v>Amazon EU SARL, succursale Italiana</v>
          </cell>
          <cell r="F1053" t="str">
            <v>5IOQE4AW</v>
          </cell>
          <cell r="G1053" t="str">
            <v>B07G5XJLWK</v>
          </cell>
          <cell r="H1053" t="str">
            <v>910-005273</v>
          </cell>
          <cell r="I1053" t="str">
            <v>OE INVOICES</v>
          </cell>
          <cell r="J1053">
            <v>44422123642</v>
          </cell>
          <cell r="K1053">
            <v>44883</v>
          </cell>
          <cell r="L1053">
            <v>2</v>
          </cell>
          <cell r="M1053" t="str">
            <v>EUR</v>
          </cell>
          <cell r="N1053">
            <v>586.72</v>
          </cell>
          <cell r="O1053">
            <v>73.34</v>
          </cell>
          <cell r="P1053">
            <v>8</v>
          </cell>
          <cell r="Q1053">
            <v>8</v>
          </cell>
          <cell r="R1053">
            <v>0</v>
          </cell>
        </row>
        <row r="1054">
          <cell r="A1054" t="str">
            <v>5IOQE4AWB07MTXLFXV</v>
          </cell>
          <cell r="B1054" t="str">
            <v>Q3-23</v>
          </cell>
          <cell r="C1054" t="str">
            <v>Europe Operations OU</v>
          </cell>
          <cell r="D1054">
            <v>2674345</v>
          </cell>
          <cell r="E1054" t="str">
            <v>Amazon EU SARL, succursale Italiana</v>
          </cell>
          <cell r="F1054" t="str">
            <v>5IOQE4AW</v>
          </cell>
          <cell r="G1054" t="str">
            <v>B07MTXLFXV</v>
          </cell>
          <cell r="H1054" t="str">
            <v>981-000770</v>
          </cell>
          <cell r="I1054" t="str">
            <v>OE INVOICES</v>
          </cell>
          <cell r="J1054">
            <v>44422123642</v>
          </cell>
          <cell r="K1054">
            <v>44883</v>
          </cell>
          <cell r="L1054">
            <v>3</v>
          </cell>
          <cell r="M1054" t="str">
            <v>EUR</v>
          </cell>
          <cell r="N1054">
            <v>18992</v>
          </cell>
          <cell r="O1054">
            <v>47.48</v>
          </cell>
          <cell r="P1054">
            <v>400</v>
          </cell>
          <cell r="Q1054">
            <v>400</v>
          </cell>
          <cell r="R1054">
            <v>0</v>
          </cell>
        </row>
        <row r="1055">
          <cell r="A1055" t="str">
            <v>5IOQE4AWB07PMKHMFS</v>
          </cell>
          <cell r="B1055" t="str">
            <v>Q3-23</v>
          </cell>
          <cell r="C1055" t="str">
            <v>Europe Operations OU</v>
          </cell>
          <cell r="D1055">
            <v>2674345</v>
          </cell>
          <cell r="E1055" t="str">
            <v>Amazon EU SARL, succursale Italiana</v>
          </cell>
          <cell r="F1055" t="str">
            <v>5IOQE4AW</v>
          </cell>
          <cell r="G1055" t="str">
            <v>B07PMKHMFS</v>
          </cell>
          <cell r="H1055" t="str">
            <v>939-001830</v>
          </cell>
          <cell r="I1055" t="str">
            <v>OE INVOICES</v>
          </cell>
          <cell r="J1055">
            <v>44422123642</v>
          </cell>
          <cell r="K1055">
            <v>44883</v>
          </cell>
          <cell r="L1055">
            <v>4</v>
          </cell>
          <cell r="M1055" t="str">
            <v>EUR</v>
          </cell>
          <cell r="N1055">
            <v>1402.68</v>
          </cell>
          <cell r="O1055">
            <v>116.89</v>
          </cell>
          <cell r="P1055">
            <v>12</v>
          </cell>
          <cell r="Q1055">
            <v>12</v>
          </cell>
          <cell r="R1055">
            <v>0</v>
          </cell>
        </row>
        <row r="1056">
          <cell r="A1056" t="str">
            <v>5IOQE4AWB07PRYFGXG</v>
          </cell>
          <cell r="B1056" t="str">
            <v>Q3-23</v>
          </cell>
          <cell r="C1056" t="str">
            <v>Europe Operations OU</v>
          </cell>
          <cell r="D1056">
            <v>2674345</v>
          </cell>
          <cell r="E1056" t="str">
            <v>Amazon EU SARL, succursale Italiana</v>
          </cell>
          <cell r="F1056" t="str">
            <v>5IOQE4AW</v>
          </cell>
          <cell r="G1056" t="str">
            <v>B07PRYFGXG</v>
          </cell>
          <cell r="H1056" t="str">
            <v>939-001659</v>
          </cell>
          <cell r="I1056" t="str">
            <v>OE INVOICES</v>
          </cell>
          <cell r="J1056">
            <v>44422122289</v>
          </cell>
          <cell r="K1056">
            <v>44882</v>
          </cell>
          <cell r="L1056">
            <v>1</v>
          </cell>
          <cell r="M1056" t="str">
            <v>EUR</v>
          </cell>
          <cell r="N1056">
            <v>12350.72</v>
          </cell>
          <cell r="O1056">
            <v>192.98</v>
          </cell>
          <cell r="P1056">
            <v>64</v>
          </cell>
          <cell r="Q1056">
            <v>64</v>
          </cell>
          <cell r="R1056">
            <v>0</v>
          </cell>
        </row>
        <row r="1057">
          <cell r="A1057" t="str">
            <v>5IOQE4AWB07W5JKFQC</v>
          </cell>
          <cell r="B1057" t="str">
            <v>Q3-23</v>
          </cell>
          <cell r="C1057" t="str">
            <v>Europe Operations OU</v>
          </cell>
          <cell r="D1057">
            <v>2674345</v>
          </cell>
          <cell r="E1057" t="str">
            <v>Amazon EU SARL, succursale Italiana</v>
          </cell>
          <cell r="F1057" t="str">
            <v>5IOQE4AW</v>
          </cell>
          <cell r="G1057" t="str">
            <v>B07W5JKFQC</v>
          </cell>
          <cell r="H1057" t="str">
            <v>910-005796</v>
          </cell>
          <cell r="I1057" t="str">
            <v>OE INVOICES</v>
          </cell>
          <cell r="J1057">
            <v>44422123642</v>
          </cell>
          <cell r="K1057">
            <v>44883</v>
          </cell>
          <cell r="L1057">
            <v>5</v>
          </cell>
          <cell r="M1057" t="str">
            <v>EUR</v>
          </cell>
          <cell r="N1057">
            <v>48429.599999999999</v>
          </cell>
          <cell r="O1057">
            <v>23.74</v>
          </cell>
          <cell r="P1057">
            <v>2040</v>
          </cell>
          <cell r="Q1057">
            <v>2040</v>
          </cell>
          <cell r="R1057">
            <v>0</v>
          </cell>
        </row>
        <row r="1058">
          <cell r="A1058" t="str">
            <v>5KUAVFPZB0044AFFMK</v>
          </cell>
          <cell r="B1058" t="str">
            <v>Q3-23</v>
          </cell>
          <cell r="C1058" t="str">
            <v>Europe Operations OU</v>
          </cell>
          <cell r="D1058">
            <v>2674345</v>
          </cell>
          <cell r="E1058" t="str">
            <v>Amazon EU SARL, succursale Italiana</v>
          </cell>
          <cell r="F1058" t="str">
            <v>5KUAVFPZ</v>
          </cell>
          <cell r="G1058" t="str">
            <v>B0044AFFMK</v>
          </cell>
          <cell r="H1058" t="str">
            <v>920-002431</v>
          </cell>
          <cell r="I1058" t="str">
            <v>OE INVOICES</v>
          </cell>
          <cell r="J1058">
            <v>44422163648</v>
          </cell>
          <cell r="K1058">
            <v>44909</v>
          </cell>
          <cell r="L1058">
            <v>1</v>
          </cell>
          <cell r="M1058" t="str">
            <v>EUR</v>
          </cell>
          <cell r="N1058">
            <v>278.44</v>
          </cell>
          <cell r="O1058">
            <v>69.61</v>
          </cell>
          <cell r="P1058">
            <v>4</v>
          </cell>
          <cell r="Q1058">
            <v>4</v>
          </cell>
          <cell r="R1058">
            <v>0</v>
          </cell>
        </row>
        <row r="1059">
          <cell r="A1059" t="str">
            <v>5KUAVFPZB007BNE3QQ</v>
          </cell>
          <cell r="B1059" t="str">
            <v>Q3-23</v>
          </cell>
          <cell r="C1059" t="str">
            <v>Europe Operations OU</v>
          </cell>
          <cell r="D1059">
            <v>2674345</v>
          </cell>
          <cell r="E1059" t="str">
            <v>Amazon EU SARL, succursale Italiana</v>
          </cell>
          <cell r="F1059" t="str">
            <v>5KUAVFPZ</v>
          </cell>
          <cell r="G1059" t="str">
            <v>B007BNE3QQ</v>
          </cell>
          <cell r="H1059" t="str">
            <v>920-003736</v>
          </cell>
          <cell r="I1059" t="str">
            <v>OE INVOICES</v>
          </cell>
          <cell r="J1059">
            <v>44422163648</v>
          </cell>
          <cell r="K1059">
            <v>44909</v>
          </cell>
          <cell r="L1059">
            <v>2</v>
          </cell>
          <cell r="M1059" t="str">
            <v>EUR</v>
          </cell>
          <cell r="N1059">
            <v>468.4</v>
          </cell>
          <cell r="O1059">
            <v>23.42</v>
          </cell>
          <cell r="P1059">
            <v>20</v>
          </cell>
          <cell r="Q1059">
            <v>20</v>
          </cell>
          <cell r="R1059">
            <v>0</v>
          </cell>
        </row>
        <row r="1060">
          <cell r="A1060" t="str">
            <v>5KUAVFPZB00YUIM2J0</v>
          </cell>
          <cell r="B1060" t="str">
            <v>Q3-23</v>
          </cell>
          <cell r="C1060" t="str">
            <v>Europe Operations OU</v>
          </cell>
          <cell r="D1060">
            <v>2674345</v>
          </cell>
          <cell r="E1060" t="str">
            <v>Amazon EU SARL, succursale Italiana</v>
          </cell>
          <cell r="F1060" t="str">
            <v>5KUAVFPZ</v>
          </cell>
          <cell r="G1060" t="str">
            <v>B00YUIM2J0</v>
          </cell>
          <cell r="H1060" t="str">
            <v>941-000112</v>
          </cell>
          <cell r="I1060" t="str">
            <v>OE INVOICES</v>
          </cell>
          <cell r="J1060">
            <v>44422163648</v>
          </cell>
          <cell r="K1060">
            <v>44909</v>
          </cell>
          <cell r="L1060">
            <v>3</v>
          </cell>
          <cell r="M1060" t="str">
            <v>EUR</v>
          </cell>
          <cell r="N1060">
            <v>18348.810000000001</v>
          </cell>
          <cell r="O1060">
            <v>221.07</v>
          </cell>
          <cell r="P1060">
            <v>83</v>
          </cell>
          <cell r="Q1060">
            <v>83</v>
          </cell>
          <cell r="R1060">
            <v>0</v>
          </cell>
        </row>
        <row r="1061">
          <cell r="A1061" t="str">
            <v>5KUAVFPZB01AUGT964</v>
          </cell>
          <cell r="B1061" t="str">
            <v>Q3-23</v>
          </cell>
          <cell r="C1061" t="str">
            <v>Europe Operations OU</v>
          </cell>
          <cell r="D1061">
            <v>2674345</v>
          </cell>
          <cell r="E1061" t="str">
            <v>Amazon EU SARL, succursale Italiana</v>
          </cell>
          <cell r="F1061" t="str">
            <v>5KUAVFPZ</v>
          </cell>
          <cell r="G1061" t="str">
            <v>B01AUGT964</v>
          </cell>
          <cell r="H1061" t="str">
            <v>920-007905</v>
          </cell>
          <cell r="I1061" t="str">
            <v>OE INVOICES</v>
          </cell>
          <cell r="J1061">
            <v>44422163648</v>
          </cell>
          <cell r="K1061">
            <v>44909</v>
          </cell>
          <cell r="L1061">
            <v>4</v>
          </cell>
          <cell r="M1061" t="str">
            <v>EUR</v>
          </cell>
          <cell r="N1061">
            <v>187.36</v>
          </cell>
          <cell r="O1061">
            <v>23.42</v>
          </cell>
          <cell r="P1061">
            <v>8</v>
          </cell>
          <cell r="Q1061">
            <v>8</v>
          </cell>
          <cell r="R1061">
            <v>0</v>
          </cell>
        </row>
        <row r="1062">
          <cell r="A1062" t="str">
            <v>5KUAVFPZB01DKGAQNG</v>
          </cell>
          <cell r="B1062" t="str">
            <v>Q3-23</v>
          </cell>
          <cell r="C1062" t="str">
            <v>Europe Operations OU</v>
          </cell>
          <cell r="D1062">
            <v>2674345</v>
          </cell>
          <cell r="E1062" t="str">
            <v>Amazon EU SARL, succursale Italiana</v>
          </cell>
          <cell r="F1062" t="str">
            <v>5KUAVFPZ</v>
          </cell>
          <cell r="G1062" t="str">
            <v>B01DKGAQNG</v>
          </cell>
          <cell r="H1062" t="str">
            <v>920-008031</v>
          </cell>
          <cell r="I1062" t="str">
            <v>OE INVOICES</v>
          </cell>
          <cell r="J1062">
            <v>44422163648</v>
          </cell>
          <cell r="K1062">
            <v>44909</v>
          </cell>
          <cell r="L1062">
            <v>5</v>
          </cell>
          <cell r="M1062" t="str">
            <v>EUR</v>
          </cell>
          <cell r="N1062">
            <v>374.72</v>
          </cell>
          <cell r="O1062">
            <v>23.42</v>
          </cell>
          <cell r="P1062">
            <v>16</v>
          </cell>
          <cell r="Q1062">
            <v>16</v>
          </cell>
          <cell r="R1062">
            <v>0</v>
          </cell>
        </row>
        <row r="1063">
          <cell r="A1063" t="str">
            <v>5KUAVFPZB07W6GNXZG</v>
          </cell>
          <cell r="B1063" t="str">
            <v>Q3-23</v>
          </cell>
          <cell r="C1063" t="str">
            <v>Europe Operations OU</v>
          </cell>
          <cell r="D1063">
            <v>2674345</v>
          </cell>
          <cell r="E1063" t="str">
            <v>Amazon EU SARL, succursale Italiana</v>
          </cell>
          <cell r="F1063" t="str">
            <v>5KUAVFPZ</v>
          </cell>
          <cell r="G1063" t="str">
            <v>B07W6GNXZG</v>
          </cell>
          <cell r="H1063" t="str">
            <v>920-010915</v>
          </cell>
          <cell r="I1063" t="str">
            <v>OE INVOICES</v>
          </cell>
          <cell r="J1063">
            <v>44422163648</v>
          </cell>
          <cell r="K1063">
            <v>44909</v>
          </cell>
          <cell r="L1063">
            <v>6</v>
          </cell>
          <cell r="M1063" t="str">
            <v>EUR</v>
          </cell>
          <cell r="N1063">
            <v>4638.24</v>
          </cell>
          <cell r="O1063">
            <v>32.21</v>
          </cell>
          <cell r="P1063">
            <v>144</v>
          </cell>
          <cell r="Q1063">
            <v>144</v>
          </cell>
          <cell r="R1063">
            <v>0</v>
          </cell>
        </row>
        <row r="1064">
          <cell r="A1064" t="str">
            <v>5KUAVFPZB07W6GVS5C</v>
          </cell>
          <cell r="B1064" t="str">
            <v>Q3-23</v>
          </cell>
          <cell r="C1064" t="str">
            <v>Europe Operations OU</v>
          </cell>
          <cell r="D1064">
            <v>2674345</v>
          </cell>
          <cell r="E1064" t="str">
            <v>Amazon EU SARL, succursale Italiana</v>
          </cell>
          <cell r="F1064" t="str">
            <v>5KUAVFPZ</v>
          </cell>
          <cell r="G1064" t="str">
            <v>B07W6GVS5C</v>
          </cell>
          <cell r="H1064" t="str">
            <v>920-009439</v>
          </cell>
          <cell r="I1064" t="str">
            <v>OE INVOICES</v>
          </cell>
          <cell r="J1064">
            <v>44422163648</v>
          </cell>
          <cell r="K1064">
            <v>44909</v>
          </cell>
          <cell r="L1064">
            <v>7</v>
          </cell>
          <cell r="M1064" t="str">
            <v>EUR</v>
          </cell>
          <cell r="N1064">
            <v>3766.56</v>
          </cell>
          <cell r="O1064">
            <v>44.84</v>
          </cell>
          <cell r="P1064">
            <v>84</v>
          </cell>
          <cell r="Q1064">
            <v>84</v>
          </cell>
          <cell r="R1064">
            <v>0</v>
          </cell>
        </row>
        <row r="1065">
          <cell r="A1065" t="str">
            <v>5MU5OCUSB00745IE3E</v>
          </cell>
          <cell r="B1065" t="str">
            <v>Q3-23</v>
          </cell>
          <cell r="C1065" t="str">
            <v>Europe Operations OU</v>
          </cell>
          <cell r="D1065">
            <v>2674345</v>
          </cell>
          <cell r="E1065" t="str">
            <v>Amazon EU SARL, succursale Italiana</v>
          </cell>
          <cell r="F1065" t="str">
            <v>5MU5OCUS</v>
          </cell>
          <cell r="G1065" t="str">
            <v>B00745IE3E</v>
          </cell>
          <cell r="H1065" t="str">
            <v>910-002733</v>
          </cell>
          <cell r="I1065" t="str">
            <v>OE INVOICES</v>
          </cell>
          <cell r="J1065">
            <v>44422133415</v>
          </cell>
          <cell r="K1065">
            <v>44890</v>
          </cell>
          <cell r="L1065">
            <v>1</v>
          </cell>
          <cell r="M1065" t="str">
            <v>EUR</v>
          </cell>
          <cell r="N1065">
            <v>412.16</v>
          </cell>
          <cell r="O1065">
            <v>12.88</v>
          </cell>
          <cell r="P1065">
            <v>32</v>
          </cell>
          <cell r="Q1065">
            <v>32</v>
          </cell>
          <cell r="R1065">
            <v>0</v>
          </cell>
        </row>
        <row r="1066">
          <cell r="A1066" t="str">
            <v>5MU5OCUSB01K7GEFWK</v>
          </cell>
          <cell r="B1066" t="str">
            <v>Q3-23</v>
          </cell>
          <cell r="C1066" t="str">
            <v>Europe Operations OU</v>
          </cell>
          <cell r="D1066">
            <v>2674345</v>
          </cell>
          <cell r="E1066" t="str">
            <v>Amazon EU SARL, succursale Italiana</v>
          </cell>
          <cell r="F1066" t="str">
            <v>5MU5OCUS</v>
          </cell>
          <cell r="G1066" t="str">
            <v>B01K7GEFWK</v>
          </cell>
          <cell r="H1066" t="str">
            <v>910-004880</v>
          </cell>
          <cell r="I1066" t="str">
            <v>OE INVOICES</v>
          </cell>
          <cell r="J1066">
            <v>44422144968</v>
          </cell>
          <cell r="K1066">
            <v>44897</v>
          </cell>
          <cell r="L1066">
            <v>1</v>
          </cell>
          <cell r="M1066" t="str">
            <v>EUR</v>
          </cell>
          <cell r="N1066">
            <v>491.7</v>
          </cell>
          <cell r="O1066">
            <v>16.39</v>
          </cell>
          <cell r="P1066">
            <v>30</v>
          </cell>
          <cell r="Q1066">
            <v>30</v>
          </cell>
          <cell r="R1066">
            <v>0</v>
          </cell>
        </row>
        <row r="1067">
          <cell r="A1067" t="str">
            <v>5MU5OCUSB07G6LWTG6</v>
          </cell>
          <cell r="B1067" t="str">
            <v>Q3-23</v>
          </cell>
          <cell r="C1067" t="str">
            <v>Europe Operations OU</v>
          </cell>
          <cell r="D1067">
            <v>2674345</v>
          </cell>
          <cell r="E1067" t="str">
            <v>Amazon EU SARL, succursale Italiana</v>
          </cell>
          <cell r="F1067" t="str">
            <v>5MU5OCUS</v>
          </cell>
          <cell r="G1067" t="str">
            <v>B07G6LWTG6</v>
          </cell>
          <cell r="H1067" t="str">
            <v>984-001404</v>
          </cell>
          <cell r="I1067" t="str">
            <v>OE INVOICES</v>
          </cell>
          <cell r="J1067">
            <v>44422144968</v>
          </cell>
          <cell r="K1067">
            <v>44897</v>
          </cell>
          <cell r="L1067">
            <v>2</v>
          </cell>
          <cell r="M1067" t="str">
            <v>EUR</v>
          </cell>
          <cell r="N1067">
            <v>1703.84</v>
          </cell>
          <cell r="O1067">
            <v>106.49</v>
          </cell>
          <cell r="P1067">
            <v>16</v>
          </cell>
          <cell r="Q1067">
            <v>16</v>
          </cell>
          <cell r="R1067">
            <v>0</v>
          </cell>
        </row>
        <row r="1068">
          <cell r="A1068" t="str">
            <v>5MWU8WTDB000XUQ2LI</v>
          </cell>
          <cell r="B1068" t="str">
            <v>Q3-23</v>
          </cell>
          <cell r="C1068" t="str">
            <v>Europe Operations OU</v>
          </cell>
          <cell r="D1068">
            <v>2674345</v>
          </cell>
          <cell r="E1068" t="str">
            <v>Amazon EU SARL, succursale Italiana</v>
          </cell>
          <cell r="F1068" t="str">
            <v>5MWU8WTD</v>
          </cell>
          <cell r="G1068" t="str">
            <v>B000XUQ2LI</v>
          </cell>
          <cell r="H1068" t="str">
            <v>980-000029</v>
          </cell>
          <cell r="I1068" t="str">
            <v>OE INVOICES</v>
          </cell>
          <cell r="J1068">
            <v>44422170765</v>
          </cell>
          <cell r="K1068">
            <v>44915</v>
          </cell>
          <cell r="L1068">
            <v>1</v>
          </cell>
          <cell r="M1068" t="str">
            <v>EUR</v>
          </cell>
          <cell r="N1068">
            <v>140.52000000000001</v>
          </cell>
          <cell r="O1068">
            <v>11.71</v>
          </cell>
          <cell r="P1068">
            <v>12</v>
          </cell>
          <cell r="Q1068">
            <v>12</v>
          </cell>
          <cell r="R1068">
            <v>0</v>
          </cell>
        </row>
        <row r="1069">
          <cell r="A1069" t="str">
            <v>5MWU8WTDB00XJ3LVPI</v>
          </cell>
          <cell r="B1069" t="str">
            <v>Q3-23</v>
          </cell>
          <cell r="C1069" t="str">
            <v>Europe Operations OU</v>
          </cell>
          <cell r="D1069">
            <v>2674345</v>
          </cell>
          <cell r="E1069" t="str">
            <v>Amazon EU SARL, succursale Italiana</v>
          </cell>
          <cell r="F1069" t="str">
            <v>5MWU8WTD</v>
          </cell>
          <cell r="G1069" t="str">
            <v>B00XJ3LVPI</v>
          </cell>
          <cell r="H1069" t="str">
            <v>920-007143</v>
          </cell>
          <cell r="I1069" t="str">
            <v>OE INVOICES</v>
          </cell>
          <cell r="J1069">
            <v>44422170765</v>
          </cell>
          <cell r="K1069">
            <v>44915</v>
          </cell>
          <cell r="L1069">
            <v>2</v>
          </cell>
          <cell r="M1069" t="str">
            <v>EUR</v>
          </cell>
          <cell r="N1069">
            <v>322.10000000000002</v>
          </cell>
          <cell r="O1069">
            <v>32.21</v>
          </cell>
          <cell r="P1069">
            <v>10</v>
          </cell>
          <cell r="Q1069">
            <v>10</v>
          </cell>
          <cell r="R1069">
            <v>0</v>
          </cell>
        </row>
        <row r="1070">
          <cell r="A1070" t="str">
            <v>5MWU8WTDB00ZOZZM4U</v>
          </cell>
          <cell r="B1070" t="str">
            <v>Q3-23</v>
          </cell>
          <cell r="C1070" t="str">
            <v>Europe Operations OU</v>
          </cell>
          <cell r="D1070">
            <v>2674345</v>
          </cell>
          <cell r="E1070" t="str">
            <v>Amazon EU SARL, succursale Italiana</v>
          </cell>
          <cell r="F1070" t="str">
            <v>5MWU8WTD</v>
          </cell>
          <cell r="G1070" t="str">
            <v>B00ZOZZM4U</v>
          </cell>
          <cell r="H1070" t="str">
            <v>981-000593</v>
          </cell>
          <cell r="I1070" t="str">
            <v>OE INVOICES</v>
          </cell>
          <cell r="J1070">
            <v>44422170765</v>
          </cell>
          <cell r="K1070">
            <v>44915</v>
          </cell>
          <cell r="L1070">
            <v>3</v>
          </cell>
          <cell r="M1070" t="str">
            <v>EUR</v>
          </cell>
          <cell r="N1070">
            <v>618.24</v>
          </cell>
          <cell r="O1070">
            <v>12.88</v>
          </cell>
          <cell r="P1070">
            <v>48</v>
          </cell>
          <cell r="Q1070">
            <v>48</v>
          </cell>
          <cell r="R1070">
            <v>0</v>
          </cell>
        </row>
        <row r="1071">
          <cell r="A1071" t="str">
            <v>5MWU8WTDB00ZWOUH4S</v>
          </cell>
          <cell r="B1071" t="str">
            <v>Q3-23</v>
          </cell>
          <cell r="C1071" t="str">
            <v>Europe Operations OU</v>
          </cell>
          <cell r="D1071">
            <v>2674345</v>
          </cell>
          <cell r="E1071" t="str">
            <v>Amazon EU SARL, succursale Italiana</v>
          </cell>
          <cell r="F1071" t="str">
            <v>5MWU8WTD</v>
          </cell>
          <cell r="G1071" t="str">
            <v>B00ZWOUH4S</v>
          </cell>
          <cell r="H1071" t="str">
            <v>941-000130</v>
          </cell>
          <cell r="I1071" t="str">
            <v>OE INVOICES</v>
          </cell>
          <cell r="J1071">
            <v>44422170765</v>
          </cell>
          <cell r="K1071">
            <v>44915</v>
          </cell>
          <cell r="L1071">
            <v>4</v>
          </cell>
          <cell r="M1071" t="str">
            <v>EUR</v>
          </cell>
          <cell r="N1071">
            <v>4423.41</v>
          </cell>
          <cell r="O1071">
            <v>34.29</v>
          </cell>
          <cell r="P1071">
            <v>129</v>
          </cell>
          <cell r="Q1071">
            <v>129</v>
          </cell>
          <cell r="R1071">
            <v>0</v>
          </cell>
        </row>
        <row r="1072">
          <cell r="A1072" t="str">
            <v>5MWU8WTDB01A9HC69G</v>
          </cell>
          <cell r="B1072" t="str">
            <v>Q3-23</v>
          </cell>
          <cell r="C1072" t="str">
            <v>Europe Operations OU</v>
          </cell>
          <cell r="D1072">
            <v>2674345</v>
          </cell>
          <cell r="E1072" t="str">
            <v>Amazon EU SARL, succursale Italiana</v>
          </cell>
          <cell r="F1072" t="str">
            <v>5MWU8WTD</v>
          </cell>
          <cell r="G1072" t="str">
            <v>B01A9HC69G</v>
          </cell>
          <cell r="H1072" t="str">
            <v>910-004640</v>
          </cell>
          <cell r="I1072" t="str">
            <v>OE INVOICES</v>
          </cell>
          <cell r="J1072">
            <v>44422170765</v>
          </cell>
          <cell r="K1072">
            <v>44915</v>
          </cell>
          <cell r="L1072">
            <v>5</v>
          </cell>
          <cell r="M1072" t="str">
            <v>EUR</v>
          </cell>
          <cell r="N1072">
            <v>468</v>
          </cell>
          <cell r="O1072">
            <v>9.36</v>
          </cell>
          <cell r="P1072">
            <v>50</v>
          </cell>
          <cell r="Q1072">
            <v>50</v>
          </cell>
          <cell r="R1072">
            <v>0</v>
          </cell>
        </row>
        <row r="1073">
          <cell r="A1073" t="str">
            <v>5MWU8WTDB01DIJIDKI</v>
          </cell>
          <cell r="B1073" t="str">
            <v>Q3-23</v>
          </cell>
          <cell r="C1073" t="str">
            <v>Europe Operations OU</v>
          </cell>
          <cell r="D1073">
            <v>2674345</v>
          </cell>
          <cell r="E1073" t="str">
            <v>Amazon EU SARL, succursale Italiana</v>
          </cell>
          <cell r="F1073" t="str">
            <v>5MWU8WTD</v>
          </cell>
          <cell r="G1073" t="str">
            <v>B01DIJIDKI</v>
          </cell>
          <cell r="H1073" t="str">
            <v>943-000095</v>
          </cell>
          <cell r="I1073" t="str">
            <v>OE INVOICES</v>
          </cell>
          <cell r="J1073">
            <v>44422170765</v>
          </cell>
          <cell r="K1073">
            <v>44915</v>
          </cell>
          <cell r="L1073">
            <v>6</v>
          </cell>
          <cell r="M1073" t="str">
            <v>EUR</v>
          </cell>
          <cell r="N1073">
            <v>232</v>
          </cell>
          <cell r="O1073">
            <v>11.6</v>
          </cell>
          <cell r="P1073">
            <v>20</v>
          </cell>
          <cell r="Q1073">
            <v>20</v>
          </cell>
          <cell r="R1073">
            <v>0</v>
          </cell>
        </row>
        <row r="1074">
          <cell r="A1074" t="str">
            <v>5MWU8WTDB01MFBNN9J</v>
          </cell>
          <cell r="B1074" t="str">
            <v>Q3-23</v>
          </cell>
          <cell r="C1074" t="str">
            <v>Europe Operations OU</v>
          </cell>
          <cell r="D1074">
            <v>2674345</v>
          </cell>
          <cell r="E1074" t="str">
            <v>Amazon EU SARL, succursale Italiana</v>
          </cell>
          <cell r="F1074" t="str">
            <v>5MWU8WTD</v>
          </cell>
          <cell r="G1074" t="str">
            <v>B01MFBNN9J</v>
          </cell>
          <cell r="H1074" t="str">
            <v>945-000009</v>
          </cell>
          <cell r="I1074" t="str">
            <v>OE INVOICES</v>
          </cell>
          <cell r="J1074">
            <v>44422170765</v>
          </cell>
          <cell r="K1074">
            <v>44915</v>
          </cell>
          <cell r="L1074">
            <v>7</v>
          </cell>
          <cell r="M1074" t="str">
            <v>EUR</v>
          </cell>
          <cell r="N1074">
            <v>230.04</v>
          </cell>
          <cell r="O1074">
            <v>57.51</v>
          </cell>
          <cell r="P1074">
            <v>4</v>
          </cell>
          <cell r="Q1074">
            <v>4</v>
          </cell>
          <cell r="R1074">
            <v>0</v>
          </cell>
        </row>
        <row r="1075">
          <cell r="A1075" t="str">
            <v>5MWU8WTDB071ZFMC9Q</v>
          </cell>
          <cell r="B1075" t="str">
            <v>Q3-23</v>
          </cell>
          <cell r="C1075" t="str">
            <v>Europe Operations OU</v>
          </cell>
          <cell r="D1075">
            <v>2674345</v>
          </cell>
          <cell r="E1075" t="str">
            <v>Amazon EU SARL, succursale Italiana</v>
          </cell>
          <cell r="F1075" t="str">
            <v>5MWU8WTD</v>
          </cell>
          <cell r="G1075" t="str">
            <v>B071ZFMC9Q</v>
          </cell>
          <cell r="H1075" t="str">
            <v>939-001498</v>
          </cell>
          <cell r="I1075" t="str">
            <v>OE INVOICES</v>
          </cell>
          <cell r="J1075">
            <v>44422170765</v>
          </cell>
          <cell r="K1075">
            <v>44915</v>
          </cell>
          <cell r="L1075">
            <v>8</v>
          </cell>
          <cell r="M1075" t="str">
            <v>EUR</v>
          </cell>
          <cell r="N1075">
            <v>399.96</v>
          </cell>
          <cell r="O1075">
            <v>66.66</v>
          </cell>
          <cell r="P1075">
            <v>6</v>
          </cell>
          <cell r="Q1075">
            <v>6</v>
          </cell>
          <cell r="R1075">
            <v>0</v>
          </cell>
        </row>
        <row r="1076">
          <cell r="A1076" t="str">
            <v>5MWU8WTDB07CGPZ3ZQ</v>
          </cell>
          <cell r="B1076" t="str">
            <v>Q3-23</v>
          </cell>
          <cell r="C1076" t="str">
            <v>Europe Operations OU</v>
          </cell>
          <cell r="D1076">
            <v>2674345</v>
          </cell>
          <cell r="E1076" t="str">
            <v>Amazon EU SARL, succursale Italiana</v>
          </cell>
          <cell r="F1076" t="str">
            <v>5MWU8WTD</v>
          </cell>
          <cell r="G1076" t="str">
            <v>B07CGPZ3ZQ</v>
          </cell>
          <cell r="H1076" t="str">
            <v>910-005283</v>
          </cell>
          <cell r="I1076" t="str">
            <v>OE INVOICES</v>
          </cell>
          <cell r="J1076">
            <v>44422170765</v>
          </cell>
          <cell r="K1076">
            <v>44915</v>
          </cell>
          <cell r="L1076">
            <v>9</v>
          </cell>
          <cell r="M1076" t="str">
            <v>EUR</v>
          </cell>
          <cell r="N1076">
            <v>1329.48</v>
          </cell>
          <cell r="O1076">
            <v>36.93</v>
          </cell>
          <cell r="P1076">
            <v>36</v>
          </cell>
          <cell r="Q1076">
            <v>36</v>
          </cell>
          <cell r="R1076">
            <v>0</v>
          </cell>
        </row>
        <row r="1077">
          <cell r="A1077" t="str">
            <v>5MWU8WTDB07FNHV4MW</v>
          </cell>
          <cell r="B1077" t="str">
            <v>Q3-23</v>
          </cell>
          <cell r="C1077" t="str">
            <v>Europe Operations OU</v>
          </cell>
          <cell r="D1077">
            <v>2674345</v>
          </cell>
          <cell r="E1077" t="str">
            <v>Amazon EU SARL, succursale Italiana</v>
          </cell>
          <cell r="F1077" t="str">
            <v>5MWU8WTD</v>
          </cell>
          <cell r="G1077" t="str">
            <v>B07FNHV4MW</v>
          </cell>
          <cell r="H1077" t="str">
            <v>910-005448</v>
          </cell>
          <cell r="I1077" t="str">
            <v>OE INVOICES</v>
          </cell>
          <cell r="J1077">
            <v>44422170765</v>
          </cell>
          <cell r="K1077">
            <v>44915</v>
          </cell>
          <cell r="L1077">
            <v>10</v>
          </cell>
          <cell r="M1077" t="str">
            <v>EUR</v>
          </cell>
          <cell r="N1077">
            <v>1113.76</v>
          </cell>
          <cell r="O1077">
            <v>69.61</v>
          </cell>
          <cell r="P1077">
            <v>16</v>
          </cell>
          <cell r="Q1077">
            <v>16</v>
          </cell>
          <cell r="R1077">
            <v>0</v>
          </cell>
        </row>
        <row r="1078">
          <cell r="A1078" t="str">
            <v>5MWU8WTDB07G5XJLWK</v>
          </cell>
          <cell r="B1078" t="str">
            <v>Q3-23</v>
          </cell>
          <cell r="C1078" t="str">
            <v>Europe Operations OU</v>
          </cell>
          <cell r="D1078">
            <v>2674345</v>
          </cell>
          <cell r="E1078" t="str">
            <v>Amazon EU SARL, succursale Italiana</v>
          </cell>
          <cell r="F1078" t="str">
            <v>5MWU8WTD</v>
          </cell>
          <cell r="G1078" t="str">
            <v>B07G5XJLWK</v>
          </cell>
          <cell r="H1078" t="str">
            <v>910-005273</v>
          </cell>
          <cell r="I1078" t="str">
            <v>OE INVOICES</v>
          </cell>
          <cell r="J1078">
            <v>44422170765</v>
          </cell>
          <cell r="K1078">
            <v>44915</v>
          </cell>
          <cell r="L1078">
            <v>11</v>
          </cell>
          <cell r="M1078" t="str">
            <v>EUR</v>
          </cell>
          <cell r="N1078">
            <v>6453.92</v>
          </cell>
          <cell r="O1078">
            <v>73.34</v>
          </cell>
          <cell r="P1078">
            <v>88</v>
          </cell>
          <cell r="Q1078">
            <v>88</v>
          </cell>
          <cell r="R1078">
            <v>0</v>
          </cell>
        </row>
        <row r="1079">
          <cell r="A1079" t="str">
            <v>5MWU8WTDB07GS6ZB7T</v>
          </cell>
          <cell r="B1079" t="str">
            <v>Q3-23</v>
          </cell>
          <cell r="C1079" t="str">
            <v>Europe Operations OU</v>
          </cell>
          <cell r="D1079">
            <v>2674345</v>
          </cell>
          <cell r="E1079" t="str">
            <v>Amazon EU SARL, succursale Italiana</v>
          </cell>
          <cell r="F1079" t="str">
            <v>5MWU8WTD</v>
          </cell>
          <cell r="G1079" t="str">
            <v>B07GS6ZB7T</v>
          </cell>
          <cell r="H1079" t="str">
            <v>910-005471</v>
          </cell>
          <cell r="I1079" t="str">
            <v>OE INVOICES</v>
          </cell>
          <cell r="J1079">
            <v>44422170765</v>
          </cell>
          <cell r="K1079">
            <v>44915</v>
          </cell>
          <cell r="L1079">
            <v>12</v>
          </cell>
          <cell r="M1079" t="str">
            <v>EUR</v>
          </cell>
          <cell r="N1079">
            <v>13674.24</v>
          </cell>
          <cell r="O1079">
            <v>47.48</v>
          </cell>
          <cell r="P1079">
            <v>288</v>
          </cell>
          <cell r="Q1079">
            <v>288</v>
          </cell>
          <cell r="R1079">
            <v>0</v>
          </cell>
        </row>
        <row r="1080">
          <cell r="A1080" t="str">
            <v>5MWU8WTDB07MM4V7NR</v>
          </cell>
          <cell r="B1080" t="str">
            <v>Q3-23</v>
          </cell>
          <cell r="C1080" t="str">
            <v>Europe Operations OU</v>
          </cell>
          <cell r="D1080">
            <v>2674345</v>
          </cell>
          <cell r="E1080" t="str">
            <v>Amazon EU SARL, succursale Italiana</v>
          </cell>
          <cell r="F1080" t="str">
            <v>5MWU8WTD</v>
          </cell>
          <cell r="G1080" t="str">
            <v>B07MM4V7NR</v>
          </cell>
          <cell r="H1080" t="str">
            <v>960-001252</v>
          </cell>
          <cell r="I1080" t="str">
            <v>OE INVOICES</v>
          </cell>
          <cell r="J1080">
            <v>44422170765</v>
          </cell>
          <cell r="K1080">
            <v>44915</v>
          </cell>
          <cell r="L1080">
            <v>13</v>
          </cell>
          <cell r="M1080" t="str">
            <v>EUR</v>
          </cell>
          <cell r="N1080">
            <v>3313.44</v>
          </cell>
          <cell r="O1080">
            <v>69.03</v>
          </cell>
          <cell r="P1080">
            <v>48</v>
          </cell>
          <cell r="Q1080">
            <v>48</v>
          </cell>
          <cell r="R1080">
            <v>0</v>
          </cell>
        </row>
        <row r="1081">
          <cell r="A1081" t="str">
            <v>5MWU8WTDB07QKC4WWD</v>
          </cell>
          <cell r="B1081" t="str">
            <v>Q3-23</v>
          </cell>
          <cell r="C1081" t="str">
            <v>Europe Operations OU</v>
          </cell>
          <cell r="D1081">
            <v>2674345</v>
          </cell>
          <cell r="E1081" t="str">
            <v>Amazon EU SARL, succursale Italiana</v>
          </cell>
          <cell r="F1081" t="str">
            <v>5MWU8WTD</v>
          </cell>
          <cell r="G1081" t="str">
            <v>B07QKC4WWD</v>
          </cell>
          <cell r="H1081" t="str">
            <v>910-005568</v>
          </cell>
          <cell r="I1081" t="str">
            <v>OE INVOICES</v>
          </cell>
          <cell r="J1081">
            <v>44422170765</v>
          </cell>
          <cell r="K1081">
            <v>44915</v>
          </cell>
          <cell r="L1081">
            <v>14</v>
          </cell>
          <cell r="M1081" t="str">
            <v>EUR</v>
          </cell>
          <cell r="N1081">
            <v>1006.68</v>
          </cell>
          <cell r="O1081">
            <v>83.89</v>
          </cell>
          <cell r="P1081">
            <v>12</v>
          </cell>
          <cell r="Q1081">
            <v>12</v>
          </cell>
          <cell r="R1081">
            <v>0</v>
          </cell>
        </row>
        <row r="1082">
          <cell r="A1082" t="str">
            <v>5MWU8WTDB07VWZHCNX</v>
          </cell>
          <cell r="B1082" t="str">
            <v>Q3-23</v>
          </cell>
          <cell r="C1082" t="str">
            <v>Europe Operations OU</v>
          </cell>
          <cell r="D1082">
            <v>2674345</v>
          </cell>
          <cell r="E1082" t="str">
            <v>Amazon EU SARL, succursale Italiana</v>
          </cell>
          <cell r="F1082" t="str">
            <v>5MWU8WTD</v>
          </cell>
          <cell r="G1082" t="str">
            <v>B07VWZHCNX</v>
          </cell>
          <cell r="H1082" t="str">
            <v>956-000001</v>
          </cell>
          <cell r="I1082" t="str">
            <v>OE INVOICES</v>
          </cell>
          <cell r="J1082">
            <v>44422170765</v>
          </cell>
          <cell r="K1082">
            <v>44915</v>
          </cell>
          <cell r="L1082">
            <v>15</v>
          </cell>
          <cell r="M1082" t="str">
            <v>EUR</v>
          </cell>
          <cell r="N1082">
            <v>370.88</v>
          </cell>
          <cell r="O1082">
            <v>11.59</v>
          </cell>
          <cell r="P1082">
            <v>32</v>
          </cell>
          <cell r="Q1082">
            <v>32</v>
          </cell>
          <cell r="R1082">
            <v>0</v>
          </cell>
        </row>
        <row r="1083">
          <cell r="A1083" t="str">
            <v>5MWU8WTDB07W4DGKZ5</v>
          </cell>
          <cell r="B1083" t="str">
            <v>Q3-23</v>
          </cell>
          <cell r="C1083" t="str">
            <v>Europe Operations OU</v>
          </cell>
          <cell r="D1083">
            <v>2674345</v>
          </cell>
          <cell r="E1083" t="str">
            <v>Amazon EU SARL, succursale Italiana</v>
          </cell>
          <cell r="F1083" t="str">
            <v>5MWU8WTD</v>
          </cell>
          <cell r="G1083" t="str">
            <v>B07W4DGKZ5</v>
          </cell>
          <cell r="H1083" t="str">
            <v>920-011435</v>
          </cell>
          <cell r="I1083" t="str">
            <v>OE INVOICES</v>
          </cell>
          <cell r="J1083">
            <v>44422170765</v>
          </cell>
          <cell r="K1083">
            <v>44915</v>
          </cell>
          <cell r="L1083">
            <v>16</v>
          </cell>
          <cell r="M1083" t="str">
            <v>EUR</v>
          </cell>
          <cell r="N1083">
            <v>835.28</v>
          </cell>
          <cell r="O1083">
            <v>104.41</v>
          </cell>
          <cell r="P1083">
            <v>8</v>
          </cell>
          <cell r="Q1083">
            <v>8</v>
          </cell>
          <cell r="R1083">
            <v>0</v>
          </cell>
        </row>
        <row r="1084">
          <cell r="A1084" t="str">
            <v>5MWU8WTDB07W4DH65R</v>
          </cell>
          <cell r="B1084" t="str">
            <v>Q3-23</v>
          </cell>
          <cell r="C1084" t="str">
            <v>Europe Operations OU</v>
          </cell>
          <cell r="D1084">
            <v>2674345</v>
          </cell>
          <cell r="E1084" t="str">
            <v>Amazon EU SARL, succursale Italiana</v>
          </cell>
          <cell r="F1084" t="str">
            <v>5MWU8WTD</v>
          </cell>
          <cell r="G1084" t="str">
            <v>B07W4DH65R</v>
          </cell>
          <cell r="H1084" t="str">
            <v>920-011429</v>
          </cell>
          <cell r="I1084" t="str">
            <v>OE INVOICES</v>
          </cell>
          <cell r="J1084">
            <v>44422170765</v>
          </cell>
          <cell r="K1084">
            <v>44915</v>
          </cell>
          <cell r="L1084">
            <v>17</v>
          </cell>
          <cell r="M1084" t="str">
            <v>EUR</v>
          </cell>
          <cell r="N1084">
            <v>1670.64</v>
          </cell>
          <cell r="O1084">
            <v>69.61</v>
          </cell>
          <cell r="P1084">
            <v>24</v>
          </cell>
          <cell r="Q1084">
            <v>24</v>
          </cell>
          <cell r="R1084">
            <v>0</v>
          </cell>
        </row>
        <row r="1085">
          <cell r="A1085" t="str">
            <v>5MWU8WTDB07W5JKBMG</v>
          </cell>
          <cell r="B1085" t="str">
            <v>Q3-23</v>
          </cell>
          <cell r="C1085" t="str">
            <v>Europe Operations OU</v>
          </cell>
          <cell r="D1085">
            <v>2674345</v>
          </cell>
          <cell r="E1085" t="str">
            <v>Amazon EU SARL, succursale Italiana</v>
          </cell>
          <cell r="F1085" t="str">
            <v>5MWU8WTD</v>
          </cell>
          <cell r="G1085" t="str">
            <v>B07W5JKBMG</v>
          </cell>
          <cell r="H1085" t="str">
            <v>943-000450</v>
          </cell>
          <cell r="I1085" t="str">
            <v>OE INVOICES</v>
          </cell>
          <cell r="J1085">
            <v>44422170765</v>
          </cell>
          <cell r="K1085">
            <v>44915</v>
          </cell>
          <cell r="L1085">
            <v>18</v>
          </cell>
          <cell r="M1085" t="str">
            <v>EUR</v>
          </cell>
          <cell r="N1085">
            <v>1867.2</v>
          </cell>
          <cell r="O1085">
            <v>31.12</v>
          </cell>
          <cell r="P1085">
            <v>60</v>
          </cell>
          <cell r="Q1085">
            <v>60</v>
          </cell>
          <cell r="R1085">
            <v>0</v>
          </cell>
        </row>
        <row r="1086">
          <cell r="A1086" t="str">
            <v>5MWU8WTDB07W5JKFQC</v>
          </cell>
          <cell r="B1086" t="str">
            <v>Q3-23</v>
          </cell>
          <cell r="C1086" t="str">
            <v>Europe Operations OU</v>
          </cell>
          <cell r="D1086">
            <v>2674345</v>
          </cell>
          <cell r="E1086" t="str">
            <v>Amazon EU SARL, succursale Italiana</v>
          </cell>
          <cell r="F1086" t="str">
            <v>5MWU8WTD</v>
          </cell>
          <cell r="G1086" t="str">
            <v>B07W5JKFQC</v>
          </cell>
          <cell r="H1086" t="str">
            <v>910-005796</v>
          </cell>
          <cell r="I1086" t="str">
            <v>OE INVOICES</v>
          </cell>
          <cell r="J1086">
            <v>44422170765</v>
          </cell>
          <cell r="K1086">
            <v>44915</v>
          </cell>
          <cell r="L1086">
            <v>19</v>
          </cell>
          <cell r="M1086" t="str">
            <v>EUR</v>
          </cell>
          <cell r="N1086">
            <v>7027.04</v>
          </cell>
          <cell r="O1086">
            <v>23.74</v>
          </cell>
          <cell r="P1086">
            <v>296</v>
          </cell>
          <cell r="Q1086">
            <v>296</v>
          </cell>
          <cell r="R1086">
            <v>0</v>
          </cell>
        </row>
        <row r="1087">
          <cell r="A1087" t="str">
            <v>5MWU8WTDB07W5JKLRF</v>
          </cell>
          <cell r="B1087" t="str">
            <v>Q3-23</v>
          </cell>
          <cell r="C1087" t="str">
            <v>Europe Operations OU</v>
          </cell>
          <cell r="D1087">
            <v>2674345</v>
          </cell>
          <cell r="E1087" t="str">
            <v>Amazon EU SARL, succursale Italiana</v>
          </cell>
          <cell r="F1087" t="str">
            <v>5MWU8WTD</v>
          </cell>
          <cell r="G1087" t="str">
            <v>B07W5JKLRF</v>
          </cell>
          <cell r="H1087" t="str">
            <v>939-002064</v>
          </cell>
          <cell r="I1087" t="str">
            <v>OE INVOICES</v>
          </cell>
          <cell r="J1087">
            <v>44422170765</v>
          </cell>
          <cell r="K1087">
            <v>44915</v>
          </cell>
          <cell r="L1087">
            <v>20</v>
          </cell>
          <cell r="M1087" t="str">
            <v>EUR</v>
          </cell>
          <cell r="N1087">
            <v>179.8</v>
          </cell>
          <cell r="O1087">
            <v>44.95</v>
          </cell>
          <cell r="P1087">
            <v>4</v>
          </cell>
          <cell r="Q1087">
            <v>4</v>
          </cell>
          <cell r="R1087">
            <v>0</v>
          </cell>
        </row>
        <row r="1088">
          <cell r="A1088" t="str">
            <v>5MWU8WTDB07W6GVHD8</v>
          </cell>
          <cell r="B1088" t="str">
            <v>Q3-23</v>
          </cell>
          <cell r="C1088" t="str">
            <v>Europe Operations OU</v>
          </cell>
          <cell r="D1088">
            <v>2674345</v>
          </cell>
          <cell r="E1088" t="str">
            <v>Amazon EU SARL, succursale Italiana</v>
          </cell>
          <cell r="F1088" t="str">
            <v>5MWU8WTD</v>
          </cell>
          <cell r="G1088" t="str">
            <v>B07W6GVHD8</v>
          </cell>
          <cell r="H1088" t="str">
            <v>920-009748</v>
          </cell>
          <cell r="I1088" t="str">
            <v>OE INVOICES</v>
          </cell>
          <cell r="J1088">
            <v>44422170765</v>
          </cell>
          <cell r="K1088">
            <v>44915</v>
          </cell>
          <cell r="L1088">
            <v>21</v>
          </cell>
          <cell r="M1088" t="str">
            <v>EUR</v>
          </cell>
          <cell r="N1088">
            <v>7379.2</v>
          </cell>
          <cell r="O1088">
            <v>92.24</v>
          </cell>
          <cell r="P1088">
            <v>80</v>
          </cell>
          <cell r="Q1088">
            <v>80</v>
          </cell>
          <cell r="R1088">
            <v>0</v>
          </cell>
        </row>
        <row r="1089">
          <cell r="A1089" t="str">
            <v>5MWU8WTDB07W6GVZFJ</v>
          </cell>
          <cell r="B1089" t="str">
            <v>Q3-23</v>
          </cell>
          <cell r="C1089" t="str">
            <v>Europe Operations OU</v>
          </cell>
          <cell r="D1089">
            <v>2674345</v>
          </cell>
          <cell r="E1089" t="str">
            <v>Amazon EU SARL, succursale Italiana</v>
          </cell>
          <cell r="F1089" t="str">
            <v>5MWU8WTD</v>
          </cell>
          <cell r="G1089" t="str">
            <v>B07W6GVZFJ</v>
          </cell>
          <cell r="H1089" t="str">
            <v>943-000784</v>
          </cell>
          <cell r="I1089" t="str">
            <v>OE INVOICES</v>
          </cell>
          <cell r="J1089">
            <v>44422170765</v>
          </cell>
          <cell r="K1089">
            <v>44915</v>
          </cell>
          <cell r="L1089">
            <v>22</v>
          </cell>
          <cell r="M1089" t="str">
            <v>EUR</v>
          </cell>
          <cell r="N1089">
            <v>25.28</v>
          </cell>
          <cell r="O1089">
            <v>6.32</v>
          </cell>
          <cell r="P1089">
            <v>4</v>
          </cell>
          <cell r="Q1089">
            <v>4</v>
          </cell>
          <cell r="R1089">
            <v>0</v>
          </cell>
        </row>
        <row r="1090">
          <cell r="A1090" t="str">
            <v>5MWU8WTDB07W6HBBMH</v>
          </cell>
          <cell r="B1090" t="str">
            <v>Q3-23</v>
          </cell>
          <cell r="C1090" t="str">
            <v>Europe Operations OU</v>
          </cell>
          <cell r="D1090">
            <v>2674345</v>
          </cell>
          <cell r="E1090" t="str">
            <v>Amazon EU SARL, succursale Italiana</v>
          </cell>
          <cell r="F1090" t="str">
            <v>5MWU8WTD</v>
          </cell>
          <cell r="G1090" t="str">
            <v>B07W6HBBMH</v>
          </cell>
          <cell r="H1090" t="str">
            <v>943-000777</v>
          </cell>
          <cell r="I1090" t="str">
            <v>OE INVOICES</v>
          </cell>
          <cell r="J1090">
            <v>44422170765</v>
          </cell>
          <cell r="K1090">
            <v>44915</v>
          </cell>
          <cell r="L1090">
            <v>23</v>
          </cell>
          <cell r="M1090" t="str">
            <v>EUR</v>
          </cell>
          <cell r="N1090">
            <v>379.84</v>
          </cell>
          <cell r="O1090">
            <v>23.74</v>
          </cell>
          <cell r="P1090">
            <v>16</v>
          </cell>
          <cell r="Q1090">
            <v>16</v>
          </cell>
          <cell r="R1090">
            <v>0</v>
          </cell>
        </row>
        <row r="1091">
          <cell r="A1091" t="str">
            <v>5MWU8WTDB07W6HJPSW</v>
          </cell>
          <cell r="B1091" t="str">
            <v>Q3-23</v>
          </cell>
          <cell r="C1091" t="str">
            <v>Europe Operations OU</v>
          </cell>
          <cell r="D1091">
            <v>2674345</v>
          </cell>
          <cell r="E1091" t="str">
            <v>Amazon EU SARL, succursale Italiana</v>
          </cell>
          <cell r="F1091" t="str">
            <v>5MWU8WTD</v>
          </cell>
          <cell r="G1091" t="str">
            <v>B07W6HJPSW</v>
          </cell>
          <cell r="H1091" t="str">
            <v>981-001106</v>
          </cell>
          <cell r="I1091" t="str">
            <v>OE INVOICES</v>
          </cell>
          <cell r="J1091">
            <v>44422170765</v>
          </cell>
          <cell r="K1091">
            <v>44915</v>
          </cell>
          <cell r="L1091">
            <v>24</v>
          </cell>
          <cell r="M1091" t="str">
            <v>EUR</v>
          </cell>
          <cell r="N1091">
            <v>544.48</v>
          </cell>
          <cell r="O1091">
            <v>68.06</v>
          </cell>
          <cell r="P1091">
            <v>8</v>
          </cell>
          <cell r="Q1091">
            <v>8</v>
          </cell>
          <cell r="R1091">
            <v>0</v>
          </cell>
        </row>
        <row r="1092">
          <cell r="A1092" t="str">
            <v>5MWU8WTDB07W6HLSFF</v>
          </cell>
          <cell r="B1092" t="str">
            <v>Q3-23</v>
          </cell>
          <cell r="C1092" t="str">
            <v>Europe Operations OU</v>
          </cell>
          <cell r="D1092">
            <v>2674345</v>
          </cell>
          <cell r="E1092" t="str">
            <v>Amazon EU SARL, succursale Italiana</v>
          </cell>
          <cell r="F1092" t="str">
            <v>5MWU8WTD</v>
          </cell>
          <cell r="G1092" t="str">
            <v>B07W6HLSFF</v>
          </cell>
          <cell r="H1092" t="str">
            <v>981-001024</v>
          </cell>
          <cell r="I1092" t="str">
            <v>OE INVOICES</v>
          </cell>
          <cell r="J1092">
            <v>44422170765</v>
          </cell>
          <cell r="K1092">
            <v>44915</v>
          </cell>
          <cell r="L1092">
            <v>25</v>
          </cell>
          <cell r="M1092" t="str">
            <v>EUR</v>
          </cell>
          <cell r="N1092">
            <v>791.2</v>
          </cell>
          <cell r="O1092">
            <v>39.56</v>
          </cell>
          <cell r="P1092">
            <v>20</v>
          </cell>
          <cell r="Q1092">
            <v>20</v>
          </cell>
          <cell r="R1092">
            <v>0</v>
          </cell>
        </row>
        <row r="1093">
          <cell r="A1093" t="str">
            <v>5MWU8WTDB07W6HPP3R</v>
          </cell>
          <cell r="B1093" t="str">
            <v>Q3-23</v>
          </cell>
          <cell r="C1093" t="str">
            <v>Europe Operations OU</v>
          </cell>
          <cell r="D1093">
            <v>2674345</v>
          </cell>
          <cell r="E1093" t="str">
            <v>Amazon EU SARL, succursale Italiana</v>
          </cell>
          <cell r="F1093" t="str">
            <v>5MWU8WTD</v>
          </cell>
          <cell r="G1093" t="str">
            <v>B07W6HPP3R</v>
          </cell>
          <cell r="H1093" t="str">
            <v>920-010303</v>
          </cell>
          <cell r="I1093" t="str">
            <v>OE INVOICES</v>
          </cell>
          <cell r="J1093">
            <v>44422170765</v>
          </cell>
          <cell r="K1093">
            <v>44915</v>
          </cell>
          <cell r="L1093">
            <v>26</v>
          </cell>
          <cell r="M1093" t="str">
            <v>EUR</v>
          </cell>
          <cell r="N1093">
            <v>33413.760000000002</v>
          </cell>
          <cell r="O1093">
            <v>116.02</v>
          </cell>
          <cell r="P1093">
            <v>288</v>
          </cell>
          <cell r="Q1093">
            <v>288</v>
          </cell>
          <cell r="R1093">
            <v>0</v>
          </cell>
        </row>
        <row r="1094">
          <cell r="A1094" t="str">
            <v>5MWU8WTDB07W6JGH8Z</v>
          </cell>
          <cell r="B1094" t="str">
            <v>Q3-23</v>
          </cell>
          <cell r="C1094" t="str">
            <v>Europe Operations OU</v>
          </cell>
          <cell r="D1094">
            <v>2674345</v>
          </cell>
          <cell r="E1094" t="str">
            <v>Amazon EU SARL, succursale Italiana</v>
          </cell>
          <cell r="F1094" t="str">
            <v>5MWU8WTD</v>
          </cell>
          <cell r="G1094" t="str">
            <v>B07W6JGH8Z</v>
          </cell>
          <cell r="H1094" t="str">
            <v>981-001044</v>
          </cell>
          <cell r="I1094" t="str">
            <v>OE INVOICES</v>
          </cell>
          <cell r="J1094">
            <v>44422170765</v>
          </cell>
          <cell r="K1094">
            <v>44915</v>
          </cell>
          <cell r="L1094">
            <v>27</v>
          </cell>
          <cell r="M1094" t="str">
            <v>EUR</v>
          </cell>
          <cell r="N1094">
            <v>1055.2</v>
          </cell>
          <cell r="O1094">
            <v>52.76</v>
          </cell>
          <cell r="P1094">
            <v>20</v>
          </cell>
          <cell r="Q1094">
            <v>20</v>
          </cell>
          <cell r="R1094">
            <v>0</v>
          </cell>
        </row>
        <row r="1095">
          <cell r="A1095" t="str">
            <v>5MWU8WTDB07W6JKKBV</v>
          </cell>
          <cell r="B1095" t="str">
            <v>Q3-23</v>
          </cell>
          <cell r="C1095" t="str">
            <v>Europe Operations OU</v>
          </cell>
          <cell r="D1095">
            <v>2674345</v>
          </cell>
          <cell r="E1095" t="str">
            <v>Amazon EU SARL, succursale Italiana</v>
          </cell>
          <cell r="F1095" t="str">
            <v>5MWU8WTD</v>
          </cell>
          <cell r="G1095" t="str">
            <v>B07W6JKKBV</v>
          </cell>
          <cell r="H1095" t="str">
            <v>920-010146</v>
          </cell>
          <cell r="I1095" t="str">
            <v>OE INVOICES</v>
          </cell>
          <cell r="J1095">
            <v>44422170765</v>
          </cell>
          <cell r="K1095">
            <v>44915</v>
          </cell>
          <cell r="L1095">
            <v>28</v>
          </cell>
          <cell r="M1095" t="str">
            <v>EUR</v>
          </cell>
          <cell r="N1095">
            <v>17635.04</v>
          </cell>
          <cell r="O1095">
            <v>116.02</v>
          </cell>
          <cell r="P1095">
            <v>152</v>
          </cell>
          <cell r="Q1095">
            <v>152</v>
          </cell>
          <cell r="R1095">
            <v>0</v>
          </cell>
        </row>
        <row r="1096">
          <cell r="A1096" t="str">
            <v>5MWU8WTDB07W6JNK1Z</v>
          </cell>
          <cell r="B1096" t="str">
            <v>Q3-23</v>
          </cell>
          <cell r="C1096" t="str">
            <v>Europe Operations OU</v>
          </cell>
          <cell r="D1096">
            <v>2674345</v>
          </cell>
          <cell r="E1096" t="str">
            <v>Amazon EU SARL, succursale Italiana</v>
          </cell>
          <cell r="F1096" t="str">
            <v>5MWU8WTD</v>
          </cell>
          <cell r="G1096" t="str">
            <v>B07W6JNK1Z</v>
          </cell>
          <cell r="H1096" t="str">
            <v>981-001018</v>
          </cell>
          <cell r="I1096" t="str">
            <v>OE INVOICES</v>
          </cell>
          <cell r="J1096">
            <v>44422170765</v>
          </cell>
          <cell r="K1096">
            <v>44915</v>
          </cell>
          <cell r="L1096">
            <v>29</v>
          </cell>
          <cell r="M1096" t="str">
            <v>EUR</v>
          </cell>
          <cell r="N1096">
            <v>158.24</v>
          </cell>
          <cell r="O1096">
            <v>39.56</v>
          </cell>
          <cell r="P1096">
            <v>4</v>
          </cell>
          <cell r="Q1096">
            <v>4</v>
          </cell>
          <cell r="R1096">
            <v>0</v>
          </cell>
        </row>
        <row r="1097">
          <cell r="A1097" t="str">
            <v>5MWU8WTDB07W7M4MZP</v>
          </cell>
          <cell r="B1097" t="str">
            <v>Q3-23</v>
          </cell>
          <cell r="C1097" t="str">
            <v>Europe Operations OU</v>
          </cell>
          <cell r="D1097">
            <v>2674345</v>
          </cell>
          <cell r="E1097" t="str">
            <v>Amazon EU SARL, succursale Italiana</v>
          </cell>
          <cell r="F1097" t="str">
            <v>5MWU8WTD</v>
          </cell>
          <cell r="G1097" t="str">
            <v>B07W7M4MZP</v>
          </cell>
          <cell r="H1097" t="str">
            <v>920-010301</v>
          </cell>
          <cell r="I1097" t="str">
            <v>OE INVOICES</v>
          </cell>
          <cell r="J1097">
            <v>44422170765</v>
          </cell>
          <cell r="K1097">
            <v>44915</v>
          </cell>
          <cell r="L1097">
            <v>30</v>
          </cell>
          <cell r="M1097" t="str">
            <v>EUR</v>
          </cell>
          <cell r="N1097">
            <v>5568.96</v>
          </cell>
          <cell r="O1097">
            <v>116.02</v>
          </cell>
          <cell r="P1097">
            <v>48</v>
          </cell>
          <cell r="Q1097">
            <v>48</v>
          </cell>
          <cell r="R1097">
            <v>0</v>
          </cell>
        </row>
        <row r="1098">
          <cell r="A1098" t="str">
            <v>5MWU8WTDB07W7MQMD9</v>
          </cell>
          <cell r="B1098" t="str">
            <v>Q3-23</v>
          </cell>
          <cell r="C1098" t="str">
            <v>Europe Operations OU</v>
          </cell>
          <cell r="D1098">
            <v>2674345</v>
          </cell>
          <cell r="E1098" t="str">
            <v>Amazon EU SARL, succursale Italiana</v>
          </cell>
          <cell r="F1098" t="str">
            <v>5MWU8WTD</v>
          </cell>
          <cell r="G1098" t="str">
            <v>B07W7MQMD9</v>
          </cell>
          <cell r="H1098" t="str">
            <v>910-005730</v>
          </cell>
          <cell r="I1098" t="str">
            <v>OE INVOICES</v>
          </cell>
          <cell r="J1098">
            <v>44422170765</v>
          </cell>
          <cell r="K1098">
            <v>44915</v>
          </cell>
          <cell r="L1098">
            <v>31</v>
          </cell>
          <cell r="M1098" t="str">
            <v>EUR</v>
          </cell>
          <cell r="N1098">
            <v>1519.36</v>
          </cell>
          <cell r="O1098">
            <v>47.48</v>
          </cell>
          <cell r="P1098">
            <v>32</v>
          </cell>
          <cell r="Q1098">
            <v>32</v>
          </cell>
          <cell r="R1098">
            <v>0</v>
          </cell>
        </row>
        <row r="1099">
          <cell r="A1099" t="str">
            <v>5P193OUGB07W4DHT47</v>
          </cell>
          <cell r="B1099" t="str">
            <v>Q3-23</v>
          </cell>
          <cell r="C1099" t="str">
            <v>Europe Operations OU</v>
          </cell>
          <cell r="D1099">
            <v>2674345</v>
          </cell>
          <cell r="E1099" t="str">
            <v>Amazon EU SARL, succursale Italiana</v>
          </cell>
          <cell r="F1099" t="str">
            <v>5P193OUG</v>
          </cell>
          <cell r="G1099" t="str">
            <v>B07W4DHT47</v>
          </cell>
          <cell r="H1099" t="str">
            <v>910-006034</v>
          </cell>
          <cell r="I1099" t="str">
            <v>OE INVOICES</v>
          </cell>
          <cell r="J1099">
            <v>44422176557</v>
          </cell>
          <cell r="K1099">
            <v>44922</v>
          </cell>
          <cell r="L1099">
            <v>1</v>
          </cell>
          <cell r="M1099" t="str">
            <v>EUR</v>
          </cell>
          <cell r="N1099">
            <v>5153.6000000000004</v>
          </cell>
          <cell r="O1099">
            <v>32.21</v>
          </cell>
          <cell r="P1099">
            <v>160</v>
          </cell>
          <cell r="Q1099">
            <v>160</v>
          </cell>
          <cell r="R1099">
            <v>0</v>
          </cell>
        </row>
        <row r="1100">
          <cell r="A1100" t="str">
            <v>5P193OUGB07W7KCF3W</v>
          </cell>
          <cell r="B1100" t="str">
            <v>Q3-23</v>
          </cell>
          <cell r="C1100" t="str">
            <v>Europe Operations OU</v>
          </cell>
          <cell r="D1100">
            <v>2674345</v>
          </cell>
          <cell r="E1100" t="str">
            <v>Amazon EU SARL, succursale Italiana</v>
          </cell>
          <cell r="F1100" t="str">
            <v>5P193OUG</v>
          </cell>
          <cell r="G1100" t="str">
            <v>B07W7KCF3W</v>
          </cell>
          <cell r="H1100" t="str">
            <v>910-005989</v>
          </cell>
          <cell r="I1100" t="str">
            <v>OE INVOICES</v>
          </cell>
          <cell r="J1100">
            <v>44422176557</v>
          </cell>
          <cell r="K1100">
            <v>44922</v>
          </cell>
          <cell r="L1100">
            <v>2</v>
          </cell>
          <cell r="M1100" t="str">
            <v>EUR</v>
          </cell>
          <cell r="N1100">
            <v>2900</v>
          </cell>
          <cell r="O1100">
            <v>58</v>
          </cell>
          <cell r="P1100">
            <v>50</v>
          </cell>
          <cell r="Q1100">
            <v>50</v>
          </cell>
          <cell r="R1100">
            <v>0</v>
          </cell>
        </row>
        <row r="1101">
          <cell r="A1101" t="str">
            <v>5PBSTBMJB01K7GEG9W</v>
          </cell>
          <cell r="B1101" t="str">
            <v>Q3-23</v>
          </cell>
          <cell r="C1101" t="str">
            <v>Europe Operations OU</v>
          </cell>
          <cell r="D1101">
            <v>2674345</v>
          </cell>
          <cell r="E1101" t="str">
            <v>Amazon EU SARL, succursale Italiana</v>
          </cell>
          <cell r="F1101" t="str">
            <v>5PBSTBMJ</v>
          </cell>
          <cell r="G1101" t="str">
            <v>B01K7GEG9W</v>
          </cell>
          <cell r="H1101" t="str">
            <v>910-004878</v>
          </cell>
          <cell r="I1101" t="str">
            <v>OE INVOICES</v>
          </cell>
          <cell r="J1101">
            <v>44422163484</v>
          </cell>
          <cell r="K1101">
            <v>44909</v>
          </cell>
          <cell r="L1101">
            <v>1</v>
          </cell>
          <cell r="M1101" t="str">
            <v>EUR</v>
          </cell>
          <cell r="N1101">
            <v>6883.8</v>
          </cell>
          <cell r="O1101">
            <v>16.39</v>
          </cell>
          <cell r="P1101">
            <v>420</v>
          </cell>
          <cell r="Q1101">
            <v>420</v>
          </cell>
          <cell r="R1101">
            <v>0</v>
          </cell>
        </row>
        <row r="1102">
          <cell r="A1102" t="str">
            <v>5UZID3SVB006T02YRM</v>
          </cell>
          <cell r="B1102" t="str">
            <v>Q3-23</v>
          </cell>
          <cell r="C1102" t="str">
            <v>Europe Operations OU</v>
          </cell>
          <cell r="D1102">
            <v>2674345</v>
          </cell>
          <cell r="E1102" t="str">
            <v>Amazon EU SARL, succursale Italiana</v>
          </cell>
          <cell r="F1102" t="str">
            <v>5UZID3SV</v>
          </cell>
          <cell r="G1102" t="str">
            <v>B006T02YRM</v>
          </cell>
          <cell r="H1102" t="str">
            <v>920-003052</v>
          </cell>
          <cell r="I1102" t="str">
            <v>OE INVOICES</v>
          </cell>
          <cell r="J1102">
            <v>44422157522</v>
          </cell>
          <cell r="K1102">
            <v>44904</v>
          </cell>
          <cell r="L1102">
            <v>1</v>
          </cell>
          <cell r="M1102" t="str">
            <v>EUR</v>
          </cell>
          <cell r="N1102">
            <v>7307.04</v>
          </cell>
          <cell r="O1102">
            <v>23.42</v>
          </cell>
          <cell r="P1102">
            <v>312</v>
          </cell>
          <cell r="Q1102">
            <v>312</v>
          </cell>
          <cell r="R1102">
            <v>0</v>
          </cell>
        </row>
        <row r="1103">
          <cell r="A1103" t="str">
            <v>5UZID3SVB00A389JEW</v>
          </cell>
          <cell r="B1103" t="str">
            <v>Q3-23</v>
          </cell>
          <cell r="C1103" t="str">
            <v>Europe Operations OU</v>
          </cell>
          <cell r="D1103">
            <v>2674345</v>
          </cell>
          <cell r="E1103" t="str">
            <v>Amazon EU SARL, succursale Italiana</v>
          </cell>
          <cell r="F1103" t="str">
            <v>5UZID3SV</v>
          </cell>
          <cell r="G1103" t="str">
            <v>B00A389JEW</v>
          </cell>
          <cell r="H1103" t="str">
            <v>920-004483</v>
          </cell>
          <cell r="I1103" t="str">
            <v>OE INVOICES</v>
          </cell>
          <cell r="J1103">
            <v>44422157522</v>
          </cell>
          <cell r="K1103">
            <v>44904</v>
          </cell>
          <cell r="L1103">
            <v>2</v>
          </cell>
          <cell r="M1103" t="str">
            <v>EUR</v>
          </cell>
          <cell r="N1103">
            <v>286.93</v>
          </cell>
          <cell r="O1103">
            <v>40.99</v>
          </cell>
          <cell r="P1103">
            <v>7</v>
          </cell>
          <cell r="Q1103">
            <v>7</v>
          </cell>
          <cell r="R1103">
            <v>0</v>
          </cell>
        </row>
        <row r="1104">
          <cell r="A1104" t="str">
            <v>5UZID3SVB079YGFNC7</v>
          </cell>
          <cell r="B1104" t="str">
            <v>Q3-23</v>
          </cell>
          <cell r="C1104" t="str">
            <v>Europe Operations OU</v>
          </cell>
          <cell r="D1104">
            <v>2674345</v>
          </cell>
          <cell r="E1104" t="str">
            <v>Amazon EU SARL, succursale Italiana</v>
          </cell>
          <cell r="F1104" t="str">
            <v>5UZID3SV</v>
          </cell>
          <cell r="G1104" t="str">
            <v>B079YGFNC7</v>
          </cell>
          <cell r="H1104" t="str">
            <v>920-008677</v>
          </cell>
          <cell r="I1104" t="str">
            <v>OE INVOICES</v>
          </cell>
          <cell r="J1104">
            <v>44422157522</v>
          </cell>
          <cell r="K1104">
            <v>44904</v>
          </cell>
          <cell r="L1104">
            <v>3</v>
          </cell>
          <cell r="M1104" t="str">
            <v>EUR</v>
          </cell>
          <cell r="N1104">
            <v>175.68</v>
          </cell>
          <cell r="O1104">
            <v>43.92</v>
          </cell>
          <cell r="P1104">
            <v>4</v>
          </cell>
          <cell r="Q1104">
            <v>4</v>
          </cell>
          <cell r="R1104">
            <v>0</v>
          </cell>
        </row>
        <row r="1105">
          <cell r="A1105" t="str">
            <v>5WYKNRTCB01ENKI4D2</v>
          </cell>
          <cell r="B1105" t="str">
            <v>Q3-23</v>
          </cell>
          <cell r="C1105" t="str">
            <v>Europe Operations OU</v>
          </cell>
          <cell r="D1105">
            <v>2674345</v>
          </cell>
          <cell r="E1105" t="str">
            <v>Amazon EU SARL, succursale Italiana</v>
          </cell>
          <cell r="F1105" t="str">
            <v>5WYKNRTC</v>
          </cell>
          <cell r="G1105" t="str">
            <v>B01ENKI4D2</v>
          </cell>
          <cell r="H1105" t="str">
            <v>920-008159</v>
          </cell>
          <cell r="I1105" t="str">
            <v>OE INVOICES</v>
          </cell>
          <cell r="J1105">
            <v>44422157416</v>
          </cell>
          <cell r="K1105">
            <v>44904</v>
          </cell>
          <cell r="L1105">
            <v>1</v>
          </cell>
          <cell r="M1105" t="str">
            <v>EUR</v>
          </cell>
          <cell r="N1105">
            <v>205</v>
          </cell>
          <cell r="O1105">
            <v>20.5</v>
          </cell>
          <cell r="P1105">
            <v>10</v>
          </cell>
          <cell r="Q1105">
            <v>10</v>
          </cell>
          <cell r="R1105">
            <v>0</v>
          </cell>
        </row>
        <row r="1106">
          <cell r="A1106" t="str">
            <v>5WYKNRTCB01GG8LLG6</v>
          </cell>
          <cell r="B1106" t="str">
            <v>Q3-23</v>
          </cell>
          <cell r="C1106" t="str">
            <v>Europe Operations OU</v>
          </cell>
          <cell r="D1106">
            <v>2674345</v>
          </cell>
          <cell r="E1106" t="str">
            <v>Amazon EU SARL, succursale Italiana</v>
          </cell>
          <cell r="F1106" t="str">
            <v>5WYKNRTC</v>
          </cell>
          <cell r="G1106" t="str">
            <v>B01GG8LLG6</v>
          </cell>
          <cell r="H1106" t="str">
            <v>920-008014</v>
          </cell>
          <cell r="I1106" t="str">
            <v>OE INVOICES</v>
          </cell>
          <cell r="J1106">
            <v>44422122426</v>
          </cell>
          <cell r="K1106">
            <v>44882</v>
          </cell>
          <cell r="L1106">
            <v>1</v>
          </cell>
          <cell r="M1106" t="str">
            <v>EUR</v>
          </cell>
          <cell r="N1106">
            <v>16800</v>
          </cell>
          <cell r="O1106">
            <v>105</v>
          </cell>
          <cell r="P1106">
            <v>160</v>
          </cell>
          <cell r="Q1106">
            <v>160</v>
          </cell>
          <cell r="R1106">
            <v>0</v>
          </cell>
        </row>
        <row r="1107">
          <cell r="A1107" t="str">
            <v>5WYKNRTCB074KGS5C3</v>
          </cell>
          <cell r="B1107" t="str">
            <v>Q3-23</v>
          </cell>
          <cell r="C1107" t="str">
            <v>Europe Operations OU</v>
          </cell>
          <cell r="D1107">
            <v>2674345</v>
          </cell>
          <cell r="E1107" t="str">
            <v>Amazon EU SARL, succursale Italiana</v>
          </cell>
          <cell r="F1107" t="str">
            <v>5WYKNRTC</v>
          </cell>
          <cell r="G1107" t="str">
            <v>B074KGS5C3</v>
          </cell>
          <cell r="H1107" t="str">
            <v>920-008496</v>
          </cell>
          <cell r="I1107" t="str">
            <v>OE INVOICES</v>
          </cell>
          <cell r="J1107">
            <v>44422122426</v>
          </cell>
          <cell r="K1107">
            <v>44882</v>
          </cell>
          <cell r="L1107">
            <v>2</v>
          </cell>
          <cell r="M1107" t="str">
            <v>EUR</v>
          </cell>
          <cell r="N1107">
            <v>485</v>
          </cell>
          <cell r="O1107">
            <v>121.25</v>
          </cell>
          <cell r="P1107">
            <v>4</v>
          </cell>
          <cell r="Q1107">
            <v>4</v>
          </cell>
          <cell r="R1107">
            <v>0</v>
          </cell>
        </row>
        <row r="1108">
          <cell r="A1108" t="str">
            <v>5WYKNRTCB0797QM2Y7</v>
          </cell>
          <cell r="B1108" t="str">
            <v>Q3-23</v>
          </cell>
          <cell r="C1108" t="str">
            <v>Europe Operations OU</v>
          </cell>
          <cell r="D1108">
            <v>2674345</v>
          </cell>
          <cell r="E1108" t="str">
            <v>Amazon EU SARL, succursale Italiana</v>
          </cell>
          <cell r="F1108" t="str">
            <v>5WYKNRTC</v>
          </cell>
          <cell r="G1108" t="str">
            <v>B0797QM2Y7</v>
          </cell>
          <cell r="H1108" t="str">
            <v>920-008679</v>
          </cell>
          <cell r="I1108" t="str">
            <v>OE INVOICES</v>
          </cell>
          <cell r="J1108">
            <v>44422122426</v>
          </cell>
          <cell r="K1108">
            <v>44882</v>
          </cell>
          <cell r="L1108">
            <v>3</v>
          </cell>
          <cell r="M1108" t="str">
            <v>EUR</v>
          </cell>
          <cell r="N1108">
            <v>878.4</v>
          </cell>
          <cell r="O1108">
            <v>43.92</v>
          </cell>
          <cell r="P1108">
            <v>20</v>
          </cell>
          <cell r="Q1108">
            <v>20</v>
          </cell>
          <cell r="R1108">
            <v>0</v>
          </cell>
        </row>
        <row r="1109">
          <cell r="A1109" t="str">
            <v>5X1OU9ZGB0056I3IDW</v>
          </cell>
          <cell r="B1109" t="str">
            <v>Q3-23</v>
          </cell>
          <cell r="C1109" t="str">
            <v>Europe Operations OU</v>
          </cell>
          <cell r="D1109">
            <v>2674345</v>
          </cell>
          <cell r="E1109" t="str">
            <v>Amazon EU SARL, succursale Italiana</v>
          </cell>
          <cell r="F1109" t="str">
            <v>5X1OU9ZG</v>
          </cell>
          <cell r="G1109" t="str">
            <v>B0056I3IDW</v>
          </cell>
          <cell r="H1109" t="str">
            <v>910-002237</v>
          </cell>
          <cell r="I1109" t="str">
            <v>OE INVOICES</v>
          </cell>
          <cell r="J1109">
            <v>44422145489</v>
          </cell>
          <cell r="K1109">
            <v>44897</v>
          </cell>
          <cell r="L1109">
            <v>1</v>
          </cell>
          <cell r="M1109" t="str">
            <v>EUR</v>
          </cell>
          <cell r="N1109">
            <v>421.2</v>
          </cell>
          <cell r="O1109">
            <v>10.53</v>
          </cell>
          <cell r="P1109">
            <v>40</v>
          </cell>
          <cell r="Q1109">
            <v>40</v>
          </cell>
          <cell r="R1109">
            <v>0</v>
          </cell>
        </row>
        <row r="1110">
          <cell r="A1110" t="str">
            <v>5X1OU9ZGB006T02YRM</v>
          </cell>
          <cell r="B1110" t="str">
            <v>Q3-23</v>
          </cell>
          <cell r="C1110" t="str">
            <v>Europe Operations OU</v>
          </cell>
          <cell r="D1110">
            <v>2674345</v>
          </cell>
          <cell r="E1110" t="str">
            <v>Amazon EU SARL, succursale Italiana</v>
          </cell>
          <cell r="F1110" t="str">
            <v>5X1OU9ZG</v>
          </cell>
          <cell r="G1110" t="str">
            <v>B006T02YRM</v>
          </cell>
          <cell r="H1110" t="str">
            <v>920-003052</v>
          </cell>
          <cell r="I1110" t="str">
            <v>OE INVOICES</v>
          </cell>
          <cell r="J1110">
            <v>44422145489</v>
          </cell>
          <cell r="K1110">
            <v>44897</v>
          </cell>
          <cell r="L1110">
            <v>2</v>
          </cell>
          <cell r="M1110" t="str">
            <v>EUR</v>
          </cell>
          <cell r="N1110">
            <v>93.68</v>
          </cell>
          <cell r="O1110">
            <v>23.42</v>
          </cell>
          <cell r="P1110">
            <v>4</v>
          </cell>
          <cell r="Q1110">
            <v>4</v>
          </cell>
          <cell r="R1110">
            <v>0</v>
          </cell>
        </row>
        <row r="1111">
          <cell r="A1111" t="str">
            <v>5X1OU9ZGB00745IE0W</v>
          </cell>
          <cell r="B1111" t="str">
            <v>Q3-23</v>
          </cell>
          <cell r="C1111" t="str">
            <v>Europe Operations OU</v>
          </cell>
          <cell r="D1111">
            <v>2674345</v>
          </cell>
          <cell r="E1111" t="str">
            <v>Amazon EU SARL, succursale Italiana</v>
          </cell>
          <cell r="F1111" t="str">
            <v>5X1OU9ZG</v>
          </cell>
          <cell r="G1111" t="str">
            <v>B00745IE0W</v>
          </cell>
          <cell r="H1111" t="str">
            <v>910-002732</v>
          </cell>
          <cell r="I1111" t="str">
            <v>OE INVOICES</v>
          </cell>
          <cell r="J1111">
            <v>44422145489</v>
          </cell>
          <cell r="K1111">
            <v>44897</v>
          </cell>
          <cell r="L1111">
            <v>3</v>
          </cell>
          <cell r="M1111" t="str">
            <v>EUR</v>
          </cell>
          <cell r="N1111">
            <v>206.08</v>
          </cell>
          <cell r="O1111">
            <v>12.88</v>
          </cell>
          <cell r="P1111">
            <v>16</v>
          </cell>
          <cell r="Q1111">
            <v>16</v>
          </cell>
          <cell r="R1111">
            <v>0</v>
          </cell>
        </row>
        <row r="1112">
          <cell r="A1112" t="str">
            <v>5X1OU9ZGB00745IE1Q</v>
          </cell>
          <cell r="B1112" t="str">
            <v>Q3-23</v>
          </cell>
          <cell r="C1112" t="str">
            <v>Europe Operations OU</v>
          </cell>
          <cell r="D1112">
            <v>2674345</v>
          </cell>
          <cell r="E1112" t="str">
            <v>Amazon EU SARL, succursale Italiana</v>
          </cell>
          <cell r="F1112" t="str">
            <v>5X1OU9ZG</v>
          </cell>
          <cell r="G1112" t="str">
            <v>B00745IE1Q</v>
          </cell>
          <cell r="H1112" t="str">
            <v>910-002731</v>
          </cell>
          <cell r="I1112" t="str">
            <v>OE INVOICES</v>
          </cell>
          <cell r="J1112">
            <v>44422145489</v>
          </cell>
          <cell r="K1112">
            <v>44897</v>
          </cell>
          <cell r="L1112">
            <v>4</v>
          </cell>
          <cell r="M1112" t="str">
            <v>EUR</v>
          </cell>
          <cell r="N1112">
            <v>412.16</v>
          </cell>
          <cell r="O1112">
            <v>12.88</v>
          </cell>
          <cell r="P1112">
            <v>32</v>
          </cell>
          <cell r="Q1112">
            <v>32</v>
          </cell>
          <cell r="R1112">
            <v>0</v>
          </cell>
        </row>
        <row r="1113">
          <cell r="A1113" t="str">
            <v>5X1OU9ZGB00745IE2K</v>
          </cell>
          <cell r="B1113" t="str">
            <v>Q3-23</v>
          </cell>
          <cell r="C1113" t="str">
            <v>Europe Operations OU</v>
          </cell>
          <cell r="D1113">
            <v>2674345</v>
          </cell>
          <cell r="E1113" t="str">
            <v>Amazon EU SARL, succursale Italiana</v>
          </cell>
          <cell r="F1113" t="str">
            <v>5X1OU9ZG</v>
          </cell>
          <cell r="G1113" t="str">
            <v>B00745IE2K</v>
          </cell>
          <cell r="H1113" t="str">
            <v>910-002735</v>
          </cell>
          <cell r="I1113" t="str">
            <v>OE INVOICES</v>
          </cell>
          <cell r="J1113">
            <v>44422145489</v>
          </cell>
          <cell r="K1113">
            <v>44897</v>
          </cell>
          <cell r="L1113">
            <v>5</v>
          </cell>
          <cell r="M1113" t="str">
            <v>EUR</v>
          </cell>
          <cell r="N1113">
            <v>3297.28</v>
          </cell>
          <cell r="O1113">
            <v>12.88</v>
          </cell>
          <cell r="P1113">
            <v>256</v>
          </cell>
          <cell r="Q1113">
            <v>256</v>
          </cell>
          <cell r="R1113">
            <v>0</v>
          </cell>
        </row>
        <row r="1114">
          <cell r="A1114" t="str">
            <v>5X1OU9ZGB00G2Y44ZK</v>
          </cell>
          <cell r="B1114" t="str">
            <v>Q3-23</v>
          </cell>
          <cell r="C1114" t="str">
            <v>Europe Operations OU</v>
          </cell>
          <cell r="D1114">
            <v>2674345</v>
          </cell>
          <cell r="E1114" t="str">
            <v>Amazon EU SARL, succursale Italiana</v>
          </cell>
          <cell r="F1114" t="str">
            <v>5X1OU9ZG</v>
          </cell>
          <cell r="G1114" t="str">
            <v>B00G2Y44ZK</v>
          </cell>
          <cell r="H1114" t="str">
            <v>980-000742</v>
          </cell>
          <cell r="I1114" t="str">
            <v>OE INVOICES</v>
          </cell>
          <cell r="J1114">
            <v>44422145489</v>
          </cell>
          <cell r="K1114">
            <v>44897</v>
          </cell>
          <cell r="L1114">
            <v>6</v>
          </cell>
          <cell r="M1114" t="str">
            <v>EUR</v>
          </cell>
          <cell r="N1114">
            <v>860</v>
          </cell>
          <cell r="O1114">
            <v>86</v>
          </cell>
          <cell r="P1114">
            <v>10</v>
          </cell>
          <cell r="Q1114">
            <v>10</v>
          </cell>
          <cell r="R1114">
            <v>0</v>
          </cell>
        </row>
        <row r="1115">
          <cell r="A1115" t="str">
            <v>5X1OU9ZGB00MWNDUDM</v>
          </cell>
          <cell r="B1115" t="str">
            <v>Q3-23</v>
          </cell>
          <cell r="C1115" t="str">
            <v>Europe Operations OU</v>
          </cell>
          <cell r="D1115">
            <v>2674345</v>
          </cell>
          <cell r="E1115" t="str">
            <v>Amazon EU SARL, succursale Italiana</v>
          </cell>
          <cell r="F1115" t="str">
            <v>5X1OU9ZG</v>
          </cell>
          <cell r="G1115" t="str">
            <v>B00MWNDUDM</v>
          </cell>
          <cell r="H1115" t="str">
            <v>920-006350</v>
          </cell>
          <cell r="I1115" t="str">
            <v>OE INVOICES</v>
          </cell>
          <cell r="J1115">
            <v>44422145489</v>
          </cell>
          <cell r="K1115">
            <v>44897</v>
          </cell>
          <cell r="L1115">
            <v>7</v>
          </cell>
          <cell r="M1115" t="str">
            <v>EUR</v>
          </cell>
          <cell r="N1115">
            <v>257.68</v>
          </cell>
          <cell r="O1115">
            <v>32.21</v>
          </cell>
          <cell r="P1115">
            <v>8</v>
          </cell>
          <cell r="Q1115">
            <v>8</v>
          </cell>
          <cell r="R1115">
            <v>0</v>
          </cell>
        </row>
        <row r="1116">
          <cell r="A1116" t="str">
            <v>5X1OU9ZGB010EPT2X6</v>
          </cell>
          <cell r="B1116" t="str">
            <v>Q3-23</v>
          </cell>
          <cell r="C1116" t="str">
            <v>Europe Operations OU</v>
          </cell>
          <cell r="D1116">
            <v>2674345</v>
          </cell>
          <cell r="E1116" t="str">
            <v>Amazon EU SARL, succursale Italiana</v>
          </cell>
          <cell r="F1116" t="str">
            <v>5X1OU9ZG</v>
          </cell>
          <cell r="G1116" t="str">
            <v>B010EPT2X6</v>
          </cell>
          <cell r="H1116" t="str">
            <v>920-007145</v>
          </cell>
          <cell r="I1116" t="str">
            <v>OE INVOICES</v>
          </cell>
          <cell r="J1116">
            <v>44422145006</v>
          </cell>
          <cell r="K1116">
            <v>44897</v>
          </cell>
          <cell r="L1116">
            <v>1</v>
          </cell>
          <cell r="M1116" t="str">
            <v>EUR</v>
          </cell>
          <cell r="N1116">
            <v>1610.5</v>
          </cell>
          <cell r="O1116">
            <v>32.21</v>
          </cell>
          <cell r="P1116">
            <v>50</v>
          </cell>
          <cell r="Q1116">
            <v>50</v>
          </cell>
          <cell r="R1116">
            <v>0</v>
          </cell>
        </row>
        <row r="1117">
          <cell r="A1117" t="str">
            <v>5X1OU9ZGB010X0ZQ7S</v>
          </cell>
          <cell r="B1117" t="str">
            <v>Q3-23</v>
          </cell>
          <cell r="C1117" t="str">
            <v>Europe Operations OU</v>
          </cell>
          <cell r="D1117">
            <v>2674345</v>
          </cell>
          <cell r="E1117" t="str">
            <v>Amazon EU SARL, succursale Italiana</v>
          </cell>
          <cell r="F1117" t="str">
            <v>5X1OU9ZG</v>
          </cell>
          <cell r="G1117" t="str">
            <v>B010X0ZQ7S</v>
          </cell>
          <cell r="H1117" t="str">
            <v>920-007133</v>
          </cell>
          <cell r="I1117" t="str">
            <v>OE INVOICES</v>
          </cell>
          <cell r="J1117">
            <v>44422145489</v>
          </cell>
          <cell r="K1117">
            <v>44897</v>
          </cell>
          <cell r="L1117">
            <v>8</v>
          </cell>
          <cell r="M1117" t="str">
            <v>EUR</v>
          </cell>
          <cell r="N1117">
            <v>322.10000000000002</v>
          </cell>
          <cell r="O1117">
            <v>32.21</v>
          </cell>
          <cell r="P1117">
            <v>10</v>
          </cell>
          <cell r="Q1117">
            <v>10</v>
          </cell>
          <cell r="R1117">
            <v>0</v>
          </cell>
        </row>
        <row r="1118">
          <cell r="A1118" t="str">
            <v>5X1OU9ZGB013SL1YXO</v>
          </cell>
          <cell r="B1118" t="str">
            <v>Q3-23</v>
          </cell>
          <cell r="C1118" t="str">
            <v>Europe Operations OU</v>
          </cell>
          <cell r="D1118">
            <v>2674345</v>
          </cell>
          <cell r="E1118" t="str">
            <v>Amazon EU SARL, succursale Italiana</v>
          </cell>
          <cell r="F1118" t="str">
            <v>5X1OU9ZG</v>
          </cell>
          <cell r="G1118" t="str">
            <v>B013SL1YXO</v>
          </cell>
          <cell r="H1118" t="str">
            <v>920-007580</v>
          </cell>
          <cell r="I1118" t="str">
            <v>OE INVOICES</v>
          </cell>
          <cell r="J1118">
            <v>44422145489</v>
          </cell>
          <cell r="K1118">
            <v>44897</v>
          </cell>
          <cell r="L1118">
            <v>9</v>
          </cell>
          <cell r="M1118" t="str">
            <v>EUR</v>
          </cell>
          <cell r="N1118">
            <v>257.68</v>
          </cell>
          <cell r="O1118">
            <v>32.21</v>
          </cell>
          <cell r="P1118">
            <v>8</v>
          </cell>
          <cell r="Q1118">
            <v>8</v>
          </cell>
          <cell r="R1118">
            <v>0</v>
          </cell>
        </row>
        <row r="1119">
          <cell r="A1119" t="str">
            <v>5X1OU9ZGB014S0DVDK</v>
          </cell>
          <cell r="B1119" t="str">
            <v>Q3-23</v>
          </cell>
          <cell r="C1119" t="str">
            <v>Europe Operations OU</v>
          </cell>
          <cell r="D1119">
            <v>2674345</v>
          </cell>
          <cell r="E1119" t="str">
            <v>Amazon EU SARL, succursale Italiana</v>
          </cell>
          <cell r="F1119" t="str">
            <v>5X1OU9ZG</v>
          </cell>
          <cell r="G1119" t="str">
            <v>B014S0DVDK</v>
          </cell>
          <cell r="H1119" t="str">
            <v>939-001544</v>
          </cell>
          <cell r="I1119" t="str">
            <v>OE INVOICES</v>
          </cell>
          <cell r="J1119">
            <v>44422145489</v>
          </cell>
          <cell r="K1119">
            <v>44897</v>
          </cell>
          <cell r="L1119">
            <v>10</v>
          </cell>
          <cell r="M1119" t="str">
            <v>EUR</v>
          </cell>
          <cell r="N1119">
            <v>359.6</v>
          </cell>
          <cell r="O1119">
            <v>44.95</v>
          </cell>
          <cell r="P1119">
            <v>8</v>
          </cell>
          <cell r="Q1119">
            <v>8</v>
          </cell>
          <cell r="R1119">
            <v>0</v>
          </cell>
        </row>
        <row r="1120">
          <cell r="A1120" t="str">
            <v>5X1OU9ZGB01A9GXMW2</v>
          </cell>
          <cell r="B1120" t="str">
            <v>Q3-23</v>
          </cell>
          <cell r="C1120" t="str">
            <v>Europe Operations OU</v>
          </cell>
          <cell r="D1120">
            <v>2674345</v>
          </cell>
          <cell r="E1120" t="str">
            <v>Amazon EU SARL, succursale Italiana</v>
          </cell>
          <cell r="F1120" t="str">
            <v>5X1OU9ZG</v>
          </cell>
          <cell r="G1120" t="str">
            <v>B01A9GXMW2</v>
          </cell>
          <cell r="H1120" t="str">
            <v>910-004642</v>
          </cell>
          <cell r="I1120" t="str">
            <v>OE INVOICES</v>
          </cell>
          <cell r="J1120">
            <v>44422145006</v>
          </cell>
          <cell r="K1120">
            <v>44897</v>
          </cell>
          <cell r="L1120">
            <v>2</v>
          </cell>
          <cell r="M1120" t="str">
            <v>EUR</v>
          </cell>
          <cell r="N1120">
            <v>2433.6</v>
          </cell>
          <cell r="O1120">
            <v>9.36</v>
          </cell>
          <cell r="P1120">
            <v>260</v>
          </cell>
          <cell r="Q1120">
            <v>260</v>
          </cell>
          <cell r="R1120">
            <v>0</v>
          </cell>
        </row>
        <row r="1121">
          <cell r="A1121" t="str">
            <v>5X1OU9ZGB01G3WBMZU</v>
          </cell>
          <cell r="B1121" t="str">
            <v>Q3-23</v>
          </cell>
          <cell r="C1121" t="str">
            <v>Europe Operations OU</v>
          </cell>
          <cell r="D1121">
            <v>2674345</v>
          </cell>
          <cell r="E1121" t="str">
            <v>Amazon EU SARL, succursale Italiana</v>
          </cell>
          <cell r="F1121" t="str">
            <v>5X1OU9ZG</v>
          </cell>
          <cell r="G1121" t="str">
            <v>B01G3WBMZU</v>
          </cell>
          <cell r="H1121" t="str">
            <v>939-001546</v>
          </cell>
          <cell r="I1121" t="str">
            <v>OE INVOICES</v>
          </cell>
          <cell r="J1121">
            <v>44422145489</v>
          </cell>
          <cell r="K1121">
            <v>44897</v>
          </cell>
          <cell r="L1121">
            <v>11</v>
          </cell>
          <cell r="M1121" t="str">
            <v>EUR</v>
          </cell>
          <cell r="N1121">
            <v>719.2</v>
          </cell>
          <cell r="O1121">
            <v>44.95</v>
          </cell>
          <cell r="P1121">
            <v>16</v>
          </cell>
          <cell r="Q1121">
            <v>16</v>
          </cell>
          <cell r="R1121">
            <v>0</v>
          </cell>
        </row>
        <row r="1122">
          <cell r="A1122" t="str">
            <v>5X1OU9ZGB01K7GEAF2</v>
          </cell>
          <cell r="B1122" t="str">
            <v>Q3-23</v>
          </cell>
          <cell r="C1122" t="str">
            <v>Europe Operations OU</v>
          </cell>
          <cell r="D1122">
            <v>2674345</v>
          </cell>
          <cell r="E1122" t="str">
            <v>Amazon EU SARL, succursale Italiana</v>
          </cell>
          <cell r="F1122" t="str">
            <v>5X1OU9ZG</v>
          </cell>
          <cell r="G1122" t="str">
            <v>B01K7GEAF2</v>
          </cell>
          <cell r="H1122" t="str">
            <v>910-004879</v>
          </cell>
          <cell r="I1122" t="str">
            <v>OE INVOICES</v>
          </cell>
          <cell r="J1122">
            <v>44422145489</v>
          </cell>
          <cell r="K1122">
            <v>44897</v>
          </cell>
          <cell r="L1122">
            <v>12</v>
          </cell>
          <cell r="M1122" t="str">
            <v>EUR</v>
          </cell>
          <cell r="N1122">
            <v>491.7</v>
          </cell>
          <cell r="O1122">
            <v>16.39</v>
          </cell>
          <cell r="P1122">
            <v>30</v>
          </cell>
          <cell r="Q1122">
            <v>30</v>
          </cell>
          <cell r="R1122">
            <v>0</v>
          </cell>
        </row>
        <row r="1123">
          <cell r="A1123" t="str">
            <v>5X1OU9ZGB01M9EWQ2W</v>
          </cell>
          <cell r="B1123" t="str">
            <v>Q3-23</v>
          </cell>
          <cell r="C1123" t="str">
            <v>Europe Operations OU</v>
          </cell>
          <cell r="D1123">
            <v>2674345</v>
          </cell>
          <cell r="E1123" t="str">
            <v>Amazon EU SARL, succursale Italiana</v>
          </cell>
          <cell r="F1123" t="str">
            <v>5X1OU9ZG</v>
          </cell>
          <cell r="G1123" t="str">
            <v>B01M9EWQ2W</v>
          </cell>
          <cell r="H1123" t="str">
            <v>945-000006</v>
          </cell>
          <cell r="I1123" t="str">
            <v>OE INVOICES</v>
          </cell>
          <cell r="J1123">
            <v>44422145489</v>
          </cell>
          <cell r="K1123">
            <v>44897</v>
          </cell>
          <cell r="L1123">
            <v>13</v>
          </cell>
          <cell r="M1123" t="str">
            <v>EUR</v>
          </cell>
          <cell r="N1123">
            <v>1699.92</v>
          </cell>
          <cell r="O1123">
            <v>94.44</v>
          </cell>
          <cell r="P1123">
            <v>18</v>
          </cell>
          <cell r="Q1123">
            <v>18</v>
          </cell>
          <cell r="R1123">
            <v>0</v>
          </cell>
        </row>
        <row r="1124">
          <cell r="A1124" t="str">
            <v>5X1OU9ZGB079Z3DSBK</v>
          </cell>
          <cell r="B1124" t="str">
            <v>Q3-23</v>
          </cell>
          <cell r="C1124" t="str">
            <v>Europe Operations OU</v>
          </cell>
          <cell r="D1124">
            <v>2674345</v>
          </cell>
          <cell r="E1124" t="str">
            <v>Amazon EU SARL, succursale Italiana</v>
          </cell>
          <cell r="F1124" t="str">
            <v>5X1OU9ZG</v>
          </cell>
          <cell r="G1124" t="str">
            <v>B079Z3DSBK</v>
          </cell>
          <cell r="H1124" t="str">
            <v>945-000059</v>
          </cell>
          <cell r="I1124" t="str">
            <v>OE INVOICES</v>
          </cell>
          <cell r="J1124">
            <v>44422145489</v>
          </cell>
          <cell r="K1124">
            <v>44897</v>
          </cell>
          <cell r="L1124">
            <v>14</v>
          </cell>
          <cell r="M1124" t="str">
            <v>EUR</v>
          </cell>
          <cell r="N1124">
            <v>10412.16</v>
          </cell>
          <cell r="O1124">
            <v>157.76</v>
          </cell>
          <cell r="P1124">
            <v>66</v>
          </cell>
          <cell r="Q1124">
            <v>66</v>
          </cell>
          <cell r="R1124">
            <v>0</v>
          </cell>
        </row>
        <row r="1125">
          <cell r="A1125" t="str">
            <v>5X1OU9ZGB07G6DKDY8</v>
          </cell>
          <cell r="B1125" t="str">
            <v>Q3-23</v>
          </cell>
          <cell r="C1125" t="str">
            <v>Europe Operations OU</v>
          </cell>
          <cell r="D1125">
            <v>2674345</v>
          </cell>
          <cell r="E1125" t="str">
            <v>Amazon EU SARL, succursale Italiana</v>
          </cell>
          <cell r="F1125" t="str">
            <v>5X1OU9ZG</v>
          </cell>
          <cell r="G1125" t="str">
            <v>B07G6DKDY8</v>
          </cell>
          <cell r="H1125" t="str">
            <v>984-001363</v>
          </cell>
          <cell r="I1125" t="str">
            <v>OE INVOICES</v>
          </cell>
          <cell r="J1125">
            <v>44422146164</v>
          </cell>
          <cell r="K1125">
            <v>44900</v>
          </cell>
          <cell r="L1125">
            <v>1</v>
          </cell>
          <cell r="M1125" t="str">
            <v>EUR</v>
          </cell>
          <cell r="N1125">
            <v>637.84</v>
          </cell>
          <cell r="O1125">
            <v>79.73</v>
          </cell>
          <cell r="P1125">
            <v>8</v>
          </cell>
          <cell r="Q1125">
            <v>8</v>
          </cell>
          <cell r="R1125">
            <v>0</v>
          </cell>
        </row>
        <row r="1126">
          <cell r="A1126" t="str">
            <v>5X1OU9ZGB07G6LWTG6</v>
          </cell>
          <cell r="B1126" t="str">
            <v>Q3-23</v>
          </cell>
          <cell r="C1126" t="str">
            <v>Europe Operations OU</v>
          </cell>
          <cell r="D1126">
            <v>2674345</v>
          </cell>
          <cell r="E1126" t="str">
            <v>Amazon EU SARL, succursale Italiana</v>
          </cell>
          <cell r="F1126" t="str">
            <v>5X1OU9ZG</v>
          </cell>
          <cell r="G1126" t="str">
            <v>B07G6LWTG6</v>
          </cell>
          <cell r="H1126" t="str">
            <v>984-001404</v>
          </cell>
          <cell r="I1126" t="str">
            <v>OE INVOICES</v>
          </cell>
          <cell r="J1126">
            <v>44422145006</v>
          </cell>
          <cell r="K1126">
            <v>44897</v>
          </cell>
          <cell r="L1126">
            <v>3</v>
          </cell>
          <cell r="M1126" t="str">
            <v>EUR</v>
          </cell>
          <cell r="N1126">
            <v>425.96</v>
          </cell>
          <cell r="O1126">
            <v>106.49</v>
          </cell>
          <cell r="P1126">
            <v>4</v>
          </cell>
          <cell r="Q1126">
            <v>4</v>
          </cell>
          <cell r="R1126">
            <v>0</v>
          </cell>
        </row>
        <row r="1127">
          <cell r="A1127" t="str">
            <v>5X1OU9ZGB07MTY7N22</v>
          </cell>
          <cell r="B1127" t="str">
            <v>Q3-23</v>
          </cell>
          <cell r="C1127" t="str">
            <v>Europe Operations OU</v>
          </cell>
          <cell r="D1127">
            <v>2674345</v>
          </cell>
          <cell r="E1127" t="str">
            <v>Amazon EU SARL, succursale Italiana</v>
          </cell>
          <cell r="F1127" t="str">
            <v>5X1OU9ZG</v>
          </cell>
          <cell r="G1127" t="str">
            <v>B07MTY7N22</v>
          </cell>
          <cell r="H1127" t="str">
            <v>981-000744</v>
          </cell>
          <cell r="I1127" t="str">
            <v>OE INVOICES</v>
          </cell>
          <cell r="J1127">
            <v>44422145489</v>
          </cell>
          <cell r="K1127">
            <v>44897</v>
          </cell>
          <cell r="L1127">
            <v>15</v>
          </cell>
          <cell r="M1127" t="str">
            <v>EUR</v>
          </cell>
          <cell r="N1127">
            <v>5460</v>
          </cell>
          <cell r="O1127">
            <v>105</v>
          </cell>
          <cell r="P1127">
            <v>52</v>
          </cell>
          <cell r="Q1127">
            <v>52</v>
          </cell>
          <cell r="R1127">
            <v>0</v>
          </cell>
        </row>
        <row r="1128">
          <cell r="A1128" t="str">
            <v>5X1OU9ZGB07PPNT9B2</v>
          </cell>
          <cell r="B1128" t="str">
            <v>Q3-23</v>
          </cell>
          <cell r="C1128" t="str">
            <v>Europe Operations OU</v>
          </cell>
          <cell r="D1128">
            <v>2674345</v>
          </cell>
          <cell r="E1128" t="str">
            <v>Amazon EU SARL, succursale Italiana</v>
          </cell>
          <cell r="F1128" t="str">
            <v>5X1OU9ZG</v>
          </cell>
          <cell r="G1128" t="str">
            <v>B07PPNT9B2</v>
          </cell>
          <cell r="H1128" t="str">
            <v>939-001731</v>
          </cell>
          <cell r="I1128" t="str">
            <v>OE INVOICES</v>
          </cell>
          <cell r="J1128">
            <v>44422145489</v>
          </cell>
          <cell r="K1128">
            <v>44897</v>
          </cell>
          <cell r="L1128">
            <v>16</v>
          </cell>
          <cell r="M1128" t="str">
            <v>EUR</v>
          </cell>
          <cell r="N1128">
            <v>1648.96</v>
          </cell>
          <cell r="O1128">
            <v>103.06</v>
          </cell>
          <cell r="P1128">
            <v>16</v>
          </cell>
          <cell r="Q1128">
            <v>16</v>
          </cell>
          <cell r="R1128">
            <v>0</v>
          </cell>
        </row>
        <row r="1129">
          <cell r="A1129" t="str">
            <v>5X1OU9ZGB07VRLJHFH</v>
          </cell>
          <cell r="B1129" t="str">
            <v>Q3-23</v>
          </cell>
          <cell r="C1129" t="str">
            <v>Europe Operations OU</v>
          </cell>
          <cell r="D1129">
            <v>2674345</v>
          </cell>
          <cell r="E1129" t="str">
            <v>Amazon EU SARL, succursale Italiana</v>
          </cell>
          <cell r="F1129" t="str">
            <v>5X1OU9ZG</v>
          </cell>
          <cell r="G1129" t="str">
            <v>B07VRLJHFH</v>
          </cell>
          <cell r="H1129" t="str">
            <v>920-009203</v>
          </cell>
          <cell r="I1129" t="str">
            <v>OE INVOICES</v>
          </cell>
          <cell r="J1129">
            <v>44422145489</v>
          </cell>
          <cell r="K1129">
            <v>44897</v>
          </cell>
          <cell r="L1129">
            <v>17</v>
          </cell>
          <cell r="M1129" t="str">
            <v>EUR</v>
          </cell>
          <cell r="N1129">
            <v>281.04000000000002</v>
          </cell>
          <cell r="O1129">
            <v>35.130000000000003</v>
          </cell>
          <cell r="P1129">
            <v>8</v>
          </cell>
          <cell r="Q1129">
            <v>8</v>
          </cell>
          <cell r="R1129">
            <v>0</v>
          </cell>
        </row>
        <row r="1130">
          <cell r="A1130" t="str">
            <v>5X1OU9ZGB07W4DGC27</v>
          </cell>
          <cell r="B1130" t="str">
            <v>Q3-23</v>
          </cell>
          <cell r="C1130" t="str">
            <v>Europe Operations OU</v>
          </cell>
          <cell r="D1130">
            <v>2674345</v>
          </cell>
          <cell r="E1130" t="str">
            <v>Amazon EU SARL, succursale Italiana</v>
          </cell>
          <cell r="F1130" t="str">
            <v>5X1OU9ZG</v>
          </cell>
          <cell r="G1130" t="str">
            <v>B07W4DGC27</v>
          </cell>
          <cell r="H1130" t="str">
            <v>910-006473</v>
          </cell>
          <cell r="I1130" t="str">
            <v>OE INVOICES</v>
          </cell>
          <cell r="J1130">
            <v>44422145489</v>
          </cell>
          <cell r="K1130">
            <v>44897</v>
          </cell>
          <cell r="L1130">
            <v>18</v>
          </cell>
          <cell r="M1130" t="str">
            <v>EUR</v>
          </cell>
          <cell r="N1130">
            <v>1113.5999999999999</v>
          </cell>
          <cell r="O1130">
            <v>46.4</v>
          </cell>
          <cell r="P1130">
            <v>24</v>
          </cell>
          <cell r="Q1130">
            <v>24</v>
          </cell>
          <cell r="R1130">
            <v>0</v>
          </cell>
        </row>
        <row r="1131">
          <cell r="A1131" t="str">
            <v>5X1OU9ZGB07W4DGQC1</v>
          </cell>
          <cell r="B1131" t="str">
            <v>Q3-23</v>
          </cell>
          <cell r="C1131" t="str">
            <v>Europe Operations OU</v>
          </cell>
          <cell r="D1131">
            <v>2674345</v>
          </cell>
          <cell r="E1131" t="str">
            <v>Amazon EU SARL, succursale Italiana</v>
          </cell>
          <cell r="F1131" t="str">
            <v>5X1OU9ZG</v>
          </cell>
          <cell r="G1131" t="str">
            <v>B07W4DGQC1</v>
          </cell>
          <cell r="H1131" t="str">
            <v>961-000501</v>
          </cell>
          <cell r="I1131" t="str">
            <v>OE INVOICES</v>
          </cell>
          <cell r="J1131">
            <v>44422145489</v>
          </cell>
          <cell r="K1131">
            <v>44897</v>
          </cell>
          <cell r="L1131">
            <v>19</v>
          </cell>
          <cell r="M1131" t="str">
            <v>EUR</v>
          </cell>
          <cell r="N1131">
            <v>3056.36</v>
          </cell>
          <cell r="O1131">
            <v>764.09</v>
          </cell>
          <cell r="P1131">
            <v>4</v>
          </cell>
          <cell r="Q1131">
            <v>4</v>
          </cell>
          <cell r="R1131">
            <v>0</v>
          </cell>
        </row>
        <row r="1132">
          <cell r="A1132" t="str">
            <v>5X1OU9ZGB07W4DHJ91</v>
          </cell>
          <cell r="B1132" t="str">
            <v>Q3-23</v>
          </cell>
          <cell r="C1132" t="str">
            <v>Europe Operations OU</v>
          </cell>
          <cell r="D1132">
            <v>2674345</v>
          </cell>
          <cell r="E1132" t="str">
            <v>Amazon EU SARL, succursale Italiana</v>
          </cell>
          <cell r="F1132" t="str">
            <v>5X1OU9ZG</v>
          </cell>
          <cell r="G1132" t="str">
            <v>B07W4DHJ91</v>
          </cell>
          <cell r="H1132" t="str">
            <v>910-005990</v>
          </cell>
          <cell r="I1132" t="str">
            <v>OE INVOICES</v>
          </cell>
          <cell r="J1132">
            <v>44422145489</v>
          </cell>
          <cell r="K1132">
            <v>44897</v>
          </cell>
          <cell r="L1132">
            <v>20</v>
          </cell>
          <cell r="M1132" t="str">
            <v>EUR</v>
          </cell>
          <cell r="N1132">
            <v>1160</v>
          </cell>
          <cell r="O1132">
            <v>58</v>
          </cell>
          <cell r="P1132">
            <v>20</v>
          </cell>
          <cell r="Q1132">
            <v>20</v>
          </cell>
          <cell r="R1132">
            <v>0</v>
          </cell>
        </row>
        <row r="1133">
          <cell r="A1133" t="str">
            <v>5X1OU9ZGB07W4DHY5F</v>
          </cell>
          <cell r="B1133" t="str">
            <v>Q3-23</v>
          </cell>
          <cell r="C1133" t="str">
            <v>Europe Operations OU</v>
          </cell>
          <cell r="D1133">
            <v>2674345</v>
          </cell>
          <cell r="E1133" t="str">
            <v>Amazon EU SARL, succursale Italiana</v>
          </cell>
          <cell r="F1133" t="str">
            <v>5X1OU9ZG</v>
          </cell>
          <cell r="G1133" t="str">
            <v>B07W4DHY5F</v>
          </cell>
          <cell r="H1133" t="str">
            <v>910-006146</v>
          </cell>
          <cell r="I1133" t="str">
            <v>OE INVOICES</v>
          </cell>
          <cell r="J1133">
            <v>44422145489</v>
          </cell>
          <cell r="K1133">
            <v>44897</v>
          </cell>
          <cell r="L1133">
            <v>21</v>
          </cell>
          <cell r="M1133" t="str">
            <v>EUR</v>
          </cell>
          <cell r="N1133">
            <v>1329.44</v>
          </cell>
          <cell r="O1133">
            <v>47.48</v>
          </cell>
          <cell r="P1133">
            <v>28</v>
          </cell>
          <cell r="Q1133">
            <v>28</v>
          </cell>
          <cell r="R1133">
            <v>0</v>
          </cell>
        </row>
        <row r="1134">
          <cell r="A1134" t="str">
            <v>5X1OU9ZGB07W4DHYH6</v>
          </cell>
          <cell r="B1134" t="str">
            <v>Q3-23</v>
          </cell>
          <cell r="C1134" t="str">
            <v>Europe Operations OU</v>
          </cell>
          <cell r="D1134">
            <v>2674345</v>
          </cell>
          <cell r="E1134" t="str">
            <v>Amazon EU SARL, succursale Italiana</v>
          </cell>
          <cell r="F1134" t="str">
            <v>5X1OU9ZG</v>
          </cell>
          <cell r="G1134" t="str">
            <v>B07W4DHYH6</v>
          </cell>
          <cell r="H1134" t="str">
            <v>920-010685</v>
          </cell>
          <cell r="I1134" t="str">
            <v>OE INVOICES</v>
          </cell>
          <cell r="J1134">
            <v>44422145489</v>
          </cell>
          <cell r="K1134">
            <v>44897</v>
          </cell>
          <cell r="L1134">
            <v>22</v>
          </cell>
          <cell r="M1134" t="str">
            <v>EUR</v>
          </cell>
          <cell r="N1134">
            <v>882.16</v>
          </cell>
          <cell r="O1134">
            <v>110.27</v>
          </cell>
          <cell r="P1134">
            <v>8</v>
          </cell>
          <cell r="Q1134">
            <v>8</v>
          </cell>
          <cell r="R1134">
            <v>0</v>
          </cell>
        </row>
        <row r="1135">
          <cell r="A1135" t="str">
            <v>5X1OU9ZGB07W4DJF29</v>
          </cell>
          <cell r="B1135" t="str">
            <v>Q3-23</v>
          </cell>
          <cell r="C1135" t="str">
            <v>Europe Operations OU</v>
          </cell>
          <cell r="D1135">
            <v>2674345</v>
          </cell>
          <cell r="E1135" t="str">
            <v>Amazon EU SARL, succursale Italiana</v>
          </cell>
          <cell r="F1135" t="str">
            <v>5X1OU9ZG</v>
          </cell>
          <cell r="G1135" t="str">
            <v>B07W4DJF29</v>
          </cell>
          <cell r="H1135" t="str">
            <v>981-001083</v>
          </cell>
          <cell r="I1135" t="str">
            <v>OE INVOICES</v>
          </cell>
          <cell r="J1135">
            <v>44422145489</v>
          </cell>
          <cell r="K1135">
            <v>44897</v>
          </cell>
          <cell r="L1135">
            <v>23</v>
          </cell>
          <cell r="M1135" t="str">
            <v>EUR</v>
          </cell>
          <cell r="N1135">
            <v>483.32</v>
          </cell>
          <cell r="O1135">
            <v>120.83</v>
          </cell>
          <cell r="P1135">
            <v>4</v>
          </cell>
          <cell r="Q1135">
            <v>4</v>
          </cell>
          <cell r="R1135">
            <v>0</v>
          </cell>
        </row>
        <row r="1136">
          <cell r="A1136" t="str">
            <v>5X1OU9ZGB07W5JJ1WM</v>
          </cell>
          <cell r="B1136" t="str">
            <v>Q3-23</v>
          </cell>
          <cell r="C1136" t="str">
            <v>Europe Operations OU</v>
          </cell>
          <cell r="D1136">
            <v>2674345</v>
          </cell>
          <cell r="E1136" t="str">
            <v>Amazon EU SARL, succursale Italiana</v>
          </cell>
          <cell r="F1136" t="str">
            <v>5X1OU9ZG</v>
          </cell>
          <cell r="G1136" t="str">
            <v>B07W5JJ1WM</v>
          </cell>
          <cell r="H1136" t="str">
            <v>910-005957</v>
          </cell>
          <cell r="I1136" t="str">
            <v>OE INVOICES</v>
          </cell>
          <cell r="J1136">
            <v>44422145489</v>
          </cell>
          <cell r="K1136">
            <v>44897</v>
          </cell>
          <cell r="L1136">
            <v>24</v>
          </cell>
          <cell r="M1136" t="str">
            <v>EUR</v>
          </cell>
          <cell r="N1136">
            <v>1006.68</v>
          </cell>
          <cell r="O1136">
            <v>83.89</v>
          </cell>
          <cell r="P1136">
            <v>12</v>
          </cell>
          <cell r="Q1136">
            <v>12</v>
          </cell>
          <cell r="R1136">
            <v>0</v>
          </cell>
        </row>
        <row r="1137">
          <cell r="A1137" t="str">
            <v>5X1OU9ZGB07W5JK1JN</v>
          </cell>
          <cell r="B1137" t="str">
            <v>Q3-23</v>
          </cell>
          <cell r="C1137" t="str">
            <v>Europe Operations OU</v>
          </cell>
          <cell r="D1137">
            <v>2674345</v>
          </cell>
          <cell r="E1137" t="str">
            <v>Amazon EU SARL, succursale Italiana</v>
          </cell>
          <cell r="F1137" t="str">
            <v>5X1OU9ZG</v>
          </cell>
          <cell r="G1137" t="str">
            <v>B07W5JK1JN</v>
          </cell>
          <cell r="H1137" t="str">
            <v>920-009415</v>
          </cell>
          <cell r="I1137" t="str">
            <v>OE INVOICES</v>
          </cell>
          <cell r="J1137">
            <v>44422145489</v>
          </cell>
          <cell r="K1137">
            <v>44897</v>
          </cell>
          <cell r="L1137">
            <v>25</v>
          </cell>
          <cell r="M1137" t="str">
            <v>EUR</v>
          </cell>
          <cell r="N1137">
            <v>301.64</v>
          </cell>
          <cell r="O1137">
            <v>75.41</v>
          </cell>
          <cell r="P1137">
            <v>4</v>
          </cell>
          <cell r="Q1137">
            <v>4</v>
          </cell>
          <cell r="R1137">
            <v>0</v>
          </cell>
        </row>
        <row r="1138">
          <cell r="A1138" t="str">
            <v>5X1OU9ZGB07W5JK3M6</v>
          </cell>
          <cell r="B1138" t="str">
            <v>Q3-23</v>
          </cell>
          <cell r="C1138" t="str">
            <v>Europe Operations OU</v>
          </cell>
          <cell r="D1138">
            <v>2674345</v>
          </cell>
          <cell r="E1138" t="str">
            <v>Amazon EU SARL, succursale Italiana</v>
          </cell>
          <cell r="F1138" t="str">
            <v>5X1OU9ZG</v>
          </cell>
          <cell r="G1138" t="str">
            <v>B07W5JK3M6</v>
          </cell>
          <cell r="H1138" t="str">
            <v>988-000401</v>
          </cell>
          <cell r="I1138" t="str">
            <v>OE INVOICES</v>
          </cell>
          <cell r="J1138">
            <v>44422145489</v>
          </cell>
          <cell r="K1138">
            <v>44897</v>
          </cell>
          <cell r="L1138">
            <v>26</v>
          </cell>
          <cell r="M1138" t="str">
            <v>EUR</v>
          </cell>
          <cell r="N1138">
            <v>7304</v>
          </cell>
          <cell r="O1138">
            <v>83</v>
          </cell>
          <cell r="P1138">
            <v>88</v>
          </cell>
          <cell r="Q1138">
            <v>88</v>
          </cell>
          <cell r="R1138">
            <v>0</v>
          </cell>
        </row>
        <row r="1139">
          <cell r="A1139" t="str">
            <v>5X1OU9ZGB07W5JK9J9</v>
          </cell>
          <cell r="B1139" t="str">
            <v>Q3-23</v>
          </cell>
          <cell r="C1139" t="str">
            <v>Europe Operations OU</v>
          </cell>
          <cell r="D1139">
            <v>2674345</v>
          </cell>
          <cell r="E1139" t="str">
            <v>Amazon EU SARL, succursale Italiana</v>
          </cell>
          <cell r="F1139" t="str">
            <v>5X1OU9ZG</v>
          </cell>
          <cell r="G1139" t="str">
            <v>B07W5JK9J9</v>
          </cell>
          <cell r="H1139" t="str">
            <v>920-010414</v>
          </cell>
          <cell r="I1139" t="str">
            <v>OE INVOICES</v>
          </cell>
          <cell r="J1139">
            <v>44422145489</v>
          </cell>
          <cell r="K1139">
            <v>44897</v>
          </cell>
          <cell r="L1139">
            <v>27</v>
          </cell>
          <cell r="M1139" t="str">
            <v>EUR</v>
          </cell>
          <cell r="N1139">
            <v>755.52</v>
          </cell>
          <cell r="O1139">
            <v>94.44</v>
          </cell>
          <cell r="P1139">
            <v>8</v>
          </cell>
          <cell r="Q1139">
            <v>8</v>
          </cell>
          <cell r="R1139">
            <v>0</v>
          </cell>
        </row>
        <row r="1140">
          <cell r="A1140" t="str">
            <v>5X1OU9ZGB07W5JKPFG</v>
          </cell>
          <cell r="B1140" t="str">
            <v>Q3-23</v>
          </cell>
          <cell r="C1140" t="str">
            <v>Europe Operations OU</v>
          </cell>
          <cell r="D1140">
            <v>2674345</v>
          </cell>
          <cell r="E1140" t="str">
            <v>Amazon EU SARL, succursale Italiana</v>
          </cell>
          <cell r="F1140" t="str">
            <v>5X1OU9ZG</v>
          </cell>
          <cell r="G1140" t="str">
            <v>B07W5JKPFG</v>
          </cell>
          <cell r="H1140" t="str">
            <v>920-011160</v>
          </cell>
          <cell r="I1140" t="str">
            <v>OE INVOICES</v>
          </cell>
          <cell r="J1140">
            <v>44422145489</v>
          </cell>
          <cell r="K1140">
            <v>44897</v>
          </cell>
          <cell r="L1140">
            <v>28</v>
          </cell>
          <cell r="M1140" t="str">
            <v>EUR</v>
          </cell>
          <cell r="N1140">
            <v>257.68</v>
          </cell>
          <cell r="O1140">
            <v>32.21</v>
          </cell>
          <cell r="P1140">
            <v>8</v>
          </cell>
          <cell r="Q1140">
            <v>8</v>
          </cell>
          <cell r="R1140">
            <v>0</v>
          </cell>
        </row>
        <row r="1141">
          <cell r="A1141" t="str">
            <v>5X1OU9ZGB07W6GM6PW</v>
          </cell>
          <cell r="B1141" t="str">
            <v>Q3-23</v>
          </cell>
          <cell r="C1141" t="str">
            <v>Europe Operations OU</v>
          </cell>
          <cell r="D1141">
            <v>2674345</v>
          </cell>
          <cell r="E1141" t="str">
            <v>Amazon EU SARL, succursale Italiana</v>
          </cell>
          <cell r="F1141" t="str">
            <v>5X1OU9ZG</v>
          </cell>
          <cell r="G1141" t="str">
            <v>B07W6GM6PW</v>
          </cell>
          <cell r="H1141" t="str">
            <v>984-001831</v>
          </cell>
          <cell r="I1141" t="str">
            <v>OE INVOICES</v>
          </cell>
          <cell r="J1141">
            <v>44422145006</v>
          </cell>
          <cell r="K1141">
            <v>44897</v>
          </cell>
          <cell r="L1141">
            <v>4</v>
          </cell>
          <cell r="M1141" t="str">
            <v>EUR</v>
          </cell>
          <cell r="N1141">
            <v>856.16</v>
          </cell>
          <cell r="O1141">
            <v>53.51</v>
          </cell>
          <cell r="P1141">
            <v>16</v>
          </cell>
          <cell r="Q1141">
            <v>16</v>
          </cell>
          <cell r="R1141">
            <v>0</v>
          </cell>
        </row>
        <row r="1142">
          <cell r="A1142" t="str">
            <v>5X1OU9ZGB07W6GVZFL</v>
          </cell>
          <cell r="B1142" t="str">
            <v>Q3-23</v>
          </cell>
          <cell r="C1142" t="str">
            <v>Europe Operations OU</v>
          </cell>
          <cell r="D1142">
            <v>2674345</v>
          </cell>
          <cell r="E1142" t="str">
            <v>Amazon EU SARL, succursale Italiana</v>
          </cell>
          <cell r="F1142" t="str">
            <v>5X1OU9ZG</v>
          </cell>
          <cell r="G1142" t="str">
            <v>B07W6GVZFL</v>
          </cell>
          <cell r="H1142" t="str">
            <v>910-006752</v>
          </cell>
          <cell r="I1142" t="str">
            <v>OE INVOICES</v>
          </cell>
          <cell r="J1142">
            <v>44422145489</v>
          </cell>
          <cell r="K1142">
            <v>44897</v>
          </cell>
          <cell r="L1142">
            <v>29</v>
          </cell>
          <cell r="M1142" t="str">
            <v>EUR</v>
          </cell>
          <cell r="N1142">
            <v>327.8</v>
          </cell>
          <cell r="O1142">
            <v>16.39</v>
          </cell>
          <cell r="P1142">
            <v>20</v>
          </cell>
          <cell r="Q1142">
            <v>20</v>
          </cell>
          <cell r="R1142">
            <v>0</v>
          </cell>
        </row>
        <row r="1143">
          <cell r="A1143" t="str">
            <v>5X1OU9ZGB07W6GW9BJ</v>
          </cell>
          <cell r="B1143" t="str">
            <v>Q3-23</v>
          </cell>
          <cell r="C1143" t="str">
            <v>Europe Operations OU</v>
          </cell>
          <cell r="D1143">
            <v>2674345</v>
          </cell>
          <cell r="E1143" t="str">
            <v>Amazon EU SARL, succursale Italiana</v>
          </cell>
          <cell r="F1143" t="str">
            <v>5X1OU9ZG</v>
          </cell>
          <cell r="G1143" t="str">
            <v>B07W6GW9BJ</v>
          </cell>
          <cell r="H1143" t="str">
            <v>910-006022</v>
          </cell>
          <cell r="I1143" t="str">
            <v>OE INVOICES</v>
          </cell>
          <cell r="J1143">
            <v>44422145489</v>
          </cell>
          <cell r="K1143">
            <v>44897</v>
          </cell>
          <cell r="L1143">
            <v>30</v>
          </cell>
          <cell r="M1143" t="str">
            <v>EUR</v>
          </cell>
          <cell r="N1143">
            <v>1181.76</v>
          </cell>
          <cell r="O1143">
            <v>36.93</v>
          </cell>
          <cell r="P1143">
            <v>32</v>
          </cell>
          <cell r="Q1143">
            <v>32</v>
          </cell>
          <cell r="R1143">
            <v>0</v>
          </cell>
        </row>
        <row r="1144">
          <cell r="A1144" t="str">
            <v>5X1OU9ZGB07W6GY66B</v>
          </cell>
          <cell r="B1144" t="str">
            <v>Q3-23</v>
          </cell>
          <cell r="C1144" t="str">
            <v>Europe Operations OU</v>
          </cell>
          <cell r="D1144">
            <v>2674345</v>
          </cell>
          <cell r="E1144" t="str">
            <v>Amazon EU SARL, succursale Italiana</v>
          </cell>
          <cell r="F1144" t="str">
            <v>5X1OU9ZG</v>
          </cell>
          <cell r="G1144" t="str">
            <v>B07W6GY66B</v>
          </cell>
          <cell r="H1144" t="str">
            <v>910-006547</v>
          </cell>
          <cell r="I1144" t="str">
            <v>OE INVOICES</v>
          </cell>
          <cell r="J1144">
            <v>44422145489</v>
          </cell>
          <cell r="K1144">
            <v>44897</v>
          </cell>
          <cell r="L1144">
            <v>31</v>
          </cell>
          <cell r="M1144" t="str">
            <v>EUR</v>
          </cell>
          <cell r="N1144">
            <v>234.2</v>
          </cell>
          <cell r="O1144">
            <v>23.42</v>
          </cell>
          <cell r="P1144">
            <v>10</v>
          </cell>
          <cell r="Q1144">
            <v>10</v>
          </cell>
          <cell r="R1144">
            <v>0</v>
          </cell>
        </row>
        <row r="1145">
          <cell r="A1145" t="str">
            <v>5X1OU9ZGB07W6H4R4J</v>
          </cell>
          <cell r="B1145" t="str">
            <v>Q3-23</v>
          </cell>
          <cell r="C1145" t="str">
            <v>Europe Operations OU</v>
          </cell>
          <cell r="D1145">
            <v>2674345</v>
          </cell>
          <cell r="E1145" t="str">
            <v>Amazon EU SARL, succursale Italiana</v>
          </cell>
          <cell r="F1145" t="str">
            <v>5X1OU9ZG</v>
          </cell>
          <cell r="G1145" t="str">
            <v>B07W6H4R4J</v>
          </cell>
          <cell r="H1145" t="str">
            <v>920-010454</v>
          </cell>
          <cell r="I1145" t="str">
            <v>OE INVOICES</v>
          </cell>
          <cell r="J1145">
            <v>44422145489</v>
          </cell>
          <cell r="K1145">
            <v>44897</v>
          </cell>
          <cell r="L1145">
            <v>32</v>
          </cell>
          <cell r="M1145" t="str">
            <v>EUR</v>
          </cell>
          <cell r="N1145">
            <v>1764.32</v>
          </cell>
          <cell r="O1145">
            <v>110.27</v>
          </cell>
          <cell r="P1145">
            <v>16</v>
          </cell>
          <cell r="Q1145">
            <v>16</v>
          </cell>
          <cell r="R1145">
            <v>0</v>
          </cell>
        </row>
        <row r="1146">
          <cell r="A1146" t="str">
            <v>5X1OU9ZGB07W6HXQ9J</v>
          </cell>
          <cell r="B1146" t="str">
            <v>Q3-23</v>
          </cell>
          <cell r="C1146" t="str">
            <v>Europe Operations OU</v>
          </cell>
          <cell r="D1146">
            <v>2674345</v>
          </cell>
          <cell r="E1146" t="str">
            <v>Amazon EU SARL, succursale Italiana</v>
          </cell>
          <cell r="F1146" t="str">
            <v>5X1OU9ZG</v>
          </cell>
          <cell r="G1146" t="str">
            <v>B07W6HXQ9J</v>
          </cell>
          <cell r="H1146" t="str">
            <v>910-006572</v>
          </cell>
          <cell r="I1146" t="str">
            <v>OE INVOICES</v>
          </cell>
          <cell r="J1146">
            <v>44422145489</v>
          </cell>
          <cell r="K1146">
            <v>44897</v>
          </cell>
          <cell r="L1146">
            <v>33</v>
          </cell>
          <cell r="M1146" t="str">
            <v>EUR</v>
          </cell>
          <cell r="N1146">
            <v>1508.2</v>
          </cell>
          <cell r="O1146">
            <v>75.41</v>
          </cell>
          <cell r="P1146">
            <v>20</v>
          </cell>
          <cell r="Q1146">
            <v>20</v>
          </cell>
          <cell r="R1146">
            <v>0</v>
          </cell>
        </row>
        <row r="1147">
          <cell r="A1147" t="str">
            <v>5X1OU9ZGB07W6HXZ5J</v>
          </cell>
          <cell r="B1147" t="str">
            <v>Q3-23</v>
          </cell>
          <cell r="C1147" t="str">
            <v>Europe Operations OU</v>
          </cell>
          <cell r="D1147">
            <v>2674345</v>
          </cell>
          <cell r="E1147" t="str">
            <v>Amazon EU SARL, succursale Italiana</v>
          </cell>
          <cell r="F1147" t="str">
            <v>5X1OU9ZG</v>
          </cell>
          <cell r="G1147" t="str">
            <v>B07W6HXZ5J</v>
          </cell>
          <cell r="H1147" t="str">
            <v>920-009413</v>
          </cell>
          <cell r="I1147" t="str">
            <v>OE INVOICES</v>
          </cell>
          <cell r="J1147">
            <v>44422145489</v>
          </cell>
          <cell r="K1147">
            <v>44897</v>
          </cell>
          <cell r="L1147">
            <v>34</v>
          </cell>
          <cell r="M1147" t="str">
            <v>EUR</v>
          </cell>
          <cell r="N1147">
            <v>301.64</v>
          </cell>
          <cell r="O1147">
            <v>75.41</v>
          </cell>
          <cell r="P1147">
            <v>4</v>
          </cell>
          <cell r="Q1147">
            <v>4</v>
          </cell>
          <cell r="R1147">
            <v>0</v>
          </cell>
        </row>
        <row r="1148">
          <cell r="A1148" t="str">
            <v>5X1OU9ZGB07W6J6WYH</v>
          </cell>
          <cell r="B1148" t="str">
            <v>Q3-23</v>
          </cell>
          <cell r="C1148" t="str">
            <v>Europe Operations OU</v>
          </cell>
          <cell r="D1148">
            <v>2674345</v>
          </cell>
          <cell r="E1148" t="str">
            <v>Amazon EU SARL, succursale Italiana</v>
          </cell>
          <cell r="F1148" t="str">
            <v>5X1OU9ZG</v>
          </cell>
          <cell r="G1148" t="str">
            <v>B07W6J6WYH</v>
          </cell>
          <cell r="H1148" t="str">
            <v>920-010727</v>
          </cell>
          <cell r="I1148" t="str">
            <v>OE INVOICES</v>
          </cell>
          <cell r="J1148">
            <v>44422145489</v>
          </cell>
          <cell r="K1148">
            <v>44897</v>
          </cell>
          <cell r="L1148">
            <v>35</v>
          </cell>
          <cell r="M1148" t="str">
            <v>EUR</v>
          </cell>
          <cell r="N1148">
            <v>1517.52</v>
          </cell>
          <cell r="O1148">
            <v>63.23</v>
          </cell>
          <cell r="P1148">
            <v>24</v>
          </cell>
          <cell r="Q1148">
            <v>24</v>
          </cell>
          <cell r="R1148">
            <v>0</v>
          </cell>
        </row>
        <row r="1149">
          <cell r="A1149" t="str">
            <v>5X1OU9ZGB07W6JHB2P</v>
          </cell>
          <cell r="B1149" t="str">
            <v>Q3-23</v>
          </cell>
          <cell r="C1149" t="str">
            <v>Europe Operations OU</v>
          </cell>
          <cell r="D1149">
            <v>2674345</v>
          </cell>
          <cell r="E1149" t="str">
            <v>Amazon EU SARL, succursale Italiana</v>
          </cell>
          <cell r="F1149" t="str">
            <v>5X1OU9ZG</v>
          </cell>
          <cell r="G1149" t="str">
            <v>B07W6JHB2P</v>
          </cell>
          <cell r="H1149" t="str">
            <v>910-006254</v>
          </cell>
          <cell r="I1149" t="str">
            <v>OE INVOICES</v>
          </cell>
          <cell r="J1149">
            <v>44422145489</v>
          </cell>
          <cell r="K1149">
            <v>44897</v>
          </cell>
          <cell r="L1149">
            <v>36</v>
          </cell>
          <cell r="M1149" t="str">
            <v>EUR</v>
          </cell>
          <cell r="N1149">
            <v>292.8</v>
          </cell>
          <cell r="O1149">
            <v>29.28</v>
          </cell>
          <cell r="P1149">
            <v>10</v>
          </cell>
          <cell r="Q1149">
            <v>10</v>
          </cell>
          <cell r="R1149">
            <v>0</v>
          </cell>
        </row>
        <row r="1150">
          <cell r="A1150" t="str">
            <v>5X1OU9ZGB07W6JNF81</v>
          </cell>
          <cell r="B1150" t="str">
            <v>Q3-23</v>
          </cell>
          <cell r="C1150" t="str">
            <v>Europe Operations OU</v>
          </cell>
          <cell r="D1150">
            <v>2674345</v>
          </cell>
          <cell r="E1150" t="str">
            <v>Amazon EU SARL, succursale Italiana</v>
          </cell>
          <cell r="F1150" t="str">
            <v>5X1OU9ZG</v>
          </cell>
          <cell r="G1150" t="str">
            <v>B07W6JNF81</v>
          </cell>
          <cell r="H1150" t="str">
            <v>920-010212</v>
          </cell>
          <cell r="I1150" t="str">
            <v>OE INVOICES</v>
          </cell>
          <cell r="J1150">
            <v>44422145489</v>
          </cell>
          <cell r="K1150">
            <v>44897</v>
          </cell>
          <cell r="L1150">
            <v>37</v>
          </cell>
          <cell r="M1150" t="str">
            <v>EUR</v>
          </cell>
          <cell r="N1150">
            <v>1067.3599999999999</v>
          </cell>
          <cell r="O1150">
            <v>133.41999999999999</v>
          </cell>
          <cell r="P1150">
            <v>8</v>
          </cell>
          <cell r="Q1150">
            <v>8</v>
          </cell>
          <cell r="R1150">
            <v>0</v>
          </cell>
        </row>
        <row r="1151">
          <cell r="A1151" t="str">
            <v>5X1OU9ZGB07W7JR6BZ</v>
          </cell>
          <cell r="B1151" t="str">
            <v>Q3-23</v>
          </cell>
          <cell r="C1151" t="str">
            <v>Europe Operations OU</v>
          </cell>
          <cell r="D1151">
            <v>2674345</v>
          </cell>
          <cell r="E1151" t="str">
            <v>Amazon EU SARL, succursale Italiana</v>
          </cell>
          <cell r="F1151" t="str">
            <v>5X1OU9ZG</v>
          </cell>
          <cell r="G1151" t="str">
            <v>B07W7JR6BZ</v>
          </cell>
          <cell r="H1151" t="str">
            <v>910-006255</v>
          </cell>
          <cell r="I1151" t="str">
            <v>OE INVOICES</v>
          </cell>
          <cell r="J1151">
            <v>44422145489</v>
          </cell>
          <cell r="K1151">
            <v>44897</v>
          </cell>
          <cell r="L1151">
            <v>38</v>
          </cell>
          <cell r="M1151" t="str">
            <v>EUR</v>
          </cell>
          <cell r="N1151">
            <v>585.6</v>
          </cell>
          <cell r="O1151">
            <v>29.28</v>
          </cell>
          <cell r="P1151">
            <v>20</v>
          </cell>
          <cell r="Q1151">
            <v>20</v>
          </cell>
          <cell r="R1151">
            <v>0</v>
          </cell>
        </row>
        <row r="1152">
          <cell r="A1152" t="str">
            <v>5X1OU9ZGB07W7JYN4P</v>
          </cell>
          <cell r="B1152" t="str">
            <v>Q3-23</v>
          </cell>
          <cell r="C1152" t="str">
            <v>Europe Operations OU</v>
          </cell>
          <cell r="D1152">
            <v>2674345</v>
          </cell>
          <cell r="E1152" t="str">
            <v>Amazon EU SARL, succursale Italiana</v>
          </cell>
          <cell r="F1152" t="str">
            <v>5X1OU9ZG</v>
          </cell>
          <cell r="G1152" t="str">
            <v>B07W7JYN4P</v>
          </cell>
          <cell r="H1152" t="str">
            <v>981-001213</v>
          </cell>
          <cell r="I1152" t="str">
            <v>OE INVOICES</v>
          </cell>
          <cell r="J1152">
            <v>44422145489</v>
          </cell>
          <cell r="K1152">
            <v>44897</v>
          </cell>
          <cell r="L1152">
            <v>39</v>
          </cell>
          <cell r="M1152" t="str">
            <v>EUR</v>
          </cell>
          <cell r="N1152">
            <v>1932.84</v>
          </cell>
          <cell r="O1152">
            <v>69.03</v>
          </cell>
          <cell r="P1152">
            <v>28</v>
          </cell>
          <cell r="Q1152">
            <v>28</v>
          </cell>
          <cell r="R1152">
            <v>0</v>
          </cell>
        </row>
        <row r="1153">
          <cell r="A1153" t="str">
            <v>5X1OU9ZGB07W7KCF3W</v>
          </cell>
          <cell r="B1153" t="str">
            <v>Q3-23</v>
          </cell>
          <cell r="C1153" t="str">
            <v>Europe Operations OU</v>
          </cell>
          <cell r="D1153">
            <v>2674345</v>
          </cell>
          <cell r="E1153" t="str">
            <v>Amazon EU SARL, succursale Italiana</v>
          </cell>
          <cell r="F1153" t="str">
            <v>5X1OU9ZG</v>
          </cell>
          <cell r="G1153" t="str">
            <v>B07W7KCF3W</v>
          </cell>
          <cell r="H1153" t="str">
            <v>910-005989</v>
          </cell>
          <cell r="I1153" t="str">
            <v>OE INVOICES</v>
          </cell>
          <cell r="J1153">
            <v>44422145489</v>
          </cell>
          <cell r="K1153">
            <v>44897</v>
          </cell>
          <cell r="L1153">
            <v>40</v>
          </cell>
          <cell r="M1153" t="str">
            <v>EUR</v>
          </cell>
          <cell r="N1153">
            <v>580</v>
          </cell>
          <cell r="O1153">
            <v>58</v>
          </cell>
          <cell r="P1153">
            <v>10</v>
          </cell>
          <cell r="Q1153">
            <v>10</v>
          </cell>
          <cell r="R1153">
            <v>0</v>
          </cell>
        </row>
        <row r="1154">
          <cell r="A1154" t="str">
            <v>5X1OU9ZGB07W7KMK4Y</v>
          </cell>
          <cell r="B1154" t="str">
            <v>Q3-23</v>
          </cell>
          <cell r="C1154" t="str">
            <v>Europe Operations OU</v>
          </cell>
          <cell r="D1154">
            <v>2674345</v>
          </cell>
          <cell r="E1154" t="str">
            <v>Amazon EU SARL, succursale Italiana</v>
          </cell>
          <cell r="F1154" t="str">
            <v>5X1OU9ZG</v>
          </cell>
          <cell r="G1154" t="str">
            <v>B07W7KMK4Y</v>
          </cell>
          <cell r="H1154" t="str">
            <v>920-010488</v>
          </cell>
          <cell r="I1154" t="str">
            <v>OE INVOICES</v>
          </cell>
          <cell r="J1154">
            <v>44422145489</v>
          </cell>
          <cell r="K1154">
            <v>44897</v>
          </cell>
          <cell r="L1154">
            <v>41</v>
          </cell>
          <cell r="M1154" t="str">
            <v>EUR</v>
          </cell>
          <cell r="N1154">
            <v>3865.68</v>
          </cell>
          <cell r="O1154">
            <v>69.03</v>
          </cell>
          <cell r="P1154">
            <v>56</v>
          </cell>
          <cell r="Q1154">
            <v>56</v>
          </cell>
          <cell r="R1154">
            <v>0</v>
          </cell>
        </row>
        <row r="1155">
          <cell r="A1155" t="str">
            <v>5X1OU9ZGB07W7L9JXH</v>
          </cell>
          <cell r="B1155" t="str">
            <v>Q3-23</v>
          </cell>
          <cell r="C1155" t="str">
            <v>Europe Operations OU</v>
          </cell>
          <cell r="D1155">
            <v>2674345</v>
          </cell>
          <cell r="E1155" t="str">
            <v>Amazon EU SARL, succursale Italiana</v>
          </cell>
          <cell r="F1155" t="str">
            <v>5X1OU9ZG</v>
          </cell>
          <cell r="G1155" t="str">
            <v>B07W7L9JXH</v>
          </cell>
          <cell r="H1155" t="str">
            <v>920-010523</v>
          </cell>
          <cell r="I1155" t="str">
            <v>OE INVOICES</v>
          </cell>
          <cell r="J1155">
            <v>44422145489</v>
          </cell>
          <cell r="K1155">
            <v>44897</v>
          </cell>
          <cell r="L1155">
            <v>42</v>
          </cell>
          <cell r="M1155" t="str">
            <v>EUR</v>
          </cell>
          <cell r="N1155">
            <v>552.24</v>
          </cell>
          <cell r="O1155">
            <v>69.03</v>
          </cell>
          <cell r="P1155">
            <v>8</v>
          </cell>
          <cell r="Q1155">
            <v>8</v>
          </cell>
          <cell r="R1155">
            <v>0</v>
          </cell>
        </row>
        <row r="1156">
          <cell r="A1156" t="str">
            <v>5X1OU9ZGB07W7LQDX7</v>
          </cell>
          <cell r="B1156" t="str">
            <v>Q3-23</v>
          </cell>
          <cell r="C1156" t="str">
            <v>Europe Operations OU</v>
          </cell>
          <cell r="D1156">
            <v>2674345</v>
          </cell>
          <cell r="E1156" t="str">
            <v>Amazon EU SARL, succursale Italiana</v>
          </cell>
          <cell r="F1156" t="str">
            <v>5X1OU9ZG</v>
          </cell>
          <cell r="G1156" t="str">
            <v>B07W7LQDX7</v>
          </cell>
          <cell r="H1156" t="str">
            <v>920-009520</v>
          </cell>
          <cell r="I1156" t="str">
            <v>OE INVOICES</v>
          </cell>
          <cell r="J1156">
            <v>44422145489</v>
          </cell>
          <cell r="K1156">
            <v>44897</v>
          </cell>
          <cell r="L1156">
            <v>43</v>
          </cell>
          <cell r="M1156" t="str">
            <v>EUR</v>
          </cell>
          <cell r="N1156">
            <v>1051.04</v>
          </cell>
          <cell r="O1156">
            <v>131.38</v>
          </cell>
          <cell r="P1156">
            <v>8</v>
          </cell>
          <cell r="Q1156">
            <v>8</v>
          </cell>
          <cell r="R1156">
            <v>0</v>
          </cell>
        </row>
        <row r="1157">
          <cell r="A1157" t="str">
            <v>5X1OU9ZGB07W7LXYTR</v>
          </cell>
          <cell r="B1157" t="str">
            <v>Q3-23</v>
          </cell>
          <cell r="C1157" t="str">
            <v>Europe Operations OU</v>
          </cell>
          <cell r="D1157">
            <v>2674345</v>
          </cell>
          <cell r="E1157" t="str">
            <v>Amazon EU SARL, succursale Italiana</v>
          </cell>
          <cell r="F1157" t="str">
            <v>5X1OU9ZG</v>
          </cell>
          <cell r="G1157" t="str">
            <v>B07W7LXYTR</v>
          </cell>
          <cell r="H1157" t="str">
            <v>920-010726</v>
          </cell>
          <cell r="I1157" t="str">
            <v>OE INVOICES</v>
          </cell>
          <cell r="J1157">
            <v>44422145489</v>
          </cell>
          <cell r="K1157">
            <v>44897</v>
          </cell>
          <cell r="L1157">
            <v>44</v>
          </cell>
          <cell r="M1157" t="str">
            <v>EUR</v>
          </cell>
          <cell r="N1157">
            <v>1770.44</v>
          </cell>
          <cell r="O1157">
            <v>63.23</v>
          </cell>
          <cell r="P1157">
            <v>28</v>
          </cell>
          <cell r="Q1157">
            <v>28</v>
          </cell>
          <cell r="R1157">
            <v>0</v>
          </cell>
        </row>
        <row r="1158">
          <cell r="A1158" t="str">
            <v>5X1OU9ZGB07W7MNYX5</v>
          </cell>
          <cell r="B1158" t="str">
            <v>Q3-23</v>
          </cell>
          <cell r="C1158" t="str">
            <v>Europe Operations OU</v>
          </cell>
          <cell r="D1158">
            <v>2674345</v>
          </cell>
          <cell r="E1158" t="str">
            <v>Amazon EU SARL, succursale Italiana</v>
          </cell>
          <cell r="F1158" t="str">
            <v>5X1OU9ZG</v>
          </cell>
          <cell r="G1158" t="str">
            <v>B07W7MNYX5</v>
          </cell>
          <cell r="H1158" t="str">
            <v>910-006753</v>
          </cell>
          <cell r="I1158" t="str">
            <v>OE INVOICES</v>
          </cell>
          <cell r="J1158">
            <v>44422145489</v>
          </cell>
          <cell r="K1158">
            <v>44897</v>
          </cell>
          <cell r="L1158">
            <v>45</v>
          </cell>
          <cell r="M1158" t="str">
            <v>EUR</v>
          </cell>
          <cell r="N1158">
            <v>1966.8</v>
          </cell>
          <cell r="O1158">
            <v>16.39</v>
          </cell>
          <cell r="P1158">
            <v>120</v>
          </cell>
          <cell r="Q1158">
            <v>120</v>
          </cell>
          <cell r="R1158">
            <v>0</v>
          </cell>
        </row>
        <row r="1159">
          <cell r="A1159" t="str">
            <v>5X1OU9ZGB07W7MZ93L</v>
          </cell>
          <cell r="B1159" t="str">
            <v>Q3-23</v>
          </cell>
          <cell r="C1159" t="str">
            <v>Europe Operations OU</v>
          </cell>
          <cell r="D1159">
            <v>2674345</v>
          </cell>
          <cell r="E1159" t="str">
            <v>Amazon EU SARL, succursale Italiana</v>
          </cell>
          <cell r="F1159" t="str">
            <v>5X1OU9ZG</v>
          </cell>
          <cell r="G1159" t="str">
            <v>B07W7MZ93L</v>
          </cell>
          <cell r="H1159" t="str">
            <v>920-010799</v>
          </cell>
          <cell r="I1159" t="str">
            <v>OE INVOICES</v>
          </cell>
          <cell r="J1159">
            <v>44422145489</v>
          </cell>
          <cell r="K1159">
            <v>44897</v>
          </cell>
          <cell r="L1159">
            <v>46</v>
          </cell>
          <cell r="M1159" t="str">
            <v>EUR</v>
          </cell>
          <cell r="N1159">
            <v>742.48</v>
          </cell>
          <cell r="O1159">
            <v>92.81</v>
          </cell>
          <cell r="P1159">
            <v>8</v>
          </cell>
          <cell r="Q1159">
            <v>8</v>
          </cell>
          <cell r="R1159">
            <v>0</v>
          </cell>
        </row>
        <row r="1160">
          <cell r="A1160" t="str">
            <v>5X1OU9ZGB07W8P4PDD</v>
          </cell>
          <cell r="B1160" t="str">
            <v>Q3-23</v>
          </cell>
          <cell r="C1160" t="str">
            <v>Europe Operations OU</v>
          </cell>
          <cell r="D1160">
            <v>2674345</v>
          </cell>
          <cell r="E1160" t="str">
            <v>Amazon EU SARL, succursale Italiana</v>
          </cell>
          <cell r="F1160" t="str">
            <v>5X1OU9ZG</v>
          </cell>
          <cell r="G1160" t="str">
            <v>B07W8P4PDD</v>
          </cell>
          <cell r="H1160" t="str">
            <v>910-006474</v>
          </cell>
          <cell r="I1160" t="str">
            <v>OE INVOICES</v>
          </cell>
          <cell r="J1160">
            <v>44422145489</v>
          </cell>
          <cell r="K1160">
            <v>44897</v>
          </cell>
          <cell r="L1160">
            <v>47</v>
          </cell>
          <cell r="M1160" t="str">
            <v>EUR</v>
          </cell>
          <cell r="N1160">
            <v>371.2</v>
          </cell>
          <cell r="O1160">
            <v>46.4</v>
          </cell>
          <cell r="P1160">
            <v>8</v>
          </cell>
          <cell r="Q1160">
            <v>8</v>
          </cell>
          <cell r="R1160">
            <v>0</v>
          </cell>
        </row>
        <row r="1161">
          <cell r="A1161" t="str">
            <v>5X874Q6MB07W7L19WV</v>
          </cell>
          <cell r="B1161" t="str">
            <v>Q3-23</v>
          </cell>
          <cell r="C1161" t="str">
            <v>Europe Operations OU</v>
          </cell>
          <cell r="D1161">
            <v>2674345</v>
          </cell>
          <cell r="E1161" t="str">
            <v>Amazon EU SARL, succursale Italiana</v>
          </cell>
          <cell r="F1161" t="str">
            <v>5X874Q6M</v>
          </cell>
          <cell r="G1161" t="str">
            <v>B07W7L19WV</v>
          </cell>
          <cell r="H1161" t="str">
            <v>920-009477</v>
          </cell>
          <cell r="I1161" t="str">
            <v>OE INVOICES</v>
          </cell>
          <cell r="J1161">
            <v>44422176566</v>
          </cell>
          <cell r="K1161">
            <v>44922</v>
          </cell>
          <cell r="L1161">
            <v>1</v>
          </cell>
          <cell r="M1161" t="str">
            <v>EUR</v>
          </cell>
          <cell r="N1161">
            <v>28768</v>
          </cell>
          <cell r="O1161">
            <v>58</v>
          </cell>
          <cell r="P1161">
            <v>496</v>
          </cell>
          <cell r="Q1161">
            <v>496</v>
          </cell>
          <cell r="R1161">
            <v>0</v>
          </cell>
        </row>
        <row r="1162">
          <cell r="A1162" t="str">
            <v>5YIK1RKMB07W4DHQJ9</v>
          </cell>
          <cell r="B1162" t="str">
            <v>Q3-23</v>
          </cell>
          <cell r="C1162" t="str">
            <v>Europe Operations OU</v>
          </cell>
          <cell r="D1162">
            <v>2674345</v>
          </cell>
          <cell r="E1162" t="str">
            <v>Amazon EU SARL, succursale Italiana</v>
          </cell>
          <cell r="F1162" t="str">
            <v>5YIK1RKM</v>
          </cell>
          <cell r="G1162" t="str">
            <v>B07W4DHQJ9</v>
          </cell>
          <cell r="H1162" t="str">
            <v>910-005872</v>
          </cell>
          <cell r="I1162" t="str">
            <v>OE INVOICES</v>
          </cell>
          <cell r="J1162">
            <v>44422170006</v>
          </cell>
          <cell r="K1162">
            <v>44915</v>
          </cell>
          <cell r="L1162">
            <v>1</v>
          </cell>
          <cell r="M1162" t="str">
            <v>EUR</v>
          </cell>
          <cell r="N1162">
            <v>638</v>
          </cell>
          <cell r="O1162">
            <v>31.9</v>
          </cell>
          <cell r="P1162">
            <v>20</v>
          </cell>
          <cell r="Q1162">
            <v>20</v>
          </cell>
          <cell r="R1162">
            <v>0</v>
          </cell>
        </row>
        <row r="1163">
          <cell r="A1163" t="str">
            <v>5YWSGF4JB01G7AWZEA</v>
          </cell>
          <cell r="B1163" t="str">
            <v>Q3-23</v>
          </cell>
          <cell r="C1163" t="str">
            <v>Europe Operations OU</v>
          </cell>
          <cell r="D1163">
            <v>2674345</v>
          </cell>
          <cell r="E1163" t="str">
            <v>Amazon EU SARL, succursale Italiana</v>
          </cell>
          <cell r="F1163" t="str">
            <v>5YWSGF4J</v>
          </cell>
          <cell r="G1163" t="str">
            <v>B01G7AWZEA</v>
          </cell>
          <cell r="H1163" t="str">
            <v>920-008018</v>
          </cell>
          <cell r="I1163" t="str">
            <v>OE INVOICES</v>
          </cell>
          <cell r="J1163">
            <v>44422177161</v>
          </cell>
          <cell r="K1163">
            <v>44922</v>
          </cell>
          <cell r="L1163">
            <v>1</v>
          </cell>
          <cell r="M1163" t="str">
            <v>EUR</v>
          </cell>
          <cell r="N1163">
            <v>420</v>
          </cell>
          <cell r="O1163">
            <v>105</v>
          </cell>
          <cell r="P1163">
            <v>4</v>
          </cell>
          <cell r="Q1163">
            <v>4</v>
          </cell>
          <cell r="R1163">
            <v>0</v>
          </cell>
        </row>
        <row r="1164">
          <cell r="A1164" t="str">
            <v>5YWSGF4JB07W1NZXRB</v>
          </cell>
          <cell r="B1164" t="str">
            <v>Q4-23</v>
          </cell>
          <cell r="C1164" t="str">
            <v>Europe Operations OU</v>
          </cell>
          <cell r="D1164">
            <v>2674345</v>
          </cell>
          <cell r="E1164" t="str">
            <v>Amazon EU SARL, succursale Italiana</v>
          </cell>
          <cell r="F1164" t="str">
            <v>5YWSGF4J</v>
          </cell>
          <cell r="G1164" t="str">
            <v>B07W1NZXRB</v>
          </cell>
          <cell r="H1164" t="str">
            <v>920-008910</v>
          </cell>
          <cell r="I1164" t="str">
            <v>OE INVOICES</v>
          </cell>
          <cell r="J1164">
            <v>44422188442</v>
          </cell>
          <cell r="K1164">
            <v>44931</v>
          </cell>
          <cell r="L1164">
            <v>1</v>
          </cell>
          <cell r="M1164" t="str">
            <v>EUR</v>
          </cell>
          <cell r="N1164">
            <v>567.72</v>
          </cell>
          <cell r="O1164">
            <v>141.93</v>
          </cell>
          <cell r="P1164">
            <v>4</v>
          </cell>
          <cell r="Q1164">
            <v>4</v>
          </cell>
          <cell r="R1164">
            <v>0</v>
          </cell>
        </row>
        <row r="1165">
          <cell r="A1165" t="str">
            <v>6451M4NBB0013N474I</v>
          </cell>
          <cell r="B1165" t="str">
            <v>Q3-23</v>
          </cell>
          <cell r="C1165" t="str">
            <v>Europe Operations OU</v>
          </cell>
          <cell r="D1165">
            <v>2674345</v>
          </cell>
          <cell r="E1165" t="str">
            <v>Amazon EU SARL, succursale Italiana</v>
          </cell>
          <cell r="F1165" t="str">
            <v>6451M4NB</v>
          </cell>
          <cell r="G1165" t="str">
            <v>B0013N474I</v>
          </cell>
          <cell r="H1165" t="str">
            <v>981-000100</v>
          </cell>
          <cell r="I1165" t="str">
            <v>OE INVOICES</v>
          </cell>
          <cell r="J1165">
            <v>44422133379</v>
          </cell>
          <cell r="K1165">
            <v>44890</v>
          </cell>
          <cell r="L1165">
            <v>1</v>
          </cell>
          <cell r="M1165" t="str">
            <v>EUR</v>
          </cell>
          <cell r="N1165">
            <v>820</v>
          </cell>
          <cell r="O1165">
            <v>20.5</v>
          </cell>
          <cell r="P1165">
            <v>40</v>
          </cell>
          <cell r="Q1165">
            <v>40</v>
          </cell>
          <cell r="R1165">
            <v>0</v>
          </cell>
        </row>
        <row r="1166">
          <cell r="A1166" t="str">
            <v>6451M4NBB00745IE2K</v>
          </cell>
          <cell r="B1166" t="str">
            <v>Q3-23</v>
          </cell>
          <cell r="C1166" t="str">
            <v>Europe Operations OU</v>
          </cell>
          <cell r="D1166">
            <v>2674345</v>
          </cell>
          <cell r="E1166" t="str">
            <v>Amazon EU SARL, succursale Italiana</v>
          </cell>
          <cell r="F1166" t="str">
            <v>6451M4NB</v>
          </cell>
          <cell r="G1166" t="str">
            <v>B00745IE2K</v>
          </cell>
          <cell r="H1166" t="str">
            <v>910-002735</v>
          </cell>
          <cell r="I1166" t="str">
            <v>OE INVOICES</v>
          </cell>
          <cell r="J1166">
            <v>44422145493</v>
          </cell>
          <cell r="K1166">
            <v>44897</v>
          </cell>
          <cell r="L1166">
            <v>1</v>
          </cell>
          <cell r="M1166" t="str">
            <v>EUR</v>
          </cell>
          <cell r="N1166">
            <v>412.16</v>
          </cell>
          <cell r="O1166">
            <v>12.88</v>
          </cell>
          <cell r="P1166">
            <v>32</v>
          </cell>
          <cell r="Q1166">
            <v>32</v>
          </cell>
          <cell r="R1166">
            <v>0</v>
          </cell>
        </row>
        <row r="1167">
          <cell r="A1167" t="str">
            <v>6451M4NBB00G2Y44ZK</v>
          </cell>
          <cell r="B1167" t="str">
            <v>Q3-23</v>
          </cell>
          <cell r="C1167" t="str">
            <v>Europe Operations OU</v>
          </cell>
          <cell r="D1167">
            <v>2674345</v>
          </cell>
          <cell r="E1167" t="str">
            <v>Amazon EU SARL, succursale Italiana</v>
          </cell>
          <cell r="F1167" t="str">
            <v>6451M4NB</v>
          </cell>
          <cell r="G1167" t="str">
            <v>B00G2Y44ZK</v>
          </cell>
          <cell r="H1167" t="str">
            <v>980-000742</v>
          </cell>
          <cell r="I1167" t="str">
            <v>OE INVOICES</v>
          </cell>
          <cell r="J1167">
            <v>44422133379</v>
          </cell>
          <cell r="K1167">
            <v>44890</v>
          </cell>
          <cell r="L1167">
            <v>2</v>
          </cell>
          <cell r="M1167" t="str">
            <v>EUR</v>
          </cell>
          <cell r="N1167">
            <v>860</v>
          </cell>
          <cell r="O1167">
            <v>86</v>
          </cell>
          <cell r="P1167">
            <v>10</v>
          </cell>
          <cell r="Q1167">
            <v>10</v>
          </cell>
          <cell r="R1167">
            <v>0</v>
          </cell>
        </row>
        <row r="1168">
          <cell r="A1168" t="str">
            <v>6451M4NBB01K7GEAF2</v>
          </cell>
          <cell r="B1168" t="str">
            <v>Q3-23</v>
          </cell>
          <cell r="C1168" t="str">
            <v>Europe Operations OU</v>
          </cell>
          <cell r="D1168">
            <v>2674345</v>
          </cell>
          <cell r="E1168" t="str">
            <v>Amazon EU SARL, succursale Italiana</v>
          </cell>
          <cell r="F1168" t="str">
            <v>6451M4NB</v>
          </cell>
          <cell r="G1168" t="str">
            <v>B01K7GEAF2</v>
          </cell>
          <cell r="H1168" t="str">
            <v>910-004879</v>
          </cell>
          <cell r="I1168" t="str">
            <v>OE INVOICES</v>
          </cell>
          <cell r="J1168">
            <v>44422133379</v>
          </cell>
          <cell r="K1168">
            <v>44890</v>
          </cell>
          <cell r="L1168">
            <v>3</v>
          </cell>
          <cell r="M1168" t="str">
            <v>EUR</v>
          </cell>
          <cell r="N1168">
            <v>327.8</v>
          </cell>
          <cell r="O1168">
            <v>16.39</v>
          </cell>
          <cell r="P1168">
            <v>20</v>
          </cell>
          <cell r="Q1168">
            <v>20</v>
          </cell>
          <cell r="R1168">
            <v>0</v>
          </cell>
        </row>
        <row r="1169">
          <cell r="A1169" t="str">
            <v>6451M4NBB01M9EWQ2W</v>
          </cell>
          <cell r="B1169" t="str">
            <v>Q3-23</v>
          </cell>
          <cell r="C1169" t="str">
            <v>Europe Operations OU</v>
          </cell>
          <cell r="D1169">
            <v>2674345</v>
          </cell>
          <cell r="E1169" t="str">
            <v>Amazon EU SARL, succursale Italiana</v>
          </cell>
          <cell r="F1169" t="str">
            <v>6451M4NB</v>
          </cell>
          <cell r="G1169" t="str">
            <v>B01M9EWQ2W</v>
          </cell>
          <cell r="H1169" t="str">
            <v>945-000006</v>
          </cell>
          <cell r="I1169" t="str">
            <v>OE INVOICES</v>
          </cell>
          <cell r="J1169">
            <v>44422133379</v>
          </cell>
          <cell r="K1169">
            <v>44890</v>
          </cell>
          <cell r="L1169">
            <v>4</v>
          </cell>
          <cell r="M1169" t="str">
            <v>EUR</v>
          </cell>
          <cell r="N1169">
            <v>1322.16</v>
          </cell>
          <cell r="O1169">
            <v>94.44</v>
          </cell>
          <cell r="P1169">
            <v>14</v>
          </cell>
          <cell r="Q1169">
            <v>14</v>
          </cell>
          <cell r="R1169">
            <v>0</v>
          </cell>
        </row>
        <row r="1170">
          <cell r="A1170" t="str">
            <v>6451M4NBB06WP4QCKT</v>
          </cell>
          <cell r="B1170" t="str">
            <v>Q3-23</v>
          </cell>
          <cell r="C1170" t="str">
            <v>Europe Operations OU</v>
          </cell>
          <cell r="D1170">
            <v>2674345</v>
          </cell>
          <cell r="E1170" t="str">
            <v>Amazon EU SARL, succursale Italiana</v>
          </cell>
          <cell r="F1170" t="str">
            <v>6451M4NB</v>
          </cell>
          <cell r="G1170" t="str">
            <v>B06WP4QCKT</v>
          </cell>
          <cell r="H1170" t="str">
            <v>910-004861</v>
          </cell>
          <cell r="I1170" t="str">
            <v>OE INVOICES</v>
          </cell>
          <cell r="J1170">
            <v>44422133379</v>
          </cell>
          <cell r="K1170">
            <v>44890</v>
          </cell>
          <cell r="L1170">
            <v>5</v>
          </cell>
          <cell r="M1170" t="str">
            <v>EUR</v>
          </cell>
          <cell r="N1170">
            <v>1740.2</v>
          </cell>
          <cell r="O1170">
            <v>87.01</v>
          </cell>
          <cell r="P1170">
            <v>20</v>
          </cell>
          <cell r="Q1170">
            <v>20</v>
          </cell>
          <cell r="R1170">
            <v>0</v>
          </cell>
        </row>
        <row r="1171">
          <cell r="A1171" t="str">
            <v>6451M4NBB0746NQ6PF</v>
          </cell>
          <cell r="B1171" t="str">
            <v>Q3-23</v>
          </cell>
          <cell r="C1171" t="str">
            <v>Europe Operations OU</v>
          </cell>
          <cell r="D1171">
            <v>2674345</v>
          </cell>
          <cell r="E1171" t="str">
            <v>Amazon EU SARL, succursale Italiana</v>
          </cell>
          <cell r="F1171" t="str">
            <v>6451M4NB</v>
          </cell>
          <cell r="G1171" t="str">
            <v>B0746NQ6PF</v>
          </cell>
          <cell r="H1171" t="str">
            <v>910-005101</v>
          </cell>
          <cell r="I1171" t="str">
            <v>OE INVOICES</v>
          </cell>
          <cell r="J1171">
            <v>44422133379</v>
          </cell>
          <cell r="K1171">
            <v>44890</v>
          </cell>
          <cell r="L1171">
            <v>6</v>
          </cell>
          <cell r="M1171" t="str">
            <v>EUR</v>
          </cell>
          <cell r="N1171">
            <v>358.72</v>
          </cell>
          <cell r="O1171">
            <v>44.84</v>
          </cell>
          <cell r="P1171">
            <v>8</v>
          </cell>
          <cell r="Q1171">
            <v>8</v>
          </cell>
          <cell r="R1171">
            <v>0</v>
          </cell>
        </row>
        <row r="1172">
          <cell r="A1172" t="str">
            <v>6451M4NBB074PC6RH1</v>
          </cell>
          <cell r="B1172" t="str">
            <v>Q3-23</v>
          </cell>
          <cell r="C1172" t="str">
            <v>Europe Operations OU</v>
          </cell>
          <cell r="D1172">
            <v>2674345</v>
          </cell>
          <cell r="E1172" t="str">
            <v>Amazon EU SARL, succursale Italiana</v>
          </cell>
          <cell r="F1172" t="str">
            <v>6451M4NB</v>
          </cell>
          <cell r="G1172" t="str">
            <v>B074PC6RH1</v>
          </cell>
          <cell r="H1172" t="str">
            <v>980-001293</v>
          </cell>
          <cell r="I1172" t="str">
            <v>OE INVOICES</v>
          </cell>
          <cell r="J1172">
            <v>44422133379</v>
          </cell>
          <cell r="K1172">
            <v>44890</v>
          </cell>
          <cell r="L1172">
            <v>7</v>
          </cell>
          <cell r="M1172" t="str">
            <v>EUR</v>
          </cell>
          <cell r="N1172">
            <v>163.96</v>
          </cell>
          <cell r="O1172">
            <v>40.99</v>
          </cell>
          <cell r="P1172">
            <v>4</v>
          </cell>
          <cell r="Q1172">
            <v>4</v>
          </cell>
          <cell r="R1172">
            <v>0</v>
          </cell>
        </row>
        <row r="1173">
          <cell r="A1173" t="str">
            <v>6451M4NBB079Z3DSBK</v>
          </cell>
          <cell r="B1173" t="str">
            <v>Q3-23</v>
          </cell>
          <cell r="C1173" t="str">
            <v>Europe Operations OU</v>
          </cell>
          <cell r="D1173">
            <v>2674345</v>
          </cell>
          <cell r="E1173" t="str">
            <v>Amazon EU SARL, succursale Italiana</v>
          </cell>
          <cell r="F1173" t="str">
            <v>6451M4NB</v>
          </cell>
          <cell r="G1173" t="str">
            <v>B079Z3DSBK</v>
          </cell>
          <cell r="H1173" t="str">
            <v>945-000059</v>
          </cell>
          <cell r="I1173" t="str">
            <v>OE INVOICES</v>
          </cell>
          <cell r="J1173">
            <v>44422133379</v>
          </cell>
          <cell r="K1173">
            <v>44890</v>
          </cell>
          <cell r="L1173">
            <v>8</v>
          </cell>
          <cell r="M1173" t="str">
            <v>EUR</v>
          </cell>
          <cell r="N1173">
            <v>2681.92</v>
          </cell>
          <cell r="O1173">
            <v>157.76</v>
          </cell>
          <cell r="P1173">
            <v>17</v>
          </cell>
          <cell r="Q1173">
            <v>17</v>
          </cell>
          <cell r="R1173">
            <v>0</v>
          </cell>
        </row>
        <row r="1174">
          <cell r="A1174" t="str">
            <v>6451M4NBB07CGNDZR3</v>
          </cell>
          <cell r="B1174" t="str">
            <v>Q3-23</v>
          </cell>
          <cell r="C1174" t="str">
            <v>Europe Operations OU</v>
          </cell>
          <cell r="D1174">
            <v>2674345</v>
          </cell>
          <cell r="E1174" t="str">
            <v>Amazon EU SARL, succursale Italiana</v>
          </cell>
          <cell r="F1174" t="str">
            <v>6451M4NB</v>
          </cell>
          <cell r="G1174" t="str">
            <v>B07CGNDZR3</v>
          </cell>
          <cell r="H1174" t="str">
            <v>910-005282</v>
          </cell>
          <cell r="I1174" t="str">
            <v>OE INVOICES</v>
          </cell>
          <cell r="J1174">
            <v>44422145493</v>
          </cell>
          <cell r="K1174">
            <v>44897</v>
          </cell>
          <cell r="L1174">
            <v>2</v>
          </cell>
          <cell r="M1174" t="str">
            <v>EUR</v>
          </cell>
          <cell r="N1174">
            <v>590.88</v>
          </cell>
          <cell r="O1174">
            <v>36.93</v>
          </cell>
          <cell r="P1174">
            <v>16</v>
          </cell>
          <cell r="Q1174">
            <v>16</v>
          </cell>
          <cell r="R1174">
            <v>0</v>
          </cell>
        </row>
        <row r="1175">
          <cell r="A1175" t="str">
            <v>6451M4NBB07G6DKDY8</v>
          </cell>
          <cell r="B1175" t="str">
            <v>Q3-23</v>
          </cell>
          <cell r="C1175" t="str">
            <v>Europe Operations OU</v>
          </cell>
          <cell r="D1175">
            <v>2674345</v>
          </cell>
          <cell r="E1175" t="str">
            <v>Amazon EU SARL, succursale Italiana</v>
          </cell>
          <cell r="F1175" t="str">
            <v>6451M4NB</v>
          </cell>
          <cell r="G1175" t="str">
            <v>B07G6DKDY8</v>
          </cell>
          <cell r="H1175" t="str">
            <v>984-001363</v>
          </cell>
          <cell r="I1175" t="str">
            <v>OE INVOICES</v>
          </cell>
          <cell r="J1175">
            <v>44422145493</v>
          </cell>
          <cell r="K1175">
            <v>44897</v>
          </cell>
          <cell r="L1175">
            <v>3</v>
          </cell>
          <cell r="M1175" t="str">
            <v>EUR</v>
          </cell>
          <cell r="N1175">
            <v>1594.6</v>
          </cell>
          <cell r="O1175">
            <v>79.73</v>
          </cell>
          <cell r="P1175">
            <v>20</v>
          </cell>
          <cell r="Q1175">
            <v>20</v>
          </cell>
          <cell r="R1175">
            <v>0</v>
          </cell>
        </row>
        <row r="1176">
          <cell r="A1176" t="str">
            <v>6451M4NBB07G6DL332</v>
          </cell>
          <cell r="B1176" t="str">
            <v>Q3-23</v>
          </cell>
          <cell r="C1176" t="str">
            <v>Europe Operations OU</v>
          </cell>
          <cell r="D1176">
            <v>2674345</v>
          </cell>
          <cell r="E1176" t="str">
            <v>Amazon EU SARL, succursale Italiana</v>
          </cell>
          <cell r="F1176" t="str">
            <v>6451M4NB</v>
          </cell>
          <cell r="G1176" t="str">
            <v>B07G6DL332</v>
          </cell>
          <cell r="H1176" t="str">
            <v>984-001405</v>
          </cell>
          <cell r="I1176" t="str">
            <v>OE INVOICES</v>
          </cell>
          <cell r="J1176">
            <v>44422133379</v>
          </cell>
          <cell r="K1176">
            <v>44890</v>
          </cell>
          <cell r="L1176">
            <v>9</v>
          </cell>
          <cell r="M1176" t="str">
            <v>EUR</v>
          </cell>
          <cell r="N1176">
            <v>2129.8000000000002</v>
          </cell>
          <cell r="O1176">
            <v>106.49</v>
          </cell>
          <cell r="P1176">
            <v>20</v>
          </cell>
          <cell r="Q1176">
            <v>20</v>
          </cell>
          <cell r="R1176">
            <v>0</v>
          </cell>
        </row>
        <row r="1177">
          <cell r="A1177" t="str">
            <v>6451M4NBB07H3HGS9R</v>
          </cell>
          <cell r="B1177" t="str">
            <v>Q3-23</v>
          </cell>
          <cell r="C1177" t="str">
            <v>Europe Operations OU</v>
          </cell>
          <cell r="D1177">
            <v>2674345</v>
          </cell>
          <cell r="E1177" t="str">
            <v>Amazon EU SARL, succursale Italiana</v>
          </cell>
          <cell r="F1177" t="str">
            <v>6451M4NB</v>
          </cell>
          <cell r="G1177" t="str">
            <v>B07H3HGS9R</v>
          </cell>
          <cell r="H1177" t="str">
            <v>910-005508</v>
          </cell>
          <cell r="I1177" t="str">
            <v>OE INVOICES</v>
          </cell>
          <cell r="J1177">
            <v>44422145493</v>
          </cell>
          <cell r="K1177">
            <v>44897</v>
          </cell>
          <cell r="L1177">
            <v>4</v>
          </cell>
          <cell r="M1177" t="str">
            <v>EUR</v>
          </cell>
          <cell r="N1177">
            <v>1965.6</v>
          </cell>
          <cell r="O1177">
            <v>7.02</v>
          </cell>
          <cell r="P1177">
            <v>280</v>
          </cell>
          <cell r="Q1177">
            <v>280</v>
          </cell>
          <cell r="R1177">
            <v>0</v>
          </cell>
        </row>
        <row r="1178">
          <cell r="A1178" t="str">
            <v>6451M4NBB07MTY7N22</v>
          </cell>
          <cell r="B1178" t="str">
            <v>Q3-23</v>
          </cell>
          <cell r="C1178" t="str">
            <v>Europe Operations OU</v>
          </cell>
          <cell r="D1178">
            <v>2674345</v>
          </cell>
          <cell r="E1178" t="str">
            <v>Amazon EU SARL, succursale Italiana</v>
          </cell>
          <cell r="F1178" t="str">
            <v>6451M4NB</v>
          </cell>
          <cell r="G1178" t="str">
            <v>B07MTY7N22</v>
          </cell>
          <cell r="H1178" t="str">
            <v>981-000744</v>
          </cell>
          <cell r="I1178" t="str">
            <v>OE INVOICES</v>
          </cell>
          <cell r="J1178">
            <v>44422133379</v>
          </cell>
          <cell r="K1178">
            <v>44890</v>
          </cell>
          <cell r="L1178">
            <v>10</v>
          </cell>
          <cell r="M1178" t="str">
            <v>EUR</v>
          </cell>
          <cell r="N1178">
            <v>15960</v>
          </cell>
          <cell r="O1178">
            <v>105</v>
          </cell>
          <cell r="P1178">
            <v>152</v>
          </cell>
          <cell r="Q1178">
            <v>152</v>
          </cell>
          <cell r="R1178">
            <v>0</v>
          </cell>
        </row>
        <row r="1179">
          <cell r="A1179" t="str">
            <v>6451M4NBB07VRLJHFH</v>
          </cell>
          <cell r="B1179" t="str">
            <v>Q3-23</v>
          </cell>
          <cell r="C1179" t="str">
            <v>Europe Operations OU</v>
          </cell>
          <cell r="D1179">
            <v>2674345</v>
          </cell>
          <cell r="E1179" t="str">
            <v>Amazon EU SARL, succursale Italiana</v>
          </cell>
          <cell r="F1179" t="str">
            <v>6451M4NB</v>
          </cell>
          <cell r="G1179" t="str">
            <v>B07VRLJHFH</v>
          </cell>
          <cell r="H1179" t="str">
            <v>920-009203</v>
          </cell>
          <cell r="I1179" t="str">
            <v>OE INVOICES</v>
          </cell>
          <cell r="J1179">
            <v>44422145493</v>
          </cell>
          <cell r="K1179">
            <v>44897</v>
          </cell>
          <cell r="L1179">
            <v>5</v>
          </cell>
          <cell r="M1179" t="str">
            <v>EUR</v>
          </cell>
          <cell r="N1179">
            <v>140.52000000000001</v>
          </cell>
          <cell r="O1179">
            <v>35.130000000000003</v>
          </cell>
          <cell r="P1179">
            <v>4</v>
          </cell>
          <cell r="Q1179">
            <v>4</v>
          </cell>
          <cell r="R1179">
            <v>0</v>
          </cell>
        </row>
        <row r="1180">
          <cell r="A1180" t="str">
            <v>6451M4NBB07W4DGC27</v>
          </cell>
          <cell r="B1180" t="str">
            <v>Q3-23</v>
          </cell>
          <cell r="C1180" t="str">
            <v>Europe Operations OU</v>
          </cell>
          <cell r="D1180">
            <v>2674345</v>
          </cell>
          <cell r="E1180" t="str">
            <v>Amazon EU SARL, succursale Italiana</v>
          </cell>
          <cell r="F1180" t="str">
            <v>6451M4NB</v>
          </cell>
          <cell r="G1180" t="str">
            <v>B07W4DGC27</v>
          </cell>
          <cell r="H1180" t="str">
            <v>910-006473</v>
          </cell>
          <cell r="I1180" t="str">
            <v>OE INVOICES</v>
          </cell>
          <cell r="J1180">
            <v>44422145493</v>
          </cell>
          <cell r="K1180">
            <v>44897</v>
          </cell>
          <cell r="L1180">
            <v>6</v>
          </cell>
          <cell r="M1180" t="str">
            <v>EUR</v>
          </cell>
          <cell r="N1180">
            <v>11692.8</v>
          </cell>
          <cell r="O1180">
            <v>46.4</v>
          </cell>
          <cell r="P1180">
            <v>252</v>
          </cell>
          <cell r="Q1180">
            <v>252</v>
          </cell>
          <cell r="R1180">
            <v>0</v>
          </cell>
        </row>
        <row r="1181">
          <cell r="A1181" t="str">
            <v>6451M4NBB07W4DGFSM</v>
          </cell>
          <cell r="B1181" t="str">
            <v>Q3-23</v>
          </cell>
          <cell r="C1181" t="str">
            <v>Europe Operations OU</v>
          </cell>
          <cell r="D1181">
            <v>2674345</v>
          </cell>
          <cell r="E1181" t="str">
            <v>Amazon EU SARL, succursale Italiana</v>
          </cell>
          <cell r="F1181" t="str">
            <v>6451M4NB</v>
          </cell>
          <cell r="G1181" t="str">
            <v>B07W4DGFSM</v>
          </cell>
          <cell r="H1181" t="str">
            <v>910-006560</v>
          </cell>
          <cell r="I1181" t="str">
            <v>OE INVOICES</v>
          </cell>
          <cell r="J1181">
            <v>44422133379</v>
          </cell>
          <cell r="K1181">
            <v>44890</v>
          </cell>
          <cell r="L1181">
            <v>11</v>
          </cell>
          <cell r="M1181" t="str">
            <v>EUR</v>
          </cell>
          <cell r="N1181">
            <v>3016.4</v>
          </cell>
          <cell r="O1181">
            <v>75.41</v>
          </cell>
          <cell r="P1181">
            <v>40</v>
          </cell>
          <cell r="Q1181">
            <v>40</v>
          </cell>
          <cell r="R1181">
            <v>0</v>
          </cell>
        </row>
        <row r="1182">
          <cell r="A1182" t="str">
            <v>6451M4NBB07W4DGQC1</v>
          </cell>
          <cell r="B1182" t="str">
            <v>Q3-23</v>
          </cell>
          <cell r="C1182" t="str">
            <v>Europe Operations OU</v>
          </cell>
          <cell r="D1182">
            <v>2674345</v>
          </cell>
          <cell r="E1182" t="str">
            <v>Amazon EU SARL, succursale Italiana</v>
          </cell>
          <cell r="F1182" t="str">
            <v>6451M4NB</v>
          </cell>
          <cell r="G1182" t="str">
            <v>B07W4DGQC1</v>
          </cell>
          <cell r="H1182" t="str">
            <v>961-000501</v>
          </cell>
          <cell r="I1182" t="str">
            <v>OE INVOICES</v>
          </cell>
          <cell r="J1182">
            <v>44422133379</v>
          </cell>
          <cell r="K1182">
            <v>44890</v>
          </cell>
          <cell r="L1182">
            <v>12</v>
          </cell>
          <cell r="M1182" t="str">
            <v>EUR</v>
          </cell>
          <cell r="N1182">
            <v>3056.36</v>
          </cell>
          <cell r="O1182">
            <v>764.09</v>
          </cell>
          <cell r="P1182">
            <v>4</v>
          </cell>
          <cell r="Q1182">
            <v>4</v>
          </cell>
          <cell r="R1182">
            <v>0</v>
          </cell>
        </row>
        <row r="1183">
          <cell r="A1183" t="str">
            <v>6451M4NBB07W4DHMVB</v>
          </cell>
          <cell r="B1183" t="str">
            <v>Q3-23</v>
          </cell>
          <cell r="C1183" t="str">
            <v>Europe Operations OU</v>
          </cell>
          <cell r="D1183">
            <v>2674345</v>
          </cell>
          <cell r="E1183" t="str">
            <v>Amazon EU SARL, succursale Italiana</v>
          </cell>
          <cell r="F1183" t="str">
            <v>6451M4NB</v>
          </cell>
          <cell r="G1183" t="str">
            <v>B07W4DHMVB</v>
          </cell>
          <cell r="H1183" t="str">
            <v>981-001074</v>
          </cell>
          <cell r="I1183" t="str">
            <v>OE INVOICES</v>
          </cell>
          <cell r="J1183">
            <v>44422133379</v>
          </cell>
          <cell r="K1183">
            <v>44890</v>
          </cell>
          <cell r="L1183">
            <v>13</v>
          </cell>
          <cell r="M1183" t="str">
            <v>EUR</v>
          </cell>
          <cell r="N1183">
            <v>1434.88</v>
          </cell>
          <cell r="O1183">
            <v>44.84</v>
          </cell>
          <cell r="P1183">
            <v>32</v>
          </cell>
          <cell r="Q1183">
            <v>32</v>
          </cell>
          <cell r="R1183">
            <v>0</v>
          </cell>
        </row>
        <row r="1184">
          <cell r="A1184" t="str">
            <v>6451M4NBB07W4DJF29</v>
          </cell>
          <cell r="B1184" t="str">
            <v>Q3-23</v>
          </cell>
          <cell r="C1184" t="str">
            <v>Europe Operations OU</v>
          </cell>
          <cell r="D1184">
            <v>2674345</v>
          </cell>
          <cell r="E1184" t="str">
            <v>Amazon EU SARL, succursale Italiana</v>
          </cell>
          <cell r="F1184" t="str">
            <v>6451M4NB</v>
          </cell>
          <cell r="G1184" t="str">
            <v>B07W4DJF29</v>
          </cell>
          <cell r="H1184" t="str">
            <v>981-001083</v>
          </cell>
          <cell r="I1184" t="str">
            <v>OE INVOICES</v>
          </cell>
          <cell r="J1184">
            <v>44422133379</v>
          </cell>
          <cell r="K1184">
            <v>44890</v>
          </cell>
          <cell r="L1184">
            <v>14</v>
          </cell>
          <cell r="M1184" t="str">
            <v>EUR</v>
          </cell>
          <cell r="N1184">
            <v>483.32</v>
          </cell>
          <cell r="O1184">
            <v>120.83</v>
          </cell>
          <cell r="P1184">
            <v>4</v>
          </cell>
          <cell r="Q1184">
            <v>4</v>
          </cell>
          <cell r="R1184">
            <v>0</v>
          </cell>
        </row>
        <row r="1185">
          <cell r="A1185" t="str">
            <v>6451M4NBB07W5JHF97</v>
          </cell>
          <cell r="B1185" t="str">
            <v>Q3-23</v>
          </cell>
          <cell r="C1185" t="str">
            <v>Europe Operations OU</v>
          </cell>
          <cell r="D1185">
            <v>2674345</v>
          </cell>
          <cell r="E1185" t="str">
            <v>Amazon EU SARL, succursale Italiana</v>
          </cell>
          <cell r="F1185" t="str">
            <v>6451M4NB</v>
          </cell>
          <cell r="G1185" t="str">
            <v>B07W5JHF97</v>
          </cell>
          <cell r="H1185" t="str">
            <v>984-001829</v>
          </cell>
          <cell r="I1185" t="str">
            <v>OE INVOICES</v>
          </cell>
          <cell r="J1185">
            <v>44422145493</v>
          </cell>
          <cell r="K1185">
            <v>44897</v>
          </cell>
          <cell r="L1185">
            <v>7</v>
          </cell>
          <cell r="M1185" t="str">
            <v>EUR</v>
          </cell>
          <cell r="N1185">
            <v>856.16</v>
          </cell>
          <cell r="O1185">
            <v>53.51</v>
          </cell>
          <cell r="P1185">
            <v>16</v>
          </cell>
          <cell r="Q1185">
            <v>16</v>
          </cell>
          <cell r="R1185">
            <v>0</v>
          </cell>
        </row>
        <row r="1186">
          <cell r="A1186" t="str">
            <v>6451M4NBB07W5JJ1WH</v>
          </cell>
          <cell r="B1186" t="str">
            <v>Q3-23</v>
          </cell>
          <cell r="C1186" t="str">
            <v>Europe Operations OU</v>
          </cell>
          <cell r="D1186">
            <v>2674345</v>
          </cell>
          <cell r="E1186" t="str">
            <v>Amazon EU SARL, succursale Italiana</v>
          </cell>
          <cell r="F1186" t="str">
            <v>6451M4NB</v>
          </cell>
          <cell r="G1186" t="str">
            <v>B07W5JJ1WH</v>
          </cell>
          <cell r="H1186" t="str">
            <v>920-009409</v>
          </cell>
          <cell r="I1186" t="str">
            <v>OE INVOICES</v>
          </cell>
          <cell r="J1186">
            <v>44422133379</v>
          </cell>
          <cell r="K1186">
            <v>44890</v>
          </cell>
          <cell r="L1186">
            <v>15</v>
          </cell>
          <cell r="M1186" t="str">
            <v>EUR</v>
          </cell>
          <cell r="N1186">
            <v>60931.28</v>
          </cell>
          <cell r="O1186">
            <v>75.41</v>
          </cell>
          <cell r="P1186">
            <v>808</v>
          </cell>
          <cell r="Q1186">
            <v>808</v>
          </cell>
          <cell r="R1186">
            <v>0</v>
          </cell>
        </row>
        <row r="1187">
          <cell r="A1187" t="str">
            <v>6451M4NBB07W5JK1JN</v>
          </cell>
          <cell r="B1187" t="str">
            <v>Q3-23</v>
          </cell>
          <cell r="C1187" t="str">
            <v>Europe Operations OU</v>
          </cell>
          <cell r="D1187">
            <v>2674345</v>
          </cell>
          <cell r="E1187" t="str">
            <v>Amazon EU SARL, succursale Italiana</v>
          </cell>
          <cell r="F1187" t="str">
            <v>6451M4NB</v>
          </cell>
          <cell r="G1187" t="str">
            <v>B07W5JK1JN</v>
          </cell>
          <cell r="H1187" t="str">
            <v>920-009415</v>
          </cell>
          <cell r="I1187" t="str">
            <v>OE INVOICES</v>
          </cell>
          <cell r="J1187">
            <v>44422133379</v>
          </cell>
          <cell r="K1187">
            <v>44890</v>
          </cell>
          <cell r="L1187">
            <v>16</v>
          </cell>
          <cell r="M1187" t="str">
            <v>EUR</v>
          </cell>
          <cell r="N1187">
            <v>301.64</v>
          </cell>
          <cell r="O1187">
            <v>75.41</v>
          </cell>
          <cell r="P1187">
            <v>4</v>
          </cell>
          <cell r="Q1187">
            <v>4</v>
          </cell>
          <cell r="R1187">
            <v>0</v>
          </cell>
        </row>
        <row r="1188">
          <cell r="A1188" t="str">
            <v>6451M4NBB07W5JKHPG</v>
          </cell>
          <cell r="B1188" t="str">
            <v>Q3-23</v>
          </cell>
          <cell r="C1188" t="str">
            <v>Europe Operations OU</v>
          </cell>
          <cell r="D1188">
            <v>2674345</v>
          </cell>
          <cell r="E1188" t="str">
            <v>Amazon EU SARL, succursale Italiana</v>
          </cell>
          <cell r="F1188" t="str">
            <v>6451M4NB</v>
          </cell>
          <cell r="G1188" t="str">
            <v>B07W5JKHPG</v>
          </cell>
          <cell r="H1188" t="str">
            <v>988-000491</v>
          </cell>
          <cell r="I1188" t="str">
            <v>OE INVOICES</v>
          </cell>
          <cell r="J1188">
            <v>44422133379</v>
          </cell>
          <cell r="K1188">
            <v>44890</v>
          </cell>
          <cell r="L1188">
            <v>17</v>
          </cell>
          <cell r="M1188" t="str">
            <v>EUR</v>
          </cell>
          <cell r="N1188">
            <v>965.64</v>
          </cell>
          <cell r="O1188">
            <v>241.41</v>
          </cell>
          <cell r="P1188">
            <v>4</v>
          </cell>
          <cell r="Q1188">
            <v>4</v>
          </cell>
          <cell r="R1188">
            <v>0</v>
          </cell>
        </row>
        <row r="1189">
          <cell r="A1189" t="str">
            <v>6451M4NBB07W5JKPFG</v>
          </cell>
          <cell r="B1189" t="str">
            <v>Q3-23</v>
          </cell>
          <cell r="C1189" t="str">
            <v>Europe Operations OU</v>
          </cell>
          <cell r="D1189">
            <v>2674345</v>
          </cell>
          <cell r="E1189" t="str">
            <v>Amazon EU SARL, succursale Italiana</v>
          </cell>
          <cell r="F1189" t="str">
            <v>6451M4NB</v>
          </cell>
          <cell r="G1189" t="str">
            <v>B07W5JKPFG</v>
          </cell>
          <cell r="H1189" t="str">
            <v>920-011160</v>
          </cell>
          <cell r="I1189" t="str">
            <v>OE INVOICES</v>
          </cell>
          <cell r="J1189">
            <v>44422133379</v>
          </cell>
          <cell r="K1189">
            <v>44890</v>
          </cell>
          <cell r="L1189">
            <v>18</v>
          </cell>
          <cell r="M1189" t="str">
            <v>EUR</v>
          </cell>
          <cell r="N1189">
            <v>515.36</v>
          </cell>
          <cell r="O1189">
            <v>32.21</v>
          </cell>
          <cell r="P1189">
            <v>16</v>
          </cell>
          <cell r="Q1189">
            <v>16</v>
          </cell>
          <cell r="R1189">
            <v>0</v>
          </cell>
        </row>
        <row r="1190">
          <cell r="A1190" t="str">
            <v>6451M4NBB07W6FNF6N</v>
          </cell>
          <cell r="B1190" t="str">
            <v>Q3-23</v>
          </cell>
          <cell r="C1190" t="str">
            <v>Europe Operations OU</v>
          </cell>
          <cell r="D1190">
            <v>2674345</v>
          </cell>
          <cell r="E1190" t="str">
            <v>Amazon EU SARL, succursale Italiana</v>
          </cell>
          <cell r="F1190" t="str">
            <v>6451M4NB</v>
          </cell>
          <cell r="G1190" t="str">
            <v>B07W6FNF6N</v>
          </cell>
          <cell r="H1190" t="str">
            <v>920-009841</v>
          </cell>
          <cell r="I1190" t="str">
            <v>OE INVOICES</v>
          </cell>
          <cell r="J1190">
            <v>44422133379</v>
          </cell>
          <cell r="K1190">
            <v>44890</v>
          </cell>
          <cell r="L1190">
            <v>19</v>
          </cell>
          <cell r="M1190" t="str">
            <v>EUR</v>
          </cell>
          <cell r="N1190">
            <v>8445.92</v>
          </cell>
          <cell r="O1190">
            <v>75.41</v>
          </cell>
          <cell r="P1190">
            <v>112</v>
          </cell>
          <cell r="Q1190">
            <v>112</v>
          </cell>
          <cell r="R1190">
            <v>0</v>
          </cell>
        </row>
        <row r="1191">
          <cell r="A1191" t="str">
            <v>6451M4NBB07W6G3KBL</v>
          </cell>
          <cell r="B1191" t="str">
            <v>Q3-23</v>
          </cell>
          <cell r="C1191" t="str">
            <v>Europe Operations OU</v>
          </cell>
          <cell r="D1191">
            <v>2674345</v>
          </cell>
          <cell r="E1191" t="str">
            <v>Amazon EU SARL, succursale Italiana</v>
          </cell>
          <cell r="F1191" t="str">
            <v>6451M4NB</v>
          </cell>
          <cell r="G1191" t="str">
            <v>B07W6G3KBL</v>
          </cell>
          <cell r="H1191" t="str">
            <v>910-006785</v>
          </cell>
          <cell r="I1191" t="str">
            <v>OE INVOICES</v>
          </cell>
          <cell r="J1191">
            <v>44422133379</v>
          </cell>
          <cell r="K1191">
            <v>44890</v>
          </cell>
          <cell r="L1191">
            <v>20</v>
          </cell>
          <cell r="M1191" t="str">
            <v>EUR</v>
          </cell>
          <cell r="N1191">
            <v>335.56</v>
          </cell>
          <cell r="O1191">
            <v>83.89</v>
          </cell>
          <cell r="P1191">
            <v>4</v>
          </cell>
          <cell r="Q1191">
            <v>4</v>
          </cell>
          <cell r="R1191">
            <v>0</v>
          </cell>
        </row>
        <row r="1192">
          <cell r="A1192" t="str">
            <v>6451M4NBB07W6HLQ35</v>
          </cell>
          <cell r="B1192" t="str">
            <v>Q3-23</v>
          </cell>
          <cell r="C1192" t="str">
            <v>Europe Operations OU</v>
          </cell>
          <cell r="D1192">
            <v>2674345</v>
          </cell>
          <cell r="E1192" t="str">
            <v>Amazon EU SARL, succursale Italiana</v>
          </cell>
          <cell r="F1192" t="str">
            <v>6451M4NB</v>
          </cell>
          <cell r="G1192" t="str">
            <v>B07W6HLQ35</v>
          </cell>
          <cell r="H1192" t="str">
            <v>984-001830</v>
          </cell>
          <cell r="I1192" t="str">
            <v>OE INVOICES</v>
          </cell>
          <cell r="J1192">
            <v>44422145274</v>
          </cell>
          <cell r="K1192">
            <v>44897</v>
          </cell>
          <cell r="L1192">
            <v>1</v>
          </cell>
          <cell r="M1192" t="str">
            <v>EUR</v>
          </cell>
          <cell r="N1192">
            <v>1284.24</v>
          </cell>
          <cell r="O1192">
            <v>53.51</v>
          </cell>
          <cell r="P1192">
            <v>24</v>
          </cell>
          <cell r="Q1192">
            <v>24</v>
          </cell>
          <cell r="R1192">
            <v>0</v>
          </cell>
        </row>
        <row r="1193">
          <cell r="A1193" t="str">
            <v>6451M4NBB07W6J6WYH</v>
          </cell>
          <cell r="B1193" t="str">
            <v>Q3-23</v>
          </cell>
          <cell r="C1193" t="str">
            <v>Europe Operations OU</v>
          </cell>
          <cell r="D1193">
            <v>2674345</v>
          </cell>
          <cell r="E1193" t="str">
            <v>Amazon EU SARL, succursale Italiana</v>
          </cell>
          <cell r="F1193" t="str">
            <v>6451M4NB</v>
          </cell>
          <cell r="G1193" t="str">
            <v>B07W6J6WYH</v>
          </cell>
          <cell r="H1193" t="str">
            <v>920-010727</v>
          </cell>
          <cell r="I1193" t="str">
            <v>OE INVOICES</v>
          </cell>
          <cell r="J1193">
            <v>44422133379</v>
          </cell>
          <cell r="K1193">
            <v>44890</v>
          </cell>
          <cell r="L1193">
            <v>21</v>
          </cell>
          <cell r="M1193" t="str">
            <v>EUR</v>
          </cell>
          <cell r="N1193">
            <v>252.92</v>
          </cell>
          <cell r="O1193">
            <v>63.23</v>
          </cell>
          <cell r="P1193">
            <v>4</v>
          </cell>
          <cell r="Q1193">
            <v>4</v>
          </cell>
          <cell r="R1193">
            <v>0</v>
          </cell>
        </row>
        <row r="1194">
          <cell r="A1194" t="str">
            <v>6451M4NBB07W7JYN4P</v>
          </cell>
          <cell r="B1194" t="str">
            <v>Q3-23</v>
          </cell>
          <cell r="C1194" t="str">
            <v>Europe Operations OU</v>
          </cell>
          <cell r="D1194">
            <v>2674345</v>
          </cell>
          <cell r="E1194" t="str">
            <v>Amazon EU SARL, succursale Italiana</v>
          </cell>
          <cell r="F1194" t="str">
            <v>6451M4NB</v>
          </cell>
          <cell r="G1194" t="str">
            <v>B07W7JYN4P</v>
          </cell>
          <cell r="H1194" t="str">
            <v>981-001213</v>
          </cell>
          <cell r="I1194" t="str">
            <v>OE INVOICES</v>
          </cell>
          <cell r="J1194">
            <v>44422145493</v>
          </cell>
          <cell r="K1194">
            <v>44897</v>
          </cell>
          <cell r="L1194">
            <v>8</v>
          </cell>
          <cell r="M1194" t="str">
            <v>EUR</v>
          </cell>
          <cell r="N1194">
            <v>276.12</v>
          </cell>
          <cell r="O1194">
            <v>69.03</v>
          </cell>
          <cell r="P1194">
            <v>4</v>
          </cell>
          <cell r="Q1194">
            <v>4</v>
          </cell>
          <cell r="R1194">
            <v>0</v>
          </cell>
        </row>
        <row r="1195">
          <cell r="A1195" t="str">
            <v>6451M4NBB07W7JYP91</v>
          </cell>
          <cell r="B1195" t="str">
            <v>Q3-23</v>
          </cell>
          <cell r="C1195" t="str">
            <v>Europe Operations OU</v>
          </cell>
          <cell r="D1195">
            <v>2674345</v>
          </cell>
          <cell r="E1195" t="str">
            <v>Amazon EU SARL, succursale Italiana</v>
          </cell>
          <cell r="F1195" t="str">
            <v>6451M4NB</v>
          </cell>
          <cell r="G1195" t="str">
            <v>B07W7JYP91</v>
          </cell>
          <cell r="H1195" t="str">
            <v>910-005720</v>
          </cell>
          <cell r="I1195" t="str">
            <v>OE INVOICES</v>
          </cell>
          <cell r="J1195">
            <v>44422133379</v>
          </cell>
          <cell r="K1195">
            <v>44890</v>
          </cell>
          <cell r="L1195">
            <v>22</v>
          </cell>
          <cell r="M1195" t="str">
            <v>EUR</v>
          </cell>
          <cell r="N1195">
            <v>327.8</v>
          </cell>
          <cell r="O1195">
            <v>16.39</v>
          </cell>
          <cell r="P1195">
            <v>20</v>
          </cell>
          <cell r="Q1195">
            <v>20</v>
          </cell>
          <cell r="R1195">
            <v>0</v>
          </cell>
        </row>
        <row r="1196">
          <cell r="A1196" t="str">
            <v>6451M4NBB07W7JYP9B</v>
          </cell>
          <cell r="B1196" t="str">
            <v>Q3-23</v>
          </cell>
          <cell r="C1196" t="str">
            <v>Europe Operations OU</v>
          </cell>
          <cell r="D1196">
            <v>2674345</v>
          </cell>
          <cell r="E1196" t="str">
            <v>Amazon EU SARL, succursale Italiana</v>
          </cell>
          <cell r="F1196" t="str">
            <v>6451M4NB</v>
          </cell>
          <cell r="G1196" t="str">
            <v>B07W7JYP9B</v>
          </cell>
          <cell r="H1196" t="str">
            <v>910-006784</v>
          </cell>
          <cell r="I1196" t="str">
            <v>OE INVOICES</v>
          </cell>
          <cell r="J1196">
            <v>44422133379</v>
          </cell>
          <cell r="K1196">
            <v>44890</v>
          </cell>
          <cell r="L1196">
            <v>23</v>
          </cell>
          <cell r="M1196" t="str">
            <v>EUR</v>
          </cell>
          <cell r="N1196">
            <v>335.56</v>
          </cell>
          <cell r="O1196">
            <v>83.89</v>
          </cell>
          <cell r="P1196">
            <v>4</v>
          </cell>
          <cell r="Q1196">
            <v>4</v>
          </cell>
          <cell r="R1196">
            <v>0</v>
          </cell>
        </row>
        <row r="1197">
          <cell r="A1197" t="str">
            <v>6451M4NBB07W7KMK4Y</v>
          </cell>
          <cell r="B1197" t="str">
            <v>Q3-23</v>
          </cell>
          <cell r="C1197" t="str">
            <v>Europe Operations OU</v>
          </cell>
          <cell r="D1197">
            <v>2674345</v>
          </cell>
          <cell r="E1197" t="str">
            <v>Amazon EU SARL, succursale Italiana</v>
          </cell>
          <cell r="F1197" t="str">
            <v>6451M4NB</v>
          </cell>
          <cell r="G1197" t="str">
            <v>B07W7KMK4Y</v>
          </cell>
          <cell r="H1197" t="str">
            <v>920-010488</v>
          </cell>
          <cell r="I1197" t="str">
            <v>OE INVOICES</v>
          </cell>
          <cell r="J1197">
            <v>44422133379</v>
          </cell>
          <cell r="K1197">
            <v>44890</v>
          </cell>
          <cell r="L1197">
            <v>24</v>
          </cell>
          <cell r="M1197" t="str">
            <v>EUR</v>
          </cell>
          <cell r="N1197">
            <v>2208.96</v>
          </cell>
          <cell r="O1197">
            <v>69.03</v>
          </cell>
          <cell r="P1197">
            <v>32</v>
          </cell>
          <cell r="Q1197">
            <v>32</v>
          </cell>
          <cell r="R1197">
            <v>0</v>
          </cell>
        </row>
        <row r="1198">
          <cell r="A1198" t="str">
            <v>6451M4NBB07W7KT2B3</v>
          </cell>
          <cell r="B1198" t="str">
            <v>Q3-23</v>
          </cell>
          <cell r="C1198" t="str">
            <v>Europe Operations OU</v>
          </cell>
          <cell r="D1198">
            <v>2674345</v>
          </cell>
          <cell r="E1198" t="str">
            <v>Amazon EU SARL, succursale Italiana</v>
          </cell>
          <cell r="F1198" t="str">
            <v>6451M4NB</v>
          </cell>
          <cell r="G1198" t="str">
            <v>B07W7KT2B3</v>
          </cell>
          <cell r="H1198" t="str">
            <v>981-000864</v>
          </cell>
          <cell r="I1198" t="str">
            <v>OE INVOICES</v>
          </cell>
          <cell r="J1198">
            <v>44422133379</v>
          </cell>
          <cell r="K1198">
            <v>44890</v>
          </cell>
          <cell r="L1198">
            <v>25</v>
          </cell>
          <cell r="M1198" t="str">
            <v>EUR</v>
          </cell>
          <cell r="N1198">
            <v>5368.96</v>
          </cell>
          <cell r="O1198">
            <v>83.89</v>
          </cell>
          <cell r="P1198">
            <v>64</v>
          </cell>
          <cell r="Q1198">
            <v>64</v>
          </cell>
          <cell r="R1198">
            <v>0</v>
          </cell>
        </row>
        <row r="1199">
          <cell r="A1199" t="str">
            <v>6451M4NBB07W7KTTMZ</v>
          </cell>
          <cell r="B1199" t="str">
            <v>Q3-23</v>
          </cell>
          <cell r="C1199" t="str">
            <v>Europe Operations OU</v>
          </cell>
          <cell r="D1199">
            <v>2674345</v>
          </cell>
          <cell r="E1199" t="str">
            <v>Amazon EU SARL, succursale Italiana</v>
          </cell>
          <cell r="F1199" t="str">
            <v>6451M4NB</v>
          </cell>
          <cell r="G1199" t="str">
            <v>B07W7KTTMZ</v>
          </cell>
          <cell r="H1199" t="str">
            <v>920-010489</v>
          </cell>
          <cell r="I1199" t="str">
            <v>OE INVOICES</v>
          </cell>
          <cell r="J1199">
            <v>44422133379</v>
          </cell>
          <cell r="K1199">
            <v>44890</v>
          </cell>
          <cell r="L1199">
            <v>26</v>
          </cell>
          <cell r="M1199" t="str">
            <v>EUR</v>
          </cell>
          <cell r="N1199">
            <v>3313.44</v>
          </cell>
          <cell r="O1199">
            <v>69.03</v>
          </cell>
          <cell r="P1199">
            <v>48</v>
          </cell>
          <cell r="Q1199">
            <v>48</v>
          </cell>
          <cell r="R1199">
            <v>0</v>
          </cell>
        </row>
        <row r="1200">
          <cell r="A1200" t="str">
            <v>6451M4NBB07W7LXYTR</v>
          </cell>
          <cell r="B1200" t="str">
            <v>Q3-23</v>
          </cell>
          <cell r="C1200" t="str">
            <v>Europe Operations OU</v>
          </cell>
          <cell r="D1200">
            <v>2674345</v>
          </cell>
          <cell r="E1200" t="str">
            <v>Amazon EU SARL, succursale Italiana</v>
          </cell>
          <cell r="F1200" t="str">
            <v>6451M4NB</v>
          </cell>
          <cell r="G1200" t="str">
            <v>B07W7LXYTR</v>
          </cell>
          <cell r="H1200" t="str">
            <v>920-010726</v>
          </cell>
          <cell r="I1200" t="str">
            <v>OE INVOICES</v>
          </cell>
          <cell r="J1200">
            <v>44422133379</v>
          </cell>
          <cell r="K1200">
            <v>44890</v>
          </cell>
          <cell r="L1200">
            <v>27</v>
          </cell>
          <cell r="M1200" t="str">
            <v>EUR</v>
          </cell>
          <cell r="N1200">
            <v>8599.2800000000007</v>
          </cell>
          <cell r="O1200">
            <v>63.23</v>
          </cell>
          <cell r="P1200">
            <v>136</v>
          </cell>
          <cell r="Q1200">
            <v>136</v>
          </cell>
          <cell r="R1200">
            <v>0</v>
          </cell>
        </row>
        <row r="1201">
          <cell r="A1201" t="str">
            <v>6451M4NBB07W7MY2K8</v>
          </cell>
          <cell r="B1201" t="str">
            <v>Q3-23</v>
          </cell>
          <cell r="C1201" t="str">
            <v>Europe Operations OU</v>
          </cell>
          <cell r="D1201">
            <v>2674345</v>
          </cell>
          <cell r="E1201" t="str">
            <v>Amazon EU SARL, succursale Italiana</v>
          </cell>
          <cell r="F1201" t="str">
            <v>6451M4NB</v>
          </cell>
          <cell r="G1201" t="str">
            <v>B07W7MY2K8</v>
          </cell>
          <cell r="H1201" t="str">
            <v>910-005906</v>
          </cell>
          <cell r="I1201" t="str">
            <v>OE INVOICES</v>
          </cell>
          <cell r="J1201">
            <v>44422133379</v>
          </cell>
          <cell r="K1201">
            <v>44890</v>
          </cell>
          <cell r="L1201">
            <v>28</v>
          </cell>
          <cell r="M1201" t="str">
            <v>EUR</v>
          </cell>
          <cell r="N1201">
            <v>105.3</v>
          </cell>
          <cell r="O1201">
            <v>10.53</v>
          </cell>
          <cell r="P1201">
            <v>10</v>
          </cell>
          <cell r="Q1201">
            <v>10</v>
          </cell>
          <cell r="R1201">
            <v>0</v>
          </cell>
        </row>
        <row r="1202">
          <cell r="A1202" t="str">
            <v>6451M4NBB0B8W3JR26</v>
          </cell>
          <cell r="B1202" t="str">
            <v>Q3-23</v>
          </cell>
          <cell r="C1202" t="str">
            <v>Europe Operations OU</v>
          </cell>
          <cell r="D1202">
            <v>2674345</v>
          </cell>
          <cell r="E1202" t="str">
            <v>Amazon EU SARL, succursale Italiana</v>
          </cell>
          <cell r="F1202" t="str">
            <v>6451M4NB</v>
          </cell>
          <cell r="G1202" t="str">
            <v>B0B8W3JR26</v>
          </cell>
          <cell r="H1202" t="str">
            <v>910-006477</v>
          </cell>
          <cell r="I1202" t="str">
            <v>OE INVOICES</v>
          </cell>
          <cell r="J1202">
            <v>44422133379</v>
          </cell>
          <cell r="K1202">
            <v>44890</v>
          </cell>
          <cell r="L1202">
            <v>29</v>
          </cell>
          <cell r="M1202" t="str">
            <v>EUR</v>
          </cell>
          <cell r="N1202">
            <v>4083.2</v>
          </cell>
          <cell r="O1202">
            <v>46.4</v>
          </cell>
          <cell r="P1202">
            <v>88</v>
          </cell>
          <cell r="Q1202">
            <v>88</v>
          </cell>
          <cell r="R1202">
            <v>0</v>
          </cell>
        </row>
        <row r="1203">
          <cell r="A1203" t="str">
            <v>64HSRN5OB07W5JK2L1</v>
          </cell>
          <cell r="B1203" t="str">
            <v>Q3-23</v>
          </cell>
          <cell r="C1203" t="str">
            <v>Europe Operations OU</v>
          </cell>
          <cell r="D1203">
            <v>2674345</v>
          </cell>
          <cell r="E1203" t="str">
            <v>Amazon EU SARL, succursale Italiana</v>
          </cell>
          <cell r="F1203" t="str">
            <v>64HSRN5O</v>
          </cell>
          <cell r="G1203" t="str">
            <v>B07W5JK2L1</v>
          </cell>
          <cell r="H1203" t="str">
            <v>920-011206</v>
          </cell>
          <cell r="I1203" t="str">
            <v>OE INVOICES</v>
          </cell>
          <cell r="J1203">
            <v>44422145165</v>
          </cell>
          <cell r="K1203">
            <v>44897</v>
          </cell>
          <cell r="L1203">
            <v>1</v>
          </cell>
          <cell r="M1203" t="str">
            <v>EUR</v>
          </cell>
          <cell r="N1203">
            <v>696.08</v>
          </cell>
          <cell r="O1203">
            <v>87.01</v>
          </cell>
          <cell r="P1203">
            <v>8</v>
          </cell>
          <cell r="Q1203">
            <v>8</v>
          </cell>
          <cell r="R1203">
            <v>0</v>
          </cell>
        </row>
        <row r="1204">
          <cell r="A1204" t="str">
            <v>69351YNLB00564NI9U</v>
          </cell>
          <cell r="B1204" t="str">
            <v>Q3-23</v>
          </cell>
          <cell r="C1204" t="str">
            <v>Europe Operations OU</v>
          </cell>
          <cell r="D1204">
            <v>2674345</v>
          </cell>
          <cell r="E1204" t="str">
            <v>Amazon EU SARL, succursale Italiana</v>
          </cell>
          <cell r="F1204" t="str">
            <v>69351YNL</v>
          </cell>
          <cell r="G1204" t="str">
            <v>B00564NI9U</v>
          </cell>
          <cell r="H1204" t="str">
            <v>920-002518</v>
          </cell>
          <cell r="I1204" t="str">
            <v>OE INVOICES</v>
          </cell>
          <cell r="J1204">
            <v>44422146836</v>
          </cell>
          <cell r="K1204">
            <v>44900</v>
          </cell>
          <cell r="L1204">
            <v>1</v>
          </cell>
          <cell r="M1204" t="str">
            <v>EUR</v>
          </cell>
          <cell r="N1204">
            <v>11700</v>
          </cell>
          <cell r="O1204">
            <v>9.36</v>
          </cell>
          <cell r="P1204">
            <v>1250</v>
          </cell>
          <cell r="Q1204">
            <v>1250</v>
          </cell>
          <cell r="R1204">
            <v>0</v>
          </cell>
        </row>
        <row r="1205">
          <cell r="A1205" t="str">
            <v>69351YNLB01N6NGNQ8</v>
          </cell>
          <cell r="B1205" t="str">
            <v>Q3-23</v>
          </cell>
          <cell r="C1205" t="str">
            <v>Europe Operations OU</v>
          </cell>
          <cell r="D1205">
            <v>2674345</v>
          </cell>
          <cell r="E1205" t="str">
            <v>Amazon EU SARL, succursale Italiana</v>
          </cell>
          <cell r="F1205" t="str">
            <v>69351YNL</v>
          </cell>
          <cell r="G1205" t="str">
            <v>B01N6NGNQ8</v>
          </cell>
          <cell r="H1205" t="str">
            <v>920-008227</v>
          </cell>
          <cell r="I1205" t="str">
            <v>OE INVOICES</v>
          </cell>
          <cell r="J1205">
            <v>44422146836</v>
          </cell>
          <cell r="K1205">
            <v>44900</v>
          </cell>
          <cell r="L1205">
            <v>2</v>
          </cell>
          <cell r="M1205" t="str">
            <v>EUR</v>
          </cell>
          <cell r="N1205">
            <v>5127.88</v>
          </cell>
          <cell r="O1205">
            <v>75.41</v>
          </cell>
          <cell r="P1205">
            <v>68</v>
          </cell>
          <cell r="Q1205">
            <v>68</v>
          </cell>
          <cell r="R1205">
            <v>0</v>
          </cell>
        </row>
        <row r="1206">
          <cell r="A1206" t="str">
            <v>69351YNLB0797FYB3K</v>
          </cell>
          <cell r="B1206" t="str">
            <v>Q3-23</v>
          </cell>
          <cell r="C1206" t="str">
            <v>Europe Operations OU</v>
          </cell>
          <cell r="D1206">
            <v>2674345</v>
          </cell>
          <cell r="E1206" t="str">
            <v>Amazon EU SARL, succursale Italiana</v>
          </cell>
          <cell r="F1206" t="str">
            <v>69351YNL</v>
          </cell>
          <cell r="G1206" t="str">
            <v>B0797FYB3K</v>
          </cell>
          <cell r="H1206" t="str">
            <v>920-008675</v>
          </cell>
          <cell r="I1206" t="str">
            <v>OE INVOICES</v>
          </cell>
          <cell r="J1206">
            <v>44422140674</v>
          </cell>
          <cell r="K1206">
            <v>44895</v>
          </cell>
          <cell r="L1206">
            <v>1</v>
          </cell>
          <cell r="M1206" t="str">
            <v>EUR</v>
          </cell>
          <cell r="N1206">
            <v>702.72</v>
          </cell>
          <cell r="O1206">
            <v>43.92</v>
          </cell>
          <cell r="P1206">
            <v>16</v>
          </cell>
          <cell r="Q1206">
            <v>16</v>
          </cell>
          <cell r="R1206">
            <v>0</v>
          </cell>
        </row>
        <row r="1207">
          <cell r="A1207" t="str">
            <v>69351YNLB07VK1S68S</v>
          </cell>
          <cell r="B1207" t="str">
            <v>Q3-23</v>
          </cell>
          <cell r="C1207" t="str">
            <v>Europe Operations OU</v>
          </cell>
          <cell r="D1207">
            <v>2674345</v>
          </cell>
          <cell r="E1207" t="str">
            <v>Amazon EU SARL, succursale Italiana</v>
          </cell>
          <cell r="F1207" t="str">
            <v>69351YNL</v>
          </cell>
          <cell r="G1207" t="str">
            <v>B07VK1S68S</v>
          </cell>
          <cell r="H1207" t="str">
            <v>920-009196</v>
          </cell>
          <cell r="I1207" t="str">
            <v>OE INVOICES</v>
          </cell>
          <cell r="J1207">
            <v>44422140674</v>
          </cell>
          <cell r="K1207">
            <v>44895</v>
          </cell>
          <cell r="L1207">
            <v>2</v>
          </cell>
          <cell r="M1207" t="str">
            <v>EUR</v>
          </cell>
          <cell r="N1207">
            <v>9836.4</v>
          </cell>
          <cell r="O1207">
            <v>35.130000000000003</v>
          </cell>
          <cell r="P1207">
            <v>280</v>
          </cell>
          <cell r="Q1207">
            <v>280</v>
          </cell>
          <cell r="R1207">
            <v>0</v>
          </cell>
        </row>
        <row r="1208">
          <cell r="A1208" t="str">
            <v>69351YNLB07W6GVS5C</v>
          </cell>
          <cell r="B1208" t="str">
            <v>Q3-23</v>
          </cell>
          <cell r="C1208" t="str">
            <v>Europe Operations OU</v>
          </cell>
          <cell r="D1208">
            <v>2674345</v>
          </cell>
          <cell r="E1208" t="str">
            <v>Amazon EU SARL, succursale Italiana</v>
          </cell>
          <cell r="F1208" t="str">
            <v>69351YNL</v>
          </cell>
          <cell r="G1208" t="str">
            <v>B07W6GVS5C</v>
          </cell>
          <cell r="H1208" t="str">
            <v>920-009439</v>
          </cell>
          <cell r="I1208" t="str">
            <v>OE INVOICES</v>
          </cell>
          <cell r="J1208">
            <v>44422146836</v>
          </cell>
          <cell r="K1208">
            <v>44900</v>
          </cell>
          <cell r="L1208">
            <v>3</v>
          </cell>
          <cell r="M1208" t="str">
            <v>EUR</v>
          </cell>
          <cell r="N1208">
            <v>19370.88</v>
          </cell>
          <cell r="O1208">
            <v>44.84</v>
          </cell>
          <cell r="P1208">
            <v>432</v>
          </cell>
          <cell r="Q1208">
            <v>432</v>
          </cell>
          <cell r="R1208">
            <v>0</v>
          </cell>
        </row>
        <row r="1209">
          <cell r="A1209" t="str">
            <v>69351YNLB07W6JB7N7</v>
          </cell>
          <cell r="B1209" t="str">
            <v>Q3-23</v>
          </cell>
          <cell r="C1209" t="str">
            <v>Europe Operations OU</v>
          </cell>
          <cell r="D1209">
            <v>2674345</v>
          </cell>
          <cell r="E1209" t="str">
            <v>Amazon EU SARL, succursale Italiana</v>
          </cell>
          <cell r="F1209" t="str">
            <v>69351YNL</v>
          </cell>
          <cell r="G1209" t="str">
            <v>B07W6JB7N7</v>
          </cell>
          <cell r="H1209" t="str">
            <v>941-000150</v>
          </cell>
          <cell r="I1209" t="str">
            <v>OE INVOICES</v>
          </cell>
          <cell r="J1209">
            <v>44422140674</v>
          </cell>
          <cell r="K1209">
            <v>44895</v>
          </cell>
          <cell r="L1209">
            <v>3</v>
          </cell>
          <cell r="M1209" t="str">
            <v>EUR</v>
          </cell>
          <cell r="N1209">
            <v>2736.76</v>
          </cell>
          <cell r="O1209">
            <v>210.52</v>
          </cell>
          <cell r="P1209">
            <v>13</v>
          </cell>
          <cell r="Q1209">
            <v>13</v>
          </cell>
          <cell r="R1209">
            <v>0</v>
          </cell>
        </row>
        <row r="1210">
          <cell r="A1210" t="str">
            <v>69351YNLB07W7KMK4Y</v>
          </cell>
          <cell r="B1210" t="str">
            <v>Q3-23</v>
          </cell>
          <cell r="C1210" t="str">
            <v>Europe Operations OU</v>
          </cell>
          <cell r="D1210">
            <v>2674345</v>
          </cell>
          <cell r="E1210" t="str">
            <v>Amazon EU SARL, succursale Italiana</v>
          </cell>
          <cell r="F1210" t="str">
            <v>69351YNL</v>
          </cell>
          <cell r="G1210" t="str">
            <v>B07W7KMK4Y</v>
          </cell>
          <cell r="H1210" t="str">
            <v>920-010488</v>
          </cell>
          <cell r="I1210" t="str">
            <v>OE INVOICES</v>
          </cell>
          <cell r="J1210">
            <v>44422140674</v>
          </cell>
          <cell r="K1210">
            <v>44895</v>
          </cell>
          <cell r="L1210">
            <v>4</v>
          </cell>
          <cell r="M1210" t="str">
            <v>EUR</v>
          </cell>
          <cell r="N1210">
            <v>8283.6</v>
          </cell>
          <cell r="O1210">
            <v>69.03</v>
          </cell>
          <cell r="P1210">
            <v>120</v>
          </cell>
          <cell r="Q1210">
            <v>120</v>
          </cell>
          <cell r="R1210">
            <v>0</v>
          </cell>
        </row>
        <row r="1211">
          <cell r="A1211" t="str">
            <v>6AA7OKBNB003V0QEV0</v>
          </cell>
          <cell r="B1211" t="str">
            <v>Q3-23</v>
          </cell>
          <cell r="C1211" t="str">
            <v>Europe Operations OU</v>
          </cell>
          <cell r="D1211">
            <v>2674345</v>
          </cell>
          <cell r="E1211" t="str">
            <v>Amazon EU SARL, succursale Italiana</v>
          </cell>
          <cell r="F1211" t="str">
            <v>6AA7OKBN</v>
          </cell>
          <cell r="G1211" t="str">
            <v>B003V0QEV0</v>
          </cell>
          <cell r="H1211" t="str">
            <v>920-002515</v>
          </cell>
          <cell r="I1211" t="str">
            <v>OE INVOICES</v>
          </cell>
          <cell r="J1211">
            <v>44422157421</v>
          </cell>
          <cell r="K1211">
            <v>44904</v>
          </cell>
          <cell r="L1211">
            <v>1</v>
          </cell>
          <cell r="M1211" t="str">
            <v>EUR</v>
          </cell>
          <cell r="N1211">
            <v>93.6</v>
          </cell>
          <cell r="O1211">
            <v>9.36</v>
          </cell>
          <cell r="P1211">
            <v>10</v>
          </cell>
          <cell r="Q1211">
            <v>10</v>
          </cell>
          <cell r="R1211">
            <v>0</v>
          </cell>
        </row>
        <row r="1212">
          <cell r="A1212" t="str">
            <v>6AA7OKBNB076K126YZ</v>
          </cell>
          <cell r="B1212" t="str">
            <v>Q3-23</v>
          </cell>
          <cell r="C1212" t="str">
            <v>Europe Operations OU</v>
          </cell>
          <cell r="D1212">
            <v>2674345</v>
          </cell>
          <cell r="E1212" t="str">
            <v>Amazon EU SARL, succursale Italiana</v>
          </cell>
          <cell r="F1212" t="str">
            <v>6AA7OKBN</v>
          </cell>
          <cell r="G1212" t="str">
            <v>B076K126YZ</v>
          </cell>
          <cell r="H1212" t="str">
            <v>955-000008</v>
          </cell>
          <cell r="I1212" t="str">
            <v>OE INVOICES</v>
          </cell>
          <cell r="J1212">
            <v>44422157421</v>
          </cell>
          <cell r="K1212">
            <v>44904</v>
          </cell>
          <cell r="L1212">
            <v>2</v>
          </cell>
          <cell r="M1212" t="str">
            <v>EUR</v>
          </cell>
          <cell r="N1212">
            <v>1159.68</v>
          </cell>
          <cell r="O1212">
            <v>72.48</v>
          </cell>
          <cell r="P1212">
            <v>16</v>
          </cell>
          <cell r="Q1212">
            <v>16</v>
          </cell>
          <cell r="R1212">
            <v>0</v>
          </cell>
        </row>
        <row r="1213">
          <cell r="A1213" t="str">
            <v>6AA7OKBNB07DFT9YHV</v>
          </cell>
          <cell r="B1213" t="str">
            <v>Q3-23</v>
          </cell>
          <cell r="C1213" t="str">
            <v>Europe Operations OU</v>
          </cell>
          <cell r="D1213">
            <v>2674345</v>
          </cell>
          <cell r="E1213" t="str">
            <v>Amazon EU SARL, succursale Italiana</v>
          </cell>
          <cell r="F1213" t="str">
            <v>6AA7OKBN</v>
          </cell>
          <cell r="G1213" t="str">
            <v>B07DFT9YHV</v>
          </cell>
          <cell r="H1213" t="str">
            <v>920-008927</v>
          </cell>
          <cell r="I1213" t="str">
            <v>OE INVOICES</v>
          </cell>
          <cell r="J1213">
            <v>44422157421</v>
          </cell>
          <cell r="K1213">
            <v>44904</v>
          </cell>
          <cell r="L1213">
            <v>3</v>
          </cell>
          <cell r="M1213" t="str">
            <v>EUR</v>
          </cell>
          <cell r="N1213">
            <v>398.88</v>
          </cell>
          <cell r="O1213">
            <v>99.72</v>
          </cell>
          <cell r="P1213">
            <v>4</v>
          </cell>
          <cell r="Q1213">
            <v>4</v>
          </cell>
          <cell r="R1213">
            <v>0</v>
          </cell>
        </row>
        <row r="1214">
          <cell r="A1214" t="str">
            <v>6AA7OKBNB07W5JKKX9</v>
          </cell>
          <cell r="B1214" t="str">
            <v>Q3-23</v>
          </cell>
          <cell r="C1214" t="str">
            <v>Europe Operations OU</v>
          </cell>
          <cell r="D1214">
            <v>2674345</v>
          </cell>
          <cell r="E1214" t="str">
            <v>Amazon EU SARL, succursale Italiana</v>
          </cell>
          <cell r="F1214" t="str">
            <v>6AA7OKBN</v>
          </cell>
          <cell r="G1214" t="str">
            <v>B07W5JKKX9</v>
          </cell>
          <cell r="H1214" t="str">
            <v>920-009346</v>
          </cell>
          <cell r="I1214" t="str">
            <v>OE INVOICES</v>
          </cell>
          <cell r="J1214">
            <v>44422157421</v>
          </cell>
          <cell r="K1214">
            <v>44904</v>
          </cell>
          <cell r="L1214">
            <v>4</v>
          </cell>
          <cell r="M1214" t="str">
            <v>EUR</v>
          </cell>
          <cell r="N1214">
            <v>272.24</v>
          </cell>
          <cell r="O1214">
            <v>68.06</v>
          </cell>
          <cell r="P1214">
            <v>4</v>
          </cell>
          <cell r="Q1214">
            <v>4</v>
          </cell>
          <cell r="R1214">
            <v>0</v>
          </cell>
        </row>
        <row r="1215">
          <cell r="A1215" t="str">
            <v>6ENZZ2HCB07JGCM9QM</v>
          </cell>
          <cell r="B1215" t="str">
            <v>Q3-23</v>
          </cell>
          <cell r="C1215" t="str">
            <v>Europe Operations OU</v>
          </cell>
          <cell r="D1215">
            <v>2674345</v>
          </cell>
          <cell r="E1215" t="str">
            <v>Amazon EU SARL, succursale Italiana</v>
          </cell>
          <cell r="F1215" t="str">
            <v>6ENZZ2HC</v>
          </cell>
          <cell r="G1215" t="str">
            <v>B07JGCM9QM</v>
          </cell>
          <cell r="H1215" t="str">
            <v>945-000062</v>
          </cell>
          <cell r="I1215" t="str">
            <v>OE INVOICES</v>
          </cell>
          <cell r="J1215">
            <v>44422157423</v>
          </cell>
          <cell r="K1215">
            <v>44904</v>
          </cell>
          <cell r="L1215">
            <v>1</v>
          </cell>
          <cell r="M1215" t="str">
            <v>EUR</v>
          </cell>
          <cell r="N1215">
            <v>294.42</v>
          </cell>
          <cell r="O1215">
            <v>147.21</v>
          </cell>
          <cell r="P1215">
            <v>2</v>
          </cell>
          <cell r="Q1215">
            <v>2</v>
          </cell>
          <cell r="R1215">
            <v>0</v>
          </cell>
        </row>
        <row r="1216">
          <cell r="A1216" t="str">
            <v>6JD3FE7OB00O8K42LQ</v>
          </cell>
          <cell r="B1216" t="str">
            <v>Q3-23</v>
          </cell>
          <cell r="C1216" t="str">
            <v>Europe Operations OU</v>
          </cell>
          <cell r="D1216">
            <v>2674345</v>
          </cell>
          <cell r="E1216" t="str">
            <v>Amazon EU SARL, succursale Italiana</v>
          </cell>
          <cell r="F1216" t="str">
            <v>6JD3FE7O</v>
          </cell>
          <cell r="G1216" t="str">
            <v>B00O8K42LQ</v>
          </cell>
          <cell r="H1216" t="str">
            <v>920-006707</v>
          </cell>
          <cell r="I1216" t="str">
            <v>OE INVOICES</v>
          </cell>
          <cell r="J1216">
            <v>44422133340</v>
          </cell>
          <cell r="K1216">
            <v>44890</v>
          </cell>
          <cell r="L1216">
            <v>1</v>
          </cell>
          <cell r="M1216" t="str">
            <v>EUR</v>
          </cell>
          <cell r="N1216">
            <v>32480</v>
          </cell>
          <cell r="O1216">
            <v>40.6</v>
          </cell>
          <cell r="P1216">
            <v>800</v>
          </cell>
          <cell r="Q1216">
            <v>800</v>
          </cell>
          <cell r="R1216">
            <v>0</v>
          </cell>
        </row>
        <row r="1217">
          <cell r="A1217" t="str">
            <v>6JWFV3WKB006ZLK9SQ</v>
          </cell>
          <cell r="B1217" t="str">
            <v>Q3-23</v>
          </cell>
          <cell r="C1217" t="str">
            <v>Europe Operations OU</v>
          </cell>
          <cell r="D1217">
            <v>2674345</v>
          </cell>
          <cell r="E1217" t="str">
            <v>Amazon EU SARL, succursale Italiana</v>
          </cell>
          <cell r="F1217" t="str">
            <v>6JWFV3WK</v>
          </cell>
          <cell r="G1217" t="str">
            <v>B006ZLK9SQ</v>
          </cell>
          <cell r="H1217" t="str">
            <v>920-003721</v>
          </cell>
          <cell r="I1217" t="str">
            <v>OE INVOICES</v>
          </cell>
          <cell r="J1217">
            <v>44422141341</v>
          </cell>
          <cell r="K1217">
            <v>44895</v>
          </cell>
          <cell r="L1217">
            <v>1</v>
          </cell>
          <cell r="M1217" t="str">
            <v>EUR</v>
          </cell>
          <cell r="N1217">
            <v>11972</v>
          </cell>
          <cell r="O1217">
            <v>20.5</v>
          </cell>
          <cell r="P1217">
            <v>584</v>
          </cell>
          <cell r="Q1217">
            <v>584</v>
          </cell>
          <cell r="R1217">
            <v>0</v>
          </cell>
        </row>
        <row r="1218">
          <cell r="A1218" t="str">
            <v>6JWFV3WKB00YUIM2J0</v>
          </cell>
          <cell r="B1218" t="str">
            <v>Q3-23</v>
          </cell>
          <cell r="C1218" t="str">
            <v>Europe Operations OU</v>
          </cell>
          <cell r="D1218">
            <v>2674345</v>
          </cell>
          <cell r="E1218" t="str">
            <v>Amazon EU SARL, succursale Italiana</v>
          </cell>
          <cell r="F1218" t="str">
            <v>6JWFV3WK</v>
          </cell>
          <cell r="G1218" t="str">
            <v>B00YUIM2J0</v>
          </cell>
          <cell r="H1218" t="str">
            <v>941-000112</v>
          </cell>
          <cell r="I1218" t="str">
            <v>OE INVOICES</v>
          </cell>
          <cell r="J1218">
            <v>44422135882</v>
          </cell>
          <cell r="K1218">
            <v>44893</v>
          </cell>
          <cell r="L1218">
            <v>1</v>
          </cell>
          <cell r="M1218" t="str">
            <v>EUR</v>
          </cell>
          <cell r="N1218">
            <v>145906.20000000001</v>
          </cell>
          <cell r="O1218">
            <v>221.07</v>
          </cell>
          <cell r="P1218">
            <v>660</v>
          </cell>
          <cell r="Q1218">
            <v>660</v>
          </cell>
          <cell r="R1218">
            <v>0</v>
          </cell>
        </row>
        <row r="1219">
          <cell r="A1219" t="str">
            <v>6JWFV3WKB00YUIM2J0</v>
          </cell>
          <cell r="B1219" t="str">
            <v>Q3-23</v>
          </cell>
          <cell r="C1219" t="str">
            <v>Europe Operations OU</v>
          </cell>
          <cell r="D1219">
            <v>2674345</v>
          </cell>
          <cell r="E1219" t="str">
            <v>Amazon EU SARL, succursale Italiana</v>
          </cell>
          <cell r="F1219" t="str">
            <v>6JWFV3WK</v>
          </cell>
          <cell r="G1219" t="str">
            <v>B00YUIM2J0</v>
          </cell>
          <cell r="H1219" t="str">
            <v>941-000112</v>
          </cell>
          <cell r="I1219" t="str">
            <v>OE INVOICES</v>
          </cell>
          <cell r="J1219">
            <v>44422138941</v>
          </cell>
          <cell r="K1219">
            <v>44894</v>
          </cell>
          <cell r="L1219">
            <v>1</v>
          </cell>
          <cell r="M1219" t="str">
            <v>EUR</v>
          </cell>
          <cell r="N1219">
            <v>145906.20000000001</v>
          </cell>
          <cell r="O1219">
            <v>221.07</v>
          </cell>
          <cell r="P1219">
            <v>660</v>
          </cell>
          <cell r="Q1219">
            <v>660</v>
          </cell>
          <cell r="R1219">
            <v>0</v>
          </cell>
        </row>
        <row r="1220">
          <cell r="A1220" t="str">
            <v>6JWFV3WKB00YUIM2J0</v>
          </cell>
          <cell r="B1220" t="str">
            <v>Q3-23</v>
          </cell>
          <cell r="C1220" t="str">
            <v>Europe Operations OU</v>
          </cell>
          <cell r="D1220">
            <v>2674345</v>
          </cell>
          <cell r="E1220" t="str">
            <v>Amazon EU SARL, succursale Italiana</v>
          </cell>
          <cell r="F1220" t="str">
            <v>6JWFV3WK</v>
          </cell>
          <cell r="G1220" t="str">
            <v>B00YUIM2J0</v>
          </cell>
          <cell r="H1220" t="str">
            <v>941-000112</v>
          </cell>
          <cell r="I1220" t="str">
            <v>OE INVOICES</v>
          </cell>
          <cell r="J1220">
            <v>44422141341</v>
          </cell>
          <cell r="K1220">
            <v>44895</v>
          </cell>
          <cell r="L1220">
            <v>2</v>
          </cell>
          <cell r="M1220" t="str">
            <v>EUR</v>
          </cell>
          <cell r="N1220">
            <v>100365.78</v>
          </cell>
          <cell r="O1220">
            <v>221.07</v>
          </cell>
          <cell r="P1220">
            <v>454</v>
          </cell>
          <cell r="Q1220">
            <v>454</v>
          </cell>
          <cell r="R1220">
            <v>0</v>
          </cell>
        </row>
        <row r="1221">
          <cell r="A1221" t="str">
            <v>6JWFV3WKB011N78DMA</v>
          </cell>
          <cell r="B1221" t="str">
            <v>Q3-23</v>
          </cell>
          <cell r="C1221" t="str">
            <v>Europe Operations OU</v>
          </cell>
          <cell r="D1221">
            <v>2674345</v>
          </cell>
          <cell r="E1221" t="str">
            <v>Amazon EU SARL, succursale Italiana</v>
          </cell>
          <cell r="F1221" t="str">
            <v>6JWFV3WK</v>
          </cell>
          <cell r="G1221" t="str">
            <v>B011N78DMA</v>
          </cell>
          <cell r="H1221" t="str">
            <v>941-000123</v>
          </cell>
          <cell r="I1221" t="str">
            <v>OE INVOICES</v>
          </cell>
          <cell r="J1221">
            <v>44422141341</v>
          </cell>
          <cell r="K1221">
            <v>44895</v>
          </cell>
          <cell r="L1221">
            <v>3</v>
          </cell>
          <cell r="M1221" t="str">
            <v>EUR</v>
          </cell>
          <cell r="N1221">
            <v>884.28</v>
          </cell>
          <cell r="O1221">
            <v>221.07</v>
          </cell>
          <cell r="P1221">
            <v>4</v>
          </cell>
          <cell r="Q1221">
            <v>4</v>
          </cell>
          <cell r="R1221">
            <v>0</v>
          </cell>
        </row>
        <row r="1222">
          <cell r="A1222" t="str">
            <v>6JWFV3WKB01L6L46LK</v>
          </cell>
          <cell r="B1222" t="str">
            <v>Q3-23</v>
          </cell>
          <cell r="C1222" t="str">
            <v>Europe Operations OU</v>
          </cell>
          <cell r="D1222">
            <v>2674345</v>
          </cell>
          <cell r="E1222" t="str">
            <v>Amazon EU SARL, succursale Italiana</v>
          </cell>
          <cell r="F1222" t="str">
            <v>6JWFV3WK</v>
          </cell>
          <cell r="G1222" t="str">
            <v>B01L6L46LK</v>
          </cell>
          <cell r="H1222" t="str">
            <v>920-008087</v>
          </cell>
          <cell r="I1222" t="str">
            <v>OE INVOICES</v>
          </cell>
          <cell r="J1222">
            <v>44422141341</v>
          </cell>
          <cell r="K1222">
            <v>44895</v>
          </cell>
          <cell r="L1222">
            <v>4</v>
          </cell>
          <cell r="M1222" t="str">
            <v>EUR</v>
          </cell>
          <cell r="N1222">
            <v>179.36</v>
          </cell>
          <cell r="O1222">
            <v>44.84</v>
          </cell>
          <cell r="P1222">
            <v>4</v>
          </cell>
          <cell r="Q1222">
            <v>4</v>
          </cell>
          <cell r="R1222">
            <v>0</v>
          </cell>
        </row>
        <row r="1223">
          <cell r="A1223" t="str">
            <v>6JWFV3WKB01MT5WMMG</v>
          </cell>
          <cell r="B1223" t="str">
            <v>Q3-23</v>
          </cell>
          <cell r="C1223" t="str">
            <v>Europe Operations OU</v>
          </cell>
          <cell r="D1223">
            <v>2674345</v>
          </cell>
          <cell r="E1223" t="str">
            <v>Amazon EU SARL, succursale Italiana</v>
          </cell>
          <cell r="F1223" t="str">
            <v>6JWFV3WK</v>
          </cell>
          <cell r="G1223" t="str">
            <v>B01MT5WMMG</v>
          </cell>
          <cell r="H1223" t="str">
            <v>920-008221</v>
          </cell>
          <cell r="I1223" t="str">
            <v>OE INVOICES</v>
          </cell>
          <cell r="J1223">
            <v>44422141341</v>
          </cell>
          <cell r="K1223">
            <v>44895</v>
          </cell>
          <cell r="L1223">
            <v>5</v>
          </cell>
          <cell r="M1223" t="str">
            <v>EUR</v>
          </cell>
          <cell r="N1223">
            <v>3921.32</v>
          </cell>
          <cell r="O1223">
            <v>75.41</v>
          </cell>
          <cell r="P1223">
            <v>52</v>
          </cell>
          <cell r="Q1223">
            <v>52</v>
          </cell>
          <cell r="R1223">
            <v>0</v>
          </cell>
        </row>
        <row r="1224">
          <cell r="A1224" t="str">
            <v>6JWFV3WKB07QWTR62R</v>
          </cell>
          <cell r="B1224" t="str">
            <v>Q3-23</v>
          </cell>
          <cell r="C1224" t="str">
            <v>Europe Operations OU</v>
          </cell>
          <cell r="D1224">
            <v>2674345</v>
          </cell>
          <cell r="E1224" t="str">
            <v>Amazon EU SARL, succursale Italiana</v>
          </cell>
          <cell r="F1224" t="str">
            <v>6JWFV3WK</v>
          </cell>
          <cell r="G1224" t="str">
            <v>B07QWTR62R</v>
          </cell>
          <cell r="H1224" t="str">
            <v>920-008946</v>
          </cell>
          <cell r="I1224" t="str">
            <v>OE INVOICES</v>
          </cell>
          <cell r="J1224">
            <v>44422141341</v>
          </cell>
          <cell r="K1224">
            <v>44895</v>
          </cell>
          <cell r="L1224">
            <v>6</v>
          </cell>
          <cell r="M1224" t="str">
            <v>EUR</v>
          </cell>
          <cell r="N1224">
            <v>293.36</v>
          </cell>
          <cell r="O1224">
            <v>73.34</v>
          </cell>
          <cell r="P1224">
            <v>4</v>
          </cell>
          <cell r="Q1224">
            <v>4</v>
          </cell>
          <cell r="R1224">
            <v>0</v>
          </cell>
        </row>
        <row r="1225">
          <cell r="A1225" t="str">
            <v>6JWFV3WKB07W7KJC28</v>
          </cell>
          <cell r="B1225" t="str">
            <v>Q3-23</v>
          </cell>
          <cell r="C1225" t="str">
            <v>Europe Operations OU</v>
          </cell>
          <cell r="D1225">
            <v>2674345</v>
          </cell>
          <cell r="E1225" t="str">
            <v>Amazon EU SARL, succursale Italiana</v>
          </cell>
          <cell r="F1225" t="str">
            <v>6JWFV3WK</v>
          </cell>
          <cell r="G1225" t="str">
            <v>B07W7KJC28</v>
          </cell>
          <cell r="H1225" t="str">
            <v>920-009821</v>
          </cell>
          <cell r="I1225" t="str">
            <v>OE INVOICES</v>
          </cell>
          <cell r="J1225">
            <v>44422141341</v>
          </cell>
          <cell r="K1225">
            <v>44895</v>
          </cell>
          <cell r="L1225">
            <v>7</v>
          </cell>
          <cell r="M1225" t="str">
            <v>EUR</v>
          </cell>
          <cell r="N1225">
            <v>174</v>
          </cell>
          <cell r="O1225">
            <v>29</v>
          </cell>
          <cell r="P1225">
            <v>6</v>
          </cell>
          <cell r="Q1225">
            <v>6</v>
          </cell>
          <cell r="R1225">
            <v>0</v>
          </cell>
        </row>
        <row r="1226">
          <cell r="A1226" t="str">
            <v>6LL8HOVUB07VWF2HCL</v>
          </cell>
          <cell r="B1226" t="str">
            <v>Q3-23</v>
          </cell>
          <cell r="C1226" t="str">
            <v>Europe Operations OU</v>
          </cell>
          <cell r="D1226">
            <v>2674345</v>
          </cell>
          <cell r="E1226" t="str">
            <v>Amazon EU SARL, succursale Italiana</v>
          </cell>
          <cell r="F1226" t="str">
            <v>6LL8HOVU</v>
          </cell>
          <cell r="G1226" t="str">
            <v>B07VWF2HCL</v>
          </cell>
          <cell r="H1226" t="str">
            <v>920-008990</v>
          </cell>
          <cell r="I1226" t="str">
            <v>OE INVOICES</v>
          </cell>
          <cell r="J1226">
            <v>44422140939</v>
          </cell>
          <cell r="K1226">
            <v>44895</v>
          </cell>
          <cell r="L1226">
            <v>1</v>
          </cell>
          <cell r="M1226" t="str">
            <v>EUR</v>
          </cell>
          <cell r="N1226">
            <v>22054</v>
          </cell>
          <cell r="O1226">
            <v>110.27</v>
          </cell>
          <cell r="P1226">
            <v>200</v>
          </cell>
          <cell r="Q1226">
            <v>200</v>
          </cell>
          <cell r="R1226">
            <v>0</v>
          </cell>
        </row>
        <row r="1227">
          <cell r="A1227" t="str">
            <v>6MCHCTQEB07G6MBCG3</v>
          </cell>
          <cell r="B1227" t="str">
            <v>Q3-23</v>
          </cell>
          <cell r="C1227" t="str">
            <v>Europe Operations OU</v>
          </cell>
          <cell r="D1227">
            <v>2674345</v>
          </cell>
          <cell r="E1227" t="str">
            <v>Amazon EU SARL, succursale Italiana</v>
          </cell>
          <cell r="F1227" t="str">
            <v>6MCHCTQE</v>
          </cell>
          <cell r="G1227" t="str">
            <v>B07G6MBCG3</v>
          </cell>
          <cell r="H1227" t="str">
            <v>984-001360</v>
          </cell>
          <cell r="I1227" t="str">
            <v>OE INVOICES</v>
          </cell>
          <cell r="J1227">
            <v>44422158004</v>
          </cell>
          <cell r="K1227">
            <v>44907</v>
          </cell>
          <cell r="L1227">
            <v>1</v>
          </cell>
          <cell r="M1227" t="str">
            <v>EUR</v>
          </cell>
          <cell r="N1227">
            <v>2551.36</v>
          </cell>
          <cell r="O1227">
            <v>79.73</v>
          </cell>
          <cell r="P1227">
            <v>32</v>
          </cell>
          <cell r="Q1227">
            <v>32</v>
          </cell>
          <cell r="R1227">
            <v>0</v>
          </cell>
        </row>
        <row r="1228">
          <cell r="A1228" t="str">
            <v>6MI6OEVJB07W4DH6G4</v>
          </cell>
          <cell r="B1228" t="str">
            <v>Q3-23</v>
          </cell>
          <cell r="C1228" t="str">
            <v>Europe Operations OU</v>
          </cell>
          <cell r="D1228">
            <v>2674345</v>
          </cell>
          <cell r="E1228" t="str">
            <v>Amazon EU SARL, succursale Italiana</v>
          </cell>
          <cell r="F1228" t="str">
            <v>6MI6OEVJ</v>
          </cell>
          <cell r="G1228" t="str">
            <v>B07W4DH6G4</v>
          </cell>
          <cell r="H1228" t="str">
            <v>981-001281</v>
          </cell>
          <cell r="I1228" t="str">
            <v>OE INVOICES</v>
          </cell>
          <cell r="J1228">
            <v>44422170766</v>
          </cell>
          <cell r="K1228">
            <v>44915</v>
          </cell>
          <cell r="L1228">
            <v>1</v>
          </cell>
          <cell r="M1228" t="str">
            <v>EUR</v>
          </cell>
          <cell r="N1228">
            <v>468.48</v>
          </cell>
          <cell r="O1228">
            <v>29.28</v>
          </cell>
          <cell r="P1228">
            <v>16</v>
          </cell>
          <cell r="Q1228">
            <v>16</v>
          </cell>
          <cell r="R1228">
            <v>0</v>
          </cell>
        </row>
        <row r="1229">
          <cell r="A1229" t="str">
            <v>6MKSEO6MB0044AFFMK</v>
          </cell>
          <cell r="B1229" t="str">
            <v>Q3-23</v>
          </cell>
          <cell r="C1229" t="str">
            <v>Europe Operations OU</v>
          </cell>
          <cell r="D1229">
            <v>2674345</v>
          </cell>
          <cell r="E1229" t="str">
            <v>Amazon EU SARL, succursale Italiana</v>
          </cell>
          <cell r="F1229" t="str">
            <v>6MKSEO6M</v>
          </cell>
          <cell r="G1229" t="str">
            <v>B0044AFFMK</v>
          </cell>
          <cell r="H1229" t="str">
            <v>920-002431</v>
          </cell>
          <cell r="I1229" t="str">
            <v>OE INVOICES</v>
          </cell>
          <cell r="J1229">
            <v>44422163659</v>
          </cell>
          <cell r="K1229">
            <v>44909</v>
          </cell>
          <cell r="L1229">
            <v>1</v>
          </cell>
          <cell r="M1229" t="str">
            <v>EUR</v>
          </cell>
          <cell r="N1229">
            <v>278.44</v>
          </cell>
          <cell r="O1229">
            <v>69.61</v>
          </cell>
          <cell r="P1229">
            <v>4</v>
          </cell>
          <cell r="Q1229">
            <v>4</v>
          </cell>
          <cell r="R1229">
            <v>0</v>
          </cell>
        </row>
        <row r="1230">
          <cell r="A1230" t="str">
            <v>6MKSEO6MB0072AEZJI</v>
          </cell>
          <cell r="B1230" t="str">
            <v>Q3-23</v>
          </cell>
          <cell r="C1230" t="str">
            <v>Europe Operations OU</v>
          </cell>
          <cell r="D1230">
            <v>2674345</v>
          </cell>
          <cell r="E1230" t="str">
            <v>Amazon EU SARL, succursale Italiana</v>
          </cell>
          <cell r="F1230" t="str">
            <v>6MKSEO6M</v>
          </cell>
          <cell r="G1230" t="str">
            <v>B0072AEZJI</v>
          </cell>
          <cell r="H1230" t="str">
            <v>920-003626</v>
          </cell>
          <cell r="I1230" t="str">
            <v>OE INVOICES</v>
          </cell>
          <cell r="J1230">
            <v>44422163659</v>
          </cell>
          <cell r="K1230">
            <v>44909</v>
          </cell>
          <cell r="L1230">
            <v>2</v>
          </cell>
          <cell r="M1230" t="str">
            <v>EUR</v>
          </cell>
          <cell r="N1230">
            <v>93.6</v>
          </cell>
          <cell r="O1230">
            <v>9.36</v>
          </cell>
          <cell r="P1230">
            <v>10</v>
          </cell>
          <cell r="Q1230">
            <v>10</v>
          </cell>
          <cell r="R1230">
            <v>0</v>
          </cell>
        </row>
        <row r="1231">
          <cell r="A1231" t="str">
            <v>6MN9HM7HB07W4DG81W</v>
          </cell>
          <cell r="B1231" t="str">
            <v>Q3-23</v>
          </cell>
          <cell r="C1231" t="str">
            <v>Europe Operations OU</v>
          </cell>
          <cell r="D1231">
            <v>2674345</v>
          </cell>
          <cell r="E1231" t="str">
            <v>Amazon EU SARL, succursale Italiana</v>
          </cell>
          <cell r="F1231" t="str">
            <v>6MN9HM7H</v>
          </cell>
          <cell r="G1231" t="str">
            <v>B07W4DG81W</v>
          </cell>
          <cell r="H1231" t="str">
            <v>941-000158</v>
          </cell>
          <cell r="I1231" t="str">
            <v>OE INVOICES</v>
          </cell>
          <cell r="J1231">
            <v>44422163649</v>
          </cell>
          <cell r="K1231">
            <v>44909</v>
          </cell>
          <cell r="L1231">
            <v>1</v>
          </cell>
          <cell r="M1231" t="str">
            <v>EUR</v>
          </cell>
          <cell r="N1231">
            <v>19466.099999999999</v>
          </cell>
          <cell r="O1231">
            <v>226.35</v>
          </cell>
          <cell r="P1231">
            <v>86</v>
          </cell>
          <cell r="Q1231">
            <v>86</v>
          </cell>
          <cell r="R1231">
            <v>0</v>
          </cell>
        </row>
        <row r="1232">
          <cell r="A1232" t="str">
            <v>6N7I6OMHB00413BI7Q</v>
          </cell>
          <cell r="B1232" t="str">
            <v>Q3-23</v>
          </cell>
          <cell r="C1232" t="str">
            <v>Europe Operations OU</v>
          </cell>
          <cell r="D1232">
            <v>2674345</v>
          </cell>
          <cell r="E1232" t="str">
            <v>Amazon EU SARL, succursale Italiana</v>
          </cell>
          <cell r="F1232" t="str">
            <v>6N7I6OMH</v>
          </cell>
          <cell r="G1232" t="str">
            <v>B00413BI7Q</v>
          </cell>
          <cell r="H1232" t="str">
            <v>980-000404</v>
          </cell>
          <cell r="I1232" t="str">
            <v>OE INVOICES</v>
          </cell>
          <cell r="J1232">
            <v>44422157427</v>
          </cell>
          <cell r="K1232">
            <v>44904</v>
          </cell>
          <cell r="L1232">
            <v>1</v>
          </cell>
          <cell r="M1232" t="str">
            <v>EUR</v>
          </cell>
          <cell r="N1232">
            <v>9927.84</v>
          </cell>
          <cell r="O1232">
            <v>115.44</v>
          </cell>
          <cell r="P1232">
            <v>86</v>
          </cell>
          <cell r="Q1232">
            <v>86</v>
          </cell>
          <cell r="R1232">
            <v>0</v>
          </cell>
        </row>
        <row r="1233">
          <cell r="A1233" t="str">
            <v>6QK5MDWIB003V0QEV0</v>
          </cell>
          <cell r="B1233" t="str">
            <v>Q3-23</v>
          </cell>
          <cell r="C1233" t="str">
            <v>Europe Operations OU</v>
          </cell>
          <cell r="D1233">
            <v>2674345</v>
          </cell>
          <cell r="E1233" t="str">
            <v>Amazon EU SARL, succursale Italiana</v>
          </cell>
          <cell r="F1233" t="str">
            <v>6QK5MDWI</v>
          </cell>
          <cell r="G1233" t="str">
            <v>B003V0QEV0</v>
          </cell>
          <cell r="H1233" t="str">
            <v>920-002515</v>
          </cell>
          <cell r="I1233" t="str">
            <v>OE INVOICES</v>
          </cell>
          <cell r="J1233">
            <v>44422163464</v>
          </cell>
          <cell r="K1233">
            <v>44909</v>
          </cell>
          <cell r="L1233">
            <v>1</v>
          </cell>
          <cell r="M1233" t="str">
            <v>EUR</v>
          </cell>
          <cell r="N1233">
            <v>93.6</v>
          </cell>
          <cell r="O1233">
            <v>9.36</v>
          </cell>
          <cell r="P1233">
            <v>10</v>
          </cell>
          <cell r="Q1233">
            <v>10</v>
          </cell>
          <cell r="R1233">
            <v>0</v>
          </cell>
        </row>
        <row r="1234">
          <cell r="A1234" t="str">
            <v>6QK5MDWIB07W5JKKX9</v>
          </cell>
          <cell r="B1234" t="str">
            <v>Q3-23</v>
          </cell>
          <cell r="C1234" t="str">
            <v>Europe Operations OU</v>
          </cell>
          <cell r="D1234">
            <v>2674345</v>
          </cell>
          <cell r="E1234" t="str">
            <v>Amazon EU SARL, succursale Italiana</v>
          </cell>
          <cell r="F1234" t="str">
            <v>6QK5MDWI</v>
          </cell>
          <cell r="G1234" t="str">
            <v>B07W5JKKX9</v>
          </cell>
          <cell r="H1234" t="str">
            <v>920-009346</v>
          </cell>
          <cell r="I1234" t="str">
            <v>OE INVOICES</v>
          </cell>
          <cell r="J1234">
            <v>44422163464</v>
          </cell>
          <cell r="K1234">
            <v>44909</v>
          </cell>
          <cell r="L1234">
            <v>2</v>
          </cell>
          <cell r="M1234" t="str">
            <v>EUR</v>
          </cell>
          <cell r="N1234">
            <v>1088.96</v>
          </cell>
          <cell r="O1234">
            <v>68.06</v>
          </cell>
          <cell r="P1234">
            <v>16</v>
          </cell>
          <cell r="Q1234">
            <v>16</v>
          </cell>
          <cell r="R1234">
            <v>0</v>
          </cell>
        </row>
        <row r="1235">
          <cell r="A1235" t="str">
            <v>6S7HWGDFB003L92O5Q</v>
          </cell>
          <cell r="B1235" t="str">
            <v>Q3-23</v>
          </cell>
          <cell r="C1235" t="str">
            <v>Europe Operations OU</v>
          </cell>
          <cell r="D1235">
            <v>2674345</v>
          </cell>
          <cell r="E1235" t="str">
            <v>Amazon EU SARL, succursale Italiana</v>
          </cell>
          <cell r="F1235" t="str">
            <v>6S7HWGDF</v>
          </cell>
          <cell r="G1235" t="str">
            <v>B003L92O5Q</v>
          </cell>
          <cell r="H1235" t="str">
            <v>980-000447</v>
          </cell>
          <cell r="I1235" t="str">
            <v>OE INVOICES</v>
          </cell>
          <cell r="J1235">
            <v>44422157009</v>
          </cell>
          <cell r="K1235">
            <v>44904</v>
          </cell>
          <cell r="L1235">
            <v>1</v>
          </cell>
          <cell r="M1235" t="str">
            <v>EUR</v>
          </cell>
          <cell r="N1235">
            <v>70.260000000000005</v>
          </cell>
          <cell r="O1235">
            <v>35.130000000000003</v>
          </cell>
          <cell r="P1235">
            <v>2</v>
          </cell>
          <cell r="Q1235">
            <v>2</v>
          </cell>
          <cell r="R1235">
            <v>0</v>
          </cell>
        </row>
        <row r="1236">
          <cell r="A1236" t="str">
            <v>6S7HWGDFB01A9HC69G</v>
          </cell>
          <cell r="B1236" t="str">
            <v>Q3-23</v>
          </cell>
          <cell r="C1236" t="str">
            <v>Europe Operations OU</v>
          </cell>
          <cell r="D1236">
            <v>2674345</v>
          </cell>
          <cell r="E1236" t="str">
            <v>Amazon EU SARL, succursale Italiana</v>
          </cell>
          <cell r="F1236" t="str">
            <v>6S7HWGDF</v>
          </cell>
          <cell r="G1236" t="str">
            <v>B01A9HC69G</v>
          </cell>
          <cell r="H1236" t="str">
            <v>910-004640</v>
          </cell>
          <cell r="I1236" t="str">
            <v>OE INVOICES</v>
          </cell>
          <cell r="J1236">
            <v>44422157009</v>
          </cell>
          <cell r="K1236">
            <v>44904</v>
          </cell>
          <cell r="L1236">
            <v>2</v>
          </cell>
          <cell r="M1236" t="str">
            <v>EUR</v>
          </cell>
          <cell r="N1236">
            <v>93.6</v>
          </cell>
          <cell r="O1236">
            <v>9.36</v>
          </cell>
          <cell r="P1236">
            <v>10</v>
          </cell>
          <cell r="Q1236">
            <v>10</v>
          </cell>
          <cell r="R1236">
            <v>0</v>
          </cell>
        </row>
        <row r="1237">
          <cell r="A1237" t="str">
            <v>6SVXGVNMB07W7M4MZP</v>
          </cell>
          <cell r="B1237" t="str">
            <v>Q3-23</v>
          </cell>
          <cell r="C1237" t="str">
            <v>Europe Operations OU</v>
          </cell>
          <cell r="D1237">
            <v>2674345</v>
          </cell>
          <cell r="E1237" t="str">
            <v>Amazon EU SARL, succursale Italiana</v>
          </cell>
          <cell r="F1237" t="str">
            <v>6SVXGVNM</v>
          </cell>
          <cell r="G1237" t="str">
            <v>B07W7M4MZP</v>
          </cell>
          <cell r="H1237" t="str">
            <v>920-010301</v>
          </cell>
          <cell r="I1237" t="str">
            <v>OE INVOICES</v>
          </cell>
          <cell r="J1237">
            <v>44422170037</v>
          </cell>
          <cell r="K1237">
            <v>44915</v>
          </cell>
          <cell r="L1237">
            <v>1</v>
          </cell>
          <cell r="M1237" t="str">
            <v>EUR</v>
          </cell>
          <cell r="N1237">
            <v>928.16</v>
          </cell>
          <cell r="O1237">
            <v>116.02</v>
          </cell>
          <cell r="P1237">
            <v>8</v>
          </cell>
          <cell r="Q1237">
            <v>8</v>
          </cell>
          <cell r="R1237">
            <v>0</v>
          </cell>
        </row>
        <row r="1238">
          <cell r="A1238" t="str">
            <v>6SZP9P7CB006ZLK9SQ</v>
          </cell>
          <cell r="B1238" t="str">
            <v>Q3-23</v>
          </cell>
          <cell r="C1238" t="str">
            <v>Europe Operations OU</v>
          </cell>
          <cell r="D1238">
            <v>2674345</v>
          </cell>
          <cell r="E1238" t="str">
            <v>Amazon EU SARL, succursale Italiana</v>
          </cell>
          <cell r="F1238" t="str">
            <v>6SZP9P7C</v>
          </cell>
          <cell r="G1238" t="str">
            <v>B006ZLK9SQ</v>
          </cell>
          <cell r="H1238" t="str">
            <v>920-003721</v>
          </cell>
          <cell r="I1238" t="str">
            <v>OE INVOICES</v>
          </cell>
          <cell r="J1238">
            <v>44422146165</v>
          </cell>
          <cell r="K1238">
            <v>44900</v>
          </cell>
          <cell r="L1238">
            <v>1</v>
          </cell>
          <cell r="M1238" t="str">
            <v>EUR</v>
          </cell>
          <cell r="N1238">
            <v>1804</v>
          </cell>
          <cell r="O1238">
            <v>20.5</v>
          </cell>
          <cell r="P1238">
            <v>88</v>
          </cell>
          <cell r="Q1238">
            <v>88</v>
          </cell>
          <cell r="R1238">
            <v>0</v>
          </cell>
        </row>
        <row r="1239">
          <cell r="A1239" t="str">
            <v>6U12NWLGB00BCE30RS</v>
          </cell>
          <cell r="B1239" t="str">
            <v>Q3-23</v>
          </cell>
          <cell r="C1239" t="str">
            <v>Europe Operations OU</v>
          </cell>
          <cell r="D1239">
            <v>2674345</v>
          </cell>
          <cell r="E1239" t="str">
            <v>Amazon EU SARL, succursale Italiana</v>
          </cell>
          <cell r="F1239" t="str">
            <v>6U12NWLG</v>
          </cell>
          <cell r="G1239" t="str">
            <v>B00BCE30RS</v>
          </cell>
          <cell r="H1239" t="str">
            <v>920-004511</v>
          </cell>
          <cell r="I1239" t="str">
            <v>OE INVOICES</v>
          </cell>
          <cell r="J1239">
            <v>44422156304</v>
          </cell>
          <cell r="K1239">
            <v>44904</v>
          </cell>
          <cell r="L1239">
            <v>1</v>
          </cell>
          <cell r="M1239" t="str">
            <v>EUR</v>
          </cell>
          <cell r="N1239">
            <v>3794.4</v>
          </cell>
          <cell r="O1239">
            <v>26.35</v>
          </cell>
          <cell r="P1239">
            <v>144</v>
          </cell>
          <cell r="Q1239">
            <v>144</v>
          </cell>
          <cell r="R1239">
            <v>0</v>
          </cell>
        </row>
        <row r="1240">
          <cell r="A1240" t="str">
            <v>6UZZHR2WB00YUIM2J0</v>
          </cell>
          <cell r="B1240" t="str">
            <v>Q3-23</v>
          </cell>
          <cell r="C1240" t="str">
            <v>Europe Operations OU</v>
          </cell>
          <cell r="D1240">
            <v>2674345</v>
          </cell>
          <cell r="E1240" t="str">
            <v>Amazon EU SARL, succursale Italiana</v>
          </cell>
          <cell r="F1240" t="str">
            <v>6UZZHR2W</v>
          </cell>
          <cell r="G1240" t="str">
            <v>B00YUIM2J0</v>
          </cell>
          <cell r="H1240" t="str">
            <v>941-000112</v>
          </cell>
          <cell r="I1240" t="str">
            <v>OE INVOICES</v>
          </cell>
          <cell r="J1240">
            <v>44422132440</v>
          </cell>
          <cell r="K1240">
            <v>44889</v>
          </cell>
          <cell r="L1240">
            <v>1</v>
          </cell>
          <cell r="M1240" t="str">
            <v>EUR</v>
          </cell>
          <cell r="N1240">
            <v>37360.83</v>
          </cell>
          <cell r="O1240">
            <v>221.07</v>
          </cell>
          <cell r="P1240">
            <v>169</v>
          </cell>
          <cell r="Q1240">
            <v>169</v>
          </cell>
          <cell r="R1240">
            <v>0</v>
          </cell>
        </row>
        <row r="1241">
          <cell r="A1241" t="str">
            <v>6UZZHR2WB07TLX61W7</v>
          </cell>
          <cell r="B1241" t="str">
            <v>Q3-23</v>
          </cell>
          <cell r="C1241" t="str">
            <v>Europe Operations OU</v>
          </cell>
          <cell r="D1241">
            <v>2674345</v>
          </cell>
          <cell r="E1241" t="str">
            <v>Amazon EU SARL, succursale Italiana</v>
          </cell>
          <cell r="F1241" t="str">
            <v>6UZZHR2W</v>
          </cell>
          <cell r="G1241" t="str">
            <v>B07TLX61W7</v>
          </cell>
          <cell r="H1241" t="str">
            <v>981-000818</v>
          </cell>
          <cell r="I1241" t="str">
            <v>OE INVOICES</v>
          </cell>
          <cell r="J1241">
            <v>44422132440</v>
          </cell>
          <cell r="K1241">
            <v>44889</v>
          </cell>
          <cell r="L1241">
            <v>2</v>
          </cell>
          <cell r="M1241" t="str">
            <v>EUR</v>
          </cell>
          <cell r="N1241">
            <v>72166.559999999998</v>
          </cell>
          <cell r="O1241">
            <v>73.34</v>
          </cell>
          <cell r="P1241">
            <v>984</v>
          </cell>
          <cell r="Q1241">
            <v>984</v>
          </cell>
          <cell r="R1241">
            <v>0</v>
          </cell>
        </row>
        <row r="1242">
          <cell r="A1242" t="str">
            <v>6UZZHR2WB07W7LNC8W</v>
          </cell>
          <cell r="B1242" t="str">
            <v>Q3-23</v>
          </cell>
          <cell r="C1242" t="str">
            <v>Europe Operations OU</v>
          </cell>
          <cell r="D1242">
            <v>2674345</v>
          </cell>
          <cell r="E1242" t="str">
            <v>Amazon EU SARL, succursale Italiana</v>
          </cell>
          <cell r="F1242" t="str">
            <v>6UZZHR2W</v>
          </cell>
          <cell r="G1242" t="str">
            <v>B07W7LNC8W</v>
          </cell>
          <cell r="H1242" t="str">
            <v>920-009111</v>
          </cell>
          <cell r="I1242" t="str">
            <v>OE INVOICES</v>
          </cell>
          <cell r="J1242">
            <v>44422140668</v>
          </cell>
          <cell r="K1242">
            <v>44895</v>
          </cell>
          <cell r="L1242">
            <v>1</v>
          </cell>
          <cell r="M1242" t="str">
            <v>EUR</v>
          </cell>
          <cell r="N1242">
            <v>5677.2</v>
          </cell>
          <cell r="O1242">
            <v>141.93</v>
          </cell>
          <cell r="P1242">
            <v>40</v>
          </cell>
          <cell r="Q1242">
            <v>40</v>
          </cell>
          <cell r="R1242">
            <v>0</v>
          </cell>
        </row>
        <row r="1243">
          <cell r="A1243" t="str">
            <v>6V4P22HVB003D8ZT0C</v>
          </cell>
          <cell r="B1243" t="str">
            <v>Q3-23</v>
          </cell>
          <cell r="C1243" t="str">
            <v>Europe Operations OU</v>
          </cell>
          <cell r="D1243">
            <v>2674345</v>
          </cell>
          <cell r="E1243" t="str">
            <v>Amazon EU SARL, succursale Italiana</v>
          </cell>
          <cell r="F1243" t="str">
            <v>6V4P22HV</v>
          </cell>
          <cell r="G1243" t="str">
            <v>B003D8ZT0C</v>
          </cell>
          <cell r="H1243" t="str">
            <v>910-001793</v>
          </cell>
          <cell r="I1243" t="str">
            <v>OE INVOICES</v>
          </cell>
          <cell r="J1243">
            <v>44422130180</v>
          </cell>
          <cell r="K1243">
            <v>44888</v>
          </cell>
          <cell r="L1243">
            <v>1</v>
          </cell>
          <cell r="M1243" t="str">
            <v>EUR</v>
          </cell>
          <cell r="N1243">
            <v>4095</v>
          </cell>
          <cell r="O1243">
            <v>5.85</v>
          </cell>
          <cell r="P1243">
            <v>700</v>
          </cell>
          <cell r="Q1243">
            <v>700</v>
          </cell>
          <cell r="R1243">
            <v>0</v>
          </cell>
        </row>
        <row r="1244">
          <cell r="A1244" t="str">
            <v>6V4P22HVB00544XFHC</v>
          </cell>
          <cell r="B1244" t="str">
            <v>Q3-23</v>
          </cell>
          <cell r="C1244" t="str">
            <v>Europe Operations OU</v>
          </cell>
          <cell r="D1244">
            <v>2674345</v>
          </cell>
          <cell r="E1244" t="str">
            <v>Amazon EU SARL, succursale Italiana</v>
          </cell>
          <cell r="F1244" t="str">
            <v>6V4P22HV</v>
          </cell>
          <cell r="G1244" t="str">
            <v>B00544XFHC</v>
          </cell>
          <cell r="H1244" t="str">
            <v>910-002240</v>
          </cell>
          <cell r="I1244" t="str">
            <v>OE INVOICES</v>
          </cell>
          <cell r="J1244">
            <v>44422130180</v>
          </cell>
          <cell r="K1244">
            <v>44888</v>
          </cell>
          <cell r="L1244">
            <v>2</v>
          </cell>
          <cell r="M1244" t="str">
            <v>EUR</v>
          </cell>
          <cell r="N1244">
            <v>842.4</v>
          </cell>
          <cell r="O1244">
            <v>10.53</v>
          </cell>
          <cell r="P1244">
            <v>80</v>
          </cell>
          <cell r="Q1244">
            <v>80</v>
          </cell>
          <cell r="R1244">
            <v>0</v>
          </cell>
        </row>
        <row r="1245">
          <cell r="A1245" t="str">
            <v>6V4P22HVB00544XJDM</v>
          </cell>
          <cell r="B1245" t="str">
            <v>Q3-23</v>
          </cell>
          <cell r="C1245" t="str">
            <v>Europe Operations OU</v>
          </cell>
          <cell r="D1245">
            <v>2674345</v>
          </cell>
          <cell r="E1245" t="str">
            <v>Amazon EU SARL, succursale Italiana</v>
          </cell>
          <cell r="F1245" t="str">
            <v>6V4P22HV</v>
          </cell>
          <cell r="G1245" t="str">
            <v>B00544XJDM</v>
          </cell>
          <cell r="H1245" t="str">
            <v>910-002239</v>
          </cell>
          <cell r="I1245" t="str">
            <v>OE INVOICES</v>
          </cell>
          <cell r="J1245">
            <v>44422130180</v>
          </cell>
          <cell r="K1245">
            <v>44888</v>
          </cell>
          <cell r="L1245">
            <v>3</v>
          </cell>
          <cell r="M1245" t="str">
            <v>EUR</v>
          </cell>
          <cell r="N1245">
            <v>631.79999999999995</v>
          </cell>
          <cell r="O1245">
            <v>10.53</v>
          </cell>
          <cell r="P1245">
            <v>60</v>
          </cell>
          <cell r="Q1245">
            <v>60</v>
          </cell>
          <cell r="R1245">
            <v>0</v>
          </cell>
        </row>
        <row r="1246">
          <cell r="A1246" t="str">
            <v>6V4P22HVB0056I3IDW</v>
          </cell>
          <cell r="B1246" t="str">
            <v>Q3-23</v>
          </cell>
          <cell r="C1246" t="str">
            <v>Europe Operations OU</v>
          </cell>
          <cell r="D1246">
            <v>2674345</v>
          </cell>
          <cell r="E1246" t="str">
            <v>Amazon EU SARL, succursale Italiana</v>
          </cell>
          <cell r="F1246" t="str">
            <v>6V4P22HV</v>
          </cell>
          <cell r="G1246" t="str">
            <v>B0056I3IDW</v>
          </cell>
          <cell r="H1246" t="str">
            <v>910-002237</v>
          </cell>
          <cell r="I1246" t="str">
            <v>OE INVOICES</v>
          </cell>
          <cell r="J1246">
            <v>44422130180</v>
          </cell>
          <cell r="K1246">
            <v>44888</v>
          </cell>
          <cell r="L1246">
            <v>4</v>
          </cell>
          <cell r="M1246" t="str">
            <v>EUR</v>
          </cell>
          <cell r="N1246">
            <v>2737.8</v>
          </cell>
          <cell r="O1246">
            <v>10.53</v>
          </cell>
          <cell r="P1246">
            <v>260</v>
          </cell>
          <cell r="Q1246">
            <v>260</v>
          </cell>
          <cell r="R1246">
            <v>0</v>
          </cell>
        </row>
        <row r="1247">
          <cell r="A1247" t="str">
            <v>6V4P22HVB00AZKNPZC</v>
          </cell>
          <cell r="B1247" t="str">
            <v>Q3-23</v>
          </cell>
          <cell r="C1247" t="str">
            <v>Europe Operations OU</v>
          </cell>
          <cell r="D1247">
            <v>2674345</v>
          </cell>
          <cell r="E1247" t="str">
            <v>Amazon EU SARL, succursale Italiana</v>
          </cell>
          <cell r="F1247" t="str">
            <v>6V4P22HV</v>
          </cell>
          <cell r="G1247" t="str">
            <v>B00AZKNPZC</v>
          </cell>
          <cell r="H1247" t="str">
            <v>910-003357</v>
          </cell>
          <cell r="I1247" t="str">
            <v>OE INVOICES</v>
          </cell>
          <cell r="J1247">
            <v>44422130180</v>
          </cell>
          <cell r="K1247">
            <v>44888</v>
          </cell>
          <cell r="L1247">
            <v>5</v>
          </cell>
          <cell r="M1247" t="str">
            <v>EUR</v>
          </cell>
          <cell r="N1247">
            <v>1312</v>
          </cell>
          <cell r="O1247">
            <v>8.1999999999999993</v>
          </cell>
          <cell r="P1247">
            <v>160</v>
          </cell>
          <cell r="Q1247">
            <v>160</v>
          </cell>
          <cell r="R1247">
            <v>0</v>
          </cell>
        </row>
        <row r="1248">
          <cell r="A1248" t="str">
            <v>6V4P22HVB013SL1YXO</v>
          </cell>
          <cell r="B1248" t="str">
            <v>Q3-23</v>
          </cell>
          <cell r="C1248" t="str">
            <v>Europe Operations OU</v>
          </cell>
          <cell r="D1248">
            <v>2674345</v>
          </cell>
          <cell r="E1248" t="str">
            <v>Amazon EU SARL, succursale Italiana</v>
          </cell>
          <cell r="F1248" t="str">
            <v>6V4P22HV</v>
          </cell>
          <cell r="G1248" t="str">
            <v>B013SL1YXO</v>
          </cell>
          <cell r="H1248" t="str">
            <v>920-007580</v>
          </cell>
          <cell r="I1248" t="str">
            <v>OE INVOICES</v>
          </cell>
          <cell r="J1248">
            <v>44422130180</v>
          </cell>
          <cell r="K1248">
            <v>44888</v>
          </cell>
          <cell r="L1248">
            <v>6</v>
          </cell>
          <cell r="M1248" t="str">
            <v>EUR</v>
          </cell>
          <cell r="N1248">
            <v>257.68</v>
          </cell>
          <cell r="O1248">
            <v>32.21</v>
          </cell>
          <cell r="P1248">
            <v>8</v>
          </cell>
          <cell r="Q1248">
            <v>8</v>
          </cell>
          <cell r="R1248">
            <v>0</v>
          </cell>
        </row>
        <row r="1249">
          <cell r="A1249" t="str">
            <v>6V4P22HVB0728J7D3B</v>
          </cell>
          <cell r="B1249" t="str">
            <v>Q3-23</v>
          </cell>
          <cell r="C1249" t="str">
            <v>Europe Operations OU</v>
          </cell>
          <cell r="D1249">
            <v>2674345</v>
          </cell>
          <cell r="E1249" t="str">
            <v>Amazon EU SARL, succursale Italiana</v>
          </cell>
          <cell r="F1249" t="str">
            <v>6V4P22HV</v>
          </cell>
          <cell r="G1249" t="str">
            <v>B0728J7D3B</v>
          </cell>
          <cell r="H1249" t="str">
            <v>981-000668</v>
          </cell>
          <cell r="I1249" t="str">
            <v>OE INVOICES</v>
          </cell>
          <cell r="J1249">
            <v>44422130180</v>
          </cell>
          <cell r="K1249">
            <v>44888</v>
          </cell>
          <cell r="L1249">
            <v>7</v>
          </cell>
          <cell r="M1249" t="str">
            <v>EUR</v>
          </cell>
          <cell r="N1249">
            <v>20535.2</v>
          </cell>
          <cell r="O1249">
            <v>73.34</v>
          </cell>
          <cell r="P1249">
            <v>280</v>
          </cell>
          <cell r="Q1249">
            <v>280</v>
          </cell>
          <cell r="R1249">
            <v>0</v>
          </cell>
        </row>
        <row r="1250">
          <cell r="A1250" t="str">
            <v>6V4P22HVB07G6MBCG3</v>
          </cell>
          <cell r="B1250" t="str">
            <v>Q3-23</v>
          </cell>
          <cell r="C1250" t="str">
            <v>Europe Operations OU</v>
          </cell>
          <cell r="D1250">
            <v>2674345</v>
          </cell>
          <cell r="E1250" t="str">
            <v>Amazon EU SARL, succursale Italiana</v>
          </cell>
          <cell r="F1250" t="str">
            <v>6V4P22HV</v>
          </cell>
          <cell r="G1250" t="str">
            <v>B07G6MBCG3</v>
          </cell>
          <cell r="H1250" t="str">
            <v>984-001360</v>
          </cell>
          <cell r="I1250" t="str">
            <v>OE INVOICES</v>
          </cell>
          <cell r="J1250">
            <v>44422133333</v>
          </cell>
          <cell r="K1250">
            <v>44890</v>
          </cell>
          <cell r="L1250">
            <v>1</v>
          </cell>
          <cell r="M1250" t="str">
            <v>EUR</v>
          </cell>
          <cell r="N1250">
            <v>4464.88</v>
          </cell>
          <cell r="O1250">
            <v>79.73</v>
          </cell>
          <cell r="P1250">
            <v>56</v>
          </cell>
          <cell r="Q1250">
            <v>56</v>
          </cell>
          <cell r="R1250">
            <v>0</v>
          </cell>
        </row>
        <row r="1251">
          <cell r="A1251" t="str">
            <v>6V4P22HVB07MTY7N22</v>
          </cell>
          <cell r="B1251" t="str">
            <v>Q3-23</v>
          </cell>
          <cell r="C1251" t="str">
            <v>Europe Operations OU</v>
          </cell>
          <cell r="D1251">
            <v>2674345</v>
          </cell>
          <cell r="E1251" t="str">
            <v>Amazon EU SARL, succursale Italiana</v>
          </cell>
          <cell r="F1251" t="str">
            <v>6V4P22HV</v>
          </cell>
          <cell r="G1251" t="str">
            <v>B07MTY7N22</v>
          </cell>
          <cell r="H1251" t="str">
            <v>981-000744</v>
          </cell>
          <cell r="I1251" t="str">
            <v>OE INVOICES</v>
          </cell>
          <cell r="J1251">
            <v>44422130180</v>
          </cell>
          <cell r="K1251">
            <v>44888</v>
          </cell>
          <cell r="L1251">
            <v>8</v>
          </cell>
          <cell r="M1251" t="str">
            <v>EUR</v>
          </cell>
          <cell r="N1251">
            <v>16800</v>
          </cell>
          <cell r="O1251">
            <v>105</v>
          </cell>
          <cell r="P1251">
            <v>160</v>
          </cell>
          <cell r="Q1251">
            <v>160</v>
          </cell>
          <cell r="R1251">
            <v>0</v>
          </cell>
        </row>
        <row r="1252">
          <cell r="A1252" t="str">
            <v>6V4P22HVB07W5JK4VQ</v>
          </cell>
          <cell r="B1252" t="str">
            <v>Q3-23</v>
          </cell>
          <cell r="C1252" t="str">
            <v>Europe Operations OU</v>
          </cell>
          <cell r="D1252">
            <v>2674345</v>
          </cell>
          <cell r="E1252" t="str">
            <v>Amazon EU SARL, succursale Italiana</v>
          </cell>
          <cell r="F1252" t="str">
            <v>6V4P22HV</v>
          </cell>
          <cell r="G1252" t="str">
            <v>B07W5JK4VQ</v>
          </cell>
          <cell r="H1252" t="str">
            <v>910-005908</v>
          </cell>
          <cell r="I1252" t="str">
            <v>OE INVOICES</v>
          </cell>
          <cell r="J1252">
            <v>44422133333</v>
          </cell>
          <cell r="K1252">
            <v>44890</v>
          </cell>
          <cell r="L1252">
            <v>2</v>
          </cell>
          <cell r="M1252" t="str">
            <v>EUR</v>
          </cell>
          <cell r="N1252">
            <v>105.3</v>
          </cell>
          <cell r="O1252">
            <v>10.53</v>
          </cell>
          <cell r="P1252">
            <v>10</v>
          </cell>
          <cell r="Q1252">
            <v>10</v>
          </cell>
          <cell r="R1252">
            <v>0</v>
          </cell>
        </row>
        <row r="1253">
          <cell r="A1253" t="str">
            <v>6V4P22HVB07W7KRXDW</v>
          </cell>
          <cell r="B1253" t="str">
            <v>Q3-23</v>
          </cell>
          <cell r="C1253" t="str">
            <v>Europe Operations OU</v>
          </cell>
          <cell r="D1253">
            <v>2674345</v>
          </cell>
          <cell r="E1253" t="str">
            <v>Amazon EU SARL, succursale Italiana</v>
          </cell>
          <cell r="F1253" t="str">
            <v>6V4P22HV</v>
          </cell>
          <cell r="G1253" t="str">
            <v>B07W7KRXDW</v>
          </cell>
          <cell r="H1253" t="str">
            <v>920-009403</v>
          </cell>
          <cell r="I1253" t="str">
            <v>OE INVOICES</v>
          </cell>
          <cell r="J1253">
            <v>44422130180</v>
          </cell>
          <cell r="K1253">
            <v>44888</v>
          </cell>
          <cell r="L1253">
            <v>9</v>
          </cell>
          <cell r="M1253" t="str">
            <v>EUR</v>
          </cell>
          <cell r="N1253">
            <v>301.64</v>
          </cell>
          <cell r="O1253">
            <v>75.41</v>
          </cell>
          <cell r="P1253">
            <v>4</v>
          </cell>
          <cell r="Q1253">
            <v>4</v>
          </cell>
          <cell r="R1253">
            <v>0</v>
          </cell>
        </row>
        <row r="1254">
          <cell r="A1254" t="str">
            <v>7111PLSBB003LNXT7Y</v>
          </cell>
          <cell r="B1254" t="str">
            <v>Q3-23</v>
          </cell>
          <cell r="C1254" t="str">
            <v>Europe Operations OU</v>
          </cell>
          <cell r="D1254">
            <v>2674345</v>
          </cell>
          <cell r="E1254" t="str">
            <v>Amazon EU SARL, succursale Italiana</v>
          </cell>
          <cell r="F1254" t="str">
            <v>7111PLSB</v>
          </cell>
          <cell r="G1254" t="str">
            <v>B003LNXT7Y</v>
          </cell>
          <cell r="H1254" t="str">
            <v>980-000413</v>
          </cell>
          <cell r="I1254" t="str">
            <v>OE INVOICES</v>
          </cell>
          <cell r="J1254">
            <v>44422123651</v>
          </cell>
          <cell r="K1254">
            <v>44883</v>
          </cell>
          <cell r="L1254">
            <v>1</v>
          </cell>
          <cell r="M1254" t="str">
            <v>EUR</v>
          </cell>
          <cell r="N1254">
            <v>140.52000000000001</v>
          </cell>
          <cell r="O1254">
            <v>35.130000000000003</v>
          </cell>
          <cell r="P1254">
            <v>4</v>
          </cell>
          <cell r="Q1254">
            <v>4</v>
          </cell>
          <cell r="R1254">
            <v>0</v>
          </cell>
        </row>
        <row r="1255">
          <cell r="A1255" t="str">
            <v>7111PLSBB003STDR1E</v>
          </cell>
          <cell r="B1255" t="str">
            <v>Q3-23</v>
          </cell>
          <cell r="C1255" t="str">
            <v>Europe Operations OU</v>
          </cell>
          <cell r="D1255">
            <v>2674345</v>
          </cell>
          <cell r="E1255" t="str">
            <v>Amazon EU SARL, succursale Italiana</v>
          </cell>
          <cell r="F1255" t="str">
            <v>7111PLSB</v>
          </cell>
          <cell r="G1255" t="str">
            <v>B003STDR1E</v>
          </cell>
          <cell r="H1255" t="str">
            <v>910-001949</v>
          </cell>
          <cell r="I1255" t="str">
            <v>OE INVOICES</v>
          </cell>
          <cell r="J1255">
            <v>44422123651</v>
          </cell>
          <cell r="K1255">
            <v>44883</v>
          </cell>
          <cell r="L1255">
            <v>2</v>
          </cell>
          <cell r="M1255" t="str">
            <v>EUR</v>
          </cell>
          <cell r="N1255">
            <v>11273.5</v>
          </cell>
          <cell r="O1255">
            <v>32.21</v>
          </cell>
          <cell r="P1255">
            <v>350</v>
          </cell>
          <cell r="Q1255">
            <v>350</v>
          </cell>
          <cell r="R1255">
            <v>0</v>
          </cell>
        </row>
        <row r="1256">
          <cell r="A1256" t="str">
            <v>7111PLSBB00552K0GM</v>
          </cell>
          <cell r="B1256" t="str">
            <v>Q3-23</v>
          </cell>
          <cell r="C1256" t="str">
            <v>Europe Operations OU</v>
          </cell>
          <cell r="D1256">
            <v>2674345</v>
          </cell>
          <cell r="E1256" t="str">
            <v>Amazon EU SARL, succursale Italiana</v>
          </cell>
          <cell r="F1256" t="str">
            <v>7111PLSB</v>
          </cell>
          <cell r="G1256" t="str">
            <v>B00552K0GM</v>
          </cell>
          <cell r="H1256" t="str">
            <v>910-002235</v>
          </cell>
          <cell r="I1256" t="str">
            <v>OE INVOICES</v>
          </cell>
          <cell r="J1256">
            <v>44422123651</v>
          </cell>
          <cell r="K1256">
            <v>44883</v>
          </cell>
          <cell r="L1256">
            <v>3</v>
          </cell>
          <cell r="M1256" t="str">
            <v>EUR</v>
          </cell>
          <cell r="N1256">
            <v>2843.1</v>
          </cell>
          <cell r="O1256">
            <v>10.53</v>
          </cell>
          <cell r="P1256">
            <v>270</v>
          </cell>
          <cell r="Q1256">
            <v>270</v>
          </cell>
          <cell r="R1256">
            <v>0</v>
          </cell>
        </row>
        <row r="1257">
          <cell r="A1257" t="str">
            <v>7111PLSBB00LFBEOUA</v>
          </cell>
          <cell r="B1257" t="str">
            <v>Q3-23</v>
          </cell>
          <cell r="C1257" t="str">
            <v>Europe Operations OU</v>
          </cell>
          <cell r="D1257">
            <v>2674345</v>
          </cell>
          <cell r="E1257" t="str">
            <v>Amazon EU SARL, succursale Italiana</v>
          </cell>
          <cell r="F1257" t="str">
            <v>7111PLSB</v>
          </cell>
          <cell r="G1257" t="str">
            <v>B00LFBEOUA</v>
          </cell>
          <cell r="H1257" t="str">
            <v>910-004068</v>
          </cell>
          <cell r="I1257" t="str">
            <v>OE INVOICES</v>
          </cell>
          <cell r="J1257">
            <v>44422123651</v>
          </cell>
          <cell r="K1257">
            <v>44883</v>
          </cell>
          <cell r="L1257">
            <v>4</v>
          </cell>
          <cell r="M1257" t="str">
            <v>EUR</v>
          </cell>
          <cell r="N1257">
            <v>4747.2</v>
          </cell>
          <cell r="O1257">
            <v>39.56</v>
          </cell>
          <cell r="P1257">
            <v>120</v>
          </cell>
          <cell r="Q1257">
            <v>120</v>
          </cell>
          <cell r="R1257">
            <v>0</v>
          </cell>
        </row>
        <row r="1258">
          <cell r="A1258" t="str">
            <v>7111PLSBB00RCVCJ3Q</v>
          </cell>
          <cell r="B1258" t="str">
            <v>Q3-23</v>
          </cell>
          <cell r="C1258" t="str">
            <v>Europe Operations OU</v>
          </cell>
          <cell r="D1258">
            <v>2674345</v>
          </cell>
          <cell r="E1258" t="str">
            <v>Amazon EU SARL, succursale Italiana</v>
          </cell>
          <cell r="F1258" t="str">
            <v>7111PLSB</v>
          </cell>
          <cell r="G1258" t="str">
            <v>B00RCVCJ3Q</v>
          </cell>
          <cell r="H1258" t="str">
            <v>910-003986</v>
          </cell>
          <cell r="I1258" t="str">
            <v>OE INVOICES</v>
          </cell>
          <cell r="J1258">
            <v>44422123651</v>
          </cell>
          <cell r="K1258">
            <v>44883</v>
          </cell>
          <cell r="L1258">
            <v>5</v>
          </cell>
          <cell r="M1258" t="str">
            <v>EUR</v>
          </cell>
          <cell r="N1258">
            <v>2810.4</v>
          </cell>
          <cell r="O1258">
            <v>23.42</v>
          </cell>
          <cell r="P1258">
            <v>120</v>
          </cell>
          <cell r="Q1258">
            <v>120</v>
          </cell>
          <cell r="R1258">
            <v>0</v>
          </cell>
        </row>
        <row r="1259">
          <cell r="A1259" t="str">
            <v>7111PLSBB013SL1ZQ0</v>
          </cell>
          <cell r="B1259" t="str">
            <v>Q3-23</v>
          </cell>
          <cell r="C1259" t="str">
            <v>Europe Operations OU</v>
          </cell>
          <cell r="D1259">
            <v>2674345</v>
          </cell>
          <cell r="E1259" t="str">
            <v>Amazon EU SARL, succursale Italiana</v>
          </cell>
          <cell r="F1259" t="str">
            <v>7111PLSB</v>
          </cell>
          <cell r="G1259" t="str">
            <v>B013SL1ZQ0</v>
          </cell>
          <cell r="H1259" t="str">
            <v>920-007568</v>
          </cell>
          <cell r="I1259" t="str">
            <v>OE INVOICES</v>
          </cell>
          <cell r="J1259">
            <v>44422123651</v>
          </cell>
          <cell r="K1259">
            <v>44883</v>
          </cell>
          <cell r="L1259">
            <v>6</v>
          </cell>
          <cell r="M1259" t="str">
            <v>EUR</v>
          </cell>
          <cell r="N1259">
            <v>773.04</v>
          </cell>
          <cell r="O1259">
            <v>32.21</v>
          </cell>
          <cell r="P1259">
            <v>24</v>
          </cell>
          <cell r="Q1259">
            <v>24</v>
          </cell>
          <cell r="R1259">
            <v>0</v>
          </cell>
        </row>
        <row r="1260">
          <cell r="A1260" t="str">
            <v>7111PLSBB01GJZT4HY</v>
          </cell>
          <cell r="B1260" t="str">
            <v>Q3-23</v>
          </cell>
          <cell r="C1260" t="str">
            <v>Europe Operations OU</v>
          </cell>
          <cell r="D1260">
            <v>2674345</v>
          </cell>
          <cell r="E1260" t="str">
            <v>Amazon EU SARL, succursale Italiana</v>
          </cell>
          <cell r="F1260" t="str">
            <v>7111PLSB</v>
          </cell>
          <cell r="G1260" t="str">
            <v>B01GJZT4HY</v>
          </cell>
          <cell r="H1260" t="str">
            <v>920-008038</v>
          </cell>
          <cell r="I1260" t="str">
            <v>OE INVOICES</v>
          </cell>
          <cell r="J1260">
            <v>44422123651</v>
          </cell>
          <cell r="K1260">
            <v>44883</v>
          </cell>
          <cell r="L1260">
            <v>7</v>
          </cell>
          <cell r="M1260" t="str">
            <v>EUR</v>
          </cell>
          <cell r="N1260">
            <v>556.88</v>
          </cell>
          <cell r="O1260">
            <v>69.61</v>
          </cell>
          <cell r="P1260">
            <v>8</v>
          </cell>
          <cell r="Q1260">
            <v>8</v>
          </cell>
          <cell r="R1260">
            <v>0</v>
          </cell>
        </row>
        <row r="1261">
          <cell r="A1261" t="str">
            <v>7111PLSBB01K7GEAEI</v>
          </cell>
          <cell r="B1261" t="str">
            <v>Q3-23</v>
          </cell>
          <cell r="C1261" t="str">
            <v>Europe Operations OU</v>
          </cell>
          <cell r="D1261">
            <v>2674345</v>
          </cell>
          <cell r="E1261" t="str">
            <v>Amazon EU SARL, succursale Italiana</v>
          </cell>
          <cell r="F1261" t="str">
            <v>7111PLSB</v>
          </cell>
          <cell r="G1261" t="str">
            <v>B01K7GEAEI</v>
          </cell>
          <cell r="H1261" t="str">
            <v>910-004910</v>
          </cell>
          <cell r="I1261" t="str">
            <v>OE INVOICES</v>
          </cell>
          <cell r="J1261">
            <v>44422123651</v>
          </cell>
          <cell r="K1261">
            <v>44883</v>
          </cell>
          <cell r="L1261">
            <v>8</v>
          </cell>
          <cell r="M1261" t="str">
            <v>EUR</v>
          </cell>
          <cell r="N1261">
            <v>3689</v>
          </cell>
          <cell r="O1261">
            <v>26.35</v>
          </cell>
          <cell r="P1261">
            <v>140</v>
          </cell>
          <cell r="Q1261">
            <v>140</v>
          </cell>
          <cell r="R1261">
            <v>0</v>
          </cell>
        </row>
        <row r="1262">
          <cell r="A1262" t="str">
            <v>7111PLSBB0748NCPN5</v>
          </cell>
          <cell r="B1262" t="str">
            <v>Q3-23</v>
          </cell>
          <cell r="C1262" t="str">
            <v>Europe Operations OU</v>
          </cell>
          <cell r="D1262">
            <v>2674345</v>
          </cell>
          <cell r="E1262" t="str">
            <v>Amazon EU SARL, succursale Italiana</v>
          </cell>
          <cell r="F1262" t="str">
            <v>7111PLSB</v>
          </cell>
          <cell r="G1262" t="str">
            <v>B0748NCPN5</v>
          </cell>
          <cell r="H1262" t="str">
            <v>960-001194</v>
          </cell>
          <cell r="I1262" t="str">
            <v>OE INVOICES</v>
          </cell>
          <cell r="J1262">
            <v>44422123651</v>
          </cell>
          <cell r="K1262">
            <v>44883</v>
          </cell>
          <cell r="L1262">
            <v>9</v>
          </cell>
          <cell r="M1262" t="str">
            <v>EUR</v>
          </cell>
          <cell r="N1262">
            <v>34955.199999999997</v>
          </cell>
          <cell r="O1262">
            <v>156.05000000000001</v>
          </cell>
          <cell r="P1262">
            <v>224</v>
          </cell>
          <cell r="Q1262">
            <v>224</v>
          </cell>
          <cell r="R1262">
            <v>0</v>
          </cell>
        </row>
        <row r="1263">
          <cell r="A1263" t="str">
            <v>7111PLSBB07DTTGZ7M</v>
          </cell>
          <cell r="B1263" t="str">
            <v>Q3-23</v>
          </cell>
          <cell r="C1263" t="str">
            <v>Europe Operations OU</v>
          </cell>
          <cell r="D1263">
            <v>2674345</v>
          </cell>
          <cell r="E1263" t="str">
            <v>Amazon EU SARL, succursale Italiana</v>
          </cell>
          <cell r="F1263" t="str">
            <v>7111PLSB</v>
          </cell>
          <cell r="G1263" t="str">
            <v>B07DTTGZ7M</v>
          </cell>
          <cell r="H1263" t="str">
            <v>988-000205</v>
          </cell>
          <cell r="I1263" t="str">
            <v>OE INVOICES</v>
          </cell>
          <cell r="J1263">
            <v>44422123651</v>
          </cell>
          <cell r="K1263">
            <v>44883</v>
          </cell>
          <cell r="L1263">
            <v>10</v>
          </cell>
          <cell r="M1263" t="str">
            <v>EUR</v>
          </cell>
          <cell r="N1263">
            <v>664</v>
          </cell>
          <cell r="O1263">
            <v>83</v>
          </cell>
          <cell r="P1263">
            <v>8</v>
          </cell>
          <cell r="Q1263">
            <v>8</v>
          </cell>
          <cell r="R1263">
            <v>0</v>
          </cell>
        </row>
        <row r="1264">
          <cell r="A1264" t="str">
            <v>7111PLSBB07SF2F2LV</v>
          </cell>
          <cell r="B1264" t="str">
            <v>Q3-23</v>
          </cell>
          <cell r="C1264" t="str">
            <v>Europe Operations OU</v>
          </cell>
          <cell r="D1264">
            <v>2674345</v>
          </cell>
          <cell r="E1264" t="str">
            <v>Amazon EU SARL, succursale Italiana</v>
          </cell>
          <cell r="F1264" t="str">
            <v>7111PLSB</v>
          </cell>
          <cell r="G1264" t="str">
            <v>B07SF2F2LV</v>
          </cell>
          <cell r="H1264" t="str">
            <v>910-005672</v>
          </cell>
          <cell r="I1264" t="str">
            <v>OE INVOICES</v>
          </cell>
          <cell r="J1264">
            <v>44422123651</v>
          </cell>
          <cell r="K1264">
            <v>44883</v>
          </cell>
          <cell r="L1264">
            <v>11</v>
          </cell>
          <cell r="M1264" t="str">
            <v>EUR</v>
          </cell>
          <cell r="N1264">
            <v>19798.04</v>
          </cell>
          <cell r="O1264">
            <v>83.89</v>
          </cell>
          <cell r="P1264">
            <v>236</v>
          </cell>
          <cell r="Q1264">
            <v>236</v>
          </cell>
          <cell r="R1264">
            <v>0</v>
          </cell>
        </row>
        <row r="1265">
          <cell r="A1265" t="str">
            <v>7111PLSBB07TLX61W7</v>
          </cell>
          <cell r="B1265" t="str">
            <v>Q3-23</v>
          </cell>
          <cell r="C1265" t="str">
            <v>Europe Operations OU</v>
          </cell>
          <cell r="D1265">
            <v>2674345</v>
          </cell>
          <cell r="E1265" t="str">
            <v>Amazon EU SARL, succursale Italiana</v>
          </cell>
          <cell r="F1265" t="str">
            <v>7111PLSB</v>
          </cell>
          <cell r="G1265" t="str">
            <v>B07TLX61W7</v>
          </cell>
          <cell r="H1265" t="str">
            <v>981-000818</v>
          </cell>
          <cell r="I1265" t="str">
            <v>OE INVOICES</v>
          </cell>
          <cell r="J1265">
            <v>44422115078</v>
          </cell>
          <cell r="K1265">
            <v>44879</v>
          </cell>
          <cell r="L1265">
            <v>1</v>
          </cell>
          <cell r="M1265" t="str">
            <v>EUR</v>
          </cell>
          <cell r="N1265">
            <v>406596.96</v>
          </cell>
          <cell r="O1265">
            <v>73.34</v>
          </cell>
          <cell r="P1265">
            <v>5544</v>
          </cell>
          <cell r="Q1265">
            <v>5544</v>
          </cell>
          <cell r="R1265">
            <v>0</v>
          </cell>
        </row>
        <row r="1266">
          <cell r="A1266" t="str">
            <v>7111PLSBB07TLX61W7</v>
          </cell>
          <cell r="B1266" t="str">
            <v>Q3-23</v>
          </cell>
          <cell r="C1266" t="str">
            <v>Europe Operations OU</v>
          </cell>
          <cell r="D1266">
            <v>2674345</v>
          </cell>
          <cell r="E1266" t="str">
            <v>Amazon EU SARL, succursale Italiana</v>
          </cell>
          <cell r="F1266" t="str">
            <v>7111PLSB</v>
          </cell>
          <cell r="G1266" t="str">
            <v>B07TLX61W7</v>
          </cell>
          <cell r="H1266" t="str">
            <v>981-000818</v>
          </cell>
          <cell r="I1266" t="str">
            <v>OE INVOICES</v>
          </cell>
          <cell r="J1266">
            <v>44422123651</v>
          </cell>
          <cell r="K1266">
            <v>44883</v>
          </cell>
          <cell r="L1266">
            <v>12</v>
          </cell>
          <cell r="M1266" t="str">
            <v>EUR</v>
          </cell>
          <cell r="N1266">
            <v>11441.04</v>
          </cell>
          <cell r="O1266">
            <v>73.34</v>
          </cell>
          <cell r="P1266">
            <v>156</v>
          </cell>
          <cell r="Q1266">
            <v>156</v>
          </cell>
          <cell r="R1266">
            <v>0</v>
          </cell>
        </row>
        <row r="1267">
          <cell r="A1267" t="str">
            <v>7111PLSBB07VFJVPBR</v>
          </cell>
          <cell r="B1267" t="str">
            <v>Q3-23</v>
          </cell>
          <cell r="C1267" t="str">
            <v>Europe Operations OU</v>
          </cell>
          <cell r="D1267">
            <v>2674345</v>
          </cell>
          <cell r="E1267" t="str">
            <v>Amazon EU SARL, succursale Italiana</v>
          </cell>
          <cell r="F1267" t="str">
            <v>7111PLSB</v>
          </cell>
          <cell r="G1267" t="str">
            <v>B07VFJVPBR</v>
          </cell>
          <cell r="H1267" t="str">
            <v>910-005718</v>
          </cell>
          <cell r="I1267" t="str">
            <v>OE INVOICES</v>
          </cell>
          <cell r="J1267">
            <v>44422123651</v>
          </cell>
          <cell r="K1267">
            <v>44883</v>
          </cell>
          <cell r="L1267">
            <v>13</v>
          </cell>
          <cell r="M1267" t="str">
            <v>EUR</v>
          </cell>
          <cell r="N1267">
            <v>11309.1</v>
          </cell>
          <cell r="O1267">
            <v>16.39</v>
          </cell>
          <cell r="P1267">
            <v>690</v>
          </cell>
          <cell r="Q1267">
            <v>690</v>
          </cell>
          <cell r="R1267">
            <v>0</v>
          </cell>
        </row>
        <row r="1268">
          <cell r="A1268" t="str">
            <v>7111PLSBB07W4DHNBF</v>
          </cell>
          <cell r="B1268" t="str">
            <v>Q3-23</v>
          </cell>
          <cell r="C1268" t="str">
            <v>Europe Operations OU</v>
          </cell>
          <cell r="D1268">
            <v>2674345</v>
          </cell>
          <cell r="E1268" t="str">
            <v>Amazon EU SARL, succursale Italiana</v>
          </cell>
          <cell r="F1268" t="str">
            <v>7111PLSB</v>
          </cell>
          <cell r="G1268" t="str">
            <v>B07W4DHNBF</v>
          </cell>
          <cell r="H1268" t="str">
            <v>960-001281</v>
          </cell>
          <cell r="I1268" t="str">
            <v>OE INVOICES</v>
          </cell>
          <cell r="J1268">
            <v>44422123651</v>
          </cell>
          <cell r="K1268">
            <v>44883</v>
          </cell>
          <cell r="L1268">
            <v>14</v>
          </cell>
          <cell r="M1268" t="str">
            <v>EUR</v>
          </cell>
          <cell r="N1268">
            <v>14758.4</v>
          </cell>
          <cell r="O1268">
            <v>92.24</v>
          </cell>
          <cell r="P1268">
            <v>160</v>
          </cell>
          <cell r="Q1268">
            <v>160</v>
          </cell>
          <cell r="R1268">
            <v>0</v>
          </cell>
        </row>
        <row r="1269">
          <cell r="A1269" t="str">
            <v>7111PLSBB07W4DJ16Z</v>
          </cell>
          <cell r="B1269" t="str">
            <v>Q3-23</v>
          </cell>
          <cell r="C1269" t="str">
            <v>Europe Operations OU</v>
          </cell>
          <cell r="D1269">
            <v>2674345</v>
          </cell>
          <cell r="E1269" t="str">
            <v>Amazon EU SARL, succursale Italiana</v>
          </cell>
          <cell r="F1269" t="str">
            <v>7111PLSB</v>
          </cell>
          <cell r="G1269" t="str">
            <v>B07W4DJ16Z</v>
          </cell>
          <cell r="H1269" t="str">
            <v>910-006128</v>
          </cell>
          <cell r="I1269" t="str">
            <v>OE INVOICES</v>
          </cell>
          <cell r="J1269">
            <v>44422123651</v>
          </cell>
          <cell r="K1269">
            <v>44883</v>
          </cell>
          <cell r="L1269">
            <v>15</v>
          </cell>
          <cell r="M1269" t="str">
            <v>EUR</v>
          </cell>
          <cell r="N1269">
            <v>5408.7</v>
          </cell>
          <cell r="O1269">
            <v>16.39</v>
          </cell>
          <cell r="P1269">
            <v>330</v>
          </cell>
          <cell r="Q1269">
            <v>330</v>
          </cell>
          <cell r="R1269">
            <v>0</v>
          </cell>
        </row>
        <row r="1270">
          <cell r="A1270" t="str">
            <v>7111PLSBB07W5JJP7R</v>
          </cell>
          <cell r="B1270" t="str">
            <v>Q3-23</v>
          </cell>
          <cell r="C1270" t="str">
            <v>Europe Operations OU</v>
          </cell>
          <cell r="D1270">
            <v>2674345</v>
          </cell>
          <cell r="E1270" t="str">
            <v>Amazon EU SARL, succursale Italiana</v>
          </cell>
          <cell r="F1270" t="str">
            <v>7111PLSB</v>
          </cell>
          <cell r="G1270" t="str">
            <v>B07W5JJP7R</v>
          </cell>
          <cell r="H1270" t="str">
            <v>920-009626</v>
          </cell>
          <cell r="I1270" t="str">
            <v>OE INVOICES</v>
          </cell>
          <cell r="J1270">
            <v>44422123651</v>
          </cell>
          <cell r="K1270">
            <v>44883</v>
          </cell>
          <cell r="L1270">
            <v>16</v>
          </cell>
          <cell r="M1270" t="str">
            <v>EUR</v>
          </cell>
          <cell r="N1270">
            <v>4871.4399999999996</v>
          </cell>
          <cell r="O1270">
            <v>86.99</v>
          </cell>
          <cell r="P1270">
            <v>56</v>
          </cell>
          <cell r="Q1270">
            <v>56</v>
          </cell>
          <cell r="R1270">
            <v>0</v>
          </cell>
        </row>
        <row r="1271">
          <cell r="A1271" t="str">
            <v>7111PLSBB07W5JKB8Z</v>
          </cell>
          <cell r="B1271" t="str">
            <v>Q3-23</v>
          </cell>
          <cell r="C1271" t="str">
            <v>Europe Operations OU</v>
          </cell>
          <cell r="D1271">
            <v>2674345</v>
          </cell>
          <cell r="E1271" t="str">
            <v>Amazon EU SARL, succursale Italiana</v>
          </cell>
          <cell r="F1271" t="str">
            <v>7111PLSB</v>
          </cell>
          <cell r="G1271" t="str">
            <v>B07W5JKB8Z</v>
          </cell>
          <cell r="H1271" t="str">
            <v>981-000907</v>
          </cell>
          <cell r="I1271" t="str">
            <v>OE INVOICES</v>
          </cell>
          <cell r="J1271">
            <v>44422123651</v>
          </cell>
          <cell r="K1271">
            <v>44883</v>
          </cell>
          <cell r="L1271">
            <v>17</v>
          </cell>
          <cell r="M1271" t="str">
            <v>EUR</v>
          </cell>
          <cell r="N1271">
            <v>19332.8</v>
          </cell>
          <cell r="O1271">
            <v>120.83</v>
          </cell>
          <cell r="P1271">
            <v>160</v>
          </cell>
          <cell r="Q1271">
            <v>160</v>
          </cell>
          <cell r="R1271">
            <v>0</v>
          </cell>
        </row>
        <row r="1272">
          <cell r="A1272" t="str">
            <v>7111PLSBB07W7KHQLR</v>
          </cell>
          <cell r="B1272" t="str">
            <v>Q3-23</v>
          </cell>
          <cell r="C1272" t="str">
            <v>Europe Operations OU</v>
          </cell>
          <cell r="D1272">
            <v>2674345</v>
          </cell>
          <cell r="E1272" t="str">
            <v>Amazon EU SARL, succursale Italiana</v>
          </cell>
          <cell r="F1272" t="str">
            <v>7111PLSB</v>
          </cell>
          <cell r="G1272" t="str">
            <v>B07W7KHQLR</v>
          </cell>
          <cell r="H1272" t="str">
            <v>988-000244</v>
          </cell>
          <cell r="I1272" t="str">
            <v>OE INVOICES</v>
          </cell>
          <cell r="J1272">
            <v>44422123651</v>
          </cell>
          <cell r="K1272">
            <v>44883</v>
          </cell>
          <cell r="L1272">
            <v>18</v>
          </cell>
          <cell r="M1272" t="str">
            <v>EUR</v>
          </cell>
          <cell r="N1272">
            <v>31872</v>
          </cell>
          <cell r="O1272">
            <v>124.5</v>
          </cell>
          <cell r="P1272">
            <v>256</v>
          </cell>
          <cell r="Q1272">
            <v>256</v>
          </cell>
          <cell r="R1272">
            <v>0</v>
          </cell>
        </row>
        <row r="1273">
          <cell r="A1273" t="str">
            <v>7111PLSBB07W7KV5KF</v>
          </cell>
          <cell r="B1273" t="str">
            <v>Q3-23</v>
          </cell>
          <cell r="C1273" t="str">
            <v>Europe Operations OU</v>
          </cell>
          <cell r="D1273">
            <v>2674345</v>
          </cell>
          <cell r="E1273" t="str">
            <v>Amazon EU SARL, succursale Italiana</v>
          </cell>
          <cell r="F1273" t="str">
            <v>7111PLSB</v>
          </cell>
          <cell r="G1273" t="str">
            <v>B07W7KV5KF</v>
          </cell>
          <cell r="H1273" t="str">
            <v>910-005991</v>
          </cell>
          <cell r="I1273" t="str">
            <v>OE INVOICES</v>
          </cell>
          <cell r="J1273">
            <v>44422123651</v>
          </cell>
          <cell r="K1273">
            <v>44883</v>
          </cell>
          <cell r="L1273">
            <v>19</v>
          </cell>
          <cell r="M1273" t="str">
            <v>EUR</v>
          </cell>
          <cell r="N1273">
            <v>19140</v>
          </cell>
          <cell r="O1273">
            <v>58</v>
          </cell>
          <cell r="P1273">
            <v>330</v>
          </cell>
          <cell r="Q1273">
            <v>330</v>
          </cell>
          <cell r="R1273">
            <v>0</v>
          </cell>
        </row>
        <row r="1274">
          <cell r="A1274" t="str">
            <v>7111PLSBB07W7LHVBL</v>
          </cell>
          <cell r="B1274" t="str">
            <v>Q3-23</v>
          </cell>
          <cell r="C1274" t="str">
            <v>Europe Operations OU</v>
          </cell>
          <cell r="D1274">
            <v>2674345</v>
          </cell>
          <cell r="E1274" t="str">
            <v>Amazon EU SARL, succursale Italiana</v>
          </cell>
          <cell r="F1274" t="str">
            <v>7111PLSB</v>
          </cell>
          <cell r="G1274" t="str">
            <v>B07W7LHVBL</v>
          </cell>
          <cell r="H1274" t="str">
            <v>910-006129</v>
          </cell>
          <cell r="I1274" t="str">
            <v>OE INVOICES</v>
          </cell>
          <cell r="J1274">
            <v>44422123651</v>
          </cell>
          <cell r="K1274">
            <v>44883</v>
          </cell>
          <cell r="L1274">
            <v>20</v>
          </cell>
          <cell r="M1274" t="str">
            <v>EUR</v>
          </cell>
          <cell r="N1274">
            <v>1147.3</v>
          </cell>
          <cell r="O1274">
            <v>16.39</v>
          </cell>
          <cell r="P1274">
            <v>70</v>
          </cell>
          <cell r="Q1274">
            <v>70</v>
          </cell>
          <cell r="R1274">
            <v>0</v>
          </cell>
        </row>
        <row r="1275">
          <cell r="A1275" t="str">
            <v>72DIHLCIB07W5JKHFR</v>
          </cell>
          <cell r="B1275" t="str">
            <v>Q3-23</v>
          </cell>
          <cell r="C1275" t="str">
            <v>Europe Operations OU</v>
          </cell>
          <cell r="D1275">
            <v>2674345</v>
          </cell>
          <cell r="E1275" t="str">
            <v>Amazon EU SARL, succursale Italiana</v>
          </cell>
          <cell r="F1275" t="str">
            <v>72DIHLCI</v>
          </cell>
          <cell r="G1275" t="str">
            <v>B07W5JKHFR</v>
          </cell>
          <cell r="H1275" t="str">
            <v>910-006475</v>
          </cell>
          <cell r="I1275" t="str">
            <v>OE INVOICES</v>
          </cell>
          <cell r="J1275">
            <v>44422176562</v>
          </cell>
          <cell r="K1275">
            <v>44922</v>
          </cell>
          <cell r="L1275">
            <v>1</v>
          </cell>
          <cell r="M1275" t="str">
            <v>EUR</v>
          </cell>
          <cell r="N1275">
            <v>48441.599999999999</v>
          </cell>
          <cell r="O1275">
            <v>46.4</v>
          </cell>
          <cell r="P1275">
            <v>1044</v>
          </cell>
          <cell r="Q1275">
            <v>1044</v>
          </cell>
          <cell r="R1275">
            <v>0</v>
          </cell>
        </row>
        <row r="1276">
          <cell r="A1276" t="str">
            <v>72DIHLCIB07W6JPTXG</v>
          </cell>
          <cell r="B1276" t="str">
            <v>Q3-23</v>
          </cell>
          <cell r="C1276" t="str">
            <v>Europe Operations OU</v>
          </cell>
          <cell r="D1276">
            <v>2674345</v>
          </cell>
          <cell r="E1276" t="str">
            <v>Amazon EU SARL, succursale Italiana</v>
          </cell>
          <cell r="F1276" t="str">
            <v>72DIHLCI</v>
          </cell>
          <cell r="G1276" t="str">
            <v>B07W6JPTXG</v>
          </cell>
          <cell r="H1276" t="str">
            <v>981-000854</v>
          </cell>
          <cell r="I1276" t="str">
            <v>OE INVOICES</v>
          </cell>
          <cell r="J1276">
            <v>44422176562</v>
          </cell>
          <cell r="K1276">
            <v>44922</v>
          </cell>
          <cell r="L1276">
            <v>2</v>
          </cell>
          <cell r="M1276" t="str">
            <v>EUR</v>
          </cell>
          <cell r="N1276">
            <v>610.67999999999995</v>
          </cell>
          <cell r="O1276">
            <v>152.66999999999999</v>
          </cell>
          <cell r="P1276">
            <v>4</v>
          </cell>
          <cell r="Q1276">
            <v>4</v>
          </cell>
          <cell r="R1276">
            <v>0</v>
          </cell>
        </row>
        <row r="1277">
          <cell r="A1277" t="str">
            <v>74WI6EYDB0042C1KQ0</v>
          </cell>
          <cell r="B1277" t="str">
            <v>Q3-23</v>
          </cell>
          <cell r="C1277" t="str">
            <v>Europe Operations OU</v>
          </cell>
          <cell r="D1277">
            <v>2674345</v>
          </cell>
          <cell r="E1277" t="str">
            <v>Amazon EU SARL, succursale Italiana</v>
          </cell>
          <cell r="F1277" t="str">
            <v>74WI6EYD</v>
          </cell>
          <cell r="G1277" t="str">
            <v>B0042C1KQ0</v>
          </cell>
          <cell r="H1277" t="str">
            <v>920-002562</v>
          </cell>
          <cell r="I1277" t="str">
            <v>OE INVOICES</v>
          </cell>
          <cell r="J1277">
            <v>44422169995</v>
          </cell>
          <cell r="K1277">
            <v>44915</v>
          </cell>
          <cell r="L1277">
            <v>1</v>
          </cell>
          <cell r="M1277" t="str">
            <v>EUR</v>
          </cell>
          <cell r="N1277">
            <v>175.6</v>
          </cell>
          <cell r="O1277">
            <v>17.559999999999999</v>
          </cell>
          <cell r="P1277">
            <v>10</v>
          </cell>
          <cell r="Q1277">
            <v>10</v>
          </cell>
          <cell r="R1277">
            <v>0</v>
          </cell>
        </row>
        <row r="1278">
          <cell r="A1278" t="str">
            <v>74WI6EYDB0044AFFMK</v>
          </cell>
          <cell r="B1278" t="str">
            <v>Q3-23</v>
          </cell>
          <cell r="C1278" t="str">
            <v>Europe Operations OU</v>
          </cell>
          <cell r="D1278">
            <v>2674345</v>
          </cell>
          <cell r="E1278" t="str">
            <v>Amazon EU SARL, succursale Italiana</v>
          </cell>
          <cell r="F1278" t="str">
            <v>74WI6EYD</v>
          </cell>
          <cell r="G1278" t="str">
            <v>B0044AFFMK</v>
          </cell>
          <cell r="H1278" t="str">
            <v>920-002431</v>
          </cell>
          <cell r="I1278" t="str">
            <v>OE INVOICES</v>
          </cell>
          <cell r="J1278">
            <v>44422169995</v>
          </cell>
          <cell r="K1278">
            <v>44915</v>
          </cell>
          <cell r="L1278">
            <v>2</v>
          </cell>
          <cell r="M1278" t="str">
            <v>EUR</v>
          </cell>
          <cell r="N1278">
            <v>1670.64</v>
          </cell>
          <cell r="O1278">
            <v>69.61</v>
          </cell>
          <cell r="P1278">
            <v>24</v>
          </cell>
          <cell r="Q1278">
            <v>24</v>
          </cell>
          <cell r="R1278">
            <v>0</v>
          </cell>
        </row>
        <row r="1279">
          <cell r="A1279" t="str">
            <v>74WI6EYDB007BNE3QQ</v>
          </cell>
          <cell r="B1279" t="str">
            <v>Q3-23</v>
          </cell>
          <cell r="C1279" t="str">
            <v>Europe Operations OU</v>
          </cell>
          <cell r="D1279">
            <v>2674345</v>
          </cell>
          <cell r="E1279" t="str">
            <v>Amazon EU SARL, succursale Italiana</v>
          </cell>
          <cell r="F1279" t="str">
            <v>74WI6EYD</v>
          </cell>
          <cell r="G1279" t="str">
            <v>B007BNE3QQ</v>
          </cell>
          <cell r="H1279" t="str">
            <v>920-003736</v>
          </cell>
          <cell r="I1279" t="str">
            <v>OE INVOICES</v>
          </cell>
          <cell r="J1279">
            <v>44422169995</v>
          </cell>
          <cell r="K1279">
            <v>44915</v>
          </cell>
          <cell r="L1279">
            <v>3</v>
          </cell>
          <cell r="M1279" t="str">
            <v>EUR</v>
          </cell>
          <cell r="N1279">
            <v>93.68</v>
          </cell>
          <cell r="O1279">
            <v>23.42</v>
          </cell>
          <cell r="P1279">
            <v>4</v>
          </cell>
          <cell r="Q1279">
            <v>4</v>
          </cell>
          <cell r="R1279">
            <v>0</v>
          </cell>
        </row>
        <row r="1280">
          <cell r="A1280" t="str">
            <v>74WI6EYDB00BT8QIJ4</v>
          </cell>
          <cell r="B1280" t="str">
            <v>Q3-23</v>
          </cell>
          <cell r="C1280" t="str">
            <v>Europe Operations OU</v>
          </cell>
          <cell r="D1280">
            <v>2674345</v>
          </cell>
          <cell r="E1280" t="str">
            <v>Amazon EU SARL, succursale Italiana</v>
          </cell>
          <cell r="F1280" t="str">
            <v>74WI6EYD</v>
          </cell>
          <cell r="G1280" t="str">
            <v>B00BT8QIJ4</v>
          </cell>
          <cell r="H1280" t="str">
            <v>920-002522</v>
          </cell>
          <cell r="I1280" t="str">
            <v>OE INVOICES</v>
          </cell>
          <cell r="J1280">
            <v>44422169995</v>
          </cell>
          <cell r="K1280">
            <v>44915</v>
          </cell>
          <cell r="L1280">
            <v>4</v>
          </cell>
          <cell r="M1280" t="str">
            <v>EUR</v>
          </cell>
          <cell r="N1280">
            <v>93.6</v>
          </cell>
          <cell r="O1280">
            <v>9.36</v>
          </cell>
          <cell r="P1280">
            <v>10</v>
          </cell>
          <cell r="Q1280">
            <v>10</v>
          </cell>
          <cell r="R1280">
            <v>0</v>
          </cell>
        </row>
        <row r="1281">
          <cell r="A1281" t="str">
            <v>74WI6EYDB01DKGAQNG</v>
          </cell>
          <cell r="B1281" t="str">
            <v>Q3-23</v>
          </cell>
          <cell r="C1281" t="str">
            <v>Europe Operations OU</v>
          </cell>
          <cell r="D1281">
            <v>2674345</v>
          </cell>
          <cell r="E1281" t="str">
            <v>Amazon EU SARL, succursale Italiana</v>
          </cell>
          <cell r="F1281" t="str">
            <v>74WI6EYD</v>
          </cell>
          <cell r="G1281" t="str">
            <v>B01DKGAQNG</v>
          </cell>
          <cell r="H1281" t="str">
            <v>920-008031</v>
          </cell>
          <cell r="I1281" t="str">
            <v>OE INVOICES</v>
          </cell>
          <cell r="J1281">
            <v>44422169995</v>
          </cell>
          <cell r="K1281">
            <v>44915</v>
          </cell>
          <cell r="L1281">
            <v>5</v>
          </cell>
          <cell r="M1281" t="str">
            <v>EUR</v>
          </cell>
          <cell r="N1281">
            <v>562.08000000000004</v>
          </cell>
          <cell r="O1281">
            <v>23.42</v>
          </cell>
          <cell r="P1281">
            <v>24</v>
          </cell>
          <cell r="Q1281">
            <v>24</v>
          </cell>
          <cell r="R1281">
            <v>0</v>
          </cell>
        </row>
        <row r="1282">
          <cell r="A1282" t="str">
            <v>74WI6EYDB01G7AWZEA</v>
          </cell>
          <cell r="B1282" t="str">
            <v>Q3-23</v>
          </cell>
          <cell r="C1282" t="str">
            <v>Europe Operations OU</v>
          </cell>
          <cell r="D1282">
            <v>2674345</v>
          </cell>
          <cell r="E1282" t="str">
            <v>Amazon EU SARL, succursale Italiana</v>
          </cell>
          <cell r="F1282" t="str">
            <v>74WI6EYD</v>
          </cell>
          <cell r="G1282" t="str">
            <v>B01G7AWZEA</v>
          </cell>
          <cell r="H1282" t="str">
            <v>920-008018</v>
          </cell>
          <cell r="I1282" t="str">
            <v>OE INVOICES</v>
          </cell>
          <cell r="J1282">
            <v>44422169995</v>
          </cell>
          <cell r="K1282">
            <v>44915</v>
          </cell>
          <cell r="L1282">
            <v>6</v>
          </cell>
          <cell r="M1282" t="str">
            <v>EUR</v>
          </cell>
          <cell r="N1282">
            <v>5460</v>
          </cell>
          <cell r="O1282">
            <v>105</v>
          </cell>
          <cell r="P1282">
            <v>52</v>
          </cell>
          <cell r="Q1282">
            <v>52</v>
          </cell>
          <cell r="R1282">
            <v>0</v>
          </cell>
        </row>
        <row r="1283">
          <cell r="A1283" t="str">
            <v>74WI6EYDB01N6NGNQ8</v>
          </cell>
          <cell r="B1283" t="str">
            <v>Q3-23</v>
          </cell>
          <cell r="C1283" t="str">
            <v>Europe Operations OU</v>
          </cell>
          <cell r="D1283">
            <v>2674345</v>
          </cell>
          <cell r="E1283" t="str">
            <v>Amazon EU SARL, succursale Italiana</v>
          </cell>
          <cell r="F1283" t="str">
            <v>74WI6EYD</v>
          </cell>
          <cell r="G1283" t="str">
            <v>B01N6NGNQ8</v>
          </cell>
          <cell r="H1283" t="str">
            <v>920-008227</v>
          </cell>
          <cell r="I1283" t="str">
            <v>OE INVOICES</v>
          </cell>
          <cell r="J1283">
            <v>44422169995</v>
          </cell>
          <cell r="K1283">
            <v>44915</v>
          </cell>
          <cell r="L1283">
            <v>7</v>
          </cell>
          <cell r="M1283" t="str">
            <v>EUR</v>
          </cell>
          <cell r="N1283">
            <v>4222.96</v>
          </cell>
          <cell r="O1283">
            <v>75.41</v>
          </cell>
          <cell r="P1283">
            <v>56</v>
          </cell>
          <cell r="Q1283">
            <v>56</v>
          </cell>
          <cell r="R1283">
            <v>0</v>
          </cell>
        </row>
        <row r="1284">
          <cell r="A1284" t="str">
            <v>74WI6EYDB0797FYB3K</v>
          </cell>
          <cell r="B1284" t="str">
            <v>Q3-23</v>
          </cell>
          <cell r="C1284" t="str">
            <v>Europe Operations OU</v>
          </cell>
          <cell r="D1284">
            <v>2674345</v>
          </cell>
          <cell r="E1284" t="str">
            <v>Amazon EU SARL, succursale Italiana</v>
          </cell>
          <cell r="F1284" t="str">
            <v>74WI6EYD</v>
          </cell>
          <cell r="G1284" t="str">
            <v>B0797FYB3K</v>
          </cell>
          <cell r="H1284" t="str">
            <v>920-008675</v>
          </cell>
          <cell r="I1284" t="str">
            <v>OE INVOICES</v>
          </cell>
          <cell r="J1284">
            <v>44422169995</v>
          </cell>
          <cell r="K1284">
            <v>44915</v>
          </cell>
          <cell r="L1284">
            <v>8</v>
          </cell>
          <cell r="M1284" t="str">
            <v>EUR</v>
          </cell>
          <cell r="N1284">
            <v>878.4</v>
          </cell>
          <cell r="O1284">
            <v>43.92</v>
          </cell>
          <cell r="P1284">
            <v>20</v>
          </cell>
          <cell r="Q1284">
            <v>20</v>
          </cell>
          <cell r="R1284">
            <v>0</v>
          </cell>
        </row>
        <row r="1285">
          <cell r="A1285" t="str">
            <v>74WI6EYDB07TLX61W7</v>
          </cell>
          <cell r="B1285" t="str">
            <v>Q3-23</v>
          </cell>
          <cell r="C1285" t="str">
            <v>Europe Operations OU</v>
          </cell>
          <cell r="D1285">
            <v>2674345</v>
          </cell>
          <cell r="E1285" t="str">
            <v>Amazon EU SARL, succursale Italiana</v>
          </cell>
          <cell r="F1285" t="str">
            <v>74WI6EYD</v>
          </cell>
          <cell r="G1285" t="str">
            <v>B07TLX61W7</v>
          </cell>
          <cell r="H1285" t="str">
            <v>981-000818</v>
          </cell>
          <cell r="I1285" t="str">
            <v>OE INVOICES</v>
          </cell>
          <cell r="J1285">
            <v>44422169995</v>
          </cell>
          <cell r="K1285">
            <v>44915</v>
          </cell>
          <cell r="L1285">
            <v>9</v>
          </cell>
          <cell r="M1285" t="str">
            <v>EUR</v>
          </cell>
          <cell r="N1285">
            <v>3813.68</v>
          </cell>
          <cell r="O1285">
            <v>73.34</v>
          </cell>
          <cell r="P1285">
            <v>52</v>
          </cell>
          <cell r="Q1285">
            <v>52</v>
          </cell>
          <cell r="R1285">
            <v>0</v>
          </cell>
        </row>
        <row r="1286">
          <cell r="A1286" t="str">
            <v>74WI6EYDB07W4DG81W</v>
          </cell>
          <cell r="B1286" t="str">
            <v>Q3-23</v>
          </cell>
          <cell r="C1286" t="str">
            <v>Europe Operations OU</v>
          </cell>
          <cell r="D1286">
            <v>2674345</v>
          </cell>
          <cell r="E1286" t="str">
            <v>Amazon EU SARL, succursale Italiana</v>
          </cell>
          <cell r="F1286" t="str">
            <v>74WI6EYD</v>
          </cell>
          <cell r="G1286" t="str">
            <v>B07W4DG81W</v>
          </cell>
          <cell r="H1286" t="str">
            <v>941-000158</v>
          </cell>
          <cell r="I1286" t="str">
            <v>OE INVOICES</v>
          </cell>
          <cell r="J1286">
            <v>44422169995</v>
          </cell>
          <cell r="K1286">
            <v>44915</v>
          </cell>
          <cell r="L1286">
            <v>10</v>
          </cell>
          <cell r="M1286" t="str">
            <v>EUR</v>
          </cell>
          <cell r="N1286">
            <v>9506.7000000000007</v>
          </cell>
          <cell r="O1286">
            <v>226.35</v>
          </cell>
          <cell r="P1286">
            <v>42</v>
          </cell>
          <cell r="Q1286">
            <v>42</v>
          </cell>
          <cell r="R1286">
            <v>0</v>
          </cell>
        </row>
        <row r="1287">
          <cell r="A1287" t="str">
            <v>74WI6EYDB07W5JK4LF</v>
          </cell>
          <cell r="B1287" t="str">
            <v>Q3-23</v>
          </cell>
          <cell r="C1287" t="str">
            <v>Europe Operations OU</v>
          </cell>
          <cell r="D1287">
            <v>2674345</v>
          </cell>
          <cell r="E1287" t="str">
            <v>Amazon EU SARL, succursale Italiana</v>
          </cell>
          <cell r="F1287" t="str">
            <v>74WI6EYD</v>
          </cell>
          <cell r="G1287" t="str">
            <v>B07W5JK4LF</v>
          </cell>
          <cell r="H1287" t="str">
            <v>920-009797</v>
          </cell>
          <cell r="I1287" t="str">
            <v>OE INVOICES</v>
          </cell>
          <cell r="J1287">
            <v>44422169995</v>
          </cell>
          <cell r="K1287">
            <v>44915</v>
          </cell>
          <cell r="L1287">
            <v>11</v>
          </cell>
          <cell r="M1287" t="str">
            <v>EUR</v>
          </cell>
          <cell r="N1287">
            <v>38976</v>
          </cell>
          <cell r="O1287">
            <v>29</v>
          </cell>
          <cell r="P1287">
            <v>1344</v>
          </cell>
          <cell r="Q1287">
            <v>1344</v>
          </cell>
          <cell r="R1287">
            <v>0</v>
          </cell>
        </row>
        <row r="1288">
          <cell r="A1288" t="str">
            <v>74WI6EYDB07W6JJSV7</v>
          </cell>
          <cell r="B1288" t="str">
            <v>Q3-23</v>
          </cell>
          <cell r="C1288" t="str">
            <v>Europe Operations OU</v>
          </cell>
          <cell r="D1288">
            <v>2674345</v>
          </cell>
          <cell r="E1288" t="str">
            <v>Amazon EU SARL, succursale Italiana</v>
          </cell>
          <cell r="F1288" t="str">
            <v>74WI6EYD</v>
          </cell>
          <cell r="G1288" t="str">
            <v>B07W6JJSV7</v>
          </cell>
          <cell r="H1288" t="str">
            <v>920-010106</v>
          </cell>
          <cell r="I1288" t="str">
            <v>OE INVOICES</v>
          </cell>
          <cell r="J1288">
            <v>44422169995</v>
          </cell>
          <cell r="K1288">
            <v>44915</v>
          </cell>
          <cell r="L1288">
            <v>12</v>
          </cell>
          <cell r="M1288" t="str">
            <v>EUR</v>
          </cell>
          <cell r="N1288">
            <v>6885.28</v>
          </cell>
          <cell r="O1288">
            <v>74.84</v>
          </cell>
          <cell r="P1288">
            <v>92</v>
          </cell>
          <cell r="Q1288">
            <v>92</v>
          </cell>
          <cell r="R1288">
            <v>0</v>
          </cell>
        </row>
        <row r="1289">
          <cell r="A1289" t="str">
            <v>74WI6EYDB07W6JNQ82</v>
          </cell>
          <cell r="B1289" t="str">
            <v>Q3-23</v>
          </cell>
          <cell r="C1289" t="str">
            <v>Europe Operations OU</v>
          </cell>
          <cell r="D1289">
            <v>2674345</v>
          </cell>
          <cell r="E1289" t="str">
            <v>Amazon EU SARL, succursale Italiana</v>
          </cell>
          <cell r="F1289" t="str">
            <v>74WI6EYD</v>
          </cell>
          <cell r="G1289" t="str">
            <v>B07W6JNQ82</v>
          </cell>
          <cell r="H1289" t="str">
            <v>920-009392</v>
          </cell>
          <cell r="I1289" t="str">
            <v>OE INVOICES</v>
          </cell>
          <cell r="J1289">
            <v>44422169995</v>
          </cell>
          <cell r="K1289">
            <v>44915</v>
          </cell>
          <cell r="L1289">
            <v>13</v>
          </cell>
          <cell r="M1289" t="str">
            <v>EUR</v>
          </cell>
          <cell r="N1289">
            <v>19948.48</v>
          </cell>
          <cell r="O1289">
            <v>73.34</v>
          </cell>
          <cell r="P1289">
            <v>272</v>
          </cell>
          <cell r="Q1289">
            <v>272</v>
          </cell>
          <cell r="R1289">
            <v>0</v>
          </cell>
        </row>
        <row r="1290">
          <cell r="A1290" t="str">
            <v>74WI6EYDB07W7KFFFF</v>
          </cell>
          <cell r="B1290" t="str">
            <v>Q3-23</v>
          </cell>
          <cell r="C1290" t="str">
            <v>Europe Operations OU</v>
          </cell>
          <cell r="D1290">
            <v>2674345</v>
          </cell>
          <cell r="E1290" t="str">
            <v>Amazon EU SARL, succursale Italiana</v>
          </cell>
          <cell r="F1290" t="str">
            <v>74WI6EYD</v>
          </cell>
          <cell r="G1290" t="str">
            <v>B07W7KFFFF</v>
          </cell>
          <cell r="H1290" t="str">
            <v>941-000149</v>
          </cell>
          <cell r="I1290" t="str">
            <v>OE INVOICES</v>
          </cell>
          <cell r="J1290">
            <v>44422169995</v>
          </cell>
          <cell r="K1290">
            <v>44915</v>
          </cell>
          <cell r="L1290">
            <v>14</v>
          </cell>
          <cell r="M1290" t="str">
            <v>EUR</v>
          </cell>
          <cell r="N1290">
            <v>27162</v>
          </cell>
          <cell r="O1290">
            <v>226.35</v>
          </cell>
          <cell r="P1290">
            <v>120</v>
          </cell>
          <cell r="Q1290">
            <v>120</v>
          </cell>
          <cell r="R1290">
            <v>0</v>
          </cell>
        </row>
        <row r="1291">
          <cell r="A1291" t="str">
            <v>74WI6EYDB07W7KJC28</v>
          </cell>
          <cell r="B1291" t="str">
            <v>Q3-23</v>
          </cell>
          <cell r="C1291" t="str">
            <v>Europe Operations OU</v>
          </cell>
          <cell r="D1291">
            <v>2674345</v>
          </cell>
          <cell r="E1291" t="str">
            <v>Amazon EU SARL, succursale Italiana</v>
          </cell>
          <cell r="F1291" t="str">
            <v>74WI6EYD</v>
          </cell>
          <cell r="G1291" t="str">
            <v>B07W7KJC28</v>
          </cell>
          <cell r="H1291" t="str">
            <v>920-009821</v>
          </cell>
          <cell r="I1291" t="str">
            <v>OE INVOICES</v>
          </cell>
          <cell r="J1291">
            <v>44422169995</v>
          </cell>
          <cell r="K1291">
            <v>44915</v>
          </cell>
          <cell r="L1291">
            <v>15</v>
          </cell>
          <cell r="M1291" t="str">
            <v>EUR</v>
          </cell>
          <cell r="N1291">
            <v>4698</v>
          </cell>
          <cell r="O1291">
            <v>29</v>
          </cell>
          <cell r="P1291">
            <v>162</v>
          </cell>
          <cell r="Q1291">
            <v>162</v>
          </cell>
          <cell r="R1291">
            <v>0</v>
          </cell>
        </row>
        <row r="1292">
          <cell r="A1292" t="str">
            <v>74WI6EYDB07W7KMK4Y</v>
          </cell>
          <cell r="B1292" t="str">
            <v>Q3-23</v>
          </cell>
          <cell r="C1292" t="str">
            <v>Europe Operations OU</v>
          </cell>
          <cell r="D1292">
            <v>2674345</v>
          </cell>
          <cell r="E1292" t="str">
            <v>Amazon EU SARL, succursale Italiana</v>
          </cell>
          <cell r="F1292" t="str">
            <v>74WI6EYD</v>
          </cell>
          <cell r="G1292" t="str">
            <v>B07W7KMK4Y</v>
          </cell>
          <cell r="H1292" t="str">
            <v>920-010488</v>
          </cell>
          <cell r="I1292" t="str">
            <v>OE INVOICES</v>
          </cell>
          <cell r="J1292">
            <v>44422169995</v>
          </cell>
          <cell r="K1292">
            <v>44915</v>
          </cell>
          <cell r="L1292">
            <v>16</v>
          </cell>
          <cell r="M1292" t="str">
            <v>EUR</v>
          </cell>
          <cell r="N1292">
            <v>16567.2</v>
          </cell>
          <cell r="O1292">
            <v>69.03</v>
          </cell>
          <cell r="P1292">
            <v>240</v>
          </cell>
          <cell r="Q1292">
            <v>240</v>
          </cell>
          <cell r="R1292">
            <v>0</v>
          </cell>
        </row>
        <row r="1293">
          <cell r="A1293" t="str">
            <v>7BEDNOMIB07VTSZ63W</v>
          </cell>
          <cell r="B1293" t="str">
            <v>Q3-23</v>
          </cell>
          <cell r="C1293" t="str">
            <v>Europe Operations OU</v>
          </cell>
          <cell r="D1293">
            <v>2674345</v>
          </cell>
          <cell r="E1293" t="str">
            <v>Amazon EU SARL, succursale Italiana</v>
          </cell>
          <cell r="F1293" t="str">
            <v>7BEDNOMI</v>
          </cell>
          <cell r="G1293" t="str">
            <v>B07VTSZ63W</v>
          </cell>
          <cell r="H1293" t="str">
            <v>920-008985</v>
          </cell>
          <cell r="I1293" t="str">
            <v>OE INVOICES</v>
          </cell>
          <cell r="J1293">
            <v>44422142932</v>
          </cell>
          <cell r="K1293">
            <v>44896</v>
          </cell>
          <cell r="L1293">
            <v>1</v>
          </cell>
          <cell r="M1293" t="str">
            <v>EUR</v>
          </cell>
          <cell r="N1293">
            <v>22495.08</v>
          </cell>
          <cell r="O1293">
            <v>110.27</v>
          </cell>
          <cell r="P1293">
            <v>204</v>
          </cell>
          <cell r="Q1293">
            <v>204</v>
          </cell>
          <cell r="R1293">
            <v>0</v>
          </cell>
        </row>
        <row r="1294">
          <cell r="A1294" t="str">
            <v>7BEDNOMIB07W5JJP7D</v>
          </cell>
          <cell r="B1294" t="str">
            <v>Q3-23</v>
          </cell>
          <cell r="C1294" t="str">
            <v>Europe Operations OU</v>
          </cell>
          <cell r="D1294">
            <v>2674345</v>
          </cell>
          <cell r="E1294" t="str">
            <v>Amazon EU SARL, succursale Italiana</v>
          </cell>
          <cell r="F1294" t="str">
            <v>7BEDNOMI</v>
          </cell>
          <cell r="G1294" t="str">
            <v>B07W5JJP7D</v>
          </cell>
          <cell r="H1294" t="str">
            <v>920-009343</v>
          </cell>
          <cell r="I1294" t="str">
            <v>OE INVOICES</v>
          </cell>
          <cell r="J1294">
            <v>44422142932</v>
          </cell>
          <cell r="K1294">
            <v>44896</v>
          </cell>
          <cell r="L1294">
            <v>2</v>
          </cell>
          <cell r="M1294" t="str">
            <v>EUR</v>
          </cell>
          <cell r="N1294">
            <v>816.72</v>
          </cell>
          <cell r="O1294">
            <v>68.06</v>
          </cell>
          <cell r="P1294">
            <v>12</v>
          </cell>
          <cell r="Q1294">
            <v>12</v>
          </cell>
          <cell r="R1294">
            <v>0</v>
          </cell>
        </row>
        <row r="1295">
          <cell r="A1295" t="str">
            <v>7CQW3EPPB005BFCNYU</v>
          </cell>
          <cell r="B1295" t="str">
            <v>Q3-23</v>
          </cell>
          <cell r="C1295" t="str">
            <v>Europe Operations OU</v>
          </cell>
          <cell r="D1295">
            <v>2674345</v>
          </cell>
          <cell r="E1295" t="str">
            <v>Amazon EU SARL, succursale Italiana</v>
          </cell>
          <cell r="F1295" t="str">
            <v>7CQW3EPP</v>
          </cell>
          <cell r="G1295" t="str">
            <v>B005BFCNYU</v>
          </cell>
          <cell r="H1295" t="str">
            <v>981-000406</v>
          </cell>
          <cell r="I1295" t="str">
            <v>OE INVOICES</v>
          </cell>
          <cell r="J1295">
            <v>44422133381</v>
          </cell>
          <cell r="K1295">
            <v>44890</v>
          </cell>
          <cell r="L1295">
            <v>1</v>
          </cell>
          <cell r="M1295" t="str">
            <v>EUR</v>
          </cell>
          <cell r="N1295">
            <v>936.96</v>
          </cell>
          <cell r="O1295">
            <v>29.28</v>
          </cell>
          <cell r="P1295">
            <v>32</v>
          </cell>
          <cell r="Q1295">
            <v>32</v>
          </cell>
          <cell r="R1295">
            <v>0</v>
          </cell>
        </row>
        <row r="1296">
          <cell r="A1296" t="str">
            <v>7CQW3EPPB01BGBJ8Y0</v>
          </cell>
          <cell r="B1296" t="str">
            <v>Q3-23</v>
          </cell>
          <cell r="C1296" t="str">
            <v>Europe Operations OU</v>
          </cell>
          <cell r="D1296">
            <v>2674345</v>
          </cell>
          <cell r="E1296" t="str">
            <v>Amazon EU SARL, succursale Italiana</v>
          </cell>
          <cell r="F1296" t="str">
            <v>7CQW3EPP</v>
          </cell>
          <cell r="G1296" t="str">
            <v>B01BGBJ8Y0</v>
          </cell>
          <cell r="H1296" t="str">
            <v>960-001063</v>
          </cell>
          <cell r="I1296" t="str">
            <v>OE INVOICES</v>
          </cell>
          <cell r="J1296">
            <v>44422133381</v>
          </cell>
          <cell r="K1296">
            <v>44890</v>
          </cell>
          <cell r="L1296">
            <v>2</v>
          </cell>
          <cell r="M1296" t="str">
            <v>EUR</v>
          </cell>
          <cell r="N1296">
            <v>5433.44</v>
          </cell>
          <cell r="O1296">
            <v>23.42</v>
          </cell>
          <cell r="P1296">
            <v>232</v>
          </cell>
          <cell r="Q1296">
            <v>232</v>
          </cell>
          <cell r="R1296">
            <v>0</v>
          </cell>
        </row>
        <row r="1297">
          <cell r="A1297" t="str">
            <v>7CQW3EPPB01K7GEAFC</v>
          </cell>
          <cell r="B1297" t="str">
            <v>Q3-23</v>
          </cell>
          <cell r="C1297" t="str">
            <v>Europe Operations OU</v>
          </cell>
          <cell r="D1297">
            <v>2674345</v>
          </cell>
          <cell r="E1297" t="str">
            <v>Amazon EU SARL, succursale Italiana</v>
          </cell>
          <cell r="F1297" t="str">
            <v>7CQW3EPP</v>
          </cell>
          <cell r="G1297" t="str">
            <v>B01K7GEAFC</v>
          </cell>
          <cell r="H1297" t="str">
            <v>910-004909</v>
          </cell>
          <cell r="I1297" t="str">
            <v>OE INVOICES</v>
          </cell>
          <cell r="J1297">
            <v>44422133381</v>
          </cell>
          <cell r="K1297">
            <v>44890</v>
          </cell>
          <cell r="L1297">
            <v>3</v>
          </cell>
          <cell r="M1297" t="str">
            <v>EUR</v>
          </cell>
          <cell r="N1297">
            <v>1844.5</v>
          </cell>
          <cell r="O1297">
            <v>26.35</v>
          </cell>
          <cell r="P1297">
            <v>70</v>
          </cell>
          <cell r="Q1297">
            <v>70</v>
          </cell>
          <cell r="R1297">
            <v>0</v>
          </cell>
        </row>
        <row r="1298">
          <cell r="A1298" t="str">
            <v>7CQW3EPPB07CGPZ3ZQ</v>
          </cell>
          <cell r="B1298" t="str">
            <v>Q3-23</v>
          </cell>
          <cell r="C1298" t="str">
            <v>Europe Operations OU</v>
          </cell>
          <cell r="D1298">
            <v>2674345</v>
          </cell>
          <cell r="E1298" t="str">
            <v>Amazon EU SARL, succursale Italiana</v>
          </cell>
          <cell r="F1298" t="str">
            <v>7CQW3EPP</v>
          </cell>
          <cell r="G1298" t="str">
            <v>B07CGPZ3ZQ</v>
          </cell>
          <cell r="H1298" t="str">
            <v>910-005283</v>
          </cell>
          <cell r="I1298" t="str">
            <v>OE INVOICES</v>
          </cell>
          <cell r="J1298">
            <v>44422145275</v>
          </cell>
          <cell r="K1298">
            <v>44897</v>
          </cell>
          <cell r="L1298">
            <v>1</v>
          </cell>
          <cell r="M1298" t="str">
            <v>EUR</v>
          </cell>
          <cell r="N1298">
            <v>3102.12</v>
          </cell>
          <cell r="O1298">
            <v>36.93</v>
          </cell>
          <cell r="P1298">
            <v>84</v>
          </cell>
          <cell r="Q1298">
            <v>84</v>
          </cell>
          <cell r="R1298">
            <v>0</v>
          </cell>
        </row>
        <row r="1299">
          <cell r="A1299" t="str">
            <v>7CQW3EPPB07FNHV4MW</v>
          </cell>
          <cell r="B1299" t="str">
            <v>Q3-23</v>
          </cell>
          <cell r="C1299" t="str">
            <v>Europe Operations OU</v>
          </cell>
          <cell r="D1299">
            <v>2674345</v>
          </cell>
          <cell r="E1299" t="str">
            <v>Amazon EU SARL, succursale Italiana</v>
          </cell>
          <cell r="F1299" t="str">
            <v>7CQW3EPP</v>
          </cell>
          <cell r="G1299" t="str">
            <v>B07FNHV4MW</v>
          </cell>
          <cell r="H1299" t="str">
            <v>910-005448</v>
          </cell>
          <cell r="I1299" t="str">
            <v>OE INVOICES</v>
          </cell>
          <cell r="J1299">
            <v>44422133381</v>
          </cell>
          <cell r="K1299">
            <v>44890</v>
          </cell>
          <cell r="L1299">
            <v>4</v>
          </cell>
          <cell r="M1299" t="str">
            <v>EUR</v>
          </cell>
          <cell r="N1299">
            <v>31463.72</v>
          </cell>
          <cell r="O1299">
            <v>69.61</v>
          </cell>
          <cell r="P1299">
            <v>452</v>
          </cell>
          <cell r="Q1299">
            <v>452</v>
          </cell>
          <cell r="R1299">
            <v>0</v>
          </cell>
        </row>
        <row r="1300">
          <cell r="A1300" t="str">
            <v>7CQW3EPPB07G5XJLWK</v>
          </cell>
          <cell r="B1300" t="str">
            <v>Q3-23</v>
          </cell>
          <cell r="C1300" t="str">
            <v>Europe Operations OU</v>
          </cell>
          <cell r="D1300">
            <v>2674345</v>
          </cell>
          <cell r="E1300" t="str">
            <v>Amazon EU SARL, succursale Italiana</v>
          </cell>
          <cell r="F1300" t="str">
            <v>7CQW3EPP</v>
          </cell>
          <cell r="G1300" t="str">
            <v>B07G5XJLWK</v>
          </cell>
          <cell r="H1300" t="str">
            <v>910-005273</v>
          </cell>
          <cell r="I1300" t="str">
            <v>OE INVOICES</v>
          </cell>
          <cell r="J1300">
            <v>44422133381</v>
          </cell>
          <cell r="K1300">
            <v>44890</v>
          </cell>
          <cell r="L1300">
            <v>5</v>
          </cell>
          <cell r="M1300" t="str">
            <v>EUR</v>
          </cell>
          <cell r="N1300">
            <v>9680.8799999999992</v>
          </cell>
          <cell r="O1300">
            <v>73.34</v>
          </cell>
          <cell r="P1300">
            <v>132</v>
          </cell>
          <cell r="Q1300">
            <v>132</v>
          </cell>
          <cell r="R1300">
            <v>0</v>
          </cell>
        </row>
        <row r="1301">
          <cell r="A1301" t="str">
            <v>7CQW3EPPB07HR4KVSN</v>
          </cell>
          <cell r="B1301" t="str">
            <v>Q3-23</v>
          </cell>
          <cell r="C1301" t="str">
            <v>Europe Operations OU</v>
          </cell>
          <cell r="D1301">
            <v>2674345</v>
          </cell>
          <cell r="E1301" t="str">
            <v>Amazon EU SARL, succursale Italiana</v>
          </cell>
          <cell r="F1301" t="str">
            <v>7CQW3EPP</v>
          </cell>
          <cell r="G1301" t="str">
            <v>B07HR4KVSN</v>
          </cell>
          <cell r="H1301" t="str">
            <v>939-001668</v>
          </cell>
          <cell r="I1301" t="str">
            <v>OE INVOICES</v>
          </cell>
          <cell r="J1301">
            <v>44422133381</v>
          </cell>
          <cell r="K1301">
            <v>44890</v>
          </cell>
          <cell r="L1301">
            <v>6</v>
          </cell>
          <cell r="M1301" t="str">
            <v>EUR</v>
          </cell>
          <cell r="N1301">
            <v>2805.36</v>
          </cell>
          <cell r="O1301">
            <v>116.89</v>
          </cell>
          <cell r="P1301">
            <v>24</v>
          </cell>
          <cell r="Q1301">
            <v>24</v>
          </cell>
          <cell r="R1301">
            <v>0</v>
          </cell>
        </row>
        <row r="1302">
          <cell r="A1302" t="str">
            <v>7CQW3EPPB07PMKHMFS</v>
          </cell>
          <cell r="B1302" t="str">
            <v>Q3-23</v>
          </cell>
          <cell r="C1302" t="str">
            <v>Europe Operations OU</v>
          </cell>
          <cell r="D1302">
            <v>2674345</v>
          </cell>
          <cell r="E1302" t="str">
            <v>Amazon EU SARL, succursale Italiana</v>
          </cell>
          <cell r="F1302" t="str">
            <v>7CQW3EPP</v>
          </cell>
          <cell r="G1302" t="str">
            <v>B07PMKHMFS</v>
          </cell>
          <cell r="H1302" t="str">
            <v>939-001830</v>
          </cell>
          <cell r="I1302" t="str">
            <v>OE INVOICES</v>
          </cell>
          <cell r="J1302">
            <v>44422133381</v>
          </cell>
          <cell r="K1302">
            <v>44890</v>
          </cell>
          <cell r="L1302">
            <v>7</v>
          </cell>
          <cell r="M1302" t="str">
            <v>EUR</v>
          </cell>
          <cell r="N1302">
            <v>1402.68</v>
          </cell>
          <cell r="O1302">
            <v>116.89</v>
          </cell>
          <cell r="P1302">
            <v>12</v>
          </cell>
          <cell r="Q1302">
            <v>12</v>
          </cell>
          <cell r="R1302">
            <v>0</v>
          </cell>
        </row>
        <row r="1303">
          <cell r="A1303" t="str">
            <v>7CQW3EPPB07QKC4WWD</v>
          </cell>
          <cell r="B1303" t="str">
            <v>Q3-23</v>
          </cell>
          <cell r="C1303" t="str">
            <v>Europe Operations OU</v>
          </cell>
          <cell r="D1303">
            <v>2674345</v>
          </cell>
          <cell r="E1303" t="str">
            <v>Amazon EU SARL, succursale Italiana</v>
          </cell>
          <cell r="F1303" t="str">
            <v>7CQW3EPP</v>
          </cell>
          <cell r="G1303" t="str">
            <v>B07QKC4WWD</v>
          </cell>
          <cell r="H1303" t="str">
            <v>910-005568</v>
          </cell>
          <cell r="I1303" t="str">
            <v>OE INVOICES</v>
          </cell>
          <cell r="J1303">
            <v>44422145275</v>
          </cell>
          <cell r="K1303">
            <v>44897</v>
          </cell>
          <cell r="L1303">
            <v>2</v>
          </cell>
          <cell r="M1303" t="str">
            <v>EUR</v>
          </cell>
          <cell r="N1303">
            <v>1342.24</v>
          </cell>
          <cell r="O1303">
            <v>83.89</v>
          </cell>
          <cell r="P1303">
            <v>16</v>
          </cell>
          <cell r="Q1303">
            <v>16</v>
          </cell>
          <cell r="R1303">
            <v>0</v>
          </cell>
        </row>
        <row r="1304">
          <cell r="A1304" t="str">
            <v>7CQW3EPPB07W6JKKBV</v>
          </cell>
          <cell r="B1304" t="str">
            <v>Q3-23</v>
          </cell>
          <cell r="C1304" t="str">
            <v>Europe Operations OU</v>
          </cell>
          <cell r="D1304">
            <v>2674345</v>
          </cell>
          <cell r="E1304" t="str">
            <v>Amazon EU SARL, succursale Italiana</v>
          </cell>
          <cell r="F1304" t="str">
            <v>7CQW3EPP</v>
          </cell>
          <cell r="G1304" t="str">
            <v>B07W6JKKBV</v>
          </cell>
          <cell r="H1304" t="str">
            <v>920-010146</v>
          </cell>
          <cell r="I1304" t="str">
            <v>OE INVOICES</v>
          </cell>
          <cell r="J1304">
            <v>44422133381</v>
          </cell>
          <cell r="K1304">
            <v>44890</v>
          </cell>
          <cell r="L1304">
            <v>8</v>
          </cell>
          <cell r="M1304" t="str">
            <v>EUR</v>
          </cell>
          <cell r="N1304">
            <v>5568.96</v>
          </cell>
          <cell r="O1304">
            <v>116.02</v>
          </cell>
          <cell r="P1304">
            <v>48</v>
          </cell>
          <cell r="Q1304">
            <v>48</v>
          </cell>
          <cell r="R1304">
            <v>0</v>
          </cell>
        </row>
        <row r="1305">
          <cell r="A1305" t="str">
            <v>7CQW3EPPB07W7L19WV</v>
          </cell>
          <cell r="B1305" t="str">
            <v>Q3-23</v>
          </cell>
          <cell r="C1305" t="str">
            <v>Europe Operations OU</v>
          </cell>
          <cell r="D1305">
            <v>2674345</v>
          </cell>
          <cell r="E1305" t="str">
            <v>Amazon EU SARL, succursale Italiana</v>
          </cell>
          <cell r="F1305" t="str">
            <v>7CQW3EPP</v>
          </cell>
          <cell r="G1305" t="str">
            <v>B07W7L19WV</v>
          </cell>
          <cell r="H1305" t="str">
            <v>920-009477</v>
          </cell>
          <cell r="I1305" t="str">
            <v>OE INVOICES</v>
          </cell>
          <cell r="J1305">
            <v>44422133381</v>
          </cell>
          <cell r="K1305">
            <v>44890</v>
          </cell>
          <cell r="L1305">
            <v>9</v>
          </cell>
          <cell r="M1305" t="str">
            <v>EUR</v>
          </cell>
          <cell r="N1305">
            <v>2784</v>
          </cell>
          <cell r="O1305">
            <v>58</v>
          </cell>
          <cell r="P1305">
            <v>48</v>
          </cell>
          <cell r="Q1305">
            <v>48</v>
          </cell>
          <cell r="R1305">
            <v>0</v>
          </cell>
        </row>
        <row r="1306">
          <cell r="A1306" t="str">
            <v>7CQW3EPPB07W7M4MZP</v>
          </cell>
          <cell r="B1306" t="str">
            <v>Q3-23</v>
          </cell>
          <cell r="C1306" t="str">
            <v>Europe Operations OU</v>
          </cell>
          <cell r="D1306">
            <v>2674345</v>
          </cell>
          <cell r="E1306" t="str">
            <v>Amazon EU SARL, succursale Italiana</v>
          </cell>
          <cell r="F1306" t="str">
            <v>7CQW3EPP</v>
          </cell>
          <cell r="G1306" t="str">
            <v>B07W7M4MZP</v>
          </cell>
          <cell r="H1306" t="str">
            <v>920-010301</v>
          </cell>
          <cell r="I1306" t="str">
            <v>OE INVOICES</v>
          </cell>
          <cell r="J1306">
            <v>44422133381</v>
          </cell>
          <cell r="K1306">
            <v>44890</v>
          </cell>
          <cell r="L1306">
            <v>10</v>
          </cell>
          <cell r="M1306" t="str">
            <v>EUR</v>
          </cell>
          <cell r="N1306">
            <v>11137.92</v>
          </cell>
          <cell r="O1306">
            <v>116.02</v>
          </cell>
          <cell r="P1306">
            <v>96</v>
          </cell>
          <cell r="Q1306">
            <v>96</v>
          </cell>
          <cell r="R1306">
            <v>0</v>
          </cell>
        </row>
        <row r="1307">
          <cell r="A1307" t="str">
            <v>7CQW3EPPB07W7MQMD9</v>
          </cell>
          <cell r="B1307" t="str">
            <v>Q3-23</v>
          </cell>
          <cell r="C1307" t="str">
            <v>Europe Operations OU</v>
          </cell>
          <cell r="D1307">
            <v>2674345</v>
          </cell>
          <cell r="E1307" t="str">
            <v>Amazon EU SARL, succursale Italiana</v>
          </cell>
          <cell r="F1307" t="str">
            <v>7CQW3EPP</v>
          </cell>
          <cell r="G1307" t="str">
            <v>B07W7MQMD9</v>
          </cell>
          <cell r="H1307" t="str">
            <v>910-005730</v>
          </cell>
          <cell r="I1307" t="str">
            <v>OE INVOICES</v>
          </cell>
          <cell r="J1307">
            <v>44422144963</v>
          </cell>
          <cell r="K1307">
            <v>44897</v>
          </cell>
          <cell r="L1307">
            <v>1</v>
          </cell>
          <cell r="M1307" t="str">
            <v>EUR</v>
          </cell>
          <cell r="N1307">
            <v>189.92</v>
          </cell>
          <cell r="O1307">
            <v>47.48</v>
          </cell>
          <cell r="P1307">
            <v>4</v>
          </cell>
          <cell r="Q1307">
            <v>4</v>
          </cell>
          <cell r="R1307">
            <v>0</v>
          </cell>
        </row>
        <row r="1308">
          <cell r="A1308" t="str">
            <v>7EMS2FPGB007BNE5P0</v>
          </cell>
          <cell r="B1308" t="str">
            <v>Q3-23</v>
          </cell>
          <cell r="C1308" t="str">
            <v>Europe Operations OU</v>
          </cell>
          <cell r="D1308">
            <v>2674345</v>
          </cell>
          <cell r="E1308" t="str">
            <v>Amazon EU SARL, succursale Italiana</v>
          </cell>
          <cell r="F1308" t="str">
            <v>7EMS2FPG</v>
          </cell>
          <cell r="G1308" t="str">
            <v>B007BNE5P0</v>
          </cell>
          <cell r="H1308" t="str">
            <v>920-003735</v>
          </cell>
          <cell r="I1308" t="str">
            <v>OE INVOICES</v>
          </cell>
          <cell r="J1308">
            <v>44422142934</v>
          </cell>
          <cell r="K1308">
            <v>44896</v>
          </cell>
          <cell r="L1308">
            <v>1</v>
          </cell>
          <cell r="M1308" t="str">
            <v>EUR</v>
          </cell>
          <cell r="N1308">
            <v>93.68</v>
          </cell>
          <cell r="O1308">
            <v>23.42</v>
          </cell>
          <cell r="P1308">
            <v>4</v>
          </cell>
          <cell r="Q1308">
            <v>4</v>
          </cell>
          <cell r="R1308">
            <v>0</v>
          </cell>
        </row>
        <row r="1309">
          <cell r="A1309" t="str">
            <v>7EMS2FPGB00YUIM2J0</v>
          </cell>
          <cell r="B1309" t="str">
            <v>Q3-23</v>
          </cell>
          <cell r="C1309" t="str">
            <v>Europe Operations OU</v>
          </cell>
          <cell r="D1309">
            <v>2674345</v>
          </cell>
          <cell r="E1309" t="str">
            <v>Amazon EU SARL, succursale Italiana</v>
          </cell>
          <cell r="F1309" t="str">
            <v>7EMS2FPG</v>
          </cell>
          <cell r="G1309" t="str">
            <v>B00YUIM2J0</v>
          </cell>
          <cell r="H1309" t="str">
            <v>941-000112</v>
          </cell>
          <cell r="I1309" t="str">
            <v>OE INVOICES</v>
          </cell>
          <cell r="J1309">
            <v>44422141599</v>
          </cell>
          <cell r="K1309">
            <v>44895</v>
          </cell>
          <cell r="L1309">
            <v>1</v>
          </cell>
          <cell r="M1309" t="str">
            <v>EUR</v>
          </cell>
          <cell r="N1309">
            <v>145906.20000000001</v>
          </cell>
          <cell r="O1309">
            <v>221.07</v>
          </cell>
          <cell r="P1309">
            <v>660</v>
          </cell>
          <cell r="Q1309">
            <v>660</v>
          </cell>
          <cell r="R1309">
            <v>0</v>
          </cell>
        </row>
        <row r="1310">
          <cell r="A1310" t="str">
            <v>7EMS2FPGB00YUIM2J0</v>
          </cell>
          <cell r="B1310" t="str">
            <v>Q3-23</v>
          </cell>
          <cell r="C1310" t="str">
            <v>Europe Operations OU</v>
          </cell>
          <cell r="D1310">
            <v>2674345</v>
          </cell>
          <cell r="E1310" t="str">
            <v>Amazon EU SARL, succursale Italiana</v>
          </cell>
          <cell r="F1310" t="str">
            <v>7EMS2FPG</v>
          </cell>
          <cell r="G1310" t="str">
            <v>B00YUIM2J0</v>
          </cell>
          <cell r="H1310" t="str">
            <v>941-000112</v>
          </cell>
          <cell r="I1310" t="str">
            <v>OE INVOICES</v>
          </cell>
          <cell r="J1310">
            <v>44422142934</v>
          </cell>
          <cell r="K1310">
            <v>44896</v>
          </cell>
          <cell r="L1310">
            <v>2</v>
          </cell>
          <cell r="M1310" t="str">
            <v>EUR</v>
          </cell>
          <cell r="N1310">
            <v>13264.2</v>
          </cell>
          <cell r="O1310">
            <v>221.07</v>
          </cell>
          <cell r="P1310">
            <v>60</v>
          </cell>
          <cell r="Q1310">
            <v>60</v>
          </cell>
          <cell r="R1310">
            <v>0</v>
          </cell>
        </row>
        <row r="1311">
          <cell r="A1311" t="str">
            <v>7EMS2FPGB00YUIM2J0</v>
          </cell>
          <cell r="B1311" t="str">
            <v>Q3-23</v>
          </cell>
          <cell r="C1311" t="str">
            <v>Europe Operations OU</v>
          </cell>
          <cell r="D1311">
            <v>2674345</v>
          </cell>
          <cell r="E1311" t="str">
            <v>Amazon EU SARL, succursale Italiana</v>
          </cell>
          <cell r="F1311" t="str">
            <v>7EMS2FPG</v>
          </cell>
          <cell r="G1311" t="str">
            <v>B00YUIM2J0</v>
          </cell>
          <cell r="H1311" t="str">
            <v>941-000112</v>
          </cell>
          <cell r="I1311" t="str">
            <v>OE INVOICES</v>
          </cell>
          <cell r="J1311">
            <v>44422143089</v>
          </cell>
          <cell r="K1311">
            <v>44896</v>
          </cell>
          <cell r="L1311">
            <v>1</v>
          </cell>
          <cell r="M1311" t="str">
            <v>EUR</v>
          </cell>
          <cell r="N1311">
            <v>145906.20000000001</v>
          </cell>
          <cell r="O1311">
            <v>221.07</v>
          </cell>
          <cell r="P1311">
            <v>660</v>
          </cell>
          <cell r="Q1311">
            <v>660</v>
          </cell>
          <cell r="R1311">
            <v>0</v>
          </cell>
        </row>
        <row r="1312">
          <cell r="A1312" t="str">
            <v>7EMS2FPGB011N78DMA</v>
          </cell>
          <cell r="B1312" t="str">
            <v>Q3-23</v>
          </cell>
          <cell r="C1312" t="str">
            <v>Europe Operations OU</v>
          </cell>
          <cell r="D1312">
            <v>2674345</v>
          </cell>
          <cell r="E1312" t="str">
            <v>Amazon EU SARL, succursale Italiana</v>
          </cell>
          <cell r="F1312" t="str">
            <v>7EMS2FPG</v>
          </cell>
          <cell r="G1312" t="str">
            <v>B011N78DMA</v>
          </cell>
          <cell r="H1312" t="str">
            <v>941-000123</v>
          </cell>
          <cell r="I1312" t="str">
            <v>OE INVOICES</v>
          </cell>
          <cell r="J1312">
            <v>44422142934</v>
          </cell>
          <cell r="K1312">
            <v>44896</v>
          </cell>
          <cell r="L1312">
            <v>3</v>
          </cell>
          <cell r="M1312" t="str">
            <v>EUR</v>
          </cell>
          <cell r="N1312">
            <v>1326.42</v>
          </cell>
          <cell r="O1312">
            <v>221.07</v>
          </cell>
          <cell r="P1312">
            <v>6</v>
          </cell>
          <cell r="Q1312">
            <v>6</v>
          </cell>
          <cell r="R1312">
            <v>0</v>
          </cell>
        </row>
        <row r="1313">
          <cell r="A1313" t="str">
            <v>7EMS2FPGB01MT5WL4M</v>
          </cell>
          <cell r="B1313" t="str">
            <v>Q3-23</v>
          </cell>
          <cell r="C1313" t="str">
            <v>Europe Operations OU</v>
          </cell>
          <cell r="D1313">
            <v>2674345</v>
          </cell>
          <cell r="E1313" t="str">
            <v>Amazon EU SARL, succursale Italiana</v>
          </cell>
          <cell r="F1313" t="str">
            <v>7EMS2FPG</v>
          </cell>
          <cell r="G1313" t="str">
            <v>B01MT5WL4M</v>
          </cell>
          <cell r="H1313" t="str">
            <v>920-008222</v>
          </cell>
          <cell r="I1313" t="str">
            <v>OE INVOICES</v>
          </cell>
          <cell r="J1313">
            <v>44422142934</v>
          </cell>
          <cell r="K1313">
            <v>44896</v>
          </cell>
          <cell r="L1313">
            <v>4</v>
          </cell>
          <cell r="M1313" t="str">
            <v>EUR</v>
          </cell>
          <cell r="N1313">
            <v>5429.52</v>
          </cell>
          <cell r="O1313">
            <v>75.41</v>
          </cell>
          <cell r="P1313">
            <v>72</v>
          </cell>
          <cell r="Q1313">
            <v>72</v>
          </cell>
          <cell r="R1313">
            <v>0</v>
          </cell>
        </row>
        <row r="1314">
          <cell r="A1314" t="str">
            <v>7EMS2FPGB01MT5WMMG</v>
          </cell>
          <cell r="B1314" t="str">
            <v>Q3-23</v>
          </cell>
          <cell r="C1314" t="str">
            <v>Europe Operations OU</v>
          </cell>
          <cell r="D1314">
            <v>2674345</v>
          </cell>
          <cell r="E1314" t="str">
            <v>Amazon EU SARL, succursale Italiana</v>
          </cell>
          <cell r="F1314" t="str">
            <v>7EMS2FPG</v>
          </cell>
          <cell r="G1314" t="str">
            <v>B01MT5WMMG</v>
          </cell>
          <cell r="H1314" t="str">
            <v>920-008221</v>
          </cell>
          <cell r="I1314" t="str">
            <v>OE INVOICES</v>
          </cell>
          <cell r="J1314">
            <v>44422142934</v>
          </cell>
          <cell r="K1314">
            <v>44896</v>
          </cell>
          <cell r="L1314">
            <v>5</v>
          </cell>
          <cell r="M1314" t="str">
            <v>EUR</v>
          </cell>
          <cell r="N1314">
            <v>904.92</v>
          </cell>
          <cell r="O1314">
            <v>75.41</v>
          </cell>
          <cell r="P1314">
            <v>12</v>
          </cell>
          <cell r="Q1314">
            <v>12</v>
          </cell>
          <cell r="R1314">
            <v>0</v>
          </cell>
        </row>
        <row r="1315">
          <cell r="A1315" t="str">
            <v>7EMS2FPGB074KFNJQG</v>
          </cell>
          <cell r="B1315" t="str">
            <v>Q3-23</v>
          </cell>
          <cell r="C1315" t="str">
            <v>Europe Operations OU</v>
          </cell>
          <cell r="D1315">
            <v>2674345</v>
          </cell>
          <cell r="E1315" t="str">
            <v>Amazon EU SARL, succursale Italiana</v>
          </cell>
          <cell r="F1315" t="str">
            <v>7EMS2FPG</v>
          </cell>
          <cell r="G1315" t="str">
            <v>B074KFNJQG</v>
          </cell>
          <cell r="H1315" t="str">
            <v>920-008501</v>
          </cell>
          <cell r="I1315" t="str">
            <v>OE INVOICES</v>
          </cell>
          <cell r="J1315">
            <v>44422142934</v>
          </cell>
          <cell r="K1315">
            <v>44896</v>
          </cell>
          <cell r="L1315">
            <v>6</v>
          </cell>
          <cell r="M1315" t="str">
            <v>EUR</v>
          </cell>
          <cell r="N1315">
            <v>485</v>
          </cell>
          <cell r="O1315">
            <v>121.25</v>
          </cell>
          <cell r="P1315">
            <v>4</v>
          </cell>
          <cell r="Q1315">
            <v>4</v>
          </cell>
          <cell r="R1315">
            <v>0</v>
          </cell>
        </row>
        <row r="1316">
          <cell r="A1316" t="str">
            <v>7EMS2FPGB074KGS5C3</v>
          </cell>
          <cell r="B1316" t="str">
            <v>Q3-23</v>
          </cell>
          <cell r="C1316" t="str">
            <v>Europe Operations OU</v>
          </cell>
          <cell r="D1316">
            <v>2674345</v>
          </cell>
          <cell r="E1316" t="str">
            <v>Amazon EU SARL, succursale Italiana</v>
          </cell>
          <cell r="F1316" t="str">
            <v>7EMS2FPG</v>
          </cell>
          <cell r="G1316" t="str">
            <v>B074KGS5C3</v>
          </cell>
          <cell r="H1316" t="str">
            <v>920-008496</v>
          </cell>
          <cell r="I1316" t="str">
            <v>OE INVOICES</v>
          </cell>
          <cell r="J1316">
            <v>44422142934</v>
          </cell>
          <cell r="K1316">
            <v>44896</v>
          </cell>
          <cell r="L1316">
            <v>7</v>
          </cell>
          <cell r="M1316" t="str">
            <v>EUR</v>
          </cell>
          <cell r="N1316">
            <v>1455</v>
          </cell>
          <cell r="O1316">
            <v>121.25</v>
          </cell>
          <cell r="P1316">
            <v>12</v>
          </cell>
          <cell r="Q1316">
            <v>12</v>
          </cell>
          <cell r="R1316">
            <v>0</v>
          </cell>
        </row>
        <row r="1317">
          <cell r="A1317" t="str">
            <v>7EMS2FPGB07QWTR62R</v>
          </cell>
          <cell r="B1317" t="str">
            <v>Q3-23</v>
          </cell>
          <cell r="C1317" t="str">
            <v>Europe Operations OU</v>
          </cell>
          <cell r="D1317">
            <v>2674345</v>
          </cell>
          <cell r="E1317" t="str">
            <v>Amazon EU SARL, succursale Italiana</v>
          </cell>
          <cell r="F1317" t="str">
            <v>7EMS2FPG</v>
          </cell>
          <cell r="G1317" t="str">
            <v>B07QWTR62R</v>
          </cell>
          <cell r="H1317" t="str">
            <v>920-008946</v>
          </cell>
          <cell r="I1317" t="str">
            <v>OE INVOICES</v>
          </cell>
          <cell r="J1317">
            <v>44422142934</v>
          </cell>
          <cell r="K1317">
            <v>44896</v>
          </cell>
          <cell r="L1317">
            <v>8</v>
          </cell>
          <cell r="M1317" t="str">
            <v>EUR</v>
          </cell>
          <cell r="N1317">
            <v>293.36</v>
          </cell>
          <cell r="O1317">
            <v>73.34</v>
          </cell>
          <cell r="P1317">
            <v>4</v>
          </cell>
          <cell r="Q1317">
            <v>4</v>
          </cell>
          <cell r="R1317">
            <v>0</v>
          </cell>
        </row>
        <row r="1318">
          <cell r="A1318" t="str">
            <v>7EMS2FPGB07W6JMQW4</v>
          </cell>
          <cell r="B1318" t="str">
            <v>Q3-23</v>
          </cell>
          <cell r="C1318" t="str">
            <v>Europe Operations OU</v>
          </cell>
          <cell r="D1318">
            <v>2674345</v>
          </cell>
          <cell r="E1318" t="str">
            <v>Amazon EU SARL, succursale Italiana</v>
          </cell>
          <cell r="F1318" t="str">
            <v>7EMS2FPG</v>
          </cell>
          <cell r="G1318" t="str">
            <v>B07W6JMQW4</v>
          </cell>
          <cell r="H1318" t="str">
            <v>920-009330</v>
          </cell>
          <cell r="I1318" t="str">
            <v>OE INVOICES</v>
          </cell>
          <cell r="J1318">
            <v>44422142934</v>
          </cell>
          <cell r="K1318">
            <v>44896</v>
          </cell>
          <cell r="L1318">
            <v>9</v>
          </cell>
          <cell r="M1318" t="str">
            <v>EUR</v>
          </cell>
          <cell r="N1318">
            <v>377.76</v>
          </cell>
          <cell r="O1318">
            <v>94.44</v>
          </cell>
          <cell r="P1318">
            <v>4</v>
          </cell>
          <cell r="Q1318">
            <v>4</v>
          </cell>
          <cell r="R1318">
            <v>0</v>
          </cell>
        </row>
        <row r="1319">
          <cell r="A1319" t="str">
            <v>7EMS2FPGB07W6JPVP3</v>
          </cell>
          <cell r="B1319" t="str">
            <v>Q3-23</v>
          </cell>
          <cell r="C1319" t="str">
            <v>Europe Operations OU</v>
          </cell>
          <cell r="D1319">
            <v>2674345</v>
          </cell>
          <cell r="E1319" t="str">
            <v>Amazon EU SARL, succursale Italiana</v>
          </cell>
          <cell r="F1319" t="str">
            <v>7EMS2FPG</v>
          </cell>
          <cell r="G1319" t="str">
            <v>B07W6JPVP3</v>
          </cell>
          <cell r="H1319" t="str">
            <v>920-009167</v>
          </cell>
          <cell r="I1319" t="str">
            <v>OE INVOICES</v>
          </cell>
          <cell r="J1319">
            <v>44422142934</v>
          </cell>
          <cell r="K1319">
            <v>44896</v>
          </cell>
          <cell r="L1319">
            <v>10</v>
          </cell>
          <cell r="M1319" t="str">
            <v>EUR</v>
          </cell>
          <cell r="N1319">
            <v>598.72</v>
          </cell>
          <cell r="O1319">
            <v>74.84</v>
          </cell>
          <cell r="P1319">
            <v>8</v>
          </cell>
          <cell r="Q1319">
            <v>8</v>
          </cell>
          <cell r="R1319">
            <v>0</v>
          </cell>
        </row>
        <row r="1320">
          <cell r="A1320" t="str">
            <v>7EMS2FPGB07W7KFFFF</v>
          </cell>
          <cell r="B1320" t="str">
            <v>Q3-23</v>
          </cell>
          <cell r="C1320" t="str">
            <v>Europe Operations OU</v>
          </cell>
          <cell r="D1320">
            <v>2674345</v>
          </cell>
          <cell r="E1320" t="str">
            <v>Amazon EU SARL, succursale Italiana</v>
          </cell>
          <cell r="F1320" t="str">
            <v>7EMS2FPG</v>
          </cell>
          <cell r="G1320" t="str">
            <v>B07W7KFFFF</v>
          </cell>
          <cell r="H1320" t="str">
            <v>941-000149</v>
          </cell>
          <cell r="I1320" t="str">
            <v>OE INVOICES</v>
          </cell>
          <cell r="J1320">
            <v>44422142934</v>
          </cell>
          <cell r="K1320">
            <v>44896</v>
          </cell>
          <cell r="L1320">
            <v>11</v>
          </cell>
          <cell r="M1320" t="str">
            <v>EUR</v>
          </cell>
          <cell r="N1320">
            <v>1131.75</v>
          </cell>
          <cell r="O1320">
            <v>226.35</v>
          </cell>
          <cell r="P1320">
            <v>5</v>
          </cell>
          <cell r="Q1320">
            <v>5</v>
          </cell>
          <cell r="R1320">
            <v>0</v>
          </cell>
        </row>
        <row r="1321">
          <cell r="A1321" t="str">
            <v>7H9X1Z6SB002VA464S</v>
          </cell>
          <cell r="B1321" t="str">
            <v>Q3-23</v>
          </cell>
          <cell r="C1321" t="str">
            <v>Europe Operations OU</v>
          </cell>
          <cell r="D1321">
            <v>2674345</v>
          </cell>
          <cell r="E1321" t="str">
            <v>Amazon EU SARL, succursale Italiana</v>
          </cell>
          <cell r="F1321" t="str">
            <v>7H9X1Z6S</v>
          </cell>
          <cell r="G1321" t="str">
            <v>B002VA464S</v>
          </cell>
          <cell r="H1321" t="str">
            <v>988-000238</v>
          </cell>
          <cell r="I1321" t="str">
            <v>OE INVOICES</v>
          </cell>
          <cell r="J1321">
            <v>44422177122</v>
          </cell>
          <cell r="K1321">
            <v>44922</v>
          </cell>
          <cell r="L1321">
            <v>1</v>
          </cell>
          <cell r="M1321" t="str">
            <v>EUR</v>
          </cell>
          <cell r="N1321">
            <v>1549.28</v>
          </cell>
          <cell r="O1321">
            <v>96.83</v>
          </cell>
          <cell r="P1321">
            <v>16</v>
          </cell>
          <cell r="Q1321">
            <v>16</v>
          </cell>
          <cell r="R1321">
            <v>0</v>
          </cell>
        </row>
        <row r="1322">
          <cell r="A1322" t="str">
            <v>7H9X1Z6SB004ZH0RHK</v>
          </cell>
          <cell r="B1322" t="str">
            <v>Q3-23</v>
          </cell>
          <cell r="C1322" t="str">
            <v>Europe Operations OU</v>
          </cell>
          <cell r="D1322">
            <v>2674345</v>
          </cell>
          <cell r="E1322" t="str">
            <v>Amazon EU SARL, succursale Italiana</v>
          </cell>
          <cell r="F1322" t="str">
            <v>7H9X1Z6S</v>
          </cell>
          <cell r="G1322" t="str">
            <v>B004ZH0RHK</v>
          </cell>
          <cell r="H1322" t="str">
            <v>920-003056</v>
          </cell>
          <cell r="I1322" t="str">
            <v>OE INVOICES</v>
          </cell>
          <cell r="J1322">
            <v>44422177122</v>
          </cell>
          <cell r="K1322">
            <v>44922</v>
          </cell>
          <cell r="L1322">
            <v>2</v>
          </cell>
          <cell r="M1322" t="str">
            <v>EUR</v>
          </cell>
          <cell r="N1322">
            <v>2986.56</v>
          </cell>
          <cell r="O1322">
            <v>29.28</v>
          </cell>
          <cell r="P1322">
            <v>102</v>
          </cell>
          <cell r="Q1322">
            <v>102</v>
          </cell>
          <cell r="R1322">
            <v>0</v>
          </cell>
        </row>
        <row r="1323">
          <cell r="A1323" t="str">
            <v>7H9X1Z6SB00552K0GM</v>
          </cell>
          <cell r="B1323" t="str">
            <v>Q3-23</v>
          </cell>
          <cell r="C1323" t="str">
            <v>Europe Operations OU</v>
          </cell>
          <cell r="D1323">
            <v>2674345</v>
          </cell>
          <cell r="E1323" t="str">
            <v>Amazon EU SARL, succursale Italiana</v>
          </cell>
          <cell r="F1323" t="str">
            <v>7H9X1Z6S</v>
          </cell>
          <cell r="G1323" t="str">
            <v>B00552K0GM</v>
          </cell>
          <cell r="H1323" t="str">
            <v>910-002235</v>
          </cell>
          <cell r="I1323" t="str">
            <v>OE INVOICES</v>
          </cell>
          <cell r="J1323">
            <v>44422177122</v>
          </cell>
          <cell r="K1323">
            <v>44922</v>
          </cell>
          <cell r="L1323">
            <v>3</v>
          </cell>
          <cell r="M1323" t="str">
            <v>EUR</v>
          </cell>
          <cell r="N1323">
            <v>4317.3</v>
          </cell>
          <cell r="O1323">
            <v>10.53</v>
          </cell>
          <cell r="P1323">
            <v>410</v>
          </cell>
          <cell r="Q1323">
            <v>410</v>
          </cell>
          <cell r="R1323">
            <v>0</v>
          </cell>
        </row>
        <row r="1324">
          <cell r="A1324" t="str">
            <v>7H9X1Z6SB006LNTSP8</v>
          </cell>
          <cell r="B1324" t="str">
            <v>Q3-23</v>
          </cell>
          <cell r="C1324" t="str">
            <v>Europe Operations OU</v>
          </cell>
          <cell r="D1324">
            <v>2674345</v>
          </cell>
          <cell r="E1324" t="str">
            <v>Amazon EU SARL, succursale Italiana</v>
          </cell>
          <cell r="F1324" t="str">
            <v>7H9X1Z6S</v>
          </cell>
          <cell r="G1324" t="str">
            <v>B006LNTSP8</v>
          </cell>
          <cell r="H1324" t="str">
            <v>920-003159</v>
          </cell>
          <cell r="I1324" t="str">
            <v>OE INVOICES</v>
          </cell>
          <cell r="J1324">
            <v>44422177122</v>
          </cell>
          <cell r="K1324">
            <v>44922</v>
          </cell>
          <cell r="L1324">
            <v>4</v>
          </cell>
          <cell r="M1324" t="str">
            <v>EUR</v>
          </cell>
          <cell r="N1324">
            <v>164</v>
          </cell>
          <cell r="O1324">
            <v>20.5</v>
          </cell>
          <cell r="P1324">
            <v>8</v>
          </cell>
          <cell r="Q1324">
            <v>8</v>
          </cell>
          <cell r="R1324">
            <v>0</v>
          </cell>
        </row>
        <row r="1325">
          <cell r="A1325" t="str">
            <v>7H9X1Z6SB006YYNGNY</v>
          </cell>
          <cell r="B1325" t="str">
            <v>Q3-23</v>
          </cell>
          <cell r="C1325" t="str">
            <v>Europe Operations OU</v>
          </cell>
          <cell r="D1325">
            <v>2674345</v>
          </cell>
          <cell r="E1325" t="str">
            <v>Amazon EU SARL, succursale Italiana</v>
          </cell>
          <cell r="F1325" t="str">
            <v>7H9X1Z6S</v>
          </cell>
          <cell r="G1325" t="str">
            <v>B006YYNGNY</v>
          </cell>
          <cell r="H1325" t="str">
            <v>920-003161</v>
          </cell>
          <cell r="I1325" t="str">
            <v>OE INVOICES</v>
          </cell>
          <cell r="J1325">
            <v>44422177122</v>
          </cell>
          <cell r="K1325">
            <v>44922</v>
          </cell>
          <cell r="L1325">
            <v>5</v>
          </cell>
          <cell r="M1325" t="str">
            <v>EUR</v>
          </cell>
          <cell r="N1325">
            <v>164</v>
          </cell>
          <cell r="O1325">
            <v>20.5</v>
          </cell>
          <cell r="P1325">
            <v>8</v>
          </cell>
          <cell r="Q1325">
            <v>8</v>
          </cell>
          <cell r="R1325">
            <v>0</v>
          </cell>
        </row>
        <row r="1326">
          <cell r="A1326" t="str">
            <v>7H9X1Z6SB00745IE0W</v>
          </cell>
          <cell r="B1326" t="str">
            <v>Q3-23</v>
          </cell>
          <cell r="C1326" t="str">
            <v>Europe Operations OU</v>
          </cell>
          <cell r="D1326">
            <v>2674345</v>
          </cell>
          <cell r="E1326" t="str">
            <v>Amazon EU SARL, succursale Italiana</v>
          </cell>
          <cell r="F1326" t="str">
            <v>7H9X1Z6S</v>
          </cell>
          <cell r="G1326" t="str">
            <v>B00745IE0W</v>
          </cell>
          <cell r="H1326" t="str">
            <v>910-002732</v>
          </cell>
          <cell r="I1326" t="str">
            <v>OE INVOICES</v>
          </cell>
          <cell r="J1326">
            <v>44422177122</v>
          </cell>
          <cell r="K1326">
            <v>44922</v>
          </cell>
          <cell r="L1326">
            <v>6</v>
          </cell>
          <cell r="M1326" t="str">
            <v>EUR</v>
          </cell>
          <cell r="N1326">
            <v>309.12</v>
          </cell>
          <cell r="O1326">
            <v>12.88</v>
          </cell>
          <cell r="P1326">
            <v>24</v>
          </cell>
          <cell r="Q1326">
            <v>24</v>
          </cell>
          <cell r="R1326">
            <v>0</v>
          </cell>
        </row>
        <row r="1327">
          <cell r="A1327" t="str">
            <v>7H9X1Z6SB00779631W</v>
          </cell>
          <cell r="B1327" t="str">
            <v>Q3-23</v>
          </cell>
          <cell r="C1327" t="str">
            <v>Europe Operations OU</v>
          </cell>
          <cell r="D1327">
            <v>2674345</v>
          </cell>
          <cell r="E1327" t="str">
            <v>Amazon EU SARL, succursale Italiana</v>
          </cell>
          <cell r="F1327" t="str">
            <v>7H9X1Z6S</v>
          </cell>
          <cell r="G1327" t="str">
            <v>B00779631W</v>
          </cell>
          <cell r="H1327" t="str">
            <v>920-003746</v>
          </cell>
          <cell r="I1327" t="str">
            <v>OE INVOICES</v>
          </cell>
          <cell r="J1327">
            <v>44422177122</v>
          </cell>
          <cell r="K1327">
            <v>44922</v>
          </cell>
          <cell r="L1327">
            <v>7</v>
          </cell>
          <cell r="M1327" t="str">
            <v>EUR</v>
          </cell>
          <cell r="N1327">
            <v>468.4</v>
          </cell>
          <cell r="O1327">
            <v>23.42</v>
          </cell>
          <cell r="P1327">
            <v>20</v>
          </cell>
          <cell r="Q1327">
            <v>20</v>
          </cell>
          <cell r="R1327">
            <v>0</v>
          </cell>
        </row>
        <row r="1328">
          <cell r="A1328" t="str">
            <v>7H9X1Z6SB00C1CVMSY</v>
          </cell>
          <cell r="B1328" t="str">
            <v>Q3-23</v>
          </cell>
          <cell r="C1328" t="str">
            <v>Europe Operations OU</v>
          </cell>
          <cell r="D1328">
            <v>2674345</v>
          </cell>
          <cell r="E1328" t="str">
            <v>Amazon EU SARL, succursale Italiana</v>
          </cell>
          <cell r="F1328" t="str">
            <v>7H9X1Z6S</v>
          </cell>
          <cell r="G1328" t="str">
            <v>B00C1CVMSY</v>
          </cell>
          <cell r="H1328" t="str">
            <v>910-003360</v>
          </cell>
          <cell r="I1328" t="str">
            <v>OE INVOICES</v>
          </cell>
          <cell r="J1328">
            <v>44422177122</v>
          </cell>
          <cell r="K1328">
            <v>44922</v>
          </cell>
          <cell r="L1328">
            <v>8</v>
          </cell>
          <cell r="M1328" t="str">
            <v>EUR</v>
          </cell>
          <cell r="N1328">
            <v>7216</v>
          </cell>
          <cell r="O1328">
            <v>8.1999999999999993</v>
          </cell>
          <cell r="P1328">
            <v>880</v>
          </cell>
          <cell r="Q1328">
            <v>880</v>
          </cell>
          <cell r="R1328">
            <v>0</v>
          </cell>
        </row>
        <row r="1329">
          <cell r="A1329" t="str">
            <v>7H9X1Z6SB00C7INSWU</v>
          </cell>
          <cell r="B1329" t="str">
            <v>Q3-23</v>
          </cell>
          <cell r="C1329" t="str">
            <v>Europe Operations OU</v>
          </cell>
          <cell r="D1329">
            <v>2674345</v>
          </cell>
          <cell r="E1329" t="str">
            <v>Amazon EU SARL, succursale Italiana</v>
          </cell>
          <cell r="F1329" t="str">
            <v>7H9X1Z6S</v>
          </cell>
          <cell r="G1329" t="str">
            <v>B00C7INSWU</v>
          </cell>
          <cell r="H1329" t="str">
            <v>981-000514</v>
          </cell>
          <cell r="I1329" t="str">
            <v>OE INVOICES</v>
          </cell>
          <cell r="J1329">
            <v>44422177122</v>
          </cell>
          <cell r="K1329">
            <v>44922</v>
          </cell>
          <cell r="L1329">
            <v>9</v>
          </cell>
          <cell r="M1329" t="str">
            <v>EUR</v>
          </cell>
          <cell r="N1329">
            <v>1399.8</v>
          </cell>
          <cell r="O1329">
            <v>46.66</v>
          </cell>
          <cell r="P1329">
            <v>30</v>
          </cell>
          <cell r="Q1329">
            <v>30</v>
          </cell>
          <cell r="R1329">
            <v>0</v>
          </cell>
        </row>
        <row r="1330">
          <cell r="A1330" t="str">
            <v>7H9X1Z6SB00CJAF3ME</v>
          </cell>
          <cell r="B1330" t="str">
            <v>Q3-23</v>
          </cell>
          <cell r="C1330" t="str">
            <v>Europe Operations OU</v>
          </cell>
          <cell r="D1330">
            <v>2674345</v>
          </cell>
          <cell r="E1330" t="str">
            <v>Amazon EU SARL, succursale Italiana</v>
          </cell>
          <cell r="F1330" t="str">
            <v>7H9X1Z6S</v>
          </cell>
          <cell r="G1330" t="str">
            <v>B00CJAF3ME</v>
          </cell>
          <cell r="H1330" t="str">
            <v>940-000138</v>
          </cell>
          <cell r="I1330" t="str">
            <v>OE INVOICES</v>
          </cell>
          <cell r="J1330">
            <v>44422177122</v>
          </cell>
          <cell r="K1330">
            <v>44922</v>
          </cell>
          <cell r="L1330">
            <v>10</v>
          </cell>
          <cell r="M1330" t="str">
            <v>EUR</v>
          </cell>
          <cell r="N1330">
            <v>253.2</v>
          </cell>
          <cell r="O1330">
            <v>21.1</v>
          </cell>
          <cell r="P1330">
            <v>12</v>
          </cell>
          <cell r="Q1330">
            <v>12</v>
          </cell>
          <cell r="R1330">
            <v>0</v>
          </cell>
        </row>
        <row r="1331">
          <cell r="A1331" t="str">
            <v>7H9X1Z6SB00EUUX59O</v>
          </cell>
          <cell r="B1331" t="str">
            <v>Q3-23</v>
          </cell>
          <cell r="C1331" t="str">
            <v>Europe Operations OU</v>
          </cell>
          <cell r="D1331">
            <v>2674345</v>
          </cell>
          <cell r="E1331" t="str">
            <v>Amazon EU SARL, succursale Italiana</v>
          </cell>
          <cell r="F1331" t="str">
            <v>7H9X1Z6S</v>
          </cell>
          <cell r="G1331" t="str">
            <v>B00EUUX59O</v>
          </cell>
          <cell r="H1331" t="str">
            <v>980-000811</v>
          </cell>
          <cell r="I1331" t="str">
            <v>OE INVOICES</v>
          </cell>
          <cell r="J1331">
            <v>44422177122</v>
          </cell>
          <cell r="K1331">
            <v>44922</v>
          </cell>
          <cell r="L1331">
            <v>11</v>
          </cell>
          <cell r="M1331" t="str">
            <v>EUR</v>
          </cell>
          <cell r="N1331">
            <v>1171.2</v>
          </cell>
          <cell r="O1331">
            <v>29.28</v>
          </cell>
          <cell r="P1331">
            <v>40</v>
          </cell>
          <cell r="Q1331">
            <v>40</v>
          </cell>
          <cell r="R1331">
            <v>0</v>
          </cell>
        </row>
        <row r="1332">
          <cell r="A1332" t="str">
            <v>7H9X1Z6SB00LFBEOUA</v>
          </cell>
          <cell r="B1332" t="str">
            <v>Q3-23</v>
          </cell>
          <cell r="C1332" t="str">
            <v>Europe Operations OU</v>
          </cell>
          <cell r="D1332">
            <v>2674345</v>
          </cell>
          <cell r="E1332" t="str">
            <v>Amazon EU SARL, succursale Italiana</v>
          </cell>
          <cell r="F1332" t="str">
            <v>7H9X1Z6S</v>
          </cell>
          <cell r="G1332" t="str">
            <v>B00LFBEOUA</v>
          </cell>
          <cell r="H1332" t="str">
            <v>910-004068</v>
          </cell>
          <cell r="I1332" t="str">
            <v>OE INVOICES</v>
          </cell>
          <cell r="J1332">
            <v>44422177122</v>
          </cell>
          <cell r="K1332">
            <v>44922</v>
          </cell>
          <cell r="L1332">
            <v>12</v>
          </cell>
          <cell r="M1332" t="str">
            <v>EUR</v>
          </cell>
          <cell r="N1332">
            <v>4430.72</v>
          </cell>
          <cell r="O1332">
            <v>39.56</v>
          </cell>
          <cell r="P1332">
            <v>112</v>
          </cell>
          <cell r="Q1332">
            <v>112</v>
          </cell>
          <cell r="R1332">
            <v>0</v>
          </cell>
        </row>
        <row r="1333">
          <cell r="A1333" t="str">
            <v>7H9X1Z6SB00Q6MR0UO</v>
          </cell>
          <cell r="B1333" t="str">
            <v>Q3-23</v>
          </cell>
          <cell r="C1333" t="str">
            <v>Europe Operations OU</v>
          </cell>
          <cell r="D1333">
            <v>2674345</v>
          </cell>
          <cell r="E1333" t="str">
            <v>Amazon EU SARL, succursale Italiana</v>
          </cell>
          <cell r="F1333" t="str">
            <v>7H9X1Z6S</v>
          </cell>
          <cell r="G1333" t="str">
            <v>B00Q6MR0UO</v>
          </cell>
          <cell r="H1333" t="str">
            <v>910-004345</v>
          </cell>
          <cell r="I1333" t="str">
            <v>OE INVOICES</v>
          </cell>
          <cell r="J1333">
            <v>44422177122</v>
          </cell>
          <cell r="K1333">
            <v>44922</v>
          </cell>
          <cell r="L1333">
            <v>13</v>
          </cell>
          <cell r="M1333" t="str">
            <v>EUR</v>
          </cell>
          <cell r="N1333">
            <v>7489.08</v>
          </cell>
          <cell r="O1333">
            <v>26.37</v>
          </cell>
          <cell r="P1333">
            <v>284</v>
          </cell>
          <cell r="Q1333">
            <v>284</v>
          </cell>
          <cell r="R1333">
            <v>0</v>
          </cell>
        </row>
        <row r="1334">
          <cell r="A1334" t="str">
            <v>7H9X1Z6SB019RPQML4</v>
          </cell>
          <cell r="B1334" t="str">
            <v>Q3-23</v>
          </cell>
          <cell r="C1334" t="str">
            <v>Europe Operations OU</v>
          </cell>
          <cell r="D1334">
            <v>2674345</v>
          </cell>
          <cell r="E1334" t="str">
            <v>Amazon EU SARL, succursale Italiana</v>
          </cell>
          <cell r="F1334" t="str">
            <v>7H9X1Z6S</v>
          </cell>
          <cell r="G1334" t="str">
            <v>B019RPQML4</v>
          </cell>
          <cell r="H1334" t="str">
            <v>910-004641</v>
          </cell>
          <cell r="I1334" t="str">
            <v>OE INVOICES</v>
          </cell>
          <cell r="J1334">
            <v>44422177122</v>
          </cell>
          <cell r="K1334">
            <v>44922</v>
          </cell>
          <cell r="L1334">
            <v>14</v>
          </cell>
          <cell r="M1334" t="str">
            <v>EUR</v>
          </cell>
          <cell r="N1334">
            <v>2620.8000000000002</v>
          </cell>
          <cell r="O1334">
            <v>9.36</v>
          </cell>
          <cell r="P1334">
            <v>280</v>
          </cell>
          <cell r="Q1334">
            <v>280</v>
          </cell>
          <cell r="R1334">
            <v>0</v>
          </cell>
        </row>
        <row r="1335">
          <cell r="A1335" t="str">
            <v>7H9X1Z6SB01K7GEAEI</v>
          </cell>
          <cell r="B1335" t="str">
            <v>Q3-23</v>
          </cell>
          <cell r="C1335" t="str">
            <v>Europe Operations OU</v>
          </cell>
          <cell r="D1335">
            <v>2674345</v>
          </cell>
          <cell r="E1335" t="str">
            <v>Amazon EU SARL, succursale Italiana</v>
          </cell>
          <cell r="F1335" t="str">
            <v>7H9X1Z6S</v>
          </cell>
          <cell r="G1335" t="str">
            <v>B01K7GEAEI</v>
          </cell>
          <cell r="H1335" t="str">
            <v>910-004910</v>
          </cell>
          <cell r="I1335" t="str">
            <v>OE INVOICES</v>
          </cell>
          <cell r="J1335">
            <v>44422177122</v>
          </cell>
          <cell r="K1335">
            <v>44922</v>
          </cell>
          <cell r="L1335">
            <v>15</v>
          </cell>
          <cell r="M1335" t="str">
            <v>EUR</v>
          </cell>
          <cell r="N1335">
            <v>263.5</v>
          </cell>
          <cell r="O1335">
            <v>26.35</v>
          </cell>
          <cell r="P1335">
            <v>10</v>
          </cell>
          <cell r="Q1335">
            <v>10</v>
          </cell>
          <cell r="R1335">
            <v>0</v>
          </cell>
        </row>
        <row r="1336">
          <cell r="A1336" t="str">
            <v>7H9X1Z6SB01K7GEFWK</v>
          </cell>
          <cell r="B1336" t="str">
            <v>Q3-23</v>
          </cell>
          <cell r="C1336" t="str">
            <v>Europe Operations OU</v>
          </cell>
          <cell r="D1336">
            <v>2674345</v>
          </cell>
          <cell r="E1336" t="str">
            <v>Amazon EU SARL, succursale Italiana</v>
          </cell>
          <cell r="F1336" t="str">
            <v>7H9X1Z6S</v>
          </cell>
          <cell r="G1336" t="str">
            <v>B01K7GEFWK</v>
          </cell>
          <cell r="H1336" t="str">
            <v>910-004880</v>
          </cell>
          <cell r="I1336" t="str">
            <v>OE INVOICES</v>
          </cell>
          <cell r="J1336">
            <v>44422177122</v>
          </cell>
          <cell r="K1336">
            <v>44922</v>
          </cell>
          <cell r="L1336">
            <v>16</v>
          </cell>
          <cell r="M1336" t="str">
            <v>EUR</v>
          </cell>
          <cell r="N1336">
            <v>3441.9</v>
          </cell>
          <cell r="O1336">
            <v>16.39</v>
          </cell>
          <cell r="P1336">
            <v>210</v>
          </cell>
          <cell r="Q1336">
            <v>210</v>
          </cell>
          <cell r="R1336">
            <v>0</v>
          </cell>
        </row>
        <row r="1337">
          <cell r="A1337" t="str">
            <v>7H9X1Z6SB01M9EWQ2W</v>
          </cell>
          <cell r="B1337" t="str">
            <v>Q3-23</v>
          </cell>
          <cell r="C1337" t="str">
            <v>Europe Operations OU</v>
          </cell>
          <cell r="D1337">
            <v>2674345</v>
          </cell>
          <cell r="E1337" t="str">
            <v>Amazon EU SARL, succursale Italiana</v>
          </cell>
          <cell r="F1337" t="str">
            <v>7H9X1Z6S</v>
          </cell>
          <cell r="G1337" t="str">
            <v>B01M9EWQ2W</v>
          </cell>
          <cell r="H1337" t="str">
            <v>945-000006</v>
          </cell>
          <cell r="I1337" t="str">
            <v>OE INVOICES</v>
          </cell>
          <cell r="J1337">
            <v>44422177122</v>
          </cell>
          <cell r="K1337">
            <v>44922</v>
          </cell>
          <cell r="L1337">
            <v>17</v>
          </cell>
          <cell r="M1337" t="str">
            <v>EUR</v>
          </cell>
          <cell r="N1337">
            <v>188.88</v>
          </cell>
          <cell r="O1337">
            <v>94.44</v>
          </cell>
          <cell r="P1337">
            <v>2</v>
          </cell>
          <cell r="Q1337">
            <v>2</v>
          </cell>
          <cell r="R1337">
            <v>0</v>
          </cell>
        </row>
        <row r="1338">
          <cell r="A1338" t="str">
            <v>7H9X1Z6SB01MYW8COY</v>
          </cell>
          <cell r="B1338" t="str">
            <v>Q3-23</v>
          </cell>
          <cell r="C1338" t="str">
            <v>Europe Operations OU</v>
          </cell>
          <cell r="D1338">
            <v>2674345</v>
          </cell>
          <cell r="E1338" t="str">
            <v>Amazon EU SARL, succursale Italiana</v>
          </cell>
          <cell r="F1338" t="str">
            <v>7H9X1Z6S</v>
          </cell>
          <cell r="G1338" t="str">
            <v>B01MYW8COY</v>
          </cell>
          <cell r="H1338" t="str">
            <v>981-000634</v>
          </cell>
          <cell r="I1338" t="str">
            <v>OE INVOICES</v>
          </cell>
          <cell r="J1338">
            <v>44422177122</v>
          </cell>
          <cell r="K1338">
            <v>44922</v>
          </cell>
          <cell r="L1338">
            <v>18</v>
          </cell>
          <cell r="M1338" t="str">
            <v>EUR</v>
          </cell>
          <cell r="N1338">
            <v>3773.76</v>
          </cell>
          <cell r="O1338">
            <v>78.62</v>
          </cell>
          <cell r="P1338">
            <v>48</v>
          </cell>
          <cell r="Q1338">
            <v>48</v>
          </cell>
          <cell r="R1338">
            <v>0</v>
          </cell>
        </row>
        <row r="1339">
          <cell r="A1339" t="str">
            <v>7H9X1Z6SB07H3HGVDW</v>
          </cell>
          <cell r="B1339" t="str">
            <v>Q3-23</v>
          </cell>
          <cell r="C1339" t="str">
            <v>Europe Operations OU</v>
          </cell>
          <cell r="D1339">
            <v>2674345</v>
          </cell>
          <cell r="E1339" t="str">
            <v>Amazon EU SARL, succursale Italiana</v>
          </cell>
          <cell r="F1339" t="str">
            <v>7H9X1Z6S</v>
          </cell>
          <cell r="G1339" t="str">
            <v>B07H3HGVDW</v>
          </cell>
          <cell r="H1339" t="str">
            <v>914-000034</v>
          </cell>
          <cell r="I1339" t="str">
            <v>OE INVOICES</v>
          </cell>
          <cell r="J1339">
            <v>44422177122</v>
          </cell>
          <cell r="K1339">
            <v>44922</v>
          </cell>
          <cell r="L1339">
            <v>19</v>
          </cell>
          <cell r="M1339" t="str">
            <v>EUR</v>
          </cell>
          <cell r="N1339">
            <v>4114.5600000000004</v>
          </cell>
          <cell r="O1339">
            <v>42.86</v>
          </cell>
          <cell r="P1339">
            <v>96</v>
          </cell>
          <cell r="Q1339">
            <v>96</v>
          </cell>
          <cell r="R1339">
            <v>0</v>
          </cell>
        </row>
        <row r="1340">
          <cell r="A1340" t="str">
            <v>7H9X1Z6SB07VFVRZ6Y</v>
          </cell>
          <cell r="B1340" t="str">
            <v>Q3-23</v>
          </cell>
          <cell r="C1340" t="str">
            <v>Europe Operations OU</v>
          </cell>
          <cell r="D1340">
            <v>2674345</v>
          </cell>
          <cell r="E1340" t="str">
            <v>Amazon EU SARL, succursale Italiana</v>
          </cell>
          <cell r="F1340" t="str">
            <v>7H9X1Z6S</v>
          </cell>
          <cell r="G1340" t="str">
            <v>B07VFVRZ6Y</v>
          </cell>
          <cell r="H1340" t="str">
            <v>920-009202</v>
          </cell>
          <cell r="I1340" t="str">
            <v>OE INVOICES</v>
          </cell>
          <cell r="J1340">
            <v>44422177122</v>
          </cell>
          <cell r="K1340">
            <v>44922</v>
          </cell>
          <cell r="L1340">
            <v>20</v>
          </cell>
          <cell r="M1340" t="str">
            <v>EUR</v>
          </cell>
          <cell r="N1340">
            <v>983.64</v>
          </cell>
          <cell r="O1340">
            <v>35.130000000000003</v>
          </cell>
          <cell r="P1340">
            <v>28</v>
          </cell>
          <cell r="Q1340">
            <v>28</v>
          </cell>
          <cell r="R1340">
            <v>0</v>
          </cell>
        </row>
        <row r="1341">
          <cell r="A1341" t="str">
            <v>7H9X1Z6SB07W4DGQC1</v>
          </cell>
          <cell r="B1341" t="str">
            <v>Q3-23</v>
          </cell>
          <cell r="C1341" t="str">
            <v>Europe Operations OU</v>
          </cell>
          <cell r="D1341">
            <v>2674345</v>
          </cell>
          <cell r="E1341" t="str">
            <v>Amazon EU SARL, succursale Italiana</v>
          </cell>
          <cell r="F1341" t="str">
            <v>7H9X1Z6S</v>
          </cell>
          <cell r="G1341" t="str">
            <v>B07W4DGQC1</v>
          </cell>
          <cell r="H1341" t="str">
            <v>961-000501</v>
          </cell>
          <cell r="I1341" t="str">
            <v>OE INVOICES</v>
          </cell>
          <cell r="J1341">
            <v>44422177122</v>
          </cell>
          <cell r="K1341">
            <v>44922</v>
          </cell>
          <cell r="L1341">
            <v>21</v>
          </cell>
          <cell r="M1341" t="str">
            <v>EUR</v>
          </cell>
          <cell r="N1341">
            <v>3056.36</v>
          </cell>
          <cell r="O1341">
            <v>764.09</v>
          </cell>
          <cell r="P1341">
            <v>4</v>
          </cell>
          <cell r="Q1341">
            <v>4</v>
          </cell>
          <cell r="R1341">
            <v>0</v>
          </cell>
        </row>
        <row r="1342">
          <cell r="A1342" t="str">
            <v>7H9X1Z6SB07W4DH9CW</v>
          </cell>
          <cell r="B1342" t="str">
            <v>Q3-23</v>
          </cell>
          <cell r="C1342" t="str">
            <v>Europe Operations OU</v>
          </cell>
          <cell r="D1342">
            <v>2674345</v>
          </cell>
          <cell r="E1342" t="str">
            <v>Amazon EU SARL, succursale Italiana</v>
          </cell>
          <cell r="F1342" t="str">
            <v>7H9X1Z6S</v>
          </cell>
          <cell r="G1342" t="str">
            <v>B07W4DH9CW</v>
          </cell>
          <cell r="H1342" t="str">
            <v>910-005907</v>
          </cell>
          <cell r="I1342" t="str">
            <v>OE INVOICES</v>
          </cell>
          <cell r="J1342">
            <v>44422177122</v>
          </cell>
          <cell r="K1342">
            <v>44922</v>
          </cell>
          <cell r="L1342">
            <v>22</v>
          </cell>
          <cell r="M1342" t="str">
            <v>EUR</v>
          </cell>
          <cell r="N1342">
            <v>210.6</v>
          </cell>
          <cell r="O1342">
            <v>10.53</v>
          </cell>
          <cell r="P1342">
            <v>20</v>
          </cell>
          <cell r="Q1342">
            <v>20</v>
          </cell>
          <cell r="R1342">
            <v>0</v>
          </cell>
        </row>
        <row r="1343">
          <cell r="A1343" t="str">
            <v>7H9X1Z6SB07W4DH9QZ</v>
          </cell>
          <cell r="B1343" t="str">
            <v>Q3-23</v>
          </cell>
          <cell r="C1343" t="str">
            <v>Europe Operations OU</v>
          </cell>
          <cell r="D1343">
            <v>2674345</v>
          </cell>
          <cell r="E1343" t="str">
            <v>Amazon EU SARL, succursale Italiana</v>
          </cell>
          <cell r="F1343" t="str">
            <v>7H9X1Z6S</v>
          </cell>
          <cell r="G1343" t="str">
            <v>B07W4DH9QZ</v>
          </cell>
          <cell r="H1343" t="str">
            <v>920-010482</v>
          </cell>
          <cell r="I1343" t="str">
            <v>OE INVOICES</v>
          </cell>
          <cell r="J1343">
            <v>44422177122</v>
          </cell>
          <cell r="K1343">
            <v>44922</v>
          </cell>
          <cell r="L1343">
            <v>23</v>
          </cell>
          <cell r="M1343" t="str">
            <v>EUR</v>
          </cell>
          <cell r="N1343">
            <v>9940.32</v>
          </cell>
          <cell r="O1343">
            <v>69.03</v>
          </cell>
          <cell r="P1343">
            <v>144</v>
          </cell>
          <cell r="Q1343">
            <v>144</v>
          </cell>
          <cell r="R1343">
            <v>0</v>
          </cell>
        </row>
        <row r="1344">
          <cell r="A1344" t="str">
            <v>7H9X1Z6SB07W5JHZKS</v>
          </cell>
          <cell r="B1344" t="str">
            <v>Q3-23</v>
          </cell>
          <cell r="C1344" t="str">
            <v>Europe Operations OU</v>
          </cell>
          <cell r="D1344">
            <v>2674345</v>
          </cell>
          <cell r="E1344" t="str">
            <v>Amazon EU SARL, succursale Italiana</v>
          </cell>
          <cell r="F1344" t="str">
            <v>7H9X1Z6S</v>
          </cell>
          <cell r="G1344" t="str">
            <v>B07W5JHZKS</v>
          </cell>
          <cell r="H1344" t="str">
            <v>910-006378</v>
          </cell>
          <cell r="I1344" t="str">
            <v>OE INVOICES</v>
          </cell>
          <cell r="J1344">
            <v>44422177122</v>
          </cell>
          <cell r="K1344">
            <v>44922</v>
          </cell>
          <cell r="L1344">
            <v>24</v>
          </cell>
          <cell r="M1344" t="str">
            <v>EUR</v>
          </cell>
          <cell r="N1344">
            <v>1519.2</v>
          </cell>
          <cell r="O1344">
            <v>31.65</v>
          </cell>
          <cell r="P1344">
            <v>48</v>
          </cell>
          <cell r="Q1344">
            <v>48</v>
          </cell>
          <cell r="R1344">
            <v>0</v>
          </cell>
        </row>
        <row r="1345">
          <cell r="A1345" t="str">
            <v>7H9X1Z6SB07W5JJMVJ</v>
          </cell>
          <cell r="B1345" t="str">
            <v>Q3-23</v>
          </cell>
          <cell r="C1345" t="str">
            <v>Europe Operations OU</v>
          </cell>
          <cell r="D1345">
            <v>2674345</v>
          </cell>
          <cell r="E1345" t="str">
            <v>Amazon EU SARL, succursale Italiana</v>
          </cell>
          <cell r="F1345" t="str">
            <v>7H9X1Z6S</v>
          </cell>
          <cell r="G1345" t="str">
            <v>B07W5JJMVJ</v>
          </cell>
          <cell r="H1345" t="str">
            <v>920-010481</v>
          </cell>
          <cell r="I1345" t="str">
            <v>OE INVOICES</v>
          </cell>
          <cell r="J1345">
            <v>44422177122</v>
          </cell>
          <cell r="K1345">
            <v>44922</v>
          </cell>
          <cell r="L1345">
            <v>25</v>
          </cell>
          <cell r="M1345" t="str">
            <v>EUR</v>
          </cell>
          <cell r="N1345">
            <v>2761.2</v>
          </cell>
          <cell r="O1345">
            <v>69.03</v>
          </cell>
          <cell r="P1345">
            <v>40</v>
          </cell>
          <cell r="Q1345">
            <v>40</v>
          </cell>
          <cell r="R1345">
            <v>0</v>
          </cell>
        </row>
        <row r="1346">
          <cell r="A1346" t="str">
            <v>7H9X1Z6SB07W5JKFQF</v>
          </cell>
          <cell r="B1346" t="str">
            <v>Q3-23</v>
          </cell>
          <cell r="C1346" t="str">
            <v>Europe Operations OU</v>
          </cell>
          <cell r="D1346">
            <v>2674345</v>
          </cell>
          <cell r="E1346" t="str">
            <v>Amazon EU SARL, succursale Italiana</v>
          </cell>
          <cell r="F1346" t="str">
            <v>7H9X1Z6S</v>
          </cell>
          <cell r="G1346" t="str">
            <v>B07W5JKFQF</v>
          </cell>
          <cell r="H1346" t="str">
            <v>939-001878</v>
          </cell>
          <cell r="I1346" t="str">
            <v>OE INVOICES</v>
          </cell>
          <cell r="J1346">
            <v>44422177122</v>
          </cell>
          <cell r="K1346">
            <v>44922</v>
          </cell>
          <cell r="L1346">
            <v>26</v>
          </cell>
          <cell r="M1346" t="str">
            <v>EUR</v>
          </cell>
          <cell r="N1346">
            <v>2141.52</v>
          </cell>
          <cell r="O1346">
            <v>89.23</v>
          </cell>
          <cell r="P1346">
            <v>24</v>
          </cell>
          <cell r="Q1346">
            <v>24</v>
          </cell>
          <cell r="R1346">
            <v>0</v>
          </cell>
        </row>
        <row r="1347">
          <cell r="A1347" t="str">
            <v>7H9X1Z6SB07W5JKHFZ</v>
          </cell>
          <cell r="B1347" t="str">
            <v>Q3-23</v>
          </cell>
          <cell r="C1347" t="str">
            <v>Europe Operations OU</v>
          </cell>
          <cell r="D1347">
            <v>2674345</v>
          </cell>
          <cell r="E1347" t="str">
            <v>Amazon EU SARL, succursale Italiana</v>
          </cell>
          <cell r="F1347" t="str">
            <v>7H9X1Z6S</v>
          </cell>
          <cell r="G1347" t="str">
            <v>B07W5JKHFZ</v>
          </cell>
          <cell r="H1347" t="str">
            <v>910-006559</v>
          </cell>
          <cell r="I1347" t="str">
            <v>OE INVOICES</v>
          </cell>
          <cell r="J1347">
            <v>44422177122</v>
          </cell>
          <cell r="K1347">
            <v>44922</v>
          </cell>
          <cell r="L1347">
            <v>27</v>
          </cell>
          <cell r="M1347" t="str">
            <v>EUR</v>
          </cell>
          <cell r="N1347">
            <v>5429.52</v>
          </cell>
          <cell r="O1347">
            <v>75.41</v>
          </cell>
          <cell r="P1347">
            <v>72</v>
          </cell>
          <cell r="Q1347">
            <v>72</v>
          </cell>
          <cell r="R1347">
            <v>0</v>
          </cell>
        </row>
        <row r="1348">
          <cell r="A1348" t="str">
            <v>7H9X1Z6SB07W5JKHPG</v>
          </cell>
          <cell r="B1348" t="str">
            <v>Q3-23</v>
          </cell>
          <cell r="C1348" t="str">
            <v>Europe Operations OU</v>
          </cell>
          <cell r="D1348">
            <v>2674345</v>
          </cell>
          <cell r="E1348" t="str">
            <v>Amazon EU SARL, succursale Italiana</v>
          </cell>
          <cell r="F1348" t="str">
            <v>7H9X1Z6S</v>
          </cell>
          <cell r="G1348" t="str">
            <v>B07W5JKHPG</v>
          </cell>
          <cell r="H1348" t="str">
            <v>988-000491</v>
          </cell>
          <cell r="I1348" t="str">
            <v>OE INVOICES</v>
          </cell>
          <cell r="J1348">
            <v>44422177122</v>
          </cell>
          <cell r="K1348">
            <v>44922</v>
          </cell>
          <cell r="L1348">
            <v>28</v>
          </cell>
          <cell r="M1348" t="str">
            <v>EUR</v>
          </cell>
          <cell r="N1348">
            <v>55041.48</v>
          </cell>
          <cell r="O1348">
            <v>241.41</v>
          </cell>
          <cell r="P1348">
            <v>228</v>
          </cell>
          <cell r="Q1348">
            <v>228</v>
          </cell>
          <cell r="R1348">
            <v>0</v>
          </cell>
        </row>
        <row r="1349">
          <cell r="A1349" t="str">
            <v>7H9X1Z6SB07W5JKWTH</v>
          </cell>
          <cell r="B1349" t="str">
            <v>Q3-23</v>
          </cell>
          <cell r="C1349" t="str">
            <v>Europe Operations OU</v>
          </cell>
          <cell r="D1349">
            <v>2674345</v>
          </cell>
          <cell r="E1349" t="str">
            <v>Amazon EU SARL, succursale Italiana</v>
          </cell>
          <cell r="F1349" t="str">
            <v>7H9X1Z6S</v>
          </cell>
          <cell r="G1349" t="str">
            <v>B07W5JKWTH</v>
          </cell>
          <cell r="H1349" t="str">
            <v>920-009686</v>
          </cell>
          <cell r="I1349" t="str">
            <v>OE INVOICES</v>
          </cell>
          <cell r="J1349">
            <v>44422177122</v>
          </cell>
          <cell r="K1349">
            <v>44922</v>
          </cell>
          <cell r="L1349">
            <v>29</v>
          </cell>
          <cell r="M1349" t="str">
            <v>EUR</v>
          </cell>
          <cell r="N1349">
            <v>2783.2</v>
          </cell>
          <cell r="O1349">
            <v>69.58</v>
          </cell>
          <cell r="P1349">
            <v>40</v>
          </cell>
          <cell r="Q1349">
            <v>40</v>
          </cell>
          <cell r="R1349">
            <v>0</v>
          </cell>
        </row>
        <row r="1350">
          <cell r="A1350" t="str">
            <v>7H9X1Z6SB07W6GVZFL</v>
          </cell>
          <cell r="B1350" t="str">
            <v>Q3-23</v>
          </cell>
          <cell r="C1350" t="str">
            <v>Europe Operations OU</v>
          </cell>
          <cell r="D1350">
            <v>2674345</v>
          </cell>
          <cell r="E1350" t="str">
            <v>Amazon EU SARL, succursale Italiana</v>
          </cell>
          <cell r="F1350" t="str">
            <v>7H9X1Z6S</v>
          </cell>
          <cell r="G1350" t="str">
            <v>B07W6GVZFL</v>
          </cell>
          <cell r="H1350" t="str">
            <v>910-006752</v>
          </cell>
          <cell r="I1350" t="str">
            <v>OE INVOICES</v>
          </cell>
          <cell r="J1350">
            <v>44422177122</v>
          </cell>
          <cell r="K1350">
            <v>44922</v>
          </cell>
          <cell r="L1350">
            <v>30</v>
          </cell>
          <cell r="M1350" t="str">
            <v>EUR</v>
          </cell>
          <cell r="N1350">
            <v>327.8</v>
          </cell>
          <cell r="O1350">
            <v>16.39</v>
          </cell>
          <cell r="P1350">
            <v>20</v>
          </cell>
          <cell r="Q1350">
            <v>20</v>
          </cell>
          <cell r="R1350">
            <v>0</v>
          </cell>
        </row>
        <row r="1351">
          <cell r="A1351" t="str">
            <v>7H9X1Z6SB07W6GY48B</v>
          </cell>
          <cell r="B1351" t="str">
            <v>Q3-23</v>
          </cell>
          <cell r="C1351" t="str">
            <v>Europe Operations OU</v>
          </cell>
          <cell r="D1351">
            <v>2674345</v>
          </cell>
          <cell r="E1351" t="str">
            <v>Amazon EU SARL, succursale Italiana</v>
          </cell>
          <cell r="F1351" t="str">
            <v>7H9X1Z6S</v>
          </cell>
          <cell r="G1351" t="str">
            <v>B07W6GY48B</v>
          </cell>
          <cell r="H1351" t="str">
            <v>920-009406</v>
          </cell>
          <cell r="I1351" t="str">
            <v>OE INVOICES</v>
          </cell>
          <cell r="J1351">
            <v>44422177122</v>
          </cell>
          <cell r="K1351">
            <v>44922</v>
          </cell>
          <cell r="L1351">
            <v>31</v>
          </cell>
          <cell r="M1351" t="str">
            <v>EUR</v>
          </cell>
          <cell r="N1351">
            <v>36057.24</v>
          </cell>
          <cell r="O1351">
            <v>81.209999999999994</v>
          </cell>
          <cell r="P1351">
            <v>444</v>
          </cell>
          <cell r="Q1351">
            <v>444</v>
          </cell>
          <cell r="R1351">
            <v>0</v>
          </cell>
        </row>
        <row r="1352">
          <cell r="A1352" t="str">
            <v>7H9X1Z6SB07W6GY66B</v>
          </cell>
          <cell r="B1352" t="str">
            <v>Q3-23</v>
          </cell>
          <cell r="C1352" t="str">
            <v>Europe Operations OU</v>
          </cell>
          <cell r="D1352">
            <v>2674345</v>
          </cell>
          <cell r="E1352" t="str">
            <v>Amazon EU SARL, succursale Italiana</v>
          </cell>
          <cell r="F1352" t="str">
            <v>7H9X1Z6S</v>
          </cell>
          <cell r="G1352" t="str">
            <v>B07W6GY66B</v>
          </cell>
          <cell r="H1352" t="str">
            <v>910-006547</v>
          </cell>
          <cell r="I1352" t="str">
            <v>OE INVOICES</v>
          </cell>
          <cell r="J1352">
            <v>44422177122</v>
          </cell>
          <cell r="K1352">
            <v>44922</v>
          </cell>
          <cell r="L1352">
            <v>32</v>
          </cell>
          <cell r="M1352" t="str">
            <v>EUR</v>
          </cell>
          <cell r="N1352">
            <v>468.4</v>
          </cell>
          <cell r="O1352">
            <v>23.42</v>
          </cell>
          <cell r="P1352">
            <v>20</v>
          </cell>
          <cell r="Q1352">
            <v>20</v>
          </cell>
          <cell r="R1352">
            <v>0</v>
          </cell>
        </row>
        <row r="1353">
          <cell r="A1353" t="str">
            <v>7H9X1Z6SB07W6H4R4G</v>
          </cell>
          <cell r="B1353" t="str">
            <v>Q3-23</v>
          </cell>
          <cell r="C1353" t="str">
            <v>Europe Operations OU</v>
          </cell>
          <cell r="D1353">
            <v>2674345</v>
          </cell>
          <cell r="E1353" t="str">
            <v>Amazon EU SARL, succursale Italiana</v>
          </cell>
          <cell r="F1353" t="str">
            <v>7H9X1Z6S</v>
          </cell>
          <cell r="G1353" t="str">
            <v>B07W6H4R4G</v>
          </cell>
          <cell r="H1353" t="str">
            <v>910-006571</v>
          </cell>
          <cell r="I1353" t="str">
            <v>OE INVOICES</v>
          </cell>
          <cell r="J1353">
            <v>44422177122</v>
          </cell>
          <cell r="K1353">
            <v>44922</v>
          </cell>
          <cell r="L1353">
            <v>33</v>
          </cell>
          <cell r="M1353" t="str">
            <v>EUR</v>
          </cell>
          <cell r="N1353">
            <v>65455.88</v>
          </cell>
          <cell r="O1353">
            <v>75.41</v>
          </cell>
          <cell r="P1353">
            <v>868</v>
          </cell>
          <cell r="Q1353">
            <v>868</v>
          </cell>
          <cell r="R1353">
            <v>0</v>
          </cell>
        </row>
        <row r="1354">
          <cell r="A1354" t="str">
            <v>7H9X1Z6SB07W6HJVDM</v>
          </cell>
          <cell r="B1354" t="str">
            <v>Q3-23</v>
          </cell>
          <cell r="C1354" t="str">
            <v>Europe Operations OU</v>
          </cell>
          <cell r="D1354">
            <v>2674345</v>
          </cell>
          <cell r="E1354" t="str">
            <v>Amazon EU SARL, succursale Italiana</v>
          </cell>
          <cell r="F1354" t="str">
            <v>7H9X1Z6S</v>
          </cell>
          <cell r="G1354" t="str">
            <v>B07W6HJVDM</v>
          </cell>
          <cell r="H1354" t="str">
            <v>920-010496</v>
          </cell>
          <cell r="I1354" t="str">
            <v>OE INVOICES</v>
          </cell>
          <cell r="J1354">
            <v>44422177122</v>
          </cell>
          <cell r="K1354">
            <v>44922</v>
          </cell>
          <cell r="L1354">
            <v>34</v>
          </cell>
          <cell r="M1354" t="str">
            <v>EUR</v>
          </cell>
          <cell r="N1354">
            <v>3313.44</v>
          </cell>
          <cell r="O1354">
            <v>69.03</v>
          </cell>
          <cell r="P1354">
            <v>48</v>
          </cell>
          <cell r="Q1354">
            <v>48</v>
          </cell>
          <cell r="R1354">
            <v>0</v>
          </cell>
        </row>
        <row r="1355">
          <cell r="A1355" t="str">
            <v>7H9X1Z6SB07W6HKDNR</v>
          </cell>
          <cell r="B1355" t="str">
            <v>Q3-23</v>
          </cell>
          <cell r="C1355" t="str">
            <v>Europe Operations OU</v>
          </cell>
          <cell r="D1355">
            <v>2674345</v>
          </cell>
          <cell r="E1355" t="str">
            <v>Amazon EU SARL, succursale Italiana</v>
          </cell>
          <cell r="F1355" t="str">
            <v>7H9X1Z6S</v>
          </cell>
          <cell r="G1355" t="str">
            <v>B07W6HKDNR</v>
          </cell>
          <cell r="H1355" t="str">
            <v>988-000485</v>
          </cell>
          <cell r="I1355" t="str">
            <v>OE INVOICES</v>
          </cell>
          <cell r="J1355">
            <v>44422177122</v>
          </cell>
          <cell r="K1355">
            <v>44922</v>
          </cell>
          <cell r="L1355">
            <v>35</v>
          </cell>
          <cell r="M1355" t="str">
            <v>EUR</v>
          </cell>
          <cell r="N1355">
            <v>5733.12</v>
          </cell>
          <cell r="O1355">
            <v>179.16</v>
          </cell>
          <cell r="P1355">
            <v>32</v>
          </cell>
          <cell r="Q1355">
            <v>32</v>
          </cell>
          <cell r="R1355">
            <v>0</v>
          </cell>
        </row>
        <row r="1356">
          <cell r="A1356" t="str">
            <v>7H9X1Z6SB07W6HS3KX</v>
          </cell>
          <cell r="B1356" t="str">
            <v>Q3-23</v>
          </cell>
          <cell r="C1356" t="str">
            <v>Europe Operations OU</v>
          </cell>
          <cell r="D1356">
            <v>2674345</v>
          </cell>
          <cell r="E1356" t="str">
            <v>Amazon EU SARL, succursale Italiana</v>
          </cell>
          <cell r="F1356" t="str">
            <v>7H9X1Z6S</v>
          </cell>
          <cell r="G1356" t="str">
            <v>B07W6HS3KX</v>
          </cell>
          <cell r="H1356" t="str">
            <v>920-010393</v>
          </cell>
          <cell r="I1356" t="str">
            <v>OE INVOICES</v>
          </cell>
          <cell r="J1356">
            <v>44422177122</v>
          </cell>
          <cell r="K1356">
            <v>44922</v>
          </cell>
          <cell r="L1356">
            <v>36</v>
          </cell>
          <cell r="M1356" t="str">
            <v>EUR</v>
          </cell>
          <cell r="N1356">
            <v>257.68</v>
          </cell>
          <cell r="O1356">
            <v>32.21</v>
          </cell>
          <cell r="P1356">
            <v>8</v>
          </cell>
          <cell r="Q1356">
            <v>8</v>
          </cell>
          <cell r="R1356">
            <v>0</v>
          </cell>
        </row>
        <row r="1357">
          <cell r="A1357" t="str">
            <v>7H9X1Z6SB07W6HXQ9J</v>
          </cell>
          <cell r="B1357" t="str">
            <v>Q3-23</v>
          </cell>
          <cell r="C1357" t="str">
            <v>Europe Operations OU</v>
          </cell>
          <cell r="D1357">
            <v>2674345</v>
          </cell>
          <cell r="E1357" t="str">
            <v>Amazon EU SARL, succursale Italiana</v>
          </cell>
          <cell r="F1357" t="str">
            <v>7H9X1Z6S</v>
          </cell>
          <cell r="G1357" t="str">
            <v>B07W6HXQ9J</v>
          </cell>
          <cell r="H1357" t="str">
            <v>910-006572</v>
          </cell>
          <cell r="I1357" t="str">
            <v>OE INVOICES</v>
          </cell>
          <cell r="J1357">
            <v>44422177122</v>
          </cell>
          <cell r="K1357">
            <v>44922</v>
          </cell>
          <cell r="L1357">
            <v>37</v>
          </cell>
          <cell r="M1357" t="str">
            <v>EUR</v>
          </cell>
          <cell r="N1357">
            <v>301.64</v>
          </cell>
          <cell r="O1357">
            <v>75.41</v>
          </cell>
          <cell r="P1357">
            <v>4</v>
          </cell>
          <cell r="Q1357">
            <v>4</v>
          </cell>
          <cell r="R1357">
            <v>0</v>
          </cell>
        </row>
        <row r="1358">
          <cell r="A1358" t="str">
            <v>7H9X1Z6SB07W6J51XR</v>
          </cell>
          <cell r="B1358" t="str">
            <v>Q3-23</v>
          </cell>
          <cell r="C1358" t="str">
            <v>Europe Operations OU</v>
          </cell>
          <cell r="D1358">
            <v>2674345</v>
          </cell>
          <cell r="E1358" t="str">
            <v>Amazon EU SARL, succursale Italiana</v>
          </cell>
          <cell r="F1358" t="str">
            <v>7H9X1Z6S</v>
          </cell>
          <cell r="G1358" t="str">
            <v>B07W6J51XR</v>
          </cell>
          <cell r="H1358" t="str">
            <v>910-005942</v>
          </cell>
          <cell r="I1358" t="str">
            <v>OE INVOICES</v>
          </cell>
          <cell r="J1358">
            <v>44422177122</v>
          </cell>
          <cell r="K1358">
            <v>44922</v>
          </cell>
          <cell r="L1358">
            <v>38</v>
          </cell>
          <cell r="M1358" t="str">
            <v>EUR</v>
          </cell>
          <cell r="N1358">
            <v>1006.68</v>
          </cell>
          <cell r="O1358">
            <v>83.89</v>
          </cell>
          <cell r="P1358">
            <v>12</v>
          </cell>
          <cell r="Q1358">
            <v>12</v>
          </cell>
          <cell r="R1358">
            <v>0</v>
          </cell>
        </row>
        <row r="1359">
          <cell r="A1359" t="str">
            <v>7H9X1Z6SB07W6J6W4P</v>
          </cell>
          <cell r="B1359" t="str">
            <v>Q3-23</v>
          </cell>
          <cell r="C1359" t="str">
            <v>Europe Operations OU</v>
          </cell>
          <cell r="D1359">
            <v>2674345</v>
          </cell>
          <cell r="E1359" t="str">
            <v>Amazon EU SARL, succursale Italiana</v>
          </cell>
          <cell r="F1359" t="str">
            <v>7H9X1Z6S</v>
          </cell>
          <cell r="G1359" t="str">
            <v>B07W6J6W4P</v>
          </cell>
          <cell r="H1359" t="str">
            <v>910-005905</v>
          </cell>
          <cell r="I1359" t="str">
            <v>OE INVOICES</v>
          </cell>
          <cell r="J1359">
            <v>44422177122</v>
          </cell>
          <cell r="K1359">
            <v>44922</v>
          </cell>
          <cell r="L1359">
            <v>39</v>
          </cell>
          <cell r="M1359" t="str">
            <v>EUR</v>
          </cell>
          <cell r="N1359">
            <v>3685.5</v>
          </cell>
          <cell r="O1359">
            <v>10.53</v>
          </cell>
          <cell r="P1359">
            <v>350</v>
          </cell>
          <cell r="Q1359">
            <v>350</v>
          </cell>
          <cell r="R1359">
            <v>0</v>
          </cell>
        </row>
        <row r="1360">
          <cell r="A1360" t="str">
            <v>7H9X1Z6SB07W6J6WYH</v>
          </cell>
          <cell r="B1360" t="str">
            <v>Q3-23</v>
          </cell>
          <cell r="C1360" t="str">
            <v>Europe Operations OU</v>
          </cell>
          <cell r="D1360">
            <v>2674345</v>
          </cell>
          <cell r="E1360" t="str">
            <v>Amazon EU SARL, succursale Italiana</v>
          </cell>
          <cell r="F1360" t="str">
            <v>7H9X1Z6S</v>
          </cell>
          <cell r="G1360" t="str">
            <v>B07W6J6WYH</v>
          </cell>
          <cell r="H1360" t="str">
            <v>920-010727</v>
          </cell>
          <cell r="I1360" t="str">
            <v>OE INVOICES</v>
          </cell>
          <cell r="J1360">
            <v>44422177122</v>
          </cell>
          <cell r="K1360">
            <v>44922</v>
          </cell>
          <cell r="L1360">
            <v>40</v>
          </cell>
          <cell r="M1360" t="str">
            <v>EUR</v>
          </cell>
          <cell r="N1360">
            <v>4805.4799999999996</v>
          </cell>
          <cell r="O1360">
            <v>63.23</v>
          </cell>
          <cell r="P1360">
            <v>76</v>
          </cell>
          <cell r="Q1360">
            <v>76</v>
          </cell>
          <cell r="R1360">
            <v>0</v>
          </cell>
        </row>
        <row r="1361">
          <cell r="A1361" t="str">
            <v>7H9X1Z6SB07W6J829G</v>
          </cell>
          <cell r="B1361" t="str">
            <v>Q3-23</v>
          </cell>
          <cell r="C1361" t="str">
            <v>Europe Operations OU</v>
          </cell>
          <cell r="D1361">
            <v>2674345</v>
          </cell>
          <cell r="E1361" t="str">
            <v>Amazon EU SARL, succursale Italiana</v>
          </cell>
          <cell r="F1361" t="str">
            <v>7H9X1Z6S</v>
          </cell>
          <cell r="G1361" t="str">
            <v>B07W6J829G</v>
          </cell>
          <cell r="H1361" t="str">
            <v>910-006239</v>
          </cell>
          <cell r="I1361" t="str">
            <v>OE INVOICES</v>
          </cell>
          <cell r="J1361">
            <v>44422177122</v>
          </cell>
          <cell r="K1361">
            <v>44922</v>
          </cell>
          <cell r="L1361">
            <v>41</v>
          </cell>
          <cell r="M1361" t="str">
            <v>EUR</v>
          </cell>
          <cell r="N1361">
            <v>292.8</v>
          </cell>
          <cell r="O1361">
            <v>29.28</v>
          </cell>
          <cell r="P1361">
            <v>10</v>
          </cell>
          <cell r="Q1361">
            <v>10</v>
          </cell>
          <cell r="R1361">
            <v>0</v>
          </cell>
        </row>
        <row r="1362">
          <cell r="A1362" t="str">
            <v>7H9X1Z6SB07W6JHB2P</v>
          </cell>
          <cell r="B1362" t="str">
            <v>Q3-23</v>
          </cell>
          <cell r="C1362" t="str">
            <v>Europe Operations OU</v>
          </cell>
          <cell r="D1362">
            <v>2674345</v>
          </cell>
          <cell r="E1362" t="str">
            <v>Amazon EU SARL, succursale Italiana</v>
          </cell>
          <cell r="F1362" t="str">
            <v>7H9X1Z6S</v>
          </cell>
          <cell r="G1362" t="str">
            <v>B07W6JHB2P</v>
          </cell>
          <cell r="H1362" t="str">
            <v>910-006254</v>
          </cell>
          <cell r="I1362" t="str">
            <v>OE INVOICES</v>
          </cell>
          <cell r="J1362">
            <v>44422177122</v>
          </cell>
          <cell r="K1362">
            <v>44922</v>
          </cell>
          <cell r="L1362">
            <v>42</v>
          </cell>
          <cell r="M1362" t="str">
            <v>EUR</v>
          </cell>
          <cell r="N1362">
            <v>1171.2</v>
          </cell>
          <cell r="O1362">
            <v>29.28</v>
          </cell>
          <cell r="P1362">
            <v>40</v>
          </cell>
          <cell r="Q1362">
            <v>40</v>
          </cell>
          <cell r="R1362">
            <v>0</v>
          </cell>
        </row>
        <row r="1363">
          <cell r="A1363" t="str">
            <v>7H9X1Z6SB07W6JNG11</v>
          </cell>
          <cell r="B1363" t="str">
            <v>Q3-23</v>
          </cell>
          <cell r="C1363" t="str">
            <v>Europe Operations OU</v>
          </cell>
          <cell r="D1363">
            <v>2674345</v>
          </cell>
          <cell r="E1363" t="str">
            <v>Amazon EU SARL, succursale Italiana</v>
          </cell>
          <cell r="F1363" t="str">
            <v>7H9X1Z6S</v>
          </cell>
          <cell r="G1363" t="str">
            <v>B07W6JNG11</v>
          </cell>
          <cell r="H1363" t="str">
            <v>920-009554</v>
          </cell>
          <cell r="I1363" t="str">
            <v>OE INVOICES</v>
          </cell>
          <cell r="J1363">
            <v>44422177122</v>
          </cell>
          <cell r="K1363">
            <v>44922</v>
          </cell>
          <cell r="L1363">
            <v>43</v>
          </cell>
          <cell r="M1363" t="str">
            <v>EUR</v>
          </cell>
          <cell r="N1363">
            <v>7541</v>
          </cell>
          <cell r="O1363">
            <v>75.41</v>
          </cell>
          <cell r="P1363">
            <v>100</v>
          </cell>
          <cell r="Q1363">
            <v>100</v>
          </cell>
          <cell r="R1363">
            <v>0</v>
          </cell>
        </row>
        <row r="1364">
          <cell r="A1364" t="str">
            <v>7H9X1Z6SB07W6JNQ82</v>
          </cell>
          <cell r="B1364" t="str">
            <v>Q3-23</v>
          </cell>
          <cell r="C1364" t="str">
            <v>Europe Operations OU</v>
          </cell>
          <cell r="D1364">
            <v>2674345</v>
          </cell>
          <cell r="E1364" t="str">
            <v>Amazon EU SARL, succursale Italiana</v>
          </cell>
          <cell r="F1364" t="str">
            <v>7H9X1Z6S</v>
          </cell>
          <cell r="G1364" t="str">
            <v>B07W6JNQ82</v>
          </cell>
          <cell r="H1364" t="str">
            <v>920-009392</v>
          </cell>
          <cell r="I1364" t="str">
            <v>OE INVOICES</v>
          </cell>
          <cell r="J1364">
            <v>44422177122</v>
          </cell>
          <cell r="K1364">
            <v>44922</v>
          </cell>
          <cell r="L1364">
            <v>44</v>
          </cell>
          <cell r="M1364" t="str">
            <v>EUR</v>
          </cell>
          <cell r="N1364">
            <v>12907.84</v>
          </cell>
          <cell r="O1364">
            <v>73.34</v>
          </cell>
          <cell r="P1364">
            <v>176</v>
          </cell>
          <cell r="Q1364">
            <v>176</v>
          </cell>
          <cell r="R1364">
            <v>0</v>
          </cell>
        </row>
        <row r="1365">
          <cell r="A1365" t="str">
            <v>7H9X1Z6SB07W6JP4SQ</v>
          </cell>
          <cell r="B1365" t="str">
            <v>Q3-23</v>
          </cell>
          <cell r="C1365" t="str">
            <v>Europe Operations OU</v>
          </cell>
          <cell r="D1365">
            <v>2674345</v>
          </cell>
          <cell r="E1365" t="str">
            <v>Amazon EU SARL, succursale Italiana</v>
          </cell>
          <cell r="F1365" t="str">
            <v>7H9X1Z6S</v>
          </cell>
          <cell r="G1365" t="str">
            <v>B07W6JP4SQ</v>
          </cell>
          <cell r="H1365" t="str">
            <v>920-011159</v>
          </cell>
          <cell r="I1365" t="str">
            <v>OE INVOICES</v>
          </cell>
          <cell r="J1365">
            <v>44422177122</v>
          </cell>
          <cell r="K1365">
            <v>44922</v>
          </cell>
          <cell r="L1365">
            <v>45</v>
          </cell>
          <cell r="M1365" t="str">
            <v>EUR</v>
          </cell>
          <cell r="N1365">
            <v>257.68</v>
          </cell>
          <cell r="O1365">
            <v>32.21</v>
          </cell>
          <cell r="P1365">
            <v>8</v>
          </cell>
          <cell r="Q1365">
            <v>8</v>
          </cell>
          <cell r="R1365">
            <v>0</v>
          </cell>
        </row>
        <row r="1366">
          <cell r="A1366" t="str">
            <v>7H9X1Z6SB07W6JP976</v>
          </cell>
          <cell r="B1366" t="str">
            <v>Q3-23</v>
          </cell>
          <cell r="C1366" t="str">
            <v>Europe Operations OU</v>
          </cell>
          <cell r="D1366">
            <v>2674345</v>
          </cell>
          <cell r="E1366" t="str">
            <v>Amazon EU SARL, succursale Italiana</v>
          </cell>
          <cell r="F1366" t="str">
            <v>7H9X1Z6S</v>
          </cell>
          <cell r="G1366" t="str">
            <v>B07W6JP976</v>
          </cell>
          <cell r="H1366" t="str">
            <v>920-009591</v>
          </cell>
          <cell r="I1366" t="str">
            <v>OE INVOICES</v>
          </cell>
          <cell r="J1366">
            <v>44422177122</v>
          </cell>
          <cell r="K1366">
            <v>44922</v>
          </cell>
          <cell r="L1366">
            <v>46</v>
          </cell>
          <cell r="M1366" t="str">
            <v>EUR</v>
          </cell>
          <cell r="N1366">
            <v>1546.08</v>
          </cell>
          <cell r="O1366">
            <v>32.21</v>
          </cell>
          <cell r="P1366">
            <v>48</v>
          </cell>
          <cell r="Q1366">
            <v>48</v>
          </cell>
          <cell r="R1366">
            <v>0</v>
          </cell>
        </row>
        <row r="1367">
          <cell r="A1367" t="str">
            <v>7H9X1Z6SB07W7JLVCL</v>
          </cell>
          <cell r="B1367" t="str">
            <v>Q4-23</v>
          </cell>
          <cell r="C1367" t="str">
            <v>Europe Operations OU</v>
          </cell>
          <cell r="D1367">
            <v>2674345</v>
          </cell>
          <cell r="E1367" t="str">
            <v>Amazon EU SARL, succursale Italiana</v>
          </cell>
          <cell r="F1367" t="str">
            <v>7H9X1Z6S</v>
          </cell>
          <cell r="G1367" t="str">
            <v>B07W7JLVCL</v>
          </cell>
          <cell r="H1367" t="str">
            <v>920-010172</v>
          </cell>
          <cell r="I1367" t="str">
            <v>OE INVOICES</v>
          </cell>
          <cell r="J1367">
            <v>44422193030</v>
          </cell>
          <cell r="K1367">
            <v>44936</v>
          </cell>
          <cell r="L1367">
            <v>1</v>
          </cell>
          <cell r="M1367" t="str">
            <v>EUR</v>
          </cell>
          <cell r="N1367">
            <v>1856.32</v>
          </cell>
          <cell r="O1367">
            <v>116.02</v>
          </cell>
          <cell r="P1367">
            <v>16</v>
          </cell>
          <cell r="Q1367">
            <v>16</v>
          </cell>
          <cell r="R1367">
            <v>0</v>
          </cell>
        </row>
        <row r="1368">
          <cell r="A1368" t="str">
            <v>7H9X1Z6SB07W7KCF3W</v>
          </cell>
          <cell r="B1368" t="str">
            <v>Q3-23</v>
          </cell>
          <cell r="C1368" t="str">
            <v>Europe Operations OU</v>
          </cell>
          <cell r="D1368">
            <v>2674345</v>
          </cell>
          <cell r="E1368" t="str">
            <v>Amazon EU SARL, succursale Italiana</v>
          </cell>
          <cell r="F1368" t="str">
            <v>7H9X1Z6S</v>
          </cell>
          <cell r="G1368" t="str">
            <v>B07W7KCF3W</v>
          </cell>
          <cell r="H1368" t="str">
            <v>910-005989</v>
          </cell>
          <cell r="I1368" t="str">
            <v>OE INVOICES</v>
          </cell>
          <cell r="J1368">
            <v>44422177122</v>
          </cell>
          <cell r="K1368">
            <v>44922</v>
          </cell>
          <cell r="L1368">
            <v>47</v>
          </cell>
          <cell r="M1368" t="str">
            <v>EUR</v>
          </cell>
          <cell r="N1368">
            <v>11600</v>
          </cell>
          <cell r="O1368">
            <v>58</v>
          </cell>
          <cell r="P1368">
            <v>200</v>
          </cell>
          <cell r="Q1368">
            <v>200</v>
          </cell>
          <cell r="R1368">
            <v>0</v>
          </cell>
        </row>
        <row r="1369">
          <cell r="A1369" t="str">
            <v>7H9X1Z6SB07W7L6HHN</v>
          </cell>
          <cell r="B1369" t="str">
            <v>Q3-23</v>
          </cell>
          <cell r="C1369" t="str">
            <v>Europe Operations OU</v>
          </cell>
          <cell r="D1369">
            <v>2674345</v>
          </cell>
          <cell r="E1369" t="str">
            <v>Amazon EU SARL, succursale Italiana</v>
          </cell>
          <cell r="F1369" t="str">
            <v>7H9X1Z6S</v>
          </cell>
          <cell r="G1369" t="str">
            <v>B07W7L6HHN</v>
          </cell>
          <cell r="H1369" t="str">
            <v>910-006764</v>
          </cell>
          <cell r="I1369" t="str">
            <v>OE INVOICES</v>
          </cell>
          <cell r="J1369">
            <v>44422177122</v>
          </cell>
          <cell r="K1369">
            <v>44922</v>
          </cell>
          <cell r="L1369">
            <v>48</v>
          </cell>
          <cell r="M1369" t="str">
            <v>EUR</v>
          </cell>
          <cell r="N1369">
            <v>761</v>
          </cell>
          <cell r="O1369">
            <v>7.61</v>
          </cell>
          <cell r="P1369">
            <v>100</v>
          </cell>
          <cell r="Q1369">
            <v>100</v>
          </cell>
          <cell r="R1369">
            <v>0</v>
          </cell>
        </row>
        <row r="1370">
          <cell r="A1370" t="str">
            <v>7H9X1Z6SB07W7L9JXH</v>
          </cell>
          <cell r="B1370" t="str">
            <v>Q3-23</v>
          </cell>
          <cell r="C1370" t="str">
            <v>Europe Operations OU</v>
          </cell>
          <cell r="D1370">
            <v>2674345</v>
          </cell>
          <cell r="E1370" t="str">
            <v>Amazon EU SARL, succursale Italiana</v>
          </cell>
          <cell r="F1370" t="str">
            <v>7H9X1Z6S</v>
          </cell>
          <cell r="G1370" t="str">
            <v>B07W7L9JXH</v>
          </cell>
          <cell r="H1370" t="str">
            <v>920-010523</v>
          </cell>
          <cell r="I1370" t="str">
            <v>OE INVOICES</v>
          </cell>
          <cell r="J1370">
            <v>44422177122</v>
          </cell>
          <cell r="K1370">
            <v>44922</v>
          </cell>
          <cell r="L1370">
            <v>49</v>
          </cell>
          <cell r="M1370" t="str">
            <v>EUR</v>
          </cell>
          <cell r="N1370">
            <v>3865.68</v>
          </cell>
          <cell r="O1370">
            <v>69.03</v>
          </cell>
          <cell r="P1370">
            <v>56</v>
          </cell>
          <cell r="Q1370">
            <v>56</v>
          </cell>
          <cell r="R1370">
            <v>0</v>
          </cell>
        </row>
        <row r="1371">
          <cell r="A1371" t="str">
            <v>7H9X1Z6SB07W7MKLNT</v>
          </cell>
          <cell r="B1371" t="str">
            <v>Q3-23</v>
          </cell>
          <cell r="C1371" t="str">
            <v>Europe Operations OU</v>
          </cell>
          <cell r="D1371">
            <v>2674345</v>
          </cell>
          <cell r="E1371" t="str">
            <v>Amazon EU SARL, succursale Italiana</v>
          </cell>
          <cell r="F1371" t="str">
            <v>7H9X1Z6S</v>
          </cell>
          <cell r="G1371" t="str">
            <v>B07W7MKLNT</v>
          </cell>
          <cell r="H1371" t="str">
            <v>910-005943</v>
          </cell>
          <cell r="I1371" t="str">
            <v>OE INVOICES</v>
          </cell>
          <cell r="J1371">
            <v>44422177122</v>
          </cell>
          <cell r="K1371">
            <v>44922</v>
          </cell>
          <cell r="L1371">
            <v>50</v>
          </cell>
          <cell r="M1371" t="str">
            <v>EUR</v>
          </cell>
          <cell r="N1371">
            <v>43622.8</v>
          </cell>
          <cell r="O1371">
            <v>83.89</v>
          </cell>
          <cell r="P1371">
            <v>520</v>
          </cell>
          <cell r="Q1371">
            <v>520</v>
          </cell>
          <cell r="R1371">
            <v>0</v>
          </cell>
        </row>
        <row r="1372">
          <cell r="A1372" t="str">
            <v>7H9X1Z6SB07W8LZB2L</v>
          </cell>
          <cell r="B1372" t="str">
            <v>Q3-23</v>
          </cell>
          <cell r="C1372" t="str">
            <v>Europe Operations OU</v>
          </cell>
          <cell r="D1372">
            <v>2674345</v>
          </cell>
          <cell r="E1372" t="str">
            <v>Amazon EU SARL, succursale Italiana</v>
          </cell>
          <cell r="F1372" t="str">
            <v>7H9X1Z6S</v>
          </cell>
          <cell r="G1372" t="str">
            <v>B07W8LZB2L</v>
          </cell>
          <cell r="H1372" t="str">
            <v>910-006652</v>
          </cell>
          <cell r="I1372" t="str">
            <v>OE INVOICES</v>
          </cell>
          <cell r="J1372">
            <v>44422177122</v>
          </cell>
          <cell r="K1372">
            <v>44922</v>
          </cell>
          <cell r="L1372">
            <v>51</v>
          </cell>
          <cell r="M1372" t="str">
            <v>EUR</v>
          </cell>
          <cell r="N1372">
            <v>3348.4</v>
          </cell>
          <cell r="O1372">
            <v>7.61</v>
          </cell>
          <cell r="P1372">
            <v>440</v>
          </cell>
          <cell r="Q1372">
            <v>440</v>
          </cell>
          <cell r="R1372">
            <v>0</v>
          </cell>
        </row>
        <row r="1373">
          <cell r="A1373" t="str">
            <v>7ILTX3HJB003UPJXIC</v>
          </cell>
          <cell r="B1373" t="str">
            <v>Q3-23</v>
          </cell>
          <cell r="C1373" t="str">
            <v>Europe Operations OU</v>
          </cell>
          <cell r="D1373">
            <v>2674345</v>
          </cell>
          <cell r="E1373" t="str">
            <v>Amazon EU SARL, succursale Italiana</v>
          </cell>
          <cell r="F1373" t="str">
            <v>7ILTX3HJ</v>
          </cell>
          <cell r="G1373" t="str">
            <v>B003UPJXIC</v>
          </cell>
          <cell r="H1373" t="str">
            <v>980-000403</v>
          </cell>
          <cell r="I1373" t="str">
            <v>OE INVOICES</v>
          </cell>
          <cell r="J1373">
            <v>44422146724</v>
          </cell>
          <cell r="K1373">
            <v>44900</v>
          </cell>
          <cell r="L1373">
            <v>1</v>
          </cell>
          <cell r="M1373" t="str">
            <v>EUR</v>
          </cell>
          <cell r="N1373">
            <v>2308.8000000000002</v>
          </cell>
          <cell r="O1373">
            <v>115.44</v>
          </cell>
          <cell r="P1373">
            <v>20</v>
          </cell>
          <cell r="Q1373">
            <v>20</v>
          </cell>
          <cell r="R1373">
            <v>0</v>
          </cell>
        </row>
        <row r="1374">
          <cell r="A1374" t="str">
            <v>7ILTX3HJB0042C1KQ0</v>
          </cell>
          <cell r="B1374" t="str">
            <v>Q3-23</v>
          </cell>
          <cell r="C1374" t="str">
            <v>Europe Operations OU</v>
          </cell>
          <cell r="D1374">
            <v>2674345</v>
          </cell>
          <cell r="E1374" t="str">
            <v>Amazon EU SARL, succursale Italiana</v>
          </cell>
          <cell r="F1374" t="str">
            <v>7ILTX3HJ</v>
          </cell>
          <cell r="G1374" t="str">
            <v>B0042C1KQ0</v>
          </cell>
          <cell r="H1374" t="str">
            <v>920-002562</v>
          </cell>
          <cell r="I1374" t="str">
            <v>OE INVOICES</v>
          </cell>
          <cell r="J1374">
            <v>44422146724</v>
          </cell>
          <cell r="K1374">
            <v>44900</v>
          </cell>
          <cell r="L1374">
            <v>2</v>
          </cell>
          <cell r="M1374" t="str">
            <v>EUR</v>
          </cell>
          <cell r="N1374">
            <v>175.6</v>
          </cell>
          <cell r="O1374">
            <v>17.559999999999999</v>
          </cell>
          <cell r="P1374">
            <v>10</v>
          </cell>
          <cell r="Q1374">
            <v>10</v>
          </cell>
          <cell r="R1374">
            <v>0</v>
          </cell>
        </row>
        <row r="1375">
          <cell r="A1375" t="str">
            <v>7ILTX3HJB00YUIM2J0</v>
          </cell>
          <cell r="B1375" t="str">
            <v>Q3-23</v>
          </cell>
          <cell r="C1375" t="str">
            <v>Europe Operations OU</v>
          </cell>
          <cell r="D1375">
            <v>2674345</v>
          </cell>
          <cell r="E1375" t="str">
            <v>Amazon EU SARL, succursale Italiana</v>
          </cell>
          <cell r="F1375" t="str">
            <v>7ILTX3HJ</v>
          </cell>
          <cell r="G1375" t="str">
            <v>B00YUIM2J0</v>
          </cell>
          <cell r="H1375" t="str">
            <v>941-000112</v>
          </cell>
          <cell r="I1375" t="str">
            <v>OE INVOICES</v>
          </cell>
          <cell r="J1375">
            <v>44422159928</v>
          </cell>
          <cell r="K1375">
            <v>44907</v>
          </cell>
          <cell r="L1375">
            <v>1</v>
          </cell>
          <cell r="M1375" t="str">
            <v>EUR</v>
          </cell>
          <cell r="N1375">
            <v>64773.51</v>
          </cell>
          <cell r="O1375">
            <v>221.07</v>
          </cell>
          <cell r="P1375">
            <v>293</v>
          </cell>
          <cell r="Q1375">
            <v>293</v>
          </cell>
          <cell r="R1375">
            <v>0</v>
          </cell>
        </row>
        <row r="1376">
          <cell r="A1376" t="str">
            <v>7ILTX3HJB011N78DMA</v>
          </cell>
          <cell r="B1376" t="str">
            <v>Q3-23</v>
          </cell>
          <cell r="C1376" t="str">
            <v>Europe Operations OU</v>
          </cell>
          <cell r="D1376">
            <v>2674345</v>
          </cell>
          <cell r="E1376" t="str">
            <v>Amazon EU SARL, succursale Italiana</v>
          </cell>
          <cell r="F1376" t="str">
            <v>7ILTX3HJ</v>
          </cell>
          <cell r="G1376" t="str">
            <v>B011N78DMA</v>
          </cell>
          <cell r="H1376" t="str">
            <v>941-000123</v>
          </cell>
          <cell r="I1376" t="str">
            <v>OE INVOICES</v>
          </cell>
          <cell r="J1376">
            <v>44422158437</v>
          </cell>
          <cell r="K1376">
            <v>44907</v>
          </cell>
          <cell r="L1376">
            <v>1</v>
          </cell>
          <cell r="M1376" t="str">
            <v>EUR</v>
          </cell>
          <cell r="N1376">
            <v>91522.98</v>
          </cell>
          <cell r="O1376">
            <v>221.07</v>
          </cell>
          <cell r="P1376">
            <v>414</v>
          </cell>
          <cell r="Q1376">
            <v>414</v>
          </cell>
          <cell r="R1376">
            <v>0</v>
          </cell>
        </row>
        <row r="1377">
          <cell r="A1377" t="str">
            <v>7ILTX3HJB01AUGT964</v>
          </cell>
          <cell r="B1377" t="str">
            <v>Q3-23</v>
          </cell>
          <cell r="C1377" t="str">
            <v>Europe Operations OU</v>
          </cell>
          <cell r="D1377">
            <v>2674345</v>
          </cell>
          <cell r="E1377" t="str">
            <v>Amazon EU SARL, succursale Italiana</v>
          </cell>
          <cell r="F1377" t="str">
            <v>7ILTX3HJ</v>
          </cell>
          <cell r="G1377" t="str">
            <v>B01AUGT964</v>
          </cell>
          <cell r="H1377" t="str">
            <v>920-007905</v>
          </cell>
          <cell r="I1377" t="str">
            <v>OE INVOICES</v>
          </cell>
          <cell r="J1377">
            <v>44422146724</v>
          </cell>
          <cell r="K1377">
            <v>44900</v>
          </cell>
          <cell r="L1377">
            <v>3</v>
          </cell>
          <cell r="M1377" t="str">
            <v>EUR</v>
          </cell>
          <cell r="N1377">
            <v>187.36</v>
          </cell>
          <cell r="O1377">
            <v>23.42</v>
          </cell>
          <cell r="P1377">
            <v>8</v>
          </cell>
          <cell r="Q1377">
            <v>8</v>
          </cell>
          <cell r="R1377">
            <v>0</v>
          </cell>
        </row>
        <row r="1378">
          <cell r="A1378" t="str">
            <v>7ILTX3HJB01N6NGNQ8</v>
          </cell>
          <cell r="B1378" t="str">
            <v>Q3-23</v>
          </cell>
          <cell r="C1378" t="str">
            <v>Europe Operations OU</v>
          </cell>
          <cell r="D1378">
            <v>2674345</v>
          </cell>
          <cell r="E1378" t="str">
            <v>Amazon EU SARL, succursale Italiana</v>
          </cell>
          <cell r="F1378" t="str">
            <v>7ILTX3HJ</v>
          </cell>
          <cell r="G1378" t="str">
            <v>B01N6NGNQ8</v>
          </cell>
          <cell r="H1378" t="str">
            <v>920-008227</v>
          </cell>
          <cell r="I1378" t="str">
            <v>OE INVOICES</v>
          </cell>
          <cell r="J1378">
            <v>44422146724</v>
          </cell>
          <cell r="K1378">
            <v>44900</v>
          </cell>
          <cell r="L1378">
            <v>4</v>
          </cell>
          <cell r="M1378" t="str">
            <v>EUR</v>
          </cell>
          <cell r="N1378">
            <v>1206.56</v>
          </cell>
          <cell r="O1378">
            <v>75.41</v>
          </cell>
          <cell r="P1378">
            <v>16</v>
          </cell>
          <cell r="Q1378">
            <v>16</v>
          </cell>
          <cell r="R1378">
            <v>0</v>
          </cell>
        </row>
        <row r="1379">
          <cell r="A1379" t="str">
            <v>7ILTX3HJB07VK1S68S</v>
          </cell>
          <cell r="B1379" t="str">
            <v>Q3-23</v>
          </cell>
          <cell r="C1379" t="str">
            <v>Europe Operations OU</v>
          </cell>
          <cell r="D1379">
            <v>2674345</v>
          </cell>
          <cell r="E1379" t="str">
            <v>Amazon EU SARL, succursale Italiana</v>
          </cell>
          <cell r="F1379" t="str">
            <v>7ILTX3HJ</v>
          </cell>
          <cell r="G1379" t="str">
            <v>B07VK1S68S</v>
          </cell>
          <cell r="H1379" t="str">
            <v>920-009196</v>
          </cell>
          <cell r="I1379" t="str">
            <v>OE INVOICES</v>
          </cell>
          <cell r="J1379">
            <v>44422146724</v>
          </cell>
          <cell r="K1379">
            <v>44900</v>
          </cell>
          <cell r="L1379">
            <v>5</v>
          </cell>
          <cell r="M1379" t="str">
            <v>EUR</v>
          </cell>
          <cell r="N1379">
            <v>4356.12</v>
          </cell>
          <cell r="O1379">
            <v>35.130000000000003</v>
          </cell>
          <cell r="P1379">
            <v>124</v>
          </cell>
          <cell r="Q1379">
            <v>124</v>
          </cell>
          <cell r="R1379">
            <v>0</v>
          </cell>
        </row>
        <row r="1380">
          <cell r="A1380" t="str">
            <v>7ILTX3HJB07W6GVS5C</v>
          </cell>
          <cell r="B1380" t="str">
            <v>Q3-23</v>
          </cell>
          <cell r="C1380" t="str">
            <v>Europe Operations OU</v>
          </cell>
          <cell r="D1380">
            <v>2674345</v>
          </cell>
          <cell r="E1380" t="str">
            <v>Amazon EU SARL, succursale Italiana</v>
          </cell>
          <cell r="F1380" t="str">
            <v>7ILTX3HJ</v>
          </cell>
          <cell r="G1380" t="str">
            <v>B07W6GVS5C</v>
          </cell>
          <cell r="H1380" t="str">
            <v>920-009439</v>
          </cell>
          <cell r="I1380" t="str">
            <v>OE INVOICES</v>
          </cell>
          <cell r="J1380">
            <v>44422146724</v>
          </cell>
          <cell r="K1380">
            <v>44900</v>
          </cell>
          <cell r="L1380">
            <v>6</v>
          </cell>
          <cell r="M1380" t="str">
            <v>EUR</v>
          </cell>
          <cell r="N1380">
            <v>14886.88</v>
          </cell>
          <cell r="O1380">
            <v>44.84</v>
          </cell>
          <cell r="P1380">
            <v>332</v>
          </cell>
          <cell r="Q1380">
            <v>332</v>
          </cell>
          <cell r="R1380">
            <v>0</v>
          </cell>
        </row>
        <row r="1381">
          <cell r="A1381" t="str">
            <v>7ILTX3HJB07W6JB7N7</v>
          </cell>
          <cell r="B1381" t="str">
            <v>Q3-23</v>
          </cell>
          <cell r="C1381" t="str">
            <v>Europe Operations OU</v>
          </cell>
          <cell r="D1381">
            <v>2674345</v>
          </cell>
          <cell r="E1381" t="str">
            <v>Amazon EU SARL, succursale Italiana</v>
          </cell>
          <cell r="F1381" t="str">
            <v>7ILTX3HJ</v>
          </cell>
          <cell r="G1381" t="str">
            <v>B07W6JB7N7</v>
          </cell>
          <cell r="H1381" t="str">
            <v>941-000150</v>
          </cell>
          <cell r="I1381" t="str">
            <v>OE INVOICES</v>
          </cell>
          <cell r="J1381">
            <v>44422146724</v>
          </cell>
          <cell r="K1381">
            <v>44900</v>
          </cell>
          <cell r="L1381">
            <v>7</v>
          </cell>
          <cell r="M1381" t="str">
            <v>EUR</v>
          </cell>
          <cell r="N1381">
            <v>1684.16</v>
          </cell>
          <cell r="O1381">
            <v>210.52</v>
          </cell>
          <cell r="P1381">
            <v>8</v>
          </cell>
          <cell r="Q1381">
            <v>8</v>
          </cell>
          <cell r="R1381">
            <v>0</v>
          </cell>
        </row>
        <row r="1382">
          <cell r="A1382" t="str">
            <v>7ILTX3HJB07W7K1LSC</v>
          </cell>
          <cell r="B1382" t="str">
            <v>Q3-23</v>
          </cell>
          <cell r="C1382" t="str">
            <v>Europe Operations OU</v>
          </cell>
          <cell r="D1382">
            <v>2674345</v>
          </cell>
          <cell r="E1382" t="str">
            <v>Amazon EU SARL, succursale Italiana</v>
          </cell>
          <cell r="F1382" t="str">
            <v>7ILTX3HJ</v>
          </cell>
          <cell r="G1382" t="str">
            <v>B07W7K1LSC</v>
          </cell>
          <cell r="H1382" t="str">
            <v>920-010969</v>
          </cell>
          <cell r="I1382" t="str">
            <v>OE INVOICES</v>
          </cell>
          <cell r="J1382">
            <v>44422146724</v>
          </cell>
          <cell r="K1382">
            <v>44900</v>
          </cell>
          <cell r="L1382">
            <v>8</v>
          </cell>
          <cell r="M1382" t="str">
            <v>EUR</v>
          </cell>
          <cell r="N1382">
            <v>257.68</v>
          </cell>
          <cell r="O1382">
            <v>32.21</v>
          </cell>
          <cell r="P1382">
            <v>8</v>
          </cell>
          <cell r="Q1382">
            <v>8</v>
          </cell>
          <cell r="R1382">
            <v>0</v>
          </cell>
        </row>
        <row r="1383">
          <cell r="A1383" t="str">
            <v>7LA8DZCZB0013N474I</v>
          </cell>
          <cell r="B1383" t="str">
            <v>Q3-23</v>
          </cell>
          <cell r="C1383" t="str">
            <v>Europe Operations OU</v>
          </cell>
          <cell r="D1383">
            <v>2674345</v>
          </cell>
          <cell r="E1383" t="str">
            <v>Amazon EU SARL, succursale Italiana</v>
          </cell>
          <cell r="F1383" t="str">
            <v>7LA8DZCZ</v>
          </cell>
          <cell r="G1383" t="str">
            <v>B0013N474I</v>
          </cell>
          <cell r="H1383" t="str">
            <v>981-000100</v>
          </cell>
          <cell r="I1383" t="str">
            <v>OE INVOICES</v>
          </cell>
          <cell r="J1383">
            <v>44422177123</v>
          </cell>
          <cell r="K1383">
            <v>44922</v>
          </cell>
          <cell r="L1383">
            <v>1</v>
          </cell>
          <cell r="M1383" t="str">
            <v>EUR</v>
          </cell>
          <cell r="N1383">
            <v>1640</v>
          </cell>
          <cell r="O1383">
            <v>20.5</v>
          </cell>
          <cell r="P1383">
            <v>80</v>
          </cell>
          <cell r="Q1383">
            <v>80</v>
          </cell>
          <cell r="R1383">
            <v>0</v>
          </cell>
        </row>
        <row r="1384">
          <cell r="A1384" t="str">
            <v>7LA8DZCZB00M6S9O9C</v>
          </cell>
          <cell r="B1384" t="str">
            <v>Q3-23</v>
          </cell>
          <cell r="C1384" t="str">
            <v>Europe Operations OU</v>
          </cell>
          <cell r="D1384">
            <v>2674345</v>
          </cell>
          <cell r="E1384" t="str">
            <v>Amazon EU SARL, succursale Italiana</v>
          </cell>
          <cell r="F1384" t="str">
            <v>7LA8DZCZ</v>
          </cell>
          <cell r="G1384" t="str">
            <v>B00M6S9O9C</v>
          </cell>
          <cell r="H1384" t="str">
            <v>981-000571</v>
          </cell>
          <cell r="I1384" t="str">
            <v>OE INVOICES</v>
          </cell>
          <cell r="J1384">
            <v>44422177123</v>
          </cell>
          <cell r="K1384">
            <v>44922</v>
          </cell>
          <cell r="L1384">
            <v>2</v>
          </cell>
          <cell r="M1384" t="str">
            <v>EUR</v>
          </cell>
          <cell r="N1384">
            <v>1599.84</v>
          </cell>
          <cell r="O1384">
            <v>33.33</v>
          </cell>
          <cell r="P1384">
            <v>48</v>
          </cell>
          <cell r="Q1384">
            <v>48</v>
          </cell>
          <cell r="R1384">
            <v>0</v>
          </cell>
        </row>
        <row r="1385">
          <cell r="A1385" t="str">
            <v>7LA8DZCZB00MWR5IQK</v>
          </cell>
          <cell r="B1385" t="str">
            <v>Q3-23</v>
          </cell>
          <cell r="C1385" t="str">
            <v>Europe Operations OU</v>
          </cell>
          <cell r="D1385">
            <v>2674345</v>
          </cell>
          <cell r="E1385" t="str">
            <v>Amazon EU SARL, succursale Italiana</v>
          </cell>
          <cell r="F1385" t="str">
            <v>7LA8DZCZ</v>
          </cell>
          <cell r="G1385" t="str">
            <v>B00MWR5IQK</v>
          </cell>
          <cell r="H1385" t="str">
            <v>910-004290</v>
          </cell>
          <cell r="I1385" t="str">
            <v>OE INVOICES</v>
          </cell>
          <cell r="J1385">
            <v>44422177123</v>
          </cell>
          <cell r="K1385">
            <v>44922</v>
          </cell>
          <cell r="L1385">
            <v>3</v>
          </cell>
          <cell r="M1385" t="str">
            <v>EUR</v>
          </cell>
          <cell r="N1385">
            <v>702.6</v>
          </cell>
          <cell r="O1385">
            <v>23.42</v>
          </cell>
          <cell r="P1385">
            <v>30</v>
          </cell>
          <cell r="Q1385">
            <v>30</v>
          </cell>
          <cell r="R1385">
            <v>0</v>
          </cell>
        </row>
        <row r="1386">
          <cell r="A1386" t="str">
            <v>7LA8DZCZB00O8K42LQ</v>
          </cell>
          <cell r="B1386" t="str">
            <v>Q3-23</v>
          </cell>
          <cell r="C1386" t="str">
            <v>Europe Operations OU</v>
          </cell>
          <cell r="D1386">
            <v>2674345</v>
          </cell>
          <cell r="E1386" t="str">
            <v>Amazon EU SARL, succursale Italiana</v>
          </cell>
          <cell r="F1386" t="str">
            <v>7LA8DZCZ</v>
          </cell>
          <cell r="G1386" t="str">
            <v>B00O8K42LQ</v>
          </cell>
          <cell r="H1386" t="str">
            <v>920-006707</v>
          </cell>
          <cell r="I1386" t="str">
            <v>OE INVOICES</v>
          </cell>
          <cell r="J1386">
            <v>44422177123</v>
          </cell>
          <cell r="K1386">
            <v>44922</v>
          </cell>
          <cell r="L1386">
            <v>4</v>
          </cell>
          <cell r="M1386" t="str">
            <v>EUR</v>
          </cell>
          <cell r="N1386">
            <v>12992</v>
          </cell>
          <cell r="O1386">
            <v>40.6</v>
          </cell>
          <cell r="P1386">
            <v>320</v>
          </cell>
          <cell r="Q1386">
            <v>320</v>
          </cell>
          <cell r="R1386">
            <v>0</v>
          </cell>
        </row>
        <row r="1387">
          <cell r="A1387" t="str">
            <v>7LA8DZCZB013SL26LS</v>
          </cell>
          <cell r="B1387" t="str">
            <v>Q3-23</v>
          </cell>
          <cell r="C1387" t="str">
            <v>Europe Operations OU</v>
          </cell>
          <cell r="D1387">
            <v>2674345</v>
          </cell>
          <cell r="E1387" t="str">
            <v>Amazon EU SARL, succursale Italiana</v>
          </cell>
          <cell r="F1387" t="str">
            <v>7LA8DZCZ</v>
          </cell>
          <cell r="G1387" t="str">
            <v>B013SL26LS</v>
          </cell>
          <cell r="H1387" t="str">
            <v>920-007575</v>
          </cell>
          <cell r="I1387" t="str">
            <v>OE INVOICES</v>
          </cell>
          <cell r="J1387">
            <v>44422177123</v>
          </cell>
          <cell r="K1387">
            <v>44922</v>
          </cell>
          <cell r="L1387">
            <v>5</v>
          </cell>
          <cell r="M1387" t="str">
            <v>EUR</v>
          </cell>
          <cell r="N1387">
            <v>6957.36</v>
          </cell>
          <cell r="O1387">
            <v>32.21</v>
          </cell>
          <cell r="P1387">
            <v>216</v>
          </cell>
          <cell r="Q1387">
            <v>216</v>
          </cell>
          <cell r="R1387">
            <v>0</v>
          </cell>
        </row>
        <row r="1388">
          <cell r="A1388" t="str">
            <v>7LA8DZCZB07PPNT9B2</v>
          </cell>
          <cell r="B1388" t="str">
            <v>Q3-23</v>
          </cell>
          <cell r="C1388" t="str">
            <v>Europe Operations OU</v>
          </cell>
          <cell r="D1388">
            <v>2674345</v>
          </cell>
          <cell r="E1388" t="str">
            <v>Amazon EU SARL, succursale Italiana</v>
          </cell>
          <cell r="F1388" t="str">
            <v>7LA8DZCZ</v>
          </cell>
          <cell r="G1388" t="str">
            <v>B07PPNT9B2</v>
          </cell>
          <cell r="H1388" t="str">
            <v>939-001731</v>
          </cell>
          <cell r="I1388" t="str">
            <v>OE INVOICES</v>
          </cell>
          <cell r="J1388">
            <v>44422177123</v>
          </cell>
          <cell r="K1388">
            <v>44922</v>
          </cell>
          <cell r="L1388">
            <v>6</v>
          </cell>
          <cell r="M1388" t="str">
            <v>EUR</v>
          </cell>
          <cell r="N1388">
            <v>3297.92</v>
          </cell>
          <cell r="O1388">
            <v>103.06</v>
          </cell>
          <cell r="P1388">
            <v>32</v>
          </cell>
          <cell r="Q1388">
            <v>32</v>
          </cell>
          <cell r="R1388">
            <v>0</v>
          </cell>
        </row>
        <row r="1389">
          <cell r="A1389" t="str">
            <v>7LA8DZCZB07S69F4HC</v>
          </cell>
          <cell r="B1389" t="str">
            <v>Q3-23</v>
          </cell>
          <cell r="C1389" t="str">
            <v>Europe Operations OU</v>
          </cell>
          <cell r="D1389">
            <v>2674345</v>
          </cell>
          <cell r="E1389" t="str">
            <v>Amazon EU SARL, succursale Italiana</v>
          </cell>
          <cell r="F1389" t="str">
            <v>7LA8DZCZ</v>
          </cell>
          <cell r="G1389" t="str">
            <v>B07S69F4HC</v>
          </cell>
          <cell r="H1389" t="str">
            <v>910-005632</v>
          </cell>
          <cell r="I1389" t="str">
            <v>OE INVOICES</v>
          </cell>
          <cell r="J1389">
            <v>44422177123</v>
          </cell>
          <cell r="K1389">
            <v>44922</v>
          </cell>
          <cell r="L1389">
            <v>7</v>
          </cell>
          <cell r="M1389" t="str">
            <v>EUR</v>
          </cell>
          <cell r="N1389">
            <v>158.24</v>
          </cell>
          <cell r="O1389">
            <v>39.56</v>
          </cell>
          <cell r="P1389">
            <v>4</v>
          </cell>
          <cell r="Q1389">
            <v>4</v>
          </cell>
          <cell r="R1389">
            <v>0</v>
          </cell>
        </row>
        <row r="1390">
          <cell r="A1390" t="str">
            <v>7LA8DZCZB07W4DHMVB</v>
          </cell>
          <cell r="B1390" t="str">
            <v>Q3-23</v>
          </cell>
          <cell r="C1390" t="str">
            <v>Europe Operations OU</v>
          </cell>
          <cell r="D1390">
            <v>2674345</v>
          </cell>
          <cell r="E1390" t="str">
            <v>Amazon EU SARL, succursale Italiana</v>
          </cell>
          <cell r="F1390" t="str">
            <v>7LA8DZCZ</v>
          </cell>
          <cell r="G1390" t="str">
            <v>B07W4DHMVB</v>
          </cell>
          <cell r="H1390" t="str">
            <v>981-001074</v>
          </cell>
          <cell r="I1390" t="str">
            <v>OE INVOICES</v>
          </cell>
          <cell r="J1390">
            <v>44422177123</v>
          </cell>
          <cell r="K1390">
            <v>44922</v>
          </cell>
          <cell r="L1390">
            <v>8</v>
          </cell>
          <cell r="M1390" t="str">
            <v>EUR</v>
          </cell>
          <cell r="N1390">
            <v>179.36</v>
          </cell>
          <cell r="O1390">
            <v>44.84</v>
          </cell>
          <cell r="P1390">
            <v>4</v>
          </cell>
          <cell r="Q1390">
            <v>4</v>
          </cell>
          <cell r="R1390">
            <v>0</v>
          </cell>
        </row>
        <row r="1391">
          <cell r="A1391" t="str">
            <v>7LA8DZCZB07W5JK5MW</v>
          </cell>
          <cell r="B1391" t="str">
            <v>Q3-23</v>
          </cell>
          <cell r="C1391" t="str">
            <v>Europe Operations OU</v>
          </cell>
          <cell r="D1391">
            <v>2674345</v>
          </cell>
          <cell r="E1391" t="str">
            <v>Amazon EU SARL, succursale Italiana</v>
          </cell>
          <cell r="F1391" t="str">
            <v>7LA8DZCZ</v>
          </cell>
          <cell r="G1391" t="str">
            <v>B07W5JK5MW</v>
          </cell>
          <cell r="H1391" t="str">
            <v>920-009557</v>
          </cell>
          <cell r="I1391" t="str">
            <v>OE INVOICES</v>
          </cell>
          <cell r="J1391">
            <v>44422177123</v>
          </cell>
          <cell r="K1391">
            <v>44922</v>
          </cell>
          <cell r="L1391">
            <v>9</v>
          </cell>
          <cell r="M1391" t="str">
            <v>EUR</v>
          </cell>
          <cell r="N1391">
            <v>27147.599999999999</v>
          </cell>
          <cell r="O1391">
            <v>75.41</v>
          </cell>
          <cell r="P1391">
            <v>360</v>
          </cell>
          <cell r="Q1391">
            <v>360</v>
          </cell>
          <cell r="R1391">
            <v>0</v>
          </cell>
        </row>
        <row r="1392">
          <cell r="A1392" t="str">
            <v>7LA8DZCZB07W6H91JG</v>
          </cell>
          <cell r="B1392" t="str">
            <v>Q3-23</v>
          </cell>
          <cell r="C1392" t="str">
            <v>Europe Operations OU</v>
          </cell>
          <cell r="D1392">
            <v>2674345</v>
          </cell>
          <cell r="E1392" t="str">
            <v>Amazon EU SARL, succursale Italiana</v>
          </cell>
          <cell r="F1392" t="str">
            <v>7LA8DZCZ</v>
          </cell>
          <cell r="G1392" t="str">
            <v>B07W6H91JG</v>
          </cell>
          <cell r="H1392" t="str">
            <v>920-009497</v>
          </cell>
          <cell r="I1392" t="str">
            <v>OE INVOICES</v>
          </cell>
          <cell r="J1392">
            <v>44422177123</v>
          </cell>
          <cell r="K1392">
            <v>44922</v>
          </cell>
          <cell r="L1392">
            <v>10</v>
          </cell>
          <cell r="M1392" t="str">
            <v>EUR</v>
          </cell>
          <cell r="N1392">
            <v>5780.72</v>
          </cell>
          <cell r="O1392">
            <v>131.38</v>
          </cell>
          <cell r="P1392">
            <v>44</v>
          </cell>
          <cell r="Q1392">
            <v>44</v>
          </cell>
          <cell r="R1392">
            <v>0</v>
          </cell>
        </row>
        <row r="1393">
          <cell r="A1393" t="str">
            <v>7LA8DZCZB07W6HXZ5J</v>
          </cell>
          <cell r="B1393" t="str">
            <v>Q3-23</v>
          </cell>
          <cell r="C1393" t="str">
            <v>Europe Operations OU</v>
          </cell>
          <cell r="D1393">
            <v>2674345</v>
          </cell>
          <cell r="E1393" t="str">
            <v>Amazon EU SARL, succursale Italiana</v>
          </cell>
          <cell r="F1393" t="str">
            <v>7LA8DZCZ</v>
          </cell>
          <cell r="G1393" t="str">
            <v>B07W6HXZ5J</v>
          </cell>
          <cell r="H1393" t="str">
            <v>920-009413</v>
          </cell>
          <cell r="I1393" t="str">
            <v>OE INVOICES</v>
          </cell>
          <cell r="J1393">
            <v>44422177123</v>
          </cell>
          <cell r="K1393">
            <v>44922</v>
          </cell>
          <cell r="L1393">
            <v>11</v>
          </cell>
          <cell r="M1393" t="str">
            <v>EUR</v>
          </cell>
          <cell r="N1393">
            <v>301.64</v>
          </cell>
          <cell r="O1393">
            <v>75.41</v>
          </cell>
          <cell r="P1393">
            <v>4</v>
          </cell>
          <cell r="Q1393">
            <v>4</v>
          </cell>
          <cell r="R1393">
            <v>0</v>
          </cell>
        </row>
        <row r="1394">
          <cell r="A1394" t="str">
            <v>7LA8DZCZB07W6JKH1B</v>
          </cell>
          <cell r="B1394" t="str">
            <v>Q3-23</v>
          </cell>
          <cell r="C1394" t="str">
            <v>Europe Operations OU</v>
          </cell>
          <cell r="D1394">
            <v>2674345</v>
          </cell>
          <cell r="E1394" t="str">
            <v>Amazon EU SARL, succursale Italiana</v>
          </cell>
          <cell r="F1394" t="str">
            <v>7LA8DZCZ</v>
          </cell>
          <cell r="G1394" t="str">
            <v>B07W6JKH1B</v>
          </cell>
          <cell r="H1394" t="str">
            <v>920-011176</v>
          </cell>
          <cell r="I1394" t="str">
            <v>OE INVOICES</v>
          </cell>
          <cell r="J1394">
            <v>44422177123</v>
          </cell>
          <cell r="K1394">
            <v>44922</v>
          </cell>
          <cell r="L1394">
            <v>12</v>
          </cell>
          <cell r="M1394" t="str">
            <v>EUR</v>
          </cell>
          <cell r="N1394">
            <v>257.68</v>
          </cell>
          <cell r="O1394">
            <v>32.21</v>
          </cell>
          <cell r="P1394">
            <v>8</v>
          </cell>
          <cell r="Q1394">
            <v>8</v>
          </cell>
          <cell r="R1394">
            <v>0</v>
          </cell>
        </row>
        <row r="1395">
          <cell r="A1395" t="str">
            <v>7LA8DZCZB07W6JNQ1Y</v>
          </cell>
          <cell r="B1395" t="str">
            <v>Q3-23</v>
          </cell>
          <cell r="C1395" t="str">
            <v>Europe Operations OU</v>
          </cell>
          <cell r="D1395">
            <v>2674345</v>
          </cell>
          <cell r="E1395" t="str">
            <v>Amazon EU SARL, succursale Italiana</v>
          </cell>
          <cell r="F1395" t="str">
            <v>7LA8DZCZ</v>
          </cell>
          <cell r="G1395" t="str">
            <v>B07W6JNQ1Y</v>
          </cell>
          <cell r="H1395" t="str">
            <v>920-010479</v>
          </cell>
          <cell r="I1395" t="str">
            <v>OE INVOICES</v>
          </cell>
          <cell r="J1395">
            <v>44422177123</v>
          </cell>
          <cell r="K1395">
            <v>44922</v>
          </cell>
          <cell r="L1395">
            <v>13</v>
          </cell>
          <cell r="M1395" t="str">
            <v>EUR</v>
          </cell>
          <cell r="N1395">
            <v>276.12</v>
          </cell>
          <cell r="O1395">
            <v>69.03</v>
          </cell>
          <cell r="P1395">
            <v>4</v>
          </cell>
          <cell r="Q1395">
            <v>4</v>
          </cell>
          <cell r="R1395">
            <v>0</v>
          </cell>
        </row>
        <row r="1396">
          <cell r="A1396" t="str">
            <v>7LA8DZCZB07W6JNWP8</v>
          </cell>
          <cell r="B1396" t="str">
            <v>Q3-23</v>
          </cell>
          <cell r="C1396" t="str">
            <v>Europe Operations OU</v>
          </cell>
          <cell r="D1396">
            <v>2674345</v>
          </cell>
          <cell r="E1396" t="str">
            <v>Amazon EU SARL, succursale Italiana</v>
          </cell>
          <cell r="F1396" t="str">
            <v>7LA8DZCZ</v>
          </cell>
          <cell r="G1396" t="str">
            <v>B07W6JNWP8</v>
          </cell>
          <cell r="H1396" t="str">
            <v>910-006548</v>
          </cell>
          <cell r="I1396" t="str">
            <v>OE INVOICES</v>
          </cell>
          <cell r="J1396">
            <v>44422177123</v>
          </cell>
          <cell r="K1396">
            <v>44922</v>
          </cell>
          <cell r="L1396">
            <v>14</v>
          </cell>
          <cell r="M1396" t="str">
            <v>EUR</v>
          </cell>
          <cell r="N1396">
            <v>702.6</v>
          </cell>
          <cell r="O1396">
            <v>23.42</v>
          </cell>
          <cell r="P1396">
            <v>30</v>
          </cell>
          <cell r="Q1396">
            <v>30</v>
          </cell>
          <cell r="R1396">
            <v>0</v>
          </cell>
        </row>
        <row r="1397">
          <cell r="A1397" t="str">
            <v>7LA8DZCZB07W7J6RBC</v>
          </cell>
          <cell r="B1397" t="str">
            <v>Q3-23</v>
          </cell>
          <cell r="C1397" t="str">
            <v>Europe Operations OU</v>
          </cell>
          <cell r="D1397">
            <v>2674345</v>
          </cell>
          <cell r="E1397" t="str">
            <v>Amazon EU SARL, succursale Italiana</v>
          </cell>
          <cell r="F1397" t="str">
            <v>7LA8DZCZ</v>
          </cell>
          <cell r="G1397" t="str">
            <v>B07W7J6RBC</v>
          </cell>
          <cell r="H1397" t="str">
            <v>981-001126</v>
          </cell>
          <cell r="I1397" t="str">
            <v>OE INVOICES</v>
          </cell>
          <cell r="J1397">
            <v>44422177123</v>
          </cell>
          <cell r="K1397">
            <v>44922</v>
          </cell>
          <cell r="L1397">
            <v>15</v>
          </cell>
          <cell r="M1397" t="str">
            <v>EUR</v>
          </cell>
          <cell r="N1397">
            <v>967.68</v>
          </cell>
          <cell r="O1397">
            <v>80.64</v>
          </cell>
          <cell r="P1397">
            <v>12</v>
          </cell>
          <cell r="Q1397">
            <v>12</v>
          </cell>
          <cell r="R1397">
            <v>0</v>
          </cell>
        </row>
        <row r="1398">
          <cell r="A1398" t="str">
            <v>7LA8DZCZB07W7JHZKR</v>
          </cell>
          <cell r="B1398" t="str">
            <v>Q3-23</v>
          </cell>
          <cell r="C1398" t="str">
            <v>Europe Operations OU</v>
          </cell>
          <cell r="D1398">
            <v>2674345</v>
          </cell>
          <cell r="E1398" t="str">
            <v>Amazon EU SARL, succursale Italiana</v>
          </cell>
          <cell r="F1398" t="str">
            <v>7LA8DZCZ</v>
          </cell>
          <cell r="G1398" t="str">
            <v>B07W7JHZKR</v>
          </cell>
          <cell r="H1398" t="str">
            <v>920-010483</v>
          </cell>
          <cell r="I1398" t="str">
            <v>OE INVOICES</v>
          </cell>
          <cell r="J1398">
            <v>44422177123</v>
          </cell>
          <cell r="K1398">
            <v>44922</v>
          </cell>
          <cell r="L1398">
            <v>16</v>
          </cell>
          <cell r="M1398" t="str">
            <v>EUR</v>
          </cell>
          <cell r="N1398">
            <v>3865.68</v>
          </cell>
          <cell r="O1398">
            <v>69.03</v>
          </cell>
          <cell r="P1398">
            <v>56</v>
          </cell>
          <cell r="Q1398">
            <v>56</v>
          </cell>
          <cell r="R1398">
            <v>0</v>
          </cell>
        </row>
        <row r="1399">
          <cell r="A1399" t="str">
            <v>7LA8DZCZB07W7LHVBM</v>
          </cell>
          <cell r="B1399" t="str">
            <v>Q3-23</v>
          </cell>
          <cell r="C1399" t="str">
            <v>Europe Operations OU</v>
          </cell>
          <cell r="D1399">
            <v>2674345</v>
          </cell>
          <cell r="E1399" t="str">
            <v>Amazon EU SARL, succursale Italiana</v>
          </cell>
          <cell r="F1399" t="str">
            <v>7LA8DZCZ</v>
          </cell>
          <cell r="G1399" t="str">
            <v>B07W7LHVBM</v>
          </cell>
          <cell r="H1399" t="str">
            <v>920-011161</v>
          </cell>
          <cell r="I1399" t="str">
            <v>OE INVOICES</v>
          </cell>
          <cell r="J1399">
            <v>44422177123</v>
          </cell>
          <cell r="K1399">
            <v>44922</v>
          </cell>
          <cell r="L1399">
            <v>17</v>
          </cell>
          <cell r="M1399" t="str">
            <v>EUR</v>
          </cell>
          <cell r="N1399">
            <v>773.04</v>
          </cell>
          <cell r="O1399">
            <v>32.21</v>
          </cell>
          <cell r="P1399">
            <v>24</v>
          </cell>
          <cell r="Q1399">
            <v>24</v>
          </cell>
          <cell r="R1399">
            <v>0</v>
          </cell>
        </row>
        <row r="1400">
          <cell r="A1400" t="str">
            <v>7MIJ7O3BB07W4DGVQF</v>
          </cell>
          <cell r="B1400" t="str">
            <v>Q3-23</v>
          </cell>
          <cell r="C1400" t="str">
            <v>Europe Operations OU</v>
          </cell>
          <cell r="D1400">
            <v>2674345</v>
          </cell>
          <cell r="E1400" t="str">
            <v>Amazon EU SARL, succursale Italiana</v>
          </cell>
          <cell r="F1400" t="str">
            <v>7MIJ7O3B</v>
          </cell>
          <cell r="G1400" t="str">
            <v>B07W4DGVQF</v>
          </cell>
          <cell r="H1400" t="str">
            <v>910-005966</v>
          </cell>
          <cell r="I1400" t="str">
            <v>OE INVOICES</v>
          </cell>
          <cell r="J1400">
            <v>44422145496</v>
          </cell>
          <cell r="K1400">
            <v>44897</v>
          </cell>
          <cell r="L1400">
            <v>1</v>
          </cell>
          <cell r="M1400" t="str">
            <v>EUR</v>
          </cell>
          <cell r="N1400">
            <v>20992.36</v>
          </cell>
          <cell r="O1400">
            <v>63.23</v>
          </cell>
          <cell r="P1400">
            <v>332</v>
          </cell>
          <cell r="Q1400">
            <v>332</v>
          </cell>
          <cell r="R1400">
            <v>0</v>
          </cell>
        </row>
        <row r="1401">
          <cell r="A1401" t="str">
            <v>7OHBRCNPB07W6FW84S</v>
          </cell>
          <cell r="B1401" t="str">
            <v>Q3-23</v>
          </cell>
          <cell r="C1401" t="str">
            <v>Europe Operations OU</v>
          </cell>
          <cell r="D1401">
            <v>2674345</v>
          </cell>
          <cell r="E1401" t="str">
            <v>Amazon EU SARL, succursale Italiana</v>
          </cell>
          <cell r="F1401" t="str">
            <v>7OHBRCNP</v>
          </cell>
          <cell r="G1401" t="str">
            <v>B07W6FW84S</v>
          </cell>
          <cell r="H1401" t="str">
            <v>939-002001</v>
          </cell>
          <cell r="I1401" t="str">
            <v>OE INVOICES</v>
          </cell>
          <cell r="J1401">
            <v>44422176565</v>
          </cell>
          <cell r="K1401">
            <v>44922</v>
          </cell>
          <cell r="L1401">
            <v>1</v>
          </cell>
          <cell r="M1401" t="str">
            <v>EUR</v>
          </cell>
          <cell r="N1401">
            <v>688.92</v>
          </cell>
          <cell r="O1401">
            <v>172.23</v>
          </cell>
          <cell r="P1401">
            <v>4</v>
          </cell>
          <cell r="Q1401">
            <v>4</v>
          </cell>
          <cell r="R1401">
            <v>0</v>
          </cell>
        </row>
        <row r="1402">
          <cell r="A1402" t="str">
            <v>7OQHRVQMB014PYGYRE</v>
          </cell>
          <cell r="B1402" t="str">
            <v>Q3-23</v>
          </cell>
          <cell r="C1402" t="str">
            <v>Europe Operations OU</v>
          </cell>
          <cell r="D1402">
            <v>2674345</v>
          </cell>
          <cell r="E1402" t="str">
            <v>Amazon EU SARL, succursale Italiana</v>
          </cell>
          <cell r="F1402" t="str">
            <v>7OQHRVQM</v>
          </cell>
          <cell r="G1402" t="str">
            <v>B014PYGYRE</v>
          </cell>
          <cell r="H1402" t="str">
            <v>988-000241</v>
          </cell>
          <cell r="I1402" t="str">
            <v>OE INVOICES</v>
          </cell>
          <cell r="J1402">
            <v>44422163482</v>
          </cell>
          <cell r="K1402">
            <v>44909</v>
          </cell>
          <cell r="L1402">
            <v>1</v>
          </cell>
          <cell r="M1402" t="str">
            <v>EUR</v>
          </cell>
          <cell r="N1402">
            <v>1549.28</v>
          </cell>
          <cell r="O1402">
            <v>96.83</v>
          </cell>
          <cell r="P1402">
            <v>16</v>
          </cell>
          <cell r="Q1402">
            <v>16</v>
          </cell>
          <cell r="R1402">
            <v>0</v>
          </cell>
        </row>
        <row r="1403">
          <cell r="A1403" t="str">
            <v>7RAC5F9EB002L3TSLQ</v>
          </cell>
          <cell r="B1403" t="str">
            <v>Q3-23</v>
          </cell>
          <cell r="C1403" t="str">
            <v>Europe Operations OU</v>
          </cell>
          <cell r="D1403">
            <v>2674345</v>
          </cell>
          <cell r="E1403" t="str">
            <v>Amazon EU SARL, succursale Italiana</v>
          </cell>
          <cell r="F1403" t="str">
            <v>7RAC5F9E</v>
          </cell>
          <cell r="G1403" t="str">
            <v>B002L3TSLQ</v>
          </cell>
          <cell r="H1403" t="str">
            <v>910-001356</v>
          </cell>
          <cell r="I1403" t="str">
            <v>OE INVOICES</v>
          </cell>
          <cell r="J1403">
            <v>44422158781</v>
          </cell>
          <cell r="K1403">
            <v>44907</v>
          </cell>
          <cell r="L1403">
            <v>1</v>
          </cell>
          <cell r="M1403" t="str">
            <v>EUR</v>
          </cell>
          <cell r="N1403">
            <v>7216</v>
          </cell>
          <cell r="O1403">
            <v>20.5</v>
          </cell>
          <cell r="P1403">
            <v>352</v>
          </cell>
          <cell r="Q1403">
            <v>352</v>
          </cell>
          <cell r="R1403">
            <v>0</v>
          </cell>
        </row>
        <row r="1404">
          <cell r="A1404" t="str">
            <v>7RAC5F9EB00544XFHC</v>
          </cell>
          <cell r="B1404" t="str">
            <v>Q3-23</v>
          </cell>
          <cell r="C1404" t="str">
            <v>Europe Operations OU</v>
          </cell>
          <cell r="D1404">
            <v>2674345</v>
          </cell>
          <cell r="E1404" t="str">
            <v>Amazon EU SARL, succursale Italiana</v>
          </cell>
          <cell r="F1404" t="str">
            <v>7RAC5F9E</v>
          </cell>
          <cell r="G1404" t="str">
            <v>B00544XFHC</v>
          </cell>
          <cell r="H1404" t="str">
            <v>910-002240</v>
          </cell>
          <cell r="I1404" t="str">
            <v>OE INVOICES</v>
          </cell>
          <cell r="J1404">
            <v>44422157103</v>
          </cell>
          <cell r="K1404">
            <v>44904</v>
          </cell>
          <cell r="L1404">
            <v>1</v>
          </cell>
          <cell r="M1404" t="str">
            <v>EUR</v>
          </cell>
          <cell r="N1404">
            <v>947.7</v>
          </cell>
          <cell r="O1404">
            <v>10.53</v>
          </cell>
          <cell r="P1404">
            <v>90</v>
          </cell>
          <cell r="Q1404">
            <v>90</v>
          </cell>
          <cell r="R1404">
            <v>0</v>
          </cell>
        </row>
        <row r="1405">
          <cell r="A1405" t="str">
            <v>7RAC5F9EB00552K0GM</v>
          </cell>
          <cell r="B1405" t="str">
            <v>Q3-23</v>
          </cell>
          <cell r="C1405" t="str">
            <v>Europe Operations OU</v>
          </cell>
          <cell r="D1405">
            <v>2674345</v>
          </cell>
          <cell r="E1405" t="str">
            <v>Amazon EU SARL, succursale Italiana</v>
          </cell>
          <cell r="F1405" t="str">
            <v>7RAC5F9E</v>
          </cell>
          <cell r="G1405" t="str">
            <v>B00552K0GM</v>
          </cell>
          <cell r="H1405" t="str">
            <v>910-002235</v>
          </cell>
          <cell r="I1405" t="str">
            <v>OE INVOICES</v>
          </cell>
          <cell r="J1405">
            <v>44422157103</v>
          </cell>
          <cell r="K1405">
            <v>44904</v>
          </cell>
          <cell r="L1405">
            <v>2</v>
          </cell>
          <cell r="M1405" t="str">
            <v>EUR</v>
          </cell>
          <cell r="N1405">
            <v>10740.6</v>
          </cell>
          <cell r="O1405">
            <v>10.53</v>
          </cell>
          <cell r="P1405">
            <v>1020</v>
          </cell>
          <cell r="Q1405">
            <v>1020</v>
          </cell>
          <cell r="R1405">
            <v>0</v>
          </cell>
        </row>
        <row r="1406">
          <cell r="A1406" t="str">
            <v>7RAC5F9EB006ZLK9SQ</v>
          </cell>
          <cell r="B1406" t="str">
            <v>Q3-23</v>
          </cell>
          <cell r="C1406" t="str">
            <v>Europe Operations OU</v>
          </cell>
          <cell r="D1406">
            <v>2674345</v>
          </cell>
          <cell r="E1406" t="str">
            <v>Amazon EU SARL, succursale Italiana</v>
          </cell>
          <cell r="F1406" t="str">
            <v>7RAC5F9E</v>
          </cell>
          <cell r="G1406" t="str">
            <v>B006ZLK9SQ</v>
          </cell>
          <cell r="H1406" t="str">
            <v>920-003721</v>
          </cell>
          <cell r="I1406" t="str">
            <v>OE INVOICES</v>
          </cell>
          <cell r="J1406">
            <v>44422157103</v>
          </cell>
          <cell r="K1406">
            <v>44904</v>
          </cell>
          <cell r="L1406">
            <v>3</v>
          </cell>
          <cell r="M1406" t="str">
            <v>EUR</v>
          </cell>
          <cell r="N1406">
            <v>3444</v>
          </cell>
          <cell r="O1406">
            <v>20.5</v>
          </cell>
          <cell r="P1406">
            <v>168</v>
          </cell>
          <cell r="Q1406">
            <v>168</v>
          </cell>
          <cell r="R1406">
            <v>0</v>
          </cell>
        </row>
        <row r="1407">
          <cell r="A1407" t="str">
            <v>7RAC5F9EB00EUUXBDE</v>
          </cell>
          <cell r="B1407" t="str">
            <v>Q3-23</v>
          </cell>
          <cell r="C1407" t="str">
            <v>Europe Operations OU</v>
          </cell>
          <cell r="D1407">
            <v>2674345</v>
          </cell>
          <cell r="E1407" t="str">
            <v>Amazon EU SARL, succursale Italiana</v>
          </cell>
          <cell r="F1407" t="str">
            <v>7RAC5F9E</v>
          </cell>
          <cell r="G1407" t="str">
            <v>B00EUUXBDE</v>
          </cell>
          <cell r="H1407" t="str">
            <v>980-000810</v>
          </cell>
          <cell r="I1407" t="str">
            <v>OE INVOICES</v>
          </cell>
          <cell r="J1407">
            <v>44422146170</v>
          </cell>
          <cell r="K1407">
            <v>44900</v>
          </cell>
          <cell r="L1407">
            <v>1</v>
          </cell>
          <cell r="M1407" t="str">
            <v>EUR</v>
          </cell>
          <cell r="N1407">
            <v>3864.96</v>
          </cell>
          <cell r="O1407">
            <v>29.28</v>
          </cell>
          <cell r="P1407">
            <v>132</v>
          </cell>
          <cell r="Q1407">
            <v>132</v>
          </cell>
          <cell r="R1407">
            <v>0</v>
          </cell>
        </row>
        <row r="1408">
          <cell r="A1408" t="str">
            <v>7RAC5F9EB00EUUXFFS</v>
          </cell>
          <cell r="B1408" t="str">
            <v>Q3-23</v>
          </cell>
          <cell r="C1408" t="str">
            <v>Europe Operations OU</v>
          </cell>
          <cell r="D1408">
            <v>2674345</v>
          </cell>
          <cell r="E1408" t="str">
            <v>Amazon EU SARL, succursale Italiana</v>
          </cell>
          <cell r="F1408" t="str">
            <v>7RAC5F9E</v>
          </cell>
          <cell r="G1408" t="str">
            <v>B00EUUXFFS</v>
          </cell>
          <cell r="H1408" t="str">
            <v>980-000814</v>
          </cell>
          <cell r="I1408" t="str">
            <v>OE INVOICES</v>
          </cell>
          <cell r="J1408">
            <v>44422157103</v>
          </cell>
          <cell r="K1408">
            <v>44904</v>
          </cell>
          <cell r="L1408">
            <v>4</v>
          </cell>
          <cell r="M1408" t="str">
            <v>EUR</v>
          </cell>
          <cell r="N1408">
            <v>246</v>
          </cell>
          <cell r="O1408">
            <v>20.5</v>
          </cell>
          <cell r="P1408">
            <v>12</v>
          </cell>
          <cell r="Q1408">
            <v>12</v>
          </cell>
          <cell r="R1408">
            <v>0</v>
          </cell>
        </row>
        <row r="1409">
          <cell r="A1409" t="str">
            <v>7RAC5F9EB00N1YPXW2</v>
          </cell>
          <cell r="B1409" t="str">
            <v>Q3-23</v>
          </cell>
          <cell r="C1409" t="str">
            <v>Europe Operations OU</v>
          </cell>
          <cell r="D1409">
            <v>2674345</v>
          </cell>
          <cell r="E1409" t="str">
            <v>Amazon EU SARL, succursale Italiana</v>
          </cell>
          <cell r="F1409" t="str">
            <v>7RAC5F9E</v>
          </cell>
          <cell r="G1409" t="str">
            <v>B00N1YPXW2</v>
          </cell>
          <cell r="H1409" t="str">
            <v>988-000229</v>
          </cell>
          <cell r="I1409" t="str">
            <v>OE INVOICES</v>
          </cell>
          <cell r="J1409">
            <v>44422157103</v>
          </cell>
          <cell r="K1409">
            <v>44904</v>
          </cell>
          <cell r="L1409">
            <v>5</v>
          </cell>
          <cell r="M1409" t="str">
            <v>EUR</v>
          </cell>
          <cell r="N1409">
            <v>774.64</v>
          </cell>
          <cell r="O1409">
            <v>96.83</v>
          </cell>
          <cell r="P1409">
            <v>8</v>
          </cell>
          <cell r="Q1409">
            <v>8</v>
          </cell>
          <cell r="R1409">
            <v>0</v>
          </cell>
        </row>
        <row r="1410">
          <cell r="A1410" t="str">
            <v>7RAC5F9EB013SL2050</v>
          </cell>
          <cell r="B1410" t="str">
            <v>Q3-23</v>
          </cell>
          <cell r="C1410" t="str">
            <v>Europe Operations OU</v>
          </cell>
          <cell r="D1410">
            <v>2674345</v>
          </cell>
          <cell r="E1410" t="str">
            <v>Amazon EU SARL, succursale Italiana</v>
          </cell>
          <cell r="F1410" t="str">
            <v>7RAC5F9E</v>
          </cell>
          <cell r="G1410" t="str">
            <v>B013SL2050</v>
          </cell>
          <cell r="H1410" t="str">
            <v>920-007574</v>
          </cell>
          <cell r="I1410" t="str">
            <v>OE INVOICES</v>
          </cell>
          <cell r="J1410">
            <v>44422146170</v>
          </cell>
          <cell r="K1410">
            <v>44900</v>
          </cell>
          <cell r="L1410">
            <v>2</v>
          </cell>
          <cell r="M1410" t="str">
            <v>EUR</v>
          </cell>
          <cell r="N1410">
            <v>1288.4000000000001</v>
          </cell>
          <cell r="O1410">
            <v>32.21</v>
          </cell>
          <cell r="P1410">
            <v>40</v>
          </cell>
          <cell r="Q1410">
            <v>40</v>
          </cell>
          <cell r="R1410">
            <v>0</v>
          </cell>
        </row>
        <row r="1411">
          <cell r="A1411" t="str">
            <v>7RAC5F9EB013SL26LS</v>
          </cell>
          <cell r="B1411" t="str">
            <v>Q3-23</v>
          </cell>
          <cell r="C1411" t="str">
            <v>Europe Operations OU</v>
          </cell>
          <cell r="D1411">
            <v>2674345</v>
          </cell>
          <cell r="E1411" t="str">
            <v>Amazon EU SARL, succursale Italiana</v>
          </cell>
          <cell r="F1411" t="str">
            <v>7RAC5F9E</v>
          </cell>
          <cell r="G1411" t="str">
            <v>B013SL26LS</v>
          </cell>
          <cell r="H1411" t="str">
            <v>920-007575</v>
          </cell>
          <cell r="I1411" t="str">
            <v>OE INVOICES</v>
          </cell>
          <cell r="J1411">
            <v>44422146170</v>
          </cell>
          <cell r="K1411">
            <v>44900</v>
          </cell>
          <cell r="L1411">
            <v>3</v>
          </cell>
          <cell r="M1411" t="str">
            <v>EUR</v>
          </cell>
          <cell r="N1411">
            <v>3092.16</v>
          </cell>
          <cell r="O1411">
            <v>32.21</v>
          </cell>
          <cell r="P1411">
            <v>96</v>
          </cell>
          <cell r="Q1411">
            <v>96</v>
          </cell>
          <cell r="R1411">
            <v>0</v>
          </cell>
        </row>
        <row r="1412">
          <cell r="A1412" t="str">
            <v>7RAC5F9EB01A9GXEOI</v>
          </cell>
          <cell r="B1412" t="str">
            <v>Q3-23</v>
          </cell>
          <cell r="C1412" t="str">
            <v>Europe Operations OU</v>
          </cell>
          <cell r="D1412">
            <v>2674345</v>
          </cell>
          <cell r="E1412" t="str">
            <v>Amazon EU SARL, succursale Italiana</v>
          </cell>
          <cell r="F1412" t="str">
            <v>7RAC5F9E</v>
          </cell>
          <cell r="G1412" t="str">
            <v>B01A9GXEOI</v>
          </cell>
          <cell r="H1412" t="str">
            <v>910-004424</v>
          </cell>
          <cell r="I1412" t="str">
            <v>OE INVOICES</v>
          </cell>
          <cell r="J1412">
            <v>44422157103</v>
          </cell>
          <cell r="K1412">
            <v>44904</v>
          </cell>
          <cell r="L1412">
            <v>6</v>
          </cell>
          <cell r="M1412" t="str">
            <v>EUR</v>
          </cell>
          <cell r="N1412">
            <v>468</v>
          </cell>
          <cell r="O1412">
            <v>9.36</v>
          </cell>
          <cell r="P1412">
            <v>50</v>
          </cell>
          <cell r="Q1412">
            <v>50</v>
          </cell>
          <cell r="R1412">
            <v>0</v>
          </cell>
        </row>
        <row r="1413">
          <cell r="A1413" t="str">
            <v>7RAC5F9EB01K7GEAEI</v>
          </cell>
          <cell r="B1413" t="str">
            <v>Q3-23</v>
          </cell>
          <cell r="C1413" t="str">
            <v>Europe Operations OU</v>
          </cell>
          <cell r="D1413">
            <v>2674345</v>
          </cell>
          <cell r="E1413" t="str">
            <v>Amazon EU SARL, succursale Italiana</v>
          </cell>
          <cell r="F1413" t="str">
            <v>7RAC5F9E</v>
          </cell>
          <cell r="G1413" t="str">
            <v>B01K7GEAEI</v>
          </cell>
          <cell r="H1413" t="str">
            <v>910-004910</v>
          </cell>
          <cell r="I1413" t="str">
            <v>OE INVOICES</v>
          </cell>
          <cell r="J1413">
            <v>44422146170</v>
          </cell>
          <cell r="K1413">
            <v>44900</v>
          </cell>
          <cell r="L1413">
            <v>4</v>
          </cell>
          <cell r="M1413" t="str">
            <v>EUR</v>
          </cell>
          <cell r="N1413">
            <v>1844.5</v>
          </cell>
          <cell r="O1413">
            <v>26.35</v>
          </cell>
          <cell r="P1413">
            <v>70</v>
          </cell>
          <cell r="Q1413">
            <v>70</v>
          </cell>
          <cell r="R1413">
            <v>0</v>
          </cell>
        </row>
        <row r="1414">
          <cell r="A1414" t="str">
            <v>7RAC5F9EB01K7GEG9W</v>
          </cell>
          <cell r="B1414" t="str">
            <v>Q3-23</v>
          </cell>
          <cell r="C1414" t="str">
            <v>Europe Operations OU</v>
          </cell>
          <cell r="D1414">
            <v>2674345</v>
          </cell>
          <cell r="E1414" t="str">
            <v>Amazon EU SARL, succursale Italiana</v>
          </cell>
          <cell r="F1414" t="str">
            <v>7RAC5F9E</v>
          </cell>
          <cell r="G1414" t="str">
            <v>B01K7GEG9W</v>
          </cell>
          <cell r="H1414" t="str">
            <v>910-004878</v>
          </cell>
          <cell r="I1414" t="str">
            <v>OE INVOICES</v>
          </cell>
          <cell r="J1414">
            <v>44422158781</v>
          </cell>
          <cell r="K1414">
            <v>44907</v>
          </cell>
          <cell r="L1414">
            <v>2</v>
          </cell>
          <cell r="M1414" t="str">
            <v>EUR</v>
          </cell>
          <cell r="N1414">
            <v>7539.4</v>
          </cell>
          <cell r="O1414">
            <v>16.39</v>
          </cell>
          <cell r="P1414">
            <v>460</v>
          </cell>
          <cell r="Q1414">
            <v>460</v>
          </cell>
          <cell r="R1414">
            <v>0</v>
          </cell>
        </row>
        <row r="1415">
          <cell r="A1415" t="str">
            <v>7RAC5F9EB01KZVQB42</v>
          </cell>
          <cell r="B1415" t="str">
            <v>Q3-23</v>
          </cell>
          <cell r="C1415" t="str">
            <v>Europe Operations OU</v>
          </cell>
          <cell r="D1415">
            <v>2674345</v>
          </cell>
          <cell r="E1415" t="str">
            <v>Amazon EU SARL, succursale Italiana</v>
          </cell>
          <cell r="F1415" t="str">
            <v>7RAC5F9E</v>
          </cell>
          <cell r="G1415" t="str">
            <v>B01KZVQB42</v>
          </cell>
          <cell r="H1415" t="str">
            <v>910-004791</v>
          </cell>
          <cell r="I1415" t="str">
            <v>OE INVOICES</v>
          </cell>
          <cell r="J1415">
            <v>44422158807</v>
          </cell>
          <cell r="K1415">
            <v>44907</v>
          </cell>
          <cell r="L1415">
            <v>1</v>
          </cell>
          <cell r="M1415" t="str">
            <v>EUR</v>
          </cell>
          <cell r="N1415">
            <v>3074.4</v>
          </cell>
          <cell r="O1415">
            <v>43.92</v>
          </cell>
          <cell r="P1415">
            <v>70</v>
          </cell>
          <cell r="Q1415">
            <v>70</v>
          </cell>
          <cell r="R1415">
            <v>0</v>
          </cell>
        </row>
        <row r="1416">
          <cell r="A1416" t="str">
            <v>7RAC5F9EB01LY6Z2M6</v>
          </cell>
          <cell r="B1416" t="str">
            <v>Q3-23</v>
          </cell>
          <cell r="C1416" t="str">
            <v>Europe Operations OU</v>
          </cell>
          <cell r="D1416">
            <v>2674345</v>
          </cell>
          <cell r="E1416" t="str">
            <v>Amazon EU SARL, succursale Italiana</v>
          </cell>
          <cell r="F1416" t="str">
            <v>7RAC5F9E</v>
          </cell>
          <cell r="G1416" t="str">
            <v>B01LY6Z2M6</v>
          </cell>
          <cell r="H1416" t="str">
            <v>988-000232</v>
          </cell>
          <cell r="I1416" t="str">
            <v>OE INVOICES</v>
          </cell>
          <cell r="J1416">
            <v>44422157103</v>
          </cell>
          <cell r="K1416">
            <v>44904</v>
          </cell>
          <cell r="L1416">
            <v>7</v>
          </cell>
          <cell r="M1416" t="str">
            <v>EUR</v>
          </cell>
          <cell r="N1416">
            <v>1549.28</v>
          </cell>
          <cell r="O1416">
            <v>96.83</v>
          </cell>
          <cell r="P1416">
            <v>16</v>
          </cell>
          <cell r="Q1416">
            <v>16</v>
          </cell>
          <cell r="R1416">
            <v>0</v>
          </cell>
        </row>
        <row r="1417">
          <cell r="A1417" t="str">
            <v>7RAC5F9EB0728J7D3B</v>
          </cell>
          <cell r="B1417" t="str">
            <v>Q3-23</v>
          </cell>
          <cell r="C1417" t="str">
            <v>Europe Operations OU</v>
          </cell>
          <cell r="D1417">
            <v>2674345</v>
          </cell>
          <cell r="E1417" t="str">
            <v>Amazon EU SARL, succursale Italiana</v>
          </cell>
          <cell r="F1417" t="str">
            <v>7RAC5F9E</v>
          </cell>
          <cell r="G1417" t="str">
            <v>B0728J7D3B</v>
          </cell>
          <cell r="H1417" t="str">
            <v>981-000668</v>
          </cell>
          <cell r="I1417" t="str">
            <v>OE INVOICES</v>
          </cell>
          <cell r="J1417">
            <v>44422157103</v>
          </cell>
          <cell r="K1417">
            <v>44904</v>
          </cell>
          <cell r="L1417">
            <v>8</v>
          </cell>
          <cell r="M1417" t="str">
            <v>EUR</v>
          </cell>
          <cell r="N1417">
            <v>880.08</v>
          </cell>
          <cell r="O1417">
            <v>73.34</v>
          </cell>
          <cell r="P1417">
            <v>12</v>
          </cell>
          <cell r="Q1417">
            <v>12</v>
          </cell>
          <cell r="R1417">
            <v>0</v>
          </cell>
        </row>
        <row r="1418">
          <cell r="A1418" t="str">
            <v>7RAC5F9EB074W227RK</v>
          </cell>
          <cell r="B1418" t="str">
            <v>Q3-23</v>
          </cell>
          <cell r="C1418" t="str">
            <v>Europe Operations OU</v>
          </cell>
          <cell r="D1418">
            <v>2674345</v>
          </cell>
          <cell r="E1418" t="str">
            <v>Amazon EU SARL, succursale Italiana</v>
          </cell>
          <cell r="F1418" t="str">
            <v>7RAC5F9E</v>
          </cell>
          <cell r="G1418" t="str">
            <v>B074W227RK</v>
          </cell>
          <cell r="H1418" t="str">
            <v>910-005179</v>
          </cell>
          <cell r="I1418" t="str">
            <v>OE INVOICES</v>
          </cell>
          <cell r="J1418">
            <v>44422158807</v>
          </cell>
          <cell r="K1418">
            <v>44907</v>
          </cell>
          <cell r="L1418">
            <v>2</v>
          </cell>
          <cell r="M1418" t="str">
            <v>EUR</v>
          </cell>
          <cell r="N1418">
            <v>4176.6000000000004</v>
          </cell>
          <cell r="O1418">
            <v>69.61</v>
          </cell>
          <cell r="P1418">
            <v>60</v>
          </cell>
          <cell r="Q1418">
            <v>60</v>
          </cell>
          <cell r="R1418">
            <v>0</v>
          </cell>
        </row>
        <row r="1419">
          <cell r="A1419" t="str">
            <v>7RAC5F9EB07DTTGZ7M</v>
          </cell>
          <cell r="B1419" t="str">
            <v>Q3-23</v>
          </cell>
          <cell r="C1419" t="str">
            <v>Europe Operations OU</v>
          </cell>
          <cell r="D1419">
            <v>2674345</v>
          </cell>
          <cell r="E1419" t="str">
            <v>Amazon EU SARL, succursale Italiana</v>
          </cell>
          <cell r="F1419" t="str">
            <v>7RAC5F9E</v>
          </cell>
          <cell r="G1419" t="str">
            <v>B07DTTGZ7M</v>
          </cell>
          <cell r="H1419" t="str">
            <v>988-000205</v>
          </cell>
          <cell r="I1419" t="str">
            <v>OE INVOICES</v>
          </cell>
          <cell r="J1419">
            <v>44422157103</v>
          </cell>
          <cell r="K1419">
            <v>44904</v>
          </cell>
          <cell r="L1419">
            <v>9</v>
          </cell>
          <cell r="M1419" t="str">
            <v>EUR</v>
          </cell>
          <cell r="N1419">
            <v>664</v>
          </cell>
          <cell r="O1419">
            <v>83</v>
          </cell>
          <cell r="P1419">
            <v>8</v>
          </cell>
          <cell r="Q1419">
            <v>8</v>
          </cell>
          <cell r="R1419">
            <v>0</v>
          </cell>
        </row>
        <row r="1420">
          <cell r="A1420" t="str">
            <v>7RAC5F9EB07H3HGVDW</v>
          </cell>
          <cell r="B1420" t="str">
            <v>Q3-23</v>
          </cell>
          <cell r="C1420" t="str">
            <v>Europe Operations OU</v>
          </cell>
          <cell r="D1420">
            <v>2674345</v>
          </cell>
          <cell r="E1420" t="str">
            <v>Amazon EU SARL, succursale Italiana</v>
          </cell>
          <cell r="F1420" t="str">
            <v>7RAC5F9E</v>
          </cell>
          <cell r="G1420" t="str">
            <v>B07H3HGVDW</v>
          </cell>
          <cell r="H1420" t="str">
            <v>914-000034</v>
          </cell>
          <cell r="I1420" t="str">
            <v>OE INVOICES</v>
          </cell>
          <cell r="J1420">
            <v>44422157103</v>
          </cell>
          <cell r="K1420">
            <v>44904</v>
          </cell>
          <cell r="L1420">
            <v>10</v>
          </cell>
          <cell r="M1420" t="str">
            <v>EUR</v>
          </cell>
          <cell r="N1420">
            <v>1028.6400000000001</v>
          </cell>
          <cell r="O1420">
            <v>42.86</v>
          </cell>
          <cell r="P1420">
            <v>24</v>
          </cell>
          <cell r="Q1420">
            <v>24</v>
          </cell>
          <cell r="R1420">
            <v>0</v>
          </cell>
        </row>
        <row r="1421">
          <cell r="A1421" t="str">
            <v>7RAC5F9EB07MTXLFXV</v>
          </cell>
          <cell r="B1421" t="str">
            <v>Q3-23</v>
          </cell>
          <cell r="C1421" t="str">
            <v>Europe Operations OU</v>
          </cell>
          <cell r="D1421">
            <v>2674345</v>
          </cell>
          <cell r="E1421" t="str">
            <v>Amazon EU SARL, succursale Italiana</v>
          </cell>
          <cell r="F1421" t="str">
            <v>7RAC5F9E</v>
          </cell>
          <cell r="G1421" t="str">
            <v>B07MTXLFXV</v>
          </cell>
          <cell r="H1421" t="str">
            <v>981-000770</v>
          </cell>
          <cell r="I1421" t="str">
            <v>OE INVOICES</v>
          </cell>
          <cell r="J1421">
            <v>44422157103</v>
          </cell>
          <cell r="K1421">
            <v>44904</v>
          </cell>
          <cell r="L1421">
            <v>11</v>
          </cell>
          <cell r="M1421" t="str">
            <v>EUR</v>
          </cell>
          <cell r="N1421">
            <v>379.84</v>
          </cell>
          <cell r="O1421">
            <v>47.48</v>
          </cell>
          <cell r="P1421">
            <v>8</v>
          </cell>
          <cell r="Q1421">
            <v>8</v>
          </cell>
          <cell r="R1421">
            <v>0</v>
          </cell>
        </row>
        <row r="1422">
          <cell r="A1422" t="str">
            <v>7RAC5F9EB07TTB3SR2</v>
          </cell>
          <cell r="B1422" t="str">
            <v>Q3-23</v>
          </cell>
          <cell r="C1422" t="str">
            <v>Europe Operations OU</v>
          </cell>
          <cell r="D1422">
            <v>2674345</v>
          </cell>
          <cell r="E1422" t="str">
            <v>Amazon EU SARL, succursale Italiana</v>
          </cell>
          <cell r="F1422" t="str">
            <v>7RAC5F9E</v>
          </cell>
          <cell r="G1422" t="str">
            <v>B07TTB3SR2</v>
          </cell>
          <cell r="H1422" t="str">
            <v>939-001676</v>
          </cell>
          <cell r="I1422" t="str">
            <v>OE INVOICES</v>
          </cell>
          <cell r="J1422">
            <v>44422146170</v>
          </cell>
          <cell r="K1422">
            <v>44900</v>
          </cell>
          <cell r="L1422">
            <v>5</v>
          </cell>
          <cell r="M1422" t="str">
            <v>EUR</v>
          </cell>
          <cell r="N1422">
            <v>78785.279999999999</v>
          </cell>
          <cell r="O1422">
            <v>234.48</v>
          </cell>
          <cell r="P1422">
            <v>336</v>
          </cell>
          <cell r="Q1422">
            <v>336</v>
          </cell>
          <cell r="R1422">
            <v>0</v>
          </cell>
        </row>
        <row r="1423">
          <cell r="A1423" t="str">
            <v>7RAC5F9EB07TTB3SRB</v>
          </cell>
          <cell r="B1423" t="str">
            <v>Q3-23</v>
          </cell>
          <cell r="C1423" t="str">
            <v>Europe Operations OU</v>
          </cell>
          <cell r="D1423">
            <v>2674345</v>
          </cell>
          <cell r="E1423" t="str">
            <v>Amazon EU SARL, succursale Italiana</v>
          </cell>
          <cell r="F1423" t="str">
            <v>7RAC5F9E</v>
          </cell>
          <cell r="G1423" t="str">
            <v>B07TTB3SRB</v>
          </cell>
          <cell r="H1423" t="str">
            <v>939-001682</v>
          </cell>
          <cell r="I1423" t="str">
            <v>OE INVOICES</v>
          </cell>
          <cell r="J1423">
            <v>44422157103</v>
          </cell>
          <cell r="K1423">
            <v>44904</v>
          </cell>
          <cell r="L1423">
            <v>12</v>
          </cell>
          <cell r="M1423" t="str">
            <v>EUR</v>
          </cell>
          <cell r="N1423">
            <v>52523.519999999997</v>
          </cell>
          <cell r="O1423">
            <v>234.48</v>
          </cell>
          <cell r="P1423">
            <v>224</v>
          </cell>
          <cell r="Q1423">
            <v>224</v>
          </cell>
          <cell r="R1423">
            <v>0</v>
          </cell>
        </row>
        <row r="1424">
          <cell r="A1424" t="str">
            <v>7RAC5F9EB07VFJT9NM</v>
          </cell>
          <cell r="B1424" t="str">
            <v>Q3-23</v>
          </cell>
          <cell r="C1424" t="str">
            <v>Europe Operations OU</v>
          </cell>
          <cell r="D1424">
            <v>2674345</v>
          </cell>
          <cell r="E1424" t="str">
            <v>Amazon EU SARL, succursale Italiana</v>
          </cell>
          <cell r="F1424" t="str">
            <v>7RAC5F9E</v>
          </cell>
          <cell r="G1424" t="str">
            <v>B07VFJT9NM</v>
          </cell>
          <cell r="H1424" t="str">
            <v>910-005716</v>
          </cell>
          <cell r="I1424" t="str">
            <v>OE INVOICES</v>
          </cell>
          <cell r="J1424">
            <v>44422158781</v>
          </cell>
          <cell r="K1424">
            <v>44907</v>
          </cell>
          <cell r="L1424">
            <v>3</v>
          </cell>
          <cell r="M1424" t="str">
            <v>EUR</v>
          </cell>
          <cell r="N1424">
            <v>2130.6999999999998</v>
          </cell>
          <cell r="O1424">
            <v>16.39</v>
          </cell>
          <cell r="P1424">
            <v>130</v>
          </cell>
          <cell r="Q1424">
            <v>130</v>
          </cell>
          <cell r="R1424">
            <v>0</v>
          </cell>
        </row>
        <row r="1425">
          <cell r="A1425" t="str">
            <v>7RAC5F9EB07W4DHKTD</v>
          </cell>
          <cell r="B1425" t="str">
            <v>Q3-23</v>
          </cell>
          <cell r="C1425" t="str">
            <v>Europe Operations OU</v>
          </cell>
          <cell r="D1425">
            <v>2674345</v>
          </cell>
          <cell r="E1425" t="str">
            <v>Amazon EU SARL, succursale Italiana</v>
          </cell>
          <cell r="F1425" t="str">
            <v>7RAC5F9E</v>
          </cell>
          <cell r="G1425" t="str">
            <v>B07W4DHKTD</v>
          </cell>
          <cell r="H1425" t="str">
            <v>910-005880</v>
          </cell>
          <cell r="I1425" t="str">
            <v>OE INVOICES</v>
          </cell>
          <cell r="J1425">
            <v>44422157103</v>
          </cell>
          <cell r="K1425">
            <v>44904</v>
          </cell>
          <cell r="L1425">
            <v>13</v>
          </cell>
          <cell r="M1425" t="str">
            <v>EUR</v>
          </cell>
          <cell r="N1425">
            <v>1006.68</v>
          </cell>
          <cell r="O1425">
            <v>83.89</v>
          </cell>
          <cell r="P1425">
            <v>12</v>
          </cell>
          <cell r="Q1425">
            <v>12</v>
          </cell>
          <cell r="R1425">
            <v>0</v>
          </cell>
        </row>
        <row r="1426">
          <cell r="A1426" t="str">
            <v>7RAC5F9EB07W4DHNBF</v>
          </cell>
          <cell r="B1426" t="str">
            <v>Q3-23</v>
          </cell>
          <cell r="C1426" t="str">
            <v>Europe Operations OU</v>
          </cell>
          <cell r="D1426">
            <v>2674345</v>
          </cell>
          <cell r="E1426" t="str">
            <v>Amazon EU SARL, succursale Italiana</v>
          </cell>
          <cell r="F1426" t="str">
            <v>7RAC5F9E</v>
          </cell>
          <cell r="G1426" t="str">
            <v>B07W4DHNBF</v>
          </cell>
          <cell r="H1426" t="str">
            <v>960-001281</v>
          </cell>
          <cell r="I1426" t="str">
            <v>OE INVOICES</v>
          </cell>
          <cell r="J1426">
            <v>44422157103</v>
          </cell>
          <cell r="K1426">
            <v>44904</v>
          </cell>
          <cell r="L1426">
            <v>14</v>
          </cell>
          <cell r="M1426" t="str">
            <v>EUR</v>
          </cell>
          <cell r="N1426">
            <v>4427.5200000000004</v>
          </cell>
          <cell r="O1426">
            <v>92.24</v>
          </cell>
          <cell r="P1426">
            <v>48</v>
          </cell>
          <cell r="Q1426">
            <v>48</v>
          </cell>
          <cell r="R1426">
            <v>0</v>
          </cell>
        </row>
        <row r="1427">
          <cell r="A1427" t="str">
            <v>7RAC5F9EB07W4DHZLS</v>
          </cell>
          <cell r="B1427" t="str">
            <v>Q3-23</v>
          </cell>
          <cell r="C1427" t="str">
            <v>Europe Operations OU</v>
          </cell>
          <cell r="D1427">
            <v>2674345</v>
          </cell>
          <cell r="E1427" t="str">
            <v>Amazon EU SARL, succursale Italiana</v>
          </cell>
          <cell r="F1427" t="str">
            <v>7RAC5F9E</v>
          </cell>
          <cell r="G1427" t="str">
            <v>B07W4DHZLS</v>
          </cell>
          <cell r="H1427" t="str">
            <v>920-010041</v>
          </cell>
          <cell r="I1427" t="str">
            <v>OE INVOICES</v>
          </cell>
          <cell r="J1427">
            <v>44422157103</v>
          </cell>
          <cell r="K1427">
            <v>44904</v>
          </cell>
          <cell r="L1427">
            <v>15</v>
          </cell>
          <cell r="M1427" t="str">
            <v>EUR</v>
          </cell>
          <cell r="N1427">
            <v>2598.4</v>
          </cell>
          <cell r="O1427">
            <v>40.6</v>
          </cell>
          <cell r="P1427">
            <v>64</v>
          </cell>
          <cell r="Q1427">
            <v>64</v>
          </cell>
          <cell r="R1427">
            <v>0</v>
          </cell>
        </row>
        <row r="1428">
          <cell r="A1428" t="str">
            <v>7RAC5F9EB07W5JHXF8</v>
          </cell>
          <cell r="B1428" t="str">
            <v>Q3-23</v>
          </cell>
          <cell r="C1428" t="str">
            <v>Europe Operations OU</v>
          </cell>
          <cell r="D1428">
            <v>2674345</v>
          </cell>
          <cell r="E1428" t="str">
            <v>Amazon EU SARL, succursale Italiana</v>
          </cell>
          <cell r="F1428" t="str">
            <v>7RAC5F9E</v>
          </cell>
          <cell r="G1428" t="str">
            <v>B07W5JHXF8</v>
          </cell>
          <cell r="H1428" t="str">
            <v>920-010398</v>
          </cell>
          <cell r="I1428" t="str">
            <v>OE INVOICES</v>
          </cell>
          <cell r="J1428">
            <v>44422157103</v>
          </cell>
          <cell r="K1428">
            <v>44904</v>
          </cell>
          <cell r="L1428">
            <v>16</v>
          </cell>
          <cell r="M1428" t="str">
            <v>EUR</v>
          </cell>
          <cell r="N1428">
            <v>2061.44</v>
          </cell>
          <cell r="O1428">
            <v>32.21</v>
          </cell>
          <cell r="P1428">
            <v>64</v>
          </cell>
          <cell r="Q1428">
            <v>64</v>
          </cell>
          <cell r="R1428">
            <v>0</v>
          </cell>
        </row>
        <row r="1429">
          <cell r="A1429" t="str">
            <v>7RAC5F9EB07W5JKWTH</v>
          </cell>
          <cell r="B1429" t="str">
            <v>Q3-23</v>
          </cell>
          <cell r="C1429" t="str">
            <v>Europe Operations OU</v>
          </cell>
          <cell r="D1429">
            <v>2674345</v>
          </cell>
          <cell r="E1429" t="str">
            <v>Amazon EU SARL, succursale Italiana</v>
          </cell>
          <cell r="F1429" t="str">
            <v>7RAC5F9E</v>
          </cell>
          <cell r="G1429" t="str">
            <v>B07W5JKWTH</v>
          </cell>
          <cell r="H1429" t="str">
            <v>920-009686</v>
          </cell>
          <cell r="I1429" t="str">
            <v>OE INVOICES</v>
          </cell>
          <cell r="J1429">
            <v>44422146170</v>
          </cell>
          <cell r="K1429">
            <v>44900</v>
          </cell>
          <cell r="L1429">
            <v>6</v>
          </cell>
          <cell r="M1429" t="str">
            <v>EUR</v>
          </cell>
          <cell r="N1429">
            <v>3339.84</v>
          </cell>
          <cell r="O1429">
            <v>69.58</v>
          </cell>
          <cell r="P1429">
            <v>48</v>
          </cell>
          <cell r="Q1429">
            <v>48</v>
          </cell>
          <cell r="R1429">
            <v>0</v>
          </cell>
        </row>
        <row r="1430">
          <cell r="A1430" t="str">
            <v>7RAC5F9EB07W6HBPSX</v>
          </cell>
          <cell r="B1430" t="str">
            <v>Q3-23</v>
          </cell>
          <cell r="C1430" t="str">
            <v>Europe Operations OU</v>
          </cell>
          <cell r="D1430">
            <v>2674345</v>
          </cell>
          <cell r="E1430" t="str">
            <v>Amazon EU SARL, succursale Italiana</v>
          </cell>
          <cell r="F1430" t="str">
            <v>7RAC5F9E</v>
          </cell>
          <cell r="G1430" t="str">
            <v>B07W6HBPSX</v>
          </cell>
          <cell r="H1430" t="str">
            <v>981-001101</v>
          </cell>
          <cell r="I1430" t="str">
            <v>OE INVOICES</v>
          </cell>
          <cell r="J1430">
            <v>44422157103</v>
          </cell>
          <cell r="K1430">
            <v>44904</v>
          </cell>
          <cell r="L1430">
            <v>17</v>
          </cell>
          <cell r="M1430" t="str">
            <v>EUR</v>
          </cell>
          <cell r="N1430">
            <v>1160.1600000000001</v>
          </cell>
          <cell r="O1430">
            <v>145.02000000000001</v>
          </cell>
          <cell r="P1430">
            <v>8</v>
          </cell>
          <cell r="Q1430">
            <v>8</v>
          </cell>
          <cell r="R1430">
            <v>0</v>
          </cell>
        </row>
        <row r="1431">
          <cell r="A1431" t="str">
            <v>7RAC5F9EB07W6JM35X</v>
          </cell>
          <cell r="B1431" t="str">
            <v>Q3-23</v>
          </cell>
          <cell r="C1431" t="str">
            <v>Europe Operations OU</v>
          </cell>
          <cell r="D1431">
            <v>2674345</v>
          </cell>
          <cell r="E1431" t="str">
            <v>Amazon EU SARL, succursale Italiana</v>
          </cell>
          <cell r="F1431" t="str">
            <v>7RAC5F9E</v>
          </cell>
          <cell r="G1431" t="str">
            <v>B07W6JM35X</v>
          </cell>
          <cell r="H1431" t="str">
            <v>981-001062</v>
          </cell>
          <cell r="I1431" t="str">
            <v>OE INVOICES</v>
          </cell>
          <cell r="J1431">
            <v>44422157103</v>
          </cell>
          <cell r="K1431">
            <v>44904</v>
          </cell>
          <cell r="L1431">
            <v>18</v>
          </cell>
          <cell r="M1431" t="str">
            <v>EUR</v>
          </cell>
          <cell r="N1431">
            <v>179.36</v>
          </cell>
          <cell r="O1431">
            <v>44.84</v>
          </cell>
          <cell r="P1431">
            <v>4</v>
          </cell>
          <cell r="Q1431">
            <v>4</v>
          </cell>
          <cell r="R1431">
            <v>0</v>
          </cell>
        </row>
        <row r="1432">
          <cell r="A1432" t="str">
            <v>7RAC5F9EB07W7KBRHZ</v>
          </cell>
          <cell r="B1432" t="str">
            <v>Q3-23</v>
          </cell>
          <cell r="C1432" t="str">
            <v>Europe Operations OU</v>
          </cell>
          <cell r="D1432">
            <v>2674345</v>
          </cell>
          <cell r="E1432" t="str">
            <v>Amazon EU SARL, succursale Italiana</v>
          </cell>
          <cell r="F1432" t="str">
            <v>7RAC5F9E</v>
          </cell>
          <cell r="G1432" t="str">
            <v>B07W7KBRHZ</v>
          </cell>
          <cell r="H1432" t="str">
            <v>943-000285</v>
          </cell>
          <cell r="I1432" t="str">
            <v>OE INVOICES</v>
          </cell>
          <cell r="J1432">
            <v>44422157103</v>
          </cell>
          <cell r="K1432">
            <v>44904</v>
          </cell>
          <cell r="L1432">
            <v>19</v>
          </cell>
          <cell r="M1432" t="str">
            <v>EUR</v>
          </cell>
          <cell r="N1432">
            <v>248.96</v>
          </cell>
          <cell r="O1432">
            <v>31.12</v>
          </cell>
          <cell r="P1432">
            <v>8</v>
          </cell>
          <cell r="Q1432">
            <v>8</v>
          </cell>
          <cell r="R1432">
            <v>0</v>
          </cell>
        </row>
        <row r="1433">
          <cell r="A1433" t="str">
            <v>7RAC5F9EB07W7KHQLR</v>
          </cell>
          <cell r="B1433" t="str">
            <v>Q3-23</v>
          </cell>
          <cell r="C1433" t="str">
            <v>Europe Operations OU</v>
          </cell>
          <cell r="D1433">
            <v>2674345</v>
          </cell>
          <cell r="E1433" t="str">
            <v>Amazon EU SARL, succursale Italiana</v>
          </cell>
          <cell r="F1433" t="str">
            <v>7RAC5F9E</v>
          </cell>
          <cell r="G1433" t="str">
            <v>B07W7KHQLR</v>
          </cell>
          <cell r="H1433" t="str">
            <v>988-000244</v>
          </cell>
          <cell r="I1433" t="str">
            <v>OE INVOICES</v>
          </cell>
          <cell r="J1433">
            <v>44422157103</v>
          </cell>
          <cell r="K1433">
            <v>44904</v>
          </cell>
          <cell r="L1433">
            <v>20</v>
          </cell>
          <cell r="M1433" t="str">
            <v>EUR</v>
          </cell>
          <cell r="N1433">
            <v>4980</v>
          </cell>
          <cell r="O1433">
            <v>124.5</v>
          </cell>
          <cell r="P1433">
            <v>40</v>
          </cell>
          <cell r="Q1433">
            <v>40</v>
          </cell>
          <cell r="R1433">
            <v>0</v>
          </cell>
        </row>
        <row r="1434">
          <cell r="A1434" t="str">
            <v>7RAC5F9EB07W7LW3VS</v>
          </cell>
          <cell r="B1434" t="str">
            <v>Q3-23</v>
          </cell>
          <cell r="C1434" t="str">
            <v>Europe Operations OU</v>
          </cell>
          <cell r="D1434">
            <v>2674345</v>
          </cell>
          <cell r="E1434" t="str">
            <v>Amazon EU SARL, succursale Italiana</v>
          </cell>
          <cell r="F1434" t="str">
            <v>7RAC5F9E</v>
          </cell>
          <cell r="G1434" t="str">
            <v>B07W7LW3VS</v>
          </cell>
          <cell r="H1434" t="str">
            <v>920-009707</v>
          </cell>
          <cell r="I1434" t="str">
            <v>OE INVOICES</v>
          </cell>
          <cell r="J1434">
            <v>44422146170</v>
          </cell>
          <cell r="K1434">
            <v>44900</v>
          </cell>
          <cell r="L1434">
            <v>7</v>
          </cell>
          <cell r="M1434" t="str">
            <v>EUR</v>
          </cell>
          <cell r="N1434">
            <v>7237.44</v>
          </cell>
          <cell r="O1434">
            <v>75.39</v>
          </cell>
          <cell r="P1434">
            <v>96</v>
          </cell>
          <cell r="Q1434">
            <v>96</v>
          </cell>
          <cell r="R1434">
            <v>0</v>
          </cell>
        </row>
        <row r="1435">
          <cell r="A1435" t="str">
            <v>7SCVG2OTB003UC85CU</v>
          </cell>
          <cell r="B1435" t="str">
            <v>Q3-23</v>
          </cell>
          <cell r="C1435" t="str">
            <v>Europe Operations OU</v>
          </cell>
          <cell r="D1435">
            <v>2674345</v>
          </cell>
          <cell r="E1435" t="str">
            <v>Amazon EU SARL, succursale Italiana</v>
          </cell>
          <cell r="F1435" t="str">
            <v>7SCVG2OT</v>
          </cell>
          <cell r="G1435" t="str">
            <v>B003UC85CU</v>
          </cell>
          <cell r="H1435" t="str">
            <v>920-002534</v>
          </cell>
          <cell r="I1435" t="str">
            <v>OE INVOICES</v>
          </cell>
          <cell r="J1435">
            <v>44422142933</v>
          </cell>
          <cell r="K1435">
            <v>44896</v>
          </cell>
          <cell r="L1435">
            <v>1</v>
          </cell>
          <cell r="M1435" t="str">
            <v>EUR</v>
          </cell>
          <cell r="N1435">
            <v>175.6</v>
          </cell>
          <cell r="O1435">
            <v>17.559999999999999</v>
          </cell>
          <cell r="P1435">
            <v>10</v>
          </cell>
          <cell r="Q1435">
            <v>10</v>
          </cell>
          <cell r="R1435">
            <v>0</v>
          </cell>
        </row>
        <row r="1436">
          <cell r="A1436" t="str">
            <v>7SCVG2OTB003UPJXIC</v>
          </cell>
          <cell r="B1436" t="str">
            <v>Q3-23</v>
          </cell>
          <cell r="C1436" t="str">
            <v>Europe Operations OU</v>
          </cell>
          <cell r="D1436">
            <v>2674345</v>
          </cell>
          <cell r="E1436" t="str">
            <v>Amazon EU SARL, succursale Italiana</v>
          </cell>
          <cell r="F1436" t="str">
            <v>7SCVG2OT</v>
          </cell>
          <cell r="G1436" t="str">
            <v>B003UPJXIC</v>
          </cell>
          <cell r="H1436" t="str">
            <v>980-000403</v>
          </cell>
          <cell r="I1436" t="str">
            <v>OE INVOICES</v>
          </cell>
          <cell r="J1436">
            <v>44422142933</v>
          </cell>
          <cell r="K1436">
            <v>44896</v>
          </cell>
          <cell r="L1436">
            <v>2</v>
          </cell>
          <cell r="M1436" t="str">
            <v>EUR</v>
          </cell>
          <cell r="N1436">
            <v>577.20000000000005</v>
          </cell>
          <cell r="O1436">
            <v>115.44</v>
          </cell>
          <cell r="P1436">
            <v>5</v>
          </cell>
          <cell r="Q1436">
            <v>5</v>
          </cell>
          <cell r="R1436">
            <v>0</v>
          </cell>
        </row>
        <row r="1437">
          <cell r="A1437" t="str">
            <v>7SCVG2OTB00969DJO0</v>
          </cell>
          <cell r="B1437" t="str">
            <v>Q3-23</v>
          </cell>
          <cell r="C1437" t="str">
            <v>Europe Operations OU</v>
          </cell>
          <cell r="D1437">
            <v>2674345</v>
          </cell>
          <cell r="E1437" t="str">
            <v>Amazon EU SARL, succursale Italiana</v>
          </cell>
          <cell r="F1437" t="str">
            <v>7SCVG2OT</v>
          </cell>
          <cell r="G1437" t="str">
            <v>B00969DJO0</v>
          </cell>
          <cell r="H1437" t="str">
            <v>920-003968</v>
          </cell>
          <cell r="I1437" t="str">
            <v>OE INVOICES</v>
          </cell>
          <cell r="J1437">
            <v>44422142933</v>
          </cell>
          <cell r="K1437">
            <v>44896</v>
          </cell>
          <cell r="L1437">
            <v>3</v>
          </cell>
          <cell r="M1437" t="str">
            <v>EUR</v>
          </cell>
          <cell r="N1437">
            <v>1124.1600000000001</v>
          </cell>
          <cell r="O1437">
            <v>35.130000000000003</v>
          </cell>
          <cell r="P1437">
            <v>32</v>
          </cell>
          <cell r="Q1437">
            <v>32</v>
          </cell>
          <cell r="R1437">
            <v>0</v>
          </cell>
        </row>
        <row r="1438">
          <cell r="A1438" t="str">
            <v>7SCVG2OTB00BF5QDZU</v>
          </cell>
          <cell r="B1438" t="str">
            <v>Q3-23</v>
          </cell>
          <cell r="C1438" t="str">
            <v>Europe Operations OU</v>
          </cell>
          <cell r="D1438">
            <v>2674345</v>
          </cell>
          <cell r="E1438" t="str">
            <v>Amazon EU SARL, succursale Italiana</v>
          </cell>
          <cell r="F1438" t="str">
            <v>7SCVG2OT</v>
          </cell>
          <cell r="G1438" t="str">
            <v>B00BF5QDZU</v>
          </cell>
          <cell r="H1438" t="str">
            <v>920-004510</v>
          </cell>
          <cell r="I1438" t="str">
            <v>OE INVOICES</v>
          </cell>
          <cell r="J1438">
            <v>44422142933</v>
          </cell>
          <cell r="K1438">
            <v>44896</v>
          </cell>
          <cell r="L1438">
            <v>4</v>
          </cell>
          <cell r="M1438" t="str">
            <v>EUR</v>
          </cell>
          <cell r="N1438">
            <v>790.5</v>
          </cell>
          <cell r="O1438">
            <v>26.35</v>
          </cell>
          <cell r="P1438">
            <v>30</v>
          </cell>
          <cell r="Q1438">
            <v>30</v>
          </cell>
          <cell r="R1438">
            <v>0</v>
          </cell>
        </row>
        <row r="1439">
          <cell r="A1439" t="str">
            <v>7SCVG2OTB00EJ3RMDM</v>
          </cell>
          <cell r="B1439" t="str">
            <v>Q3-23</v>
          </cell>
          <cell r="C1439" t="str">
            <v>Europe Operations OU</v>
          </cell>
          <cell r="D1439">
            <v>2674345</v>
          </cell>
          <cell r="E1439" t="str">
            <v>Amazon EU SARL, succursale Italiana</v>
          </cell>
          <cell r="F1439" t="str">
            <v>7SCVG2OT</v>
          </cell>
          <cell r="G1439" t="str">
            <v>B00EJ3RMDM</v>
          </cell>
          <cell r="H1439" t="str">
            <v>920-005210</v>
          </cell>
          <cell r="I1439" t="str">
            <v>OE INVOICES</v>
          </cell>
          <cell r="J1439">
            <v>44422142933</v>
          </cell>
          <cell r="K1439">
            <v>44896</v>
          </cell>
          <cell r="L1439">
            <v>5</v>
          </cell>
          <cell r="M1439" t="str">
            <v>EUR</v>
          </cell>
          <cell r="N1439">
            <v>163.9</v>
          </cell>
          <cell r="O1439">
            <v>16.39</v>
          </cell>
          <cell r="P1439">
            <v>10</v>
          </cell>
          <cell r="Q1439">
            <v>10</v>
          </cell>
          <cell r="R1439">
            <v>0</v>
          </cell>
        </row>
        <row r="1440">
          <cell r="A1440" t="str">
            <v>7SCVG2OTB013Y78YY4</v>
          </cell>
          <cell r="B1440" t="str">
            <v>Q3-23</v>
          </cell>
          <cell r="C1440" t="str">
            <v>Europe Operations OU</v>
          </cell>
          <cell r="D1440">
            <v>2674345</v>
          </cell>
          <cell r="E1440" t="str">
            <v>Amazon EU SARL, succursale Italiana</v>
          </cell>
          <cell r="F1440" t="str">
            <v>7SCVG2OT</v>
          </cell>
          <cell r="G1440" t="str">
            <v>B013Y78YY4</v>
          </cell>
          <cell r="H1440" t="str">
            <v>941-000124</v>
          </cell>
          <cell r="I1440" t="str">
            <v>OE INVOICES</v>
          </cell>
          <cell r="J1440">
            <v>44422142933</v>
          </cell>
          <cell r="K1440">
            <v>44896</v>
          </cell>
          <cell r="L1440">
            <v>6</v>
          </cell>
          <cell r="M1440" t="str">
            <v>EUR</v>
          </cell>
          <cell r="N1440">
            <v>2315.7199999999998</v>
          </cell>
          <cell r="O1440">
            <v>210.52</v>
          </cell>
          <cell r="P1440">
            <v>11</v>
          </cell>
          <cell r="Q1440">
            <v>11</v>
          </cell>
          <cell r="R1440">
            <v>0</v>
          </cell>
        </row>
        <row r="1441">
          <cell r="A1441" t="str">
            <v>7SCVG2OTB01GHP1IDY</v>
          </cell>
          <cell r="B1441" t="str">
            <v>Q3-23</v>
          </cell>
          <cell r="C1441" t="str">
            <v>Europe Operations OU</v>
          </cell>
          <cell r="D1441">
            <v>2674345</v>
          </cell>
          <cell r="E1441" t="str">
            <v>Amazon EU SARL, succursale Italiana</v>
          </cell>
          <cell r="F1441" t="str">
            <v>7SCVG2OT</v>
          </cell>
          <cell r="G1441" t="str">
            <v>B01GHP1IDY</v>
          </cell>
          <cell r="H1441" t="str">
            <v>920-008013</v>
          </cell>
          <cell r="I1441" t="str">
            <v>OE INVOICES</v>
          </cell>
          <cell r="J1441">
            <v>44422142933</v>
          </cell>
          <cell r="K1441">
            <v>44896</v>
          </cell>
          <cell r="L1441">
            <v>7</v>
          </cell>
          <cell r="M1441" t="str">
            <v>EUR</v>
          </cell>
          <cell r="N1441">
            <v>420</v>
          </cell>
          <cell r="O1441">
            <v>105</v>
          </cell>
          <cell r="P1441">
            <v>4</v>
          </cell>
          <cell r="Q1441">
            <v>4</v>
          </cell>
          <cell r="R1441">
            <v>0</v>
          </cell>
        </row>
        <row r="1442">
          <cell r="A1442" t="str">
            <v>7SCVG2OTB01N6NGNQ8</v>
          </cell>
          <cell r="B1442" t="str">
            <v>Q3-23</v>
          </cell>
          <cell r="C1442" t="str">
            <v>Europe Operations OU</v>
          </cell>
          <cell r="D1442">
            <v>2674345</v>
          </cell>
          <cell r="E1442" t="str">
            <v>Amazon EU SARL, succursale Italiana</v>
          </cell>
          <cell r="F1442" t="str">
            <v>7SCVG2OT</v>
          </cell>
          <cell r="G1442" t="str">
            <v>B01N6NGNQ8</v>
          </cell>
          <cell r="H1442" t="str">
            <v>920-008227</v>
          </cell>
          <cell r="I1442" t="str">
            <v>OE INVOICES</v>
          </cell>
          <cell r="J1442">
            <v>44422157524</v>
          </cell>
          <cell r="K1442">
            <v>44904</v>
          </cell>
          <cell r="L1442">
            <v>1</v>
          </cell>
          <cell r="M1442" t="str">
            <v>EUR</v>
          </cell>
          <cell r="N1442">
            <v>301.64</v>
          </cell>
          <cell r="O1442">
            <v>75.41</v>
          </cell>
          <cell r="P1442">
            <v>4</v>
          </cell>
          <cell r="Q1442">
            <v>4</v>
          </cell>
          <cell r="R1442">
            <v>0</v>
          </cell>
        </row>
        <row r="1443">
          <cell r="A1443" t="str">
            <v>7SCVG2OTB077BT728N</v>
          </cell>
          <cell r="B1443" t="str">
            <v>Q3-23</v>
          </cell>
          <cell r="C1443" t="str">
            <v>Europe Operations OU</v>
          </cell>
          <cell r="D1443">
            <v>2674345</v>
          </cell>
          <cell r="E1443" t="str">
            <v>Amazon EU SARL, succursale Italiana</v>
          </cell>
          <cell r="F1443" t="str">
            <v>7SCVG2OT</v>
          </cell>
          <cell r="G1443" t="str">
            <v>B077BT728N</v>
          </cell>
          <cell r="H1443" t="str">
            <v>920-008669</v>
          </cell>
          <cell r="I1443" t="str">
            <v>OE INVOICES</v>
          </cell>
          <cell r="J1443">
            <v>44422142933</v>
          </cell>
          <cell r="K1443">
            <v>44896</v>
          </cell>
          <cell r="L1443">
            <v>8</v>
          </cell>
          <cell r="M1443" t="str">
            <v>EUR</v>
          </cell>
          <cell r="N1443">
            <v>163.9</v>
          </cell>
          <cell r="O1443">
            <v>16.39</v>
          </cell>
          <cell r="P1443">
            <v>10</v>
          </cell>
          <cell r="Q1443">
            <v>10</v>
          </cell>
          <cell r="R1443">
            <v>0</v>
          </cell>
        </row>
        <row r="1444">
          <cell r="A1444" t="str">
            <v>7SCVG2OTB078MHS3SC</v>
          </cell>
          <cell r="B1444" t="str">
            <v>Q3-23</v>
          </cell>
          <cell r="C1444" t="str">
            <v>Europe Operations OU</v>
          </cell>
          <cell r="D1444">
            <v>2674345</v>
          </cell>
          <cell r="E1444" t="str">
            <v>Amazon EU SARL, succursale Italiana</v>
          </cell>
          <cell r="F1444" t="str">
            <v>7SCVG2OT</v>
          </cell>
          <cell r="G1444" t="str">
            <v>B078MHS3SC</v>
          </cell>
          <cell r="H1444" t="str">
            <v>988-000247</v>
          </cell>
          <cell r="I1444" t="str">
            <v>OE INVOICES</v>
          </cell>
          <cell r="J1444">
            <v>44422142933</v>
          </cell>
          <cell r="K1444">
            <v>44896</v>
          </cell>
          <cell r="L1444">
            <v>9</v>
          </cell>
          <cell r="M1444" t="str">
            <v>EUR</v>
          </cell>
          <cell r="N1444">
            <v>636.36</v>
          </cell>
          <cell r="O1444">
            <v>159.09</v>
          </cell>
          <cell r="P1444">
            <v>4</v>
          </cell>
          <cell r="Q1444">
            <v>4</v>
          </cell>
          <cell r="R1444">
            <v>0</v>
          </cell>
        </row>
        <row r="1445">
          <cell r="A1445" t="str">
            <v>7SCVG2OTB0797FYB3K</v>
          </cell>
          <cell r="B1445" t="str">
            <v>Q3-23</v>
          </cell>
          <cell r="C1445" t="str">
            <v>Europe Operations OU</v>
          </cell>
          <cell r="D1445">
            <v>2674345</v>
          </cell>
          <cell r="E1445" t="str">
            <v>Amazon EU SARL, succursale Italiana</v>
          </cell>
          <cell r="F1445" t="str">
            <v>7SCVG2OT</v>
          </cell>
          <cell r="G1445" t="str">
            <v>B0797FYB3K</v>
          </cell>
          <cell r="H1445" t="str">
            <v>920-008675</v>
          </cell>
          <cell r="I1445" t="str">
            <v>OE INVOICES</v>
          </cell>
          <cell r="J1445">
            <v>44422142933</v>
          </cell>
          <cell r="K1445">
            <v>44896</v>
          </cell>
          <cell r="L1445">
            <v>10</v>
          </cell>
          <cell r="M1445" t="str">
            <v>EUR</v>
          </cell>
          <cell r="N1445">
            <v>5621.76</v>
          </cell>
          <cell r="O1445">
            <v>43.92</v>
          </cell>
          <cell r="P1445">
            <v>128</v>
          </cell>
          <cell r="Q1445">
            <v>128</v>
          </cell>
          <cell r="R1445">
            <v>0</v>
          </cell>
        </row>
        <row r="1446">
          <cell r="A1446" t="str">
            <v>7SCVG2OTB079Z3DSBK</v>
          </cell>
          <cell r="B1446" t="str">
            <v>Q3-23</v>
          </cell>
          <cell r="C1446" t="str">
            <v>Europe Operations OU</v>
          </cell>
          <cell r="D1446">
            <v>2674345</v>
          </cell>
          <cell r="E1446" t="str">
            <v>Amazon EU SARL, succursale Italiana</v>
          </cell>
          <cell r="F1446" t="str">
            <v>7SCVG2OT</v>
          </cell>
          <cell r="G1446" t="str">
            <v>B079Z3DSBK</v>
          </cell>
          <cell r="H1446" t="str">
            <v>945-000059</v>
          </cell>
          <cell r="I1446" t="str">
            <v>OE INVOICES</v>
          </cell>
          <cell r="J1446">
            <v>44422142933</v>
          </cell>
          <cell r="K1446">
            <v>44896</v>
          </cell>
          <cell r="L1446">
            <v>11</v>
          </cell>
          <cell r="M1446" t="str">
            <v>EUR</v>
          </cell>
          <cell r="N1446">
            <v>8045.76</v>
          </cell>
          <cell r="O1446">
            <v>157.76</v>
          </cell>
          <cell r="P1446">
            <v>51</v>
          </cell>
          <cell r="Q1446">
            <v>51</v>
          </cell>
          <cell r="R1446">
            <v>0</v>
          </cell>
        </row>
        <row r="1447">
          <cell r="A1447" t="str">
            <v>7SCVG2OTB07W4DGQSX</v>
          </cell>
          <cell r="B1447" t="str">
            <v>Q3-23</v>
          </cell>
          <cell r="C1447" t="str">
            <v>Europe Operations OU</v>
          </cell>
          <cell r="D1447">
            <v>2674345</v>
          </cell>
          <cell r="E1447" t="str">
            <v>Amazon EU SARL, succursale Italiana</v>
          </cell>
          <cell r="F1447" t="str">
            <v>7SCVG2OT</v>
          </cell>
          <cell r="G1447" t="str">
            <v>B07W4DGQSX</v>
          </cell>
          <cell r="H1447" t="str">
            <v>920-010967</v>
          </cell>
          <cell r="I1447" t="str">
            <v>OE INVOICES</v>
          </cell>
          <cell r="J1447">
            <v>44422142933</v>
          </cell>
          <cell r="K1447">
            <v>44896</v>
          </cell>
          <cell r="L1447">
            <v>12</v>
          </cell>
          <cell r="M1447" t="str">
            <v>EUR</v>
          </cell>
          <cell r="N1447">
            <v>515.36</v>
          </cell>
          <cell r="O1447">
            <v>32.21</v>
          </cell>
          <cell r="P1447">
            <v>16</v>
          </cell>
          <cell r="Q1447">
            <v>16</v>
          </cell>
          <cell r="R1447">
            <v>0</v>
          </cell>
        </row>
        <row r="1448">
          <cell r="A1448" t="str">
            <v>7SCVG2OTB07W4DHCVJ</v>
          </cell>
          <cell r="B1448" t="str">
            <v>Q3-23</v>
          </cell>
          <cell r="C1448" t="str">
            <v>Europe Operations OU</v>
          </cell>
          <cell r="D1448">
            <v>2674345</v>
          </cell>
          <cell r="E1448" t="str">
            <v>Amazon EU SARL, succursale Italiana</v>
          </cell>
          <cell r="F1448" t="str">
            <v>7SCVG2OT</v>
          </cell>
          <cell r="G1448" t="str">
            <v>B07W4DHCVJ</v>
          </cell>
          <cell r="H1448" t="str">
            <v>920-010945</v>
          </cell>
          <cell r="I1448" t="str">
            <v>OE INVOICES</v>
          </cell>
          <cell r="J1448">
            <v>44422142933</v>
          </cell>
          <cell r="K1448">
            <v>44896</v>
          </cell>
          <cell r="L1448">
            <v>13</v>
          </cell>
          <cell r="M1448" t="str">
            <v>EUR</v>
          </cell>
          <cell r="N1448">
            <v>128.84</v>
          </cell>
          <cell r="O1448">
            <v>32.21</v>
          </cell>
          <cell r="P1448">
            <v>4</v>
          </cell>
          <cell r="Q1448">
            <v>4</v>
          </cell>
          <cell r="R1448">
            <v>0</v>
          </cell>
        </row>
        <row r="1449">
          <cell r="A1449" t="str">
            <v>7SCVG2OTB07W5JK4VX</v>
          </cell>
          <cell r="B1449" t="str">
            <v>Q3-23</v>
          </cell>
          <cell r="C1449" t="str">
            <v>Europe Operations OU</v>
          </cell>
          <cell r="D1449">
            <v>2674345</v>
          </cell>
          <cell r="E1449" t="str">
            <v>Amazon EU SARL, succursale Italiana</v>
          </cell>
          <cell r="F1449" t="str">
            <v>7SCVG2OT</v>
          </cell>
          <cell r="G1449" t="str">
            <v>B07W5JK4VX</v>
          </cell>
          <cell r="H1449" t="str">
            <v>920-010920</v>
          </cell>
          <cell r="I1449" t="str">
            <v>OE INVOICES</v>
          </cell>
          <cell r="J1449">
            <v>44422142933</v>
          </cell>
          <cell r="K1449">
            <v>44896</v>
          </cell>
          <cell r="L1449">
            <v>14</v>
          </cell>
          <cell r="M1449" t="str">
            <v>EUR</v>
          </cell>
          <cell r="N1449">
            <v>117.12</v>
          </cell>
          <cell r="O1449">
            <v>29.28</v>
          </cell>
          <cell r="P1449">
            <v>4</v>
          </cell>
          <cell r="Q1449">
            <v>4</v>
          </cell>
          <cell r="R1449">
            <v>0</v>
          </cell>
        </row>
        <row r="1450">
          <cell r="A1450" t="str">
            <v>7SCVG2OTB07W6JB7N7</v>
          </cell>
          <cell r="B1450" t="str">
            <v>Q3-23</v>
          </cell>
          <cell r="C1450" t="str">
            <v>Europe Operations OU</v>
          </cell>
          <cell r="D1450">
            <v>2674345</v>
          </cell>
          <cell r="E1450" t="str">
            <v>Amazon EU SARL, succursale Italiana</v>
          </cell>
          <cell r="F1450" t="str">
            <v>7SCVG2OT</v>
          </cell>
          <cell r="G1450" t="str">
            <v>B07W6JB7N7</v>
          </cell>
          <cell r="H1450" t="str">
            <v>941-000150</v>
          </cell>
          <cell r="I1450" t="str">
            <v>OE INVOICES</v>
          </cell>
          <cell r="J1450">
            <v>44422142933</v>
          </cell>
          <cell r="K1450">
            <v>44896</v>
          </cell>
          <cell r="L1450">
            <v>15</v>
          </cell>
          <cell r="M1450" t="str">
            <v>EUR</v>
          </cell>
          <cell r="N1450">
            <v>421.04</v>
          </cell>
          <cell r="O1450">
            <v>210.52</v>
          </cell>
          <cell r="P1450">
            <v>2</v>
          </cell>
          <cell r="Q1450">
            <v>2</v>
          </cell>
          <cell r="R1450">
            <v>0</v>
          </cell>
        </row>
        <row r="1451">
          <cell r="A1451" t="str">
            <v>7SCVG2OTB07W7KNWK5</v>
          </cell>
          <cell r="B1451" t="str">
            <v>Q3-23</v>
          </cell>
          <cell r="C1451" t="str">
            <v>Europe Operations OU</v>
          </cell>
          <cell r="D1451">
            <v>2674345</v>
          </cell>
          <cell r="E1451" t="str">
            <v>Amazon EU SARL, succursale Italiana</v>
          </cell>
          <cell r="F1451" t="str">
            <v>7SCVG2OT</v>
          </cell>
          <cell r="G1451" t="str">
            <v>B07W7KNWK5</v>
          </cell>
          <cell r="H1451" t="str">
            <v>920-009340</v>
          </cell>
          <cell r="I1451" t="str">
            <v>OE INVOICES</v>
          </cell>
          <cell r="J1451">
            <v>44422142933</v>
          </cell>
          <cell r="K1451">
            <v>44896</v>
          </cell>
          <cell r="L1451">
            <v>16</v>
          </cell>
          <cell r="M1451" t="str">
            <v>EUR</v>
          </cell>
          <cell r="N1451">
            <v>377.76</v>
          </cell>
          <cell r="O1451">
            <v>94.44</v>
          </cell>
          <cell r="P1451">
            <v>4</v>
          </cell>
          <cell r="Q1451">
            <v>4</v>
          </cell>
          <cell r="R1451">
            <v>0</v>
          </cell>
        </row>
        <row r="1452">
          <cell r="A1452" t="str">
            <v>7SCVG2OTB07W7LF6F1</v>
          </cell>
          <cell r="B1452" t="str">
            <v>Q3-23</v>
          </cell>
          <cell r="C1452" t="str">
            <v>Europe Operations OU</v>
          </cell>
          <cell r="D1452">
            <v>2674345</v>
          </cell>
          <cell r="E1452" t="str">
            <v>Amazon EU SARL, succursale Italiana</v>
          </cell>
          <cell r="F1452" t="str">
            <v>7SCVG2OT</v>
          </cell>
          <cell r="G1452" t="str">
            <v>B07W7LF6F1</v>
          </cell>
          <cell r="H1452" t="str">
            <v>920-009795</v>
          </cell>
          <cell r="I1452" t="str">
            <v>OE INVOICES</v>
          </cell>
          <cell r="J1452">
            <v>44422142933</v>
          </cell>
          <cell r="K1452">
            <v>44896</v>
          </cell>
          <cell r="L1452">
            <v>17</v>
          </cell>
          <cell r="M1452" t="str">
            <v>EUR</v>
          </cell>
          <cell r="N1452">
            <v>1914</v>
          </cell>
          <cell r="O1452">
            <v>29</v>
          </cell>
          <cell r="P1452">
            <v>66</v>
          </cell>
          <cell r="Q1452">
            <v>66</v>
          </cell>
          <cell r="R1452">
            <v>0</v>
          </cell>
        </row>
        <row r="1453">
          <cell r="A1453" t="str">
            <v>7TFUVBKWB0044AFFMK</v>
          </cell>
          <cell r="B1453" t="str">
            <v>Q3-23</v>
          </cell>
          <cell r="C1453" t="str">
            <v>Europe Operations OU</v>
          </cell>
          <cell r="D1453">
            <v>2674345</v>
          </cell>
          <cell r="E1453" t="str">
            <v>Amazon EU SARL, succursale Italiana</v>
          </cell>
          <cell r="F1453" t="str">
            <v>7TFUVBKW</v>
          </cell>
          <cell r="G1453" t="str">
            <v>B0044AFFMK</v>
          </cell>
          <cell r="H1453" t="str">
            <v>920-002431</v>
          </cell>
          <cell r="I1453" t="str">
            <v>OE INVOICES</v>
          </cell>
          <cell r="J1453">
            <v>44422146846</v>
          </cell>
          <cell r="K1453">
            <v>44900</v>
          </cell>
          <cell r="L1453">
            <v>1</v>
          </cell>
          <cell r="M1453" t="str">
            <v>EUR</v>
          </cell>
          <cell r="N1453">
            <v>3619.72</v>
          </cell>
          <cell r="O1453">
            <v>69.61</v>
          </cell>
          <cell r="P1453">
            <v>52</v>
          </cell>
          <cell r="Q1453">
            <v>52</v>
          </cell>
          <cell r="R1453">
            <v>0</v>
          </cell>
        </row>
        <row r="1454">
          <cell r="A1454" t="str">
            <v>7TFUVBKWB00YUIM2J0</v>
          </cell>
          <cell r="B1454" t="str">
            <v>Q3-23</v>
          </cell>
          <cell r="C1454" t="str">
            <v>Europe Operations OU</v>
          </cell>
          <cell r="D1454">
            <v>2674345</v>
          </cell>
          <cell r="E1454" t="str">
            <v>Amazon EU SARL, succursale Italiana</v>
          </cell>
          <cell r="F1454" t="str">
            <v>7TFUVBKW</v>
          </cell>
          <cell r="G1454" t="str">
            <v>B00YUIM2J0</v>
          </cell>
          <cell r="H1454" t="str">
            <v>941-000112</v>
          </cell>
          <cell r="I1454" t="str">
            <v>OE INVOICES</v>
          </cell>
          <cell r="J1454">
            <v>44422145106</v>
          </cell>
          <cell r="K1454">
            <v>44897</v>
          </cell>
          <cell r="L1454">
            <v>1</v>
          </cell>
          <cell r="M1454" t="str">
            <v>EUR</v>
          </cell>
          <cell r="N1454">
            <v>145906.20000000001</v>
          </cell>
          <cell r="O1454">
            <v>221.07</v>
          </cell>
          <cell r="P1454">
            <v>660</v>
          </cell>
          <cell r="Q1454">
            <v>660</v>
          </cell>
          <cell r="R1454">
            <v>0</v>
          </cell>
        </row>
        <row r="1455">
          <cell r="A1455" t="str">
            <v>7TFUVBKWB00YUIM2J0</v>
          </cell>
          <cell r="B1455" t="str">
            <v>Q3-23</v>
          </cell>
          <cell r="C1455" t="str">
            <v>Europe Operations OU</v>
          </cell>
          <cell r="D1455">
            <v>2674345</v>
          </cell>
          <cell r="E1455" t="str">
            <v>Amazon EU SARL, succursale Italiana</v>
          </cell>
          <cell r="F1455" t="str">
            <v>7TFUVBKW</v>
          </cell>
          <cell r="G1455" t="str">
            <v>B00YUIM2J0</v>
          </cell>
          <cell r="H1455" t="str">
            <v>941-000112</v>
          </cell>
          <cell r="I1455" t="str">
            <v>OE INVOICES</v>
          </cell>
          <cell r="J1455">
            <v>44422146846</v>
          </cell>
          <cell r="K1455">
            <v>44900</v>
          </cell>
          <cell r="L1455">
            <v>2</v>
          </cell>
          <cell r="M1455" t="str">
            <v>EUR</v>
          </cell>
          <cell r="N1455">
            <v>46866.84</v>
          </cell>
          <cell r="O1455">
            <v>221.07</v>
          </cell>
          <cell r="P1455">
            <v>212</v>
          </cell>
          <cell r="Q1455">
            <v>212</v>
          </cell>
          <cell r="R1455">
            <v>0</v>
          </cell>
        </row>
        <row r="1456">
          <cell r="A1456" t="str">
            <v>7TFUVBKWB011N78DMA</v>
          </cell>
          <cell r="B1456" t="str">
            <v>Q3-23</v>
          </cell>
          <cell r="C1456" t="str">
            <v>Europe Operations OU</v>
          </cell>
          <cell r="D1456">
            <v>2674345</v>
          </cell>
          <cell r="E1456" t="str">
            <v>Amazon EU SARL, succursale Italiana</v>
          </cell>
          <cell r="F1456" t="str">
            <v>7TFUVBKW</v>
          </cell>
          <cell r="G1456" t="str">
            <v>B011N78DMA</v>
          </cell>
          <cell r="H1456" t="str">
            <v>941-000123</v>
          </cell>
          <cell r="I1456" t="str">
            <v>OE INVOICES</v>
          </cell>
          <cell r="J1456">
            <v>44422140673</v>
          </cell>
          <cell r="K1456">
            <v>44895</v>
          </cell>
          <cell r="L1456">
            <v>1</v>
          </cell>
          <cell r="M1456" t="str">
            <v>EUR</v>
          </cell>
          <cell r="N1456">
            <v>14590.62</v>
          </cell>
          <cell r="O1456">
            <v>221.07</v>
          </cell>
          <cell r="P1456">
            <v>66</v>
          </cell>
          <cell r="Q1456">
            <v>66</v>
          </cell>
          <cell r="R1456">
            <v>0</v>
          </cell>
        </row>
        <row r="1457">
          <cell r="A1457" t="str">
            <v>7TFUVBKWB07W7KFFFF</v>
          </cell>
          <cell r="B1457" t="str">
            <v>Q3-23</v>
          </cell>
          <cell r="C1457" t="str">
            <v>Europe Operations OU</v>
          </cell>
          <cell r="D1457">
            <v>2674345</v>
          </cell>
          <cell r="E1457" t="str">
            <v>Amazon EU SARL, succursale Italiana</v>
          </cell>
          <cell r="F1457" t="str">
            <v>7TFUVBKW</v>
          </cell>
          <cell r="G1457" t="str">
            <v>B07W7KFFFF</v>
          </cell>
          <cell r="H1457" t="str">
            <v>941-000149</v>
          </cell>
          <cell r="I1457" t="str">
            <v>OE INVOICES</v>
          </cell>
          <cell r="J1457">
            <v>44422146846</v>
          </cell>
          <cell r="K1457">
            <v>44900</v>
          </cell>
          <cell r="L1457">
            <v>3</v>
          </cell>
          <cell r="M1457" t="str">
            <v>EUR</v>
          </cell>
          <cell r="N1457">
            <v>52286.85</v>
          </cell>
          <cell r="O1457">
            <v>226.35</v>
          </cell>
          <cell r="P1457">
            <v>231</v>
          </cell>
          <cell r="Q1457">
            <v>231</v>
          </cell>
          <cell r="R1457">
            <v>0</v>
          </cell>
        </row>
        <row r="1458">
          <cell r="A1458" t="str">
            <v>7WSJF8XOB06Y17MS8W</v>
          </cell>
          <cell r="B1458" t="str">
            <v>Q3-23</v>
          </cell>
          <cell r="C1458" t="str">
            <v>Europe Operations OU</v>
          </cell>
          <cell r="D1458">
            <v>2674345</v>
          </cell>
          <cell r="E1458" t="str">
            <v>Amazon EU SARL, succursale Italiana</v>
          </cell>
          <cell r="F1458" t="str">
            <v>7WSJF8XO</v>
          </cell>
          <cell r="G1458" t="str">
            <v>B06Y17MS8W</v>
          </cell>
          <cell r="H1458" t="str">
            <v>920-008336</v>
          </cell>
          <cell r="I1458" t="str">
            <v>OE INVOICES</v>
          </cell>
          <cell r="J1458">
            <v>44422170035</v>
          </cell>
          <cell r="K1458">
            <v>44915</v>
          </cell>
          <cell r="L1458">
            <v>1</v>
          </cell>
          <cell r="M1458" t="str">
            <v>EUR</v>
          </cell>
          <cell r="N1458">
            <v>649.6</v>
          </cell>
          <cell r="O1458">
            <v>40.6</v>
          </cell>
          <cell r="P1458">
            <v>16</v>
          </cell>
          <cell r="Q1458">
            <v>16</v>
          </cell>
          <cell r="R1458">
            <v>0</v>
          </cell>
        </row>
        <row r="1459">
          <cell r="A1459" t="str">
            <v>7YGRCVCKB074C9FYP8</v>
          </cell>
          <cell r="B1459" t="str">
            <v>Q3-23</v>
          </cell>
          <cell r="C1459" t="str">
            <v>Europe Operations OU</v>
          </cell>
          <cell r="D1459">
            <v>2674345</v>
          </cell>
          <cell r="E1459" t="str">
            <v>Amazon EU SARL, succursale Italiana</v>
          </cell>
          <cell r="F1459" t="str">
            <v>7YGRCVCK</v>
          </cell>
          <cell r="G1459" t="str">
            <v>B074C9FYP8</v>
          </cell>
          <cell r="H1459" t="str">
            <v>920-008388</v>
          </cell>
          <cell r="I1459" t="str">
            <v>OE INVOICES</v>
          </cell>
          <cell r="J1459">
            <v>44422156332</v>
          </cell>
          <cell r="K1459">
            <v>44904</v>
          </cell>
          <cell r="L1459">
            <v>1</v>
          </cell>
          <cell r="M1459" t="str">
            <v>EUR</v>
          </cell>
          <cell r="N1459">
            <v>27674.240000000002</v>
          </cell>
          <cell r="O1459">
            <v>78.62</v>
          </cell>
          <cell r="P1459">
            <v>352</v>
          </cell>
          <cell r="Q1459">
            <v>352</v>
          </cell>
          <cell r="R1459">
            <v>0</v>
          </cell>
        </row>
        <row r="1460">
          <cell r="A1460" t="str">
            <v>7Z4XWHJOB00BCE30RS</v>
          </cell>
          <cell r="B1460" t="str">
            <v>Q3-23</v>
          </cell>
          <cell r="C1460" t="str">
            <v>Europe Operations OU</v>
          </cell>
          <cell r="D1460">
            <v>2674345</v>
          </cell>
          <cell r="E1460" t="str">
            <v>Amazon EU SARL, succursale Italiana</v>
          </cell>
          <cell r="F1460" t="str">
            <v>7Z4XWHJO</v>
          </cell>
          <cell r="G1460" t="str">
            <v>B00BCE30RS</v>
          </cell>
          <cell r="H1460" t="str">
            <v>920-004511</v>
          </cell>
          <cell r="I1460" t="str">
            <v>OE INVOICES</v>
          </cell>
          <cell r="J1460">
            <v>44422157518</v>
          </cell>
          <cell r="K1460">
            <v>44904</v>
          </cell>
          <cell r="L1460">
            <v>1</v>
          </cell>
          <cell r="M1460" t="str">
            <v>EUR</v>
          </cell>
          <cell r="N1460">
            <v>3636.3</v>
          </cell>
          <cell r="O1460">
            <v>26.35</v>
          </cell>
          <cell r="P1460">
            <v>138</v>
          </cell>
          <cell r="Q1460">
            <v>138</v>
          </cell>
          <cell r="R1460">
            <v>0</v>
          </cell>
        </row>
        <row r="1461">
          <cell r="A1461" t="str">
            <v>86DLD4XXB078MLBGRM</v>
          </cell>
          <cell r="B1461" t="str">
            <v>Q3-23</v>
          </cell>
          <cell r="C1461" t="str">
            <v>Europe Operations OU</v>
          </cell>
          <cell r="D1461">
            <v>2674345</v>
          </cell>
          <cell r="E1461" t="str">
            <v>Amazon EU SARL, succursale Italiana</v>
          </cell>
          <cell r="F1461" t="str">
            <v>86DLD4XX</v>
          </cell>
          <cell r="G1461" t="str">
            <v>B078MLBGRM</v>
          </cell>
          <cell r="H1461" t="str">
            <v>989-000899</v>
          </cell>
          <cell r="I1461" t="str">
            <v>OE INVOICES</v>
          </cell>
          <cell r="J1461">
            <v>44422157526</v>
          </cell>
          <cell r="K1461">
            <v>44904</v>
          </cell>
          <cell r="L1461">
            <v>1</v>
          </cell>
          <cell r="M1461" t="str">
            <v>EUR</v>
          </cell>
          <cell r="N1461">
            <v>719.36</v>
          </cell>
          <cell r="O1461">
            <v>89.92</v>
          </cell>
          <cell r="P1461">
            <v>8</v>
          </cell>
          <cell r="Q1461">
            <v>8</v>
          </cell>
          <cell r="R1461">
            <v>0</v>
          </cell>
        </row>
        <row r="1462">
          <cell r="A1462" t="str">
            <v>88OCIVKFB002L3TSLQ</v>
          </cell>
          <cell r="B1462" t="str">
            <v>Q3-23</v>
          </cell>
          <cell r="C1462" t="str">
            <v>Europe Operations OU</v>
          </cell>
          <cell r="D1462">
            <v>2674345</v>
          </cell>
          <cell r="E1462" t="str">
            <v>Amazon EU SARL, succursale Italiana</v>
          </cell>
          <cell r="F1462" t="str">
            <v>88OCIVKF</v>
          </cell>
          <cell r="G1462" t="str">
            <v>B002L3TSLQ</v>
          </cell>
          <cell r="H1462" t="str">
            <v>910-001356</v>
          </cell>
          <cell r="I1462" t="str">
            <v>OE INVOICES</v>
          </cell>
          <cell r="J1462">
            <v>44422146166</v>
          </cell>
          <cell r="K1462">
            <v>44900</v>
          </cell>
          <cell r="L1462">
            <v>1</v>
          </cell>
          <cell r="M1462" t="str">
            <v>EUR</v>
          </cell>
          <cell r="N1462">
            <v>164</v>
          </cell>
          <cell r="O1462">
            <v>20.5</v>
          </cell>
          <cell r="P1462">
            <v>8</v>
          </cell>
          <cell r="Q1462">
            <v>8</v>
          </cell>
          <cell r="R1462">
            <v>0</v>
          </cell>
        </row>
        <row r="1463">
          <cell r="A1463" t="str">
            <v>8949MU8ZB0072AEZJI</v>
          </cell>
          <cell r="B1463" t="str">
            <v>Q3-23</v>
          </cell>
          <cell r="C1463" t="str">
            <v>Europe Operations OU</v>
          </cell>
          <cell r="D1463">
            <v>2674345</v>
          </cell>
          <cell r="E1463" t="str">
            <v>Amazon EU SARL, succursale Italiana</v>
          </cell>
          <cell r="F1463" t="str">
            <v>8949MU8Z</v>
          </cell>
          <cell r="G1463" t="str">
            <v>B0072AEZJI</v>
          </cell>
          <cell r="H1463" t="str">
            <v>920-003626</v>
          </cell>
          <cell r="I1463" t="str">
            <v>OE INVOICES</v>
          </cell>
          <cell r="J1463">
            <v>44422163465</v>
          </cell>
          <cell r="K1463">
            <v>44909</v>
          </cell>
          <cell r="L1463">
            <v>1</v>
          </cell>
          <cell r="M1463" t="str">
            <v>EUR</v>
          </cell>
          <cell r="N1463">
            <v>187.2</v>
          </cell>
          <cell r="O1463">
            <v>9.36</v>
          </cell>
          <cell r="P1463">
            <v>20</v>
          </cell>
          <cell r="Q1463">
            <v>20</v>
          </cell>
          <cell r="R1463">
            <v>0</v>
          </cell>
        </row>
        <row r="1464">
          <cell r="A1464" t="str">
            <v>8949MU8ZB074KMD92K</v>
          </cell>
          <cell r="B1464" t="str">
            <v>Q3-23</v>
          </cell>
          <cell r="C1464" t="str">
            <v>Europe Operations OU</v>
          </cell>
          <cell r="D1464">
            <v>2674345</v>
          </cell>
          <cell r="E1464" t="str">
            <v>Amazon EU SARL, succursale Italiana</v>
          </cell>
          <cell r="F1464" t="str">
            <v>8949MU8Z</v>
          </cell>
          <cell r="G1464" t="str">
            <v>B074KMD92K</v>
          </cell>
          <cell r="H1464" t="str">
            <v>920-008497</v>
          </cell>
          <cell r="I1464" t="str">
            <v>OE INVOICES</v>
          </cell>
          <cell r="J1464">
            <v>44422163465</v>
          </cell>
          <cell r="K1464">
            <v>44909</v>
          </cell>
          <cell r="L1464">
            <v>2</v>
          </cell>
          <cell r="M1464" t="str">
            <v>EUR</v>
          </cell>
          <cell r="N1464">
            <v>485</v>
          </cell>
          <cell r="O1464">
            <v>121.25</v>
          </cell>
          <cell r="P1464">
            <v>4</v>
          </cell>
          <cell r="Q1464">
            <v>4</v>
          </cell>
          <cell r="R1464">
            <v>0</v>
          </cell>
        </row>
        <row r="1465">
          <cell r="A1465" t="str">
            <v>89YFM3QCB01A9HC69G</v>
          </cell>
          <cell r="B1465" t="str">
            <v>Q3-23</v>
          </cell>
          <cell r="C1465" t="str">
            <v>Europe Operations OU</v>
          </cell>
          <cell r="D1465">
            <v>2674345</v>
          </cell>
          <cell r="E1465" t="str">
            <v>Amazon EU SARL, succursale Italiana</v>
          </cell>
          <cell r="F1465" t="str">
            <v>89YFM3QC</v>
          </cell>
          <cell r="G1465" t="str">
            <v>B01A9HC69G</v>
          </cell>
          <cell r="H1465" t="str">
            <v>910-004640</v>
          </cell>
          <cell r="I1465" t="str">
            <v>OE INVOICES</v>
          </cell>
          <cell r="J1465">
            <v>44422176561</v>
          </cell>
          <cell r="K1465">
            <v>44922</v>
          </cell>
          <cell r="L1465">
            <v>1</v>
          </cell>
          <cell r="M1465" t="str">
            <v>EUR</v>
          </cell>
          <cell r="N1465">
            <v>1123.2</v>
          </cell>
          <cell r="O1465">
            <v>9.36</v>
          </cell>
          <cell r="P1465">
            <v>120</v>
          </cell>
          <cell r="Q1465">
            <v>120</v>
          </cell>
          <cell r="R1465">
            <v>0</v>
          </cell>
        </row>
        <row r="1466">
          <cell r="A1466" t="str">
            <v>8BG295LIB003STDR1E</v>
          </cell>
          <cell r="B1466" t="str">
            <v>Q3-23</v>
          </cell>
          <cell r="C1466" t="str">
            <v>Europe Operations OU</v>
          </cell>
          <cell r="D1466">
            <v>2674345</v>
          </cell>
          <cell r="E1466" t="str">
            <v>Amazon EU SARL, succursale Italiana</v>
          </cell>
          <cell r="F1466" t="str">
            <v>8BG295LI</v>
          </cell>
          <cell r="G1466" t="str">
            <v>B003STDR1E</v>
          </cell>
          <cell r="H1466" t="str">
            <v>910-001949</v>
          </cell>
          <cell r="I1466" t="str">
            <v>OE INVOICES</v>
          </cell>
          <cell r="J1466">
            <v>44422170753</v>
          </cell>
          <cell r="K1466">
            <v>44915</v>
          </cell>
          <cell r="L1466">
            <v>1</v>
          </cell>
          <cell r="M1466" t="str">
            <v>EUR</v>
          </cell>
          <cell r="N1466">
            <v>322.10000000000002</v>
          </cell>
          <cell r="O1466">
            <v>32.21</v>
          </cell>
          <cell r="P1466">
            <v>10</v>
          </cell>
          <cell r="Q1466">
            <v>10</v>
          </cell>
          <cell r="R1466">
            <v>0</v>
          </cell>
        </row>
        <row r="1467">
          <cell r="A1467" t="str">
            <v>8BG295LIB00ZWOUH4S</v>
          </cell>
          <cell r="B1467" t="str">
            <v>Q3-23</v>
          </cell>
          <cell r="C1467" t="str">
            <v>Europe Operations OU</v>
          </cell>
          <cell r="D1467">
            <v>2674345</v>
          </cell>
          <cell r="E1467" t="str">
            <v>Amazon EU SARL, succursale Italiana</v>
          </cell>
          <cell r="F1467" t="str">
            <v>8BG295LI</v>
          </cell>
          <cell r="G1467" t="str">
            <v>B00ZWOUH4S</v>
          </cell>
          <cell r="H1467" t="str">
            <v>941-000130</v>
          </cell>
          <cell r="I1467" t="str">
            <v>OE INVOICES</v>
          </cell>
          <cell r="J1467">
            <v>44422170753</v>
          </cell>
          <cell r="K1467">
            <v>44915</v>
          </cell>
          <cell r="L1467">
            <v>2</v>
          </cell>
          <cell r="M1467" t="str">
            <v>EUR</v>
          </cell>
          <cell r="N1467">
            <v>4389.12</v>
          </cell>
          <cell r="O1467">
            <v>34.29</v>
          </cell>
          <cell r="P1467">
            <v>128</v>
          </cell>
          <cell r="Q1467">
            <v>128</v>
          </cell>
          <cell r="R1467">
            <v>0</v>
          </cell>
        </row>
        <row r="1468">
          <cell r="A1468" t="str">
            <v>8BG295LIB01A9HC69G</v>
          </cell>
          <cell r="B1468" t="str">
            <v>Q3-23</v>
          </cell>
          <cell r="C1468" t="str">
            <v>Europe Operations OU</v>
          </cell>
          <cell r="D1468">
            <v>2674345</v>
          </cell>
          <cell r="E1468" t="str">
            <v>Amazon EU SARL, succursale Italiana</v>
          </cell>
          <cell r="F1468" t="str">
            <v>8BG295LI</v>
          </cell>
          <cell r="G1468" t="str">
            <v>B01A9HC69G</v>
          </cell>
          <cell r="H1468" t="str">
            <v>910-004640</v>
          </cell>
          <cell r="I1468" t="str">
            <v>OE INVOICES</v>
          </cell>
          <cell r="J1468">
            <v>44422170753</v>
          </cell>
          <cell r="K1468">
            <v>44915</v>
          </cell>
          <cell r="L1468">
            <v>3</v>
          </cell>
          <cell r="M1468" t="str">
            <v>EUR</v>
          </cell>
          <cell r="N1468">
            <v>1684.8</v>
          </cell>
          <cell r="O1468">
            <v>9.36</v>
          </cell>
          <cell r="P1468">
            <v>180</v>
          </cell>
          <cell r="Q1468">
            <v>180</v>
          </cell>
          <cell r="R1468">
            <v>0</v>
          </cell>
        </row>
        <row r="1469">
          <cell r="A1469" t="str">
            <v>8BG295LIB01DIJIDKI</v>
          </cell>
          <cell r="B1469" t="str">
            <v>Q3-23</v>
          </cell>
          <cell r="C1469" t="str">
            <v>Europe Operations OU</v>
          </cell>
          <cell r="D1469">
            <v>2674345</v>
          </cell>
          <cell r="E1469" t="str">
            <v>Amazon EU SARL, succursale Italiana</v>
          </cell>
          <cell r="F1469" t="str">
            <v>8BG295LI</v>
          </cell>
          <cell r="G1469" t="str">
            <v>B01DIJIDKI</v>
          </cell>
          <cell r="H1469" t="str">
            <v>943-000095</v>
          </cell>
          <cell r="I1469" t="str">
            <v>OE INVOICES</v>
          </cell>
          <cell r="J1469">
            <v>44422170753</v>
          </cell>
          <cell r="K1469">
            <v>44915</v>
          </cell>
          <cell r="L1469">
            <v>4</v>
          </cell>
          <cell r="M1469" t="str">
            <v>EUR</v>
          </cell>
          <cell r="N1469">
            <v>92.8</v>
          </cell>
          <cell r="O1469">
            <v>11.6</v>
          </cell>
          <cell r="P1469">
            <v>8</v>
          </cell>
          <cell r="Q1469">
            <v>8</v>
          </cell>
          <cell r="R1469">
            <v>0</v>
          </cell>
        </row>
        <row r="1470">
          <cell r="A1470" t="str">
            <v>8BG295LIB01G3WBH9G</v>
          </cell>
          <cell r="B1470" t="str">
            <v>Q3-23</v>
          </cell>
          <cell r="C1470" t="str">
            <v>Europe Operations OU</v>
          </cell>
          <cell r="D1470">
            <v>2674345</v>
          </cell>
          <cell r="E1470" t="str">
            <v>Amazon EU SARL, succursale Italiana</v>
          </cell>
          <cell r="F1470" t="str">
            <v>8BG295LI</v>
          </cell>
          <cell r="G1470" t="str">
            <v>B01G3WBH9G</v>
          </cell>
          <cell r="H1470" t="str">
            <v>939-001545</v>
          </cell>
          <cell r="I1470" t="str">
            <v>OE INVOICES</v>
          </cell>
          <cell r="J1470">
            <v>44422170753</v>
          </cell>
          <cell r="K1470">
            <v>44915</v>
          </cell>
          <cell r="L1470">
            <v>5</v>
          </cell>
          <cell r="M1470" t="str">
            <v>EUR</v>
          </cell>
          <cell r="N1470">
            <v>719.2</v>
          </cell>
          <cell r="O1470">
            <v>44.95</v>
          </cell>
          <cell r="P1470">
            <v>16</v>
          </cell>
          <cell r="Q1470">
            <v>16</v>
          </cell>
          <cell r="R1470">
            <v>0</v>
          </cell>
        </row>
        <row r="1471">
          <cell r="A1471" t="str">
            <v>8BG295LIB01MFBNN9J</v>
          </cell>
          <cell r="B1471" t="str">
            <v>Q3-23</v>
          </cell>
          <cell r="C1471" t="str">
            <v>Europe Operations OU</v>
          </cell>
          <cell r="D1471">
            <v>2674345</v>
          </cell>
          <cell r="E1471" t="str">
            <v>Amazon EU SARL, succursale Italiana</v>
          </cell>
          <cell r="F1471" t="str">
            <v>8BG295LI</v>
          </cell>
          <cell r="G1471" t="str">
            <v>B01MFBNN9J</v>
          </cell>
          <cell r="H1471" t="str">
            <v>945-000009</v>
          </cell>
          <cell r="I1471" t="str">
            <v>OE INVOICES</v>
          </cell>
          <cell r="J1471">
            <v>44422170753</v>
          </cell>
          <cell r="K1471">
            <v>44915</v>
          </cell>
          <cell r="L1471">
            <v>6</v>
          </cell>
          <cell r="M1471" t="str">
            <v>EUR</v>
          </cell>
          <cell r="N1471">
            <v>460.08</v>
          </cell>
          <cell r="O1471">
            <v>57.51</v>
          </cell>
          <cell r="P1471">
            <v>8</v>
          </cell>
          <cell r="Q1471">
            <v>8</v>
          </cell>
          <cell r="R1471">
            <v>0</v>
          </cell>
        </row>
        <row r="1472">
          <cell r="A1472" t="str">
            <v>8BG295LIB071ZFMC9Q</v>
          </cell>
          <cell r="B1472" t="str">
            <v>Q3-23</v>
          </cell>
          <cell r="C1472" t="str">
            <v>Europe Operations OU</v>
          </cell>
          <cell r="D1472">
            <v>2674345</v>
          </cell>
          <cell r="E1472" t="str">
            <v>Amazon EU SARL, succursale Italiana</v>
          </cell>
          <cell r="F1472" t="str">
            <v>8BG295LI</v>
          </cell>
          <cell r="G1472" t="str">
            <v>B071ZFMC9Q</v>
          </cell>
          <cell r="H1472" t="str">
            <v>939-001498</v>
          </cell>
          <cell r="I1472" t="str">
            <v>OE INVOICES</v>
          </cell>
          <cell r="J1472">
            <v>44422170753</v>
          </cell>
          <cell r="K1472">
            <v>44915</v>
          </cell>
          <cell r="L1472">
            <v>7</v>
          </cell>
          <cell r="M1472" t="str">
            <v>EUR</v>
          </cell>
          <cell r="N1472">
            <v>399.96</v>
          </cell>
          <cell r="O1472">
            <v>66.66</v>
          </cell>
          <cell r="P1472">
            <v>6</v>
          </cell>
          <cell r="Q1472">
            <v>6</v>
          </cell>
          <cell r="R1472">
            <v>0</v>
          </cell>
        </row>
        <row r="1473">
          <cell r="A1473" t="str">
            <v>8BG295LIB07CGPZ3ZQ</v>
          </cell>
          <cell r="B1473" t="str">
            <v>Q3-23</v>
          </cell>
          <cell r="C1473" t="str">
            <v>Europe Operations OU</v>
          </cell>
          <cell r="D1473">
            <v>2674345</v>
          </cell>
          <cell r="E1473" t="str">
            <v>Amazon EU SARL, succursale Italiana</v>
          </cell>
          <cell r="F1473" t="str">
            <v>8BG295LI</v>
          </cell>
          <cell r="G1473" t="str">
            <v>B07CGPZ3ZQ</v>
          </cell>
          <cell r="H1473" t="str">
            <v>910-005283</v>
          </cell>
          <cell r="I1473" t="str">
            <v>OE INVOICES</v>
          </cell>
          <cell r="J1473">
            <v>44422170753</v>
          </cell>
          <cell r="K1473">
            <v>44915</v>
          </cell>
          <cell r="L1473">
            <v>8</v>
          </cell>
          <cell r="M1473" t="str">
            <v>EUR</v>
          </cell>
          <cell r="N1473">
            <v>19646.759999999998</v>
          </cell>
          <cell r="O1473">
            <v>36.93</v>
          </cell>
          <cell r="P1473">
            <v>532</v>
          </cell>
          <cell r="Q1473">
            <v>532</v>
          </cell>
          <cell r="R1473">
            <v>0</v>
          </cell>
        </row>
        <row r="1474">
          <cell r="A1474" t="str">
            <v>8BG295LIB07G5XJLWK</v>
          </cell>
          <cell r="B1474" t="str">
            <v>Q3-23</v>
          </cell>
          <cell r="C1474" t="str">
            <v>Europe Operations OU</v>
          </cell>
          <cell r="D1474">
            <v>2674345</v>
          </cell>
          <cell r="E1474" t="str">
            <v>Amazon EU SARL, succursale Italiana</v>
          </cell>
          <cell r="F1474" t="str">
            <v>8BG295LI</v>
          </cell>
          <cell r="G1474" t="str">
            <v>B07G5XJLWK</v>
          </cell>
          <cell r="H1474" t="str">
            <v>910-005273</v>
          </cell>
          <cell r="I1474" t="str">
            <v>OE INVOICES</v>
          </cell>
          <cell r="J1474">
            <v>44422170753</v>
          </cell>
          <cell r="K1474">
            <v>44915</v>
          </cell>
          <cell r="L1474">
            <v>9</v>
          </cell>
          <cell r="M1474" t="str">
            <v>EUR</v>
          </cell>
          <cell r="N1474">
            <v>19361.759999999998</v>
          </cell>
          <cell r="O1474">
            <v>73.34</v>
          </cell>
          <cell r="P1474">
            <v>264</v>
          </cell>
          <cell r="Q1474">
            <v>264</v>
          </cell>
          <cell r="R1474">
            <v>0</v>
          </cell>
        </row>
        <row r="1475">
          <cell r="A1475" t="str">
            <v>8BG295LIB07J9Q68CK</v>
          </cell>
          <cell r="B1475" t="str">
            <v>Q3-23</v>
          </cell>
          <cell r="C1475" t="str">
            <v>Europe Operations OU</v>
          </cell>
          <cell r="D1475">
            <v>2674345</v>
          </cell>
          <cell r="E1475" t="str">
            <v>Amazon EU SARL, succursale Italiana</v>
          </cell>
          <cell r="F1475" t="str">
            <v>8BG295LI</v>
          </cell>
          <cell r="G1475" t="str">
            <v>B07J9Q68CK</v>
          </cell>
          <cell r="H1475" t="str">
            <v>943-000125</v>
          </cell>
          <cell r="I1475" t="str">
            <v>OE INVOICES</v>
          </cell>
          <cell r="J1475">
            <v>44422170753</v>
          </cell>
          <cell r="K1475">
            <v>44915</v>
          </cell>
          <cell r="L1475">
            <v>10</v>
          </cell>
          <cell r="M1475" t="str">
            <v>EUR</v>
          </cell>
          <cell r="N1475">
            <v>387.2</v>
          </cell>
          <cell r="O1475">
            <v>24.2</v>
          </cell>
          <cell r="P1475">
            <v>16</v>
          </cell>
          <cell r="Q1475">
            <v>16</v>
          </cell>
          <cell r="R1475">
            <v>0</v>
          </cell>
        </row>
        <row r="1476">
          <cell r="A1476" t="str">
            <v>8BG295LIB07MM4V7NR</v>
          </cell>
          <cell r="B1476" t="str">
            <v>Q3-23</v>
          </cell>
          <cell r="C1476" t="str">
            <v>Europe Operations OU</v>
          </cell>
          <cell r="D1476">
            <v>2674345</v>
          </cell>
          <cell r="E1476" t="str">
            <v>Amazon EU SARL, succursale Italiana</v>
          </cell>
          <cell r="F1476" t="str">
            <v>8BG295LI</v>
          </cell>
          <cell r="G1476" t="str">
            <v>B07MM4V7NR</v>
          </cell>
          <cell r="H1476" t="str">
            <v>960-001252</v>
          </cell>
          <cell r="I1476" t="str">
            <v>OE INVOICES</v>
          </cell>
          <cell r="J1476">
            <v>44422170753</v>
          </cell>
          <cell r="K1476">
            <v>44915</v>
          </cell>
          <cell r="L1476">
            <v>11</v>
          </cell>
          <cell r="M1476" t="str">
            <v>EUR</v>
          </cell>
          <cell r="N1476">
            <v>8835.84</v>
          </cell>
          <cell r="O1476">
            <v>69.03</v>
          </cell>
          <cell r="P1476">
            <v>128</v>
          </cell>
          <cell r="Q1476">
            <v>128</v>
          </cell>
          <cell r="R1476">
            <v>0</v>
          </cell>
        </row>
        <row r="1477">
          <cell r="A1477" t="str">
            <v>8BG295LIB07QKC4WWD</v>
          </cell>
          <cell r="B1477" t="str">
            <v>Q3-23</v>
          </cell>
          <cell r="C1477" t="str">
            <v>Europe Operations OU</v>
          </cell>
          <cell r="D1477">
            <v>2674345</v>
          </cell>
          <cell r="E1477" t="str">
            <v>Amazon EU SARL, succursale Italiana</v>
          </cell>
          <cell r="F1477" t="str">
            <v>8BG295LI</v>
          </cell>
          <cell r="G1477" t="str">
            <v>B07QKC4WWD</v>
          </cell>
          <cell r="H1477" t="str">
            <v>910-005568</v>
          </cell>
          <cell r="I1477" t="str">
            <v>OE INVOICES</v>
          </cell>
          <cell r="J1477">
            <v>44422176556</v>
          </cell>
          <cell r="K1477">
            <v>44922</v>
          </cell>
          <cell r="L1477">
            <v>1</v>
          </cell>
          <cell r="M1477" t="str">
            <v>EUR</v>
          </cell>
          <cell r="N1477">
            <v>27180.36</v>
          </cell>
          <cell r="O1477">
            <v>83.89</v>
          </cell>
          <cell r="P1477">
            <v>324</v>
          </cell>
          <cell r="Q1477">
            <v>324</v>
          </cell>
          <cell r="R1477">
            <v>0</v>
          </cell>
        </row>
        <row r="1478">
          <cell r="A1478" t="str">
            <v>8BG295LIB07VWZHCNX</v>
          </cell>
          <cell r="B1478" t="str">
            <v>Q3-23</v>
          </cell>
          <cell r="C1478" t="str">
            <v>Europe Operations OU</v>
          </cell>
          <cell r="D1478">
            <v>2674345</v>
          </cell>
          <cell r="E1478" t="str">
            <v>Amazon EU SARL, succursale Italiana</v>
          </cell>
          <cell r="F1478" t="str">
            <v>8BG295LI</v>
          </cell>
          <cell r="G1478" t="str">
            <v>B07VWZHCNX</v>
          </cell>
          <cell r="H1478" t="str">
            <v>956-000001</v>
          </cell>
          <cell r="I1478" t="str">
            <v>OE INVOICES</v>
          </cell>
          <cell r="J1478">
            <v>44422170753</v>
          </cell>
          <cell r="K1478">
            <v>44915</v>
          </cell>
          <cell r="L1478">
            <v>12</v>
          </cell>
          <cell r="M1478" t="str">
            <v>EUR</v>
          </cell>
          <cell r="N1478">
            <v>2596.16</v>
          </cell>
          <cell r="O1478">
            <v>11.59</v>
          </cell>
          <cell r="P1478">
            <v>224</v>
          </cell>
          <cell r="Q1478">
            <v>224</v>
          </cell>
          <cell r="R1478">
            <v>0</v>
          </cell>
        </row>
        <row r="1479">
          <cell r="A1479" t="str">
            <v>8BG295LIB07W4DGGBH</v>
          </cell>
          <cell r="B1479" t="str">
            <v>Q3-23</v>
          </cell>
          <cell r="C1479" t="str">
            <v>Europe Operations OU</v>
          </cell>
          <cell r="D1479">
            <v>2674345</v>
          </cell>
          <cell r="E1479" t="str">
            <v>Amazon EU SARL, succursale Italiana</v>
          </cell>
          <cell r="F1479" t="str">
            <v>8BG295LI</v>
          </cell>
          <cell r="G1479" t="str">
            <v>B07W4DGGBH</v>
          </cell>
          <cell r="H1479" t="str">
            <v>920-011426</v>
          </cell>
          <cell r="I1479" t="str">
            <v>OE INVOICES</v>
          </cell>
          <cell r="J1479">
            <v>44422170753</v>
          </cell>
          <cell r="K1479">
            <v>44915</v>
          </cell>
          <cell r="L1479">
            <v>13</v>
          </cell>
          <cell r="M1479" t="str">
            <v>EUR</v>
          </cell>
          <cell r="N1479">
            <v>1670.64</v>
          </cell>
          <cell r="O1479">
            <v>69.61</v>
          </cell>
          <cell r="P1479">
            <v>24</v>
          </cell>
          <cell r="Q1479">
            <v>24</v>
          </cell>
          <cell r="R1479">
            <v>0</v>
          </cell>
        </row>
        <row r="1480">
          <cell r="A1480" t="str">
            <v>8BG295LIB07W4DGKZ5</v>
          </cell>
          <cell r="B1480" t="str">
            <v>Q3-23</v>
          </cell>
          <cell r="C1480" t="str">
            <v>Europe Operations OU</v>
          </cell>
          <cell r="D1480">
            <v>2674345</v>
          </cell>
          <cell r="E1480" t="str">
            <v>Amazon EU SARL, succursale Italiana</v>
          </cell>
          <cell r="F1480" t="str">
            <v>8BG295LI</v>
          </cell>
          <cell r="G1480" t="str">
            <v>B07W4DGKZ5</v>
          </cell>
          <cell r="H1480" t="str">
            <v>920-011435</v>
          </cell>
          <cell r="I1480" t="str">
            <v>OE INVOICES</v>
          </cell>
          <cell r="J1480">
            <v>44422170753</v>
          </cell>
          <cell r="K1480">
            <v>44915</v>
          </cell>
          <cell r="L1480">
            <v>14</v>
          </cell>
          <cell r="M1480" t="str">
            <v>EUR</v>
          </cell>
          <cell r="N1480">
            <v>1670.56</v>
          </cell>
          <cell r="O1480">
            <v>104.41</v>
          </cell>
          <cell r="P1480">
            <v>16</v>
          </cell>
          <cell r="Q1480">
            <v>16</v>
          </cell>
          <cell r="R1480">
            <v>0</v>
          </cell>
        </row>
        <row r="1481">
          <cell r="A1481" t="str">
            <v>8BG295LIB07W4DH65R</v>
          </cell>
          <cell r="B1481" t="str">
            <v>Q3-23</v>
          </cell>
          <cell r="C1481" t="str">
            <v>Europe Operations OU</v>
          </cell>
          <cell r="D1481">
            <v>2674345</v>
          </cell>
          <cell r="E1481" t="str">
            <v>Amazon EU SARL, succursale Italiana</v>
          </cell>
          <cell r="F1481" t="str">
            <v>8BG295LI</v>
          </cell>
          <cell r="G1481" t="str">
            <v>B07W4DH65R</v>
          </cell>
          <cell r="H1481" t="str">
            <v>920-011429</v>
          </cell>
          <cell r="I1481" t="str">
            <v>OE INVOICES</v>
          </cell>
          <cell r="J1481">
            <v>44422170753</v>
          </cell>
          <cell r="K1481">
            <v>44915</v>
          </cell>
          <cell r="L1481">
            <v>15</v>
          </cell>
          <cell r="M1481" t="str">
            <v>EUR</v>
          </cell>
          <cell r="N1481">
            <v>556.88</v>
          </cell>
          <cell r="O1481">
            <v>69.61</v>
          </cell>
          <cell r="P1481">
            <v>8</v>
          </cell>
          <cell r="Q1481">
            <v>8</v>
          </cell>
          <cell r="R1481">
            <v>0</v>
          </cell>
        </row>
        <row r="1482">
          <cell r="A1482" t="str">
            <v>8BG295LIB07W4DHG24</v>
          </cell>
          <cell r="B1482" t="str">
            <v>Q3-23</v>
          </cell>
          <cell r="C1482" t="str">
            <v>Europe Operations OU</v>
          </cell>
          <cell r="D1482">
            <v>2674345</v>
          </cell>
          <cell r="E1482" t="str">
            <v>Amazon EU SARL, succursale Italiana</v>
          </cell>
          <cell r="F1482" t="str">
            <v>8BG295LI</v>
          </cell>
          <cell r="G1482" t="str">
            <v>B07W4DHG24</v>
          </cell>
          <cell r="H1482" t="str">
            <v>943-000544</v>
          </cell>
          <cell r="I1482" t="str">
            <v>OE INVOICES</v>
          </cell>
          <cell r="J1482">
            <v>44422170753</v>
          </cell>
          <cell r="K1482">
            <v>44915</v>
          </cell>
          <cell r="L1482">
            <v>16</v>
          </cell>
          <cell r="M1482" t="str">
            <v>EUR</v>
          </cell>
          <cell r="N1482">
            <v>210.96</v>
          </cell>
          <cell r="O1482">
            <v>26.37</v>
          </cell>
          <cell r="P1482">
            <v>8</v>
          </cell>
          <cell r="Q1482">
            <v>8</v>
          </cell>
          <cell r="R1482">
            <v>0</v>
          </cell>
        </row>
        <row r="1483">
          <cell r="A1483" t="str">
            <v>8BG295LIB07W4DHK3P</v>
          </cell>
          <cell r="B1483" t="str">
            <v>Q3-23</v>
          </cell>
          <cell r="C1483" t="str">
            <v>Europe Operations OU</v>
          </cell>
          <cell r="D1483">
            <v>2674345</v>
          </cell>
          <cell r="E1483" t="str">
            <v>Amazon EU SARL, succursale Italiana</v>
          </cell>
          <cell r="F1483" t="str">
            <v>8BG295LI</v>
          </cell>
          <cell r="G1483" t="str">
            <v>B07W4DHK3P</v>
          </cell>
          <cell r="H1483" t="str">
            <v>943-000806</v>
          </cell>
          <cell r="I1483" t="str">
            <v>OE INVOICES</v>
          </cell>
          <cell r="J1483">
            <v>44422170753</v>
          </cell>
          <cell r="K1483">
            <v>44915</v>
          </cell>
          <cell r="L1483">
            <v>17</v>
          </cell>
          <cell r="M1483" t="str">
            <v>EUR</v>
          </cell>
          <cell r="N1483">
            <v>84.4</v>
          </cell>
          <cell r="O1483">
            <v>21.1</v>
          </cell>
          <cell r="P1483">
            <v>4</v>
          </cell>
          <cell r="Q1483">
            <v>4</v>
          </cell>
          <cell r="R1483">
            <v>0</v>
          </cell>
        </row>
        <row r="1484">
          <cell r="A1484" t="str">
            <v>8BG295LIB07W5JJVFM</v>
          </cell>
          <cell r="B1484" t="str">
            <v>Q3-23</v>
          </cell>
          <cell r="C1484" t="str">
            <v>Europe Operations OU</v>
          </cell>
          <cell r="D1484">
            <v>2674345</v>
          </cell>
          <cell r="E1484" t="str">
            <v>Amazon EU SARL, succursale Italiana</v>
          </cell>
          <cell r="F1484" t="str">
            <v>8BG295LI</v>
          </cell>
          <cell r="G1484" t="str">
            <v>B07W5JJVFM</v>
          </cell>
          <cell r="H1484" t="str">
            <v>956-000053</v>
          </cell>
          <cell r="I1484" t="str">
            <v>OE INVOICES</v>
          </cell>
          <cell r="J1484">
            <v>44422170753</v>
          </cell>
          <cell r="K1484">
            <v>44915</v>
          </cell>
          <cell r="L1484">
            <v>18</v>
          </cell>
          <cell r="M1484" t="str">
            <v>EUR</v>
          </cell>
          <cell r="N1484">
            <v>177.8</v>
          </cell>
          <cell r="O1484">
            <v>8.89</v>
          </cell>
          <cell r="P1484">
            <v>20</v>
          </cell>
          <cell r="Q1484">
            <v>20</v>
          </cell>
          <cell r="R1484">
            <v>0</v>
          </cell>
        </row>
        <row r="1485">
          <cell r="A1485" t="str">
            <v>8BG295LIB07W5JK3Z2</v>
          </cell>
          <cell r="B1485" t="str">
            <v>Q3-23</v>
          </cell>
          <cell r="C1485" t="str">
            <v>Europe Operations OU</v>
          </cell>
          <cell r="D1485">
            <v>2674345</v>
          </cell>
          <cell r="E1485" t="str">
            <v>Amazon EU SARL, succursale Italiana</v>
          </cell>
          <cell r="F1485" t="str">
            <v>8BG295LI</v>
          </cell>
          <cell r="G1485" t="str">
            <v>B07W5JK3Z2</v>
          </cell>
          <cell r="H1485" t="str">
            <v>956-000052</v>
          </cell>
          <cell r="I1485" t="str">
            <v>OE INVOICES</v>
          </cell>
          <cell r="J1485">
            <v>44422170753</v>
          </cell>
          <cell r="K1485">
            <v>44915</v>
          </cell>
          <cell r="L1485">
            <v>19</v>
          </cell>
          <cell r="M1485" t="str">
            <v>EUR</v>
          </cell>
          <cell r="N1485">
            <v>711.2</v>
          </cell>
          <cell r="O1485">
            <v>8.89</v>
          </cell>
          <cell r="P1485">
            <v>80</v>
          </cell>
          <cell r="Q1485">
            <v>80</v>
          </cell>
          <cell r="R1485">
            <v>0</v>
          </cell>
        </row>
        <row r="1486">
          <cell r="A1486" t="str">
            <v>8BG295LIB07W5JKBMG</v>
          </cell>
          <cell r="B1486" t="str">
            <v>Q3-23</v>
          </cell>
          <cell r="C1486" t="str">
            <v>Europe Operations OU</v>
          </cell>
          <cell r="D1486">
            <v>2674345</v>
          </cell>
          <cell r="E1486" t="str">
            <v>Amazon EU SARL, succursale Italiana</v>
          </cell>
          <cell r="F1486" t="str">
            <v>8BG295LI</v>
          </cell>
          <cell r="G1486" t="str">
            <v>B07W5JKBMG</v>
          </cell>
          <cell r="H1486" t="str">
            <v>943-000450</v>
          </cell>
          <cell r="I1486" t="str">
            <v>OE INVOICES</v>
          </cell>
          <cell r="J1486">
            <v>44422170753</v>
          </cell>
          <cell r="K1486">
            <v>44915</v>
          </cell>
          <cell r="L1486">
            <v>20</v>
          </cell>
          <cell r="M1486" t="str">
            <v>EUR</v>
          </cell>
          <cell r="N1486">
            <v>1244.8</v>
          </cell>
          <cell r="O1486">
            <v>31.12</v>
          </cell>
          <cell r="P1486">
            <v>40</v>
          </cell>
          <cell r="Q1486">
            <v>40</v>
          </cell>
          <cell r="R1486">
            <v>0</v>
          </cell>
        </row>
        <row r="1487">
          <cell r="A1487" t="str">
            <v>8BG295LIB07W5JKFQC</v>
          </cell>
          <cell r="B1487" t="str">
            <v>Q3-23</v>
          </cell>
          <cell r="C1487" t="str">
            <v>Europe Operations OU</v>
          </cell>
          <cell r="D1487">
            <v>2674345</v>
          </cell>
          <cell r="E1487" t="str">
            <v>Amazon EU SARL, succursale Italiana</v>
          </cell>
          <cell r="F1487" t="str">
            <v>8BG295LI</v>
          </cell>
          <cell r="G1487" t="str">
            <v>B07W5JKFQC</v>
          </cell>
          <cell r="H1487" t="str">
            <v>910-005796</v>
          </cell>
          <cell r="I1487" t="str">
            <v>OE INVOICES</v>
          </cell>
          <cell r="J1487">
            <v>44422170753</v>
          </cell>
          <cell r="K1487">
            <v>44915</v>
          </cell>
          <cell r="L1487">
            <v>21</v>
          </cell>
          <cell r="M1487" t="str">
            <v>EUR</v>
          </cell>
          <cell r="N1487">
            <v>41592.480000000003</v>
          </cell>
          <cell r="O1487">
            <v>23.74</v>
          </cell>
          <cell r="P1487">
            <v>1752</v>
          </cell>
          <cell r="Q1487">
            <v>1752</v>
          </cell>
          <cell r="R1487">
            <v>0</v>
          </cell>
        </row>
        <row r="1488">
          <cell r="A1488" t="str">
            <v>8BG295LIB07W5JKLRF</v>
          </cell>
          <cell r="B1488" t="str">
            <v>Q3-23</v>
          </cell>
          <cell r="C1488" t="str">
            <v>Europe Operations OU</v>
          </cell>
          <cell r="D1488">
            <v>2674345</v>
          </cell>
          <cell r="E1488" t="str">
            <v>Amazon EU SARL, succursale Italiana</v>
          </cell>
          <cell r="F1488" t="str">
            <v>8BG295LI</v>
          </cell>
          <cell r="G1488" t="str">
            <v>B07W5JKLRF</v>
          </cell>
          <cell r="H1488" t="str">
            <v>939-002064</v>
          </cell>
          <cell r="I1488" t="str">
            <v>OE INVOICES</v>
          </cell>
          <cell r="J1488">
            <v>44422170753</v>
          </cell>
          <cell r="K1488">
            <v>44915</v>
          </cell>
          <cell r="L1488">
            <v>22</v>
          </cell>
          <cell r="M1488" t="str">
            <v>EUR</v>
          </cell>
          <cell r="N1488">
            <v>179.8</v>
          </cell>
          <cell r="O1488">
            <v>44.95</v>
          </cell>
          <cell r="P1488">
            <v>4</v>
          </cell>
          <cell r="Q1488">
            <v>4</v>
          </cell>
          <cell r="R1488">
            <v>0</v>
          </cell>
        </row>
        <row r="1489">
          <cell r="A1489" t="str">
            <v>8BG295LIB07W5JKPK4</v>
          </cell>
          <cell r="B1489" t="str">
            <v>Q3-23</v>
          </cell>
          <cell r="C1489" t="str">
            <v>Europe Operations OU</v>
          </cell>
          <cell r="D1489">
            <v>2674345</v>
          </cell>
          <cell r="E1489" t="str">
            <v>Amazon EU SARL, succursale Italiana</v>
          </cell>
          <cell r="F1489" t="str">
            <v>8BG295LI</v>
          </cell>
          <cell r="G1489" t="str">
            <v>B07W5JKPK4</v>
          </cell>
          <cell r="H1489" t="str">
            <v>920-010558</v>
          </cell>
          <cell r="I1489" t="str">
            <v>OE INVOICES</v>
          </cell>
          <cell r="J1489">
            <v>44422170753</v>
          </cell>
          <cell r="K1489">
            <v>44915</v>
          </cell>
          <cell r="L1489">
            <v>23</v>
          </cell>
          <cell r="M1489" t="str">
            <v>EUR</v>
          </cell>
          <cell r="N1489">
            <v>569.76</v>
          </cell>
          <cell r="O1489">
            <v>47.48</v>
          </cell>
          <cell r="P1489">
            <v>12</v>
          </cell>
          <cell r="Q1489">
            <v>12</v>
          </cell>
          <cell r="R1489">
            <v>0</v>
          </cell>
        </row>
        <row r="1490">
          <cell r="A1490" t="str">
            <v>8BG295LIB07W5JKR75</v>
          </cell>
          <cell r="B1490" t="str">
            <v>Q3-23</v>
          </cell>
          <cell r="C1490" t="str">
            <v>Europe Operations OU</v>
          </cell>
          <cell r="D1490">
            <v>2674345</v>
          </cell>
          <cell r="E1490" t="str">
            <v>Amazon EU SARL, succursale Italiana</v>
          </cell>
          <cell r="F1490" t="str">
            <v>8BG295LI</v>
          </cell>
          <cell r="G1490" t="str">
            <v>B07W5JKR75</v>
          </cell>
          <cell r="H1490" t="str">
            <v>943-000799</v>
          </cell>
          <cell r="I1490" t="str">
            <v>OE INVOICES</v>
          </cell>
          <cell r="J1490">
            <v>44422170753</v>
          </cell>
          <cell r="K1490">
            <v>44915</v>
          </cell>
          <cell r="L1490">
            <v>24</v>
          </cell>
          <cell r="M1490" t="str">
            <v>EUR</v>
          </cell>
          <cell r="N1490">
            <v>664.56</v>
          </cell>
          <cell r="O1490">
            <v>18.46</v>
          </cell>
          <cell r="P1490">
            <v>36</v>
          </cell>
          <cell r="Q1490">
            <v>36</v>
          </cell>
          <cell r="R1490">
            <v>0</v>
          </cell>
        </row>
        <row r="1491">
          <cell r="A1491" t="str">
            <v>8BG295LIB07W6H29GS</v>
          </cell>
          <cell r="B1491" t="str">
            <v>Q3-23</v>
          </cell>
          <cell r="C1491" t="str">
            <v>Europe Operations OU</v>
          </cell>
          <cell r="D1491">
            <v>2674345</v>
          </cell>
          <cell r="E1491" t="str">
            <v>Amazon EU SARL, succursale Italiana</v>
          </cell>
          <cell r="F1491" t="str">
            <v>8BG295LI</v>
          </cell>
          <cell r="G1491" t="str">
            <v>B07W6H29GS</v>
          </cell>
          <cell r="H1491" t="str">
            <v>920-011428</v>
          </cell>
          <cell r="I1491" t="str">
            <v>OE INVOICES</v>
          </cell>
          <cell r="J1491">
            <v>44422170753</v>
          </cell>
          <cell r="K1491">
            <v>44915</v>
          </cell>
          <cell r="L1491">
            <v>25</v>
          </cell>
          <cell r="M1491" t="str">
            <v>EUR</v>
          </cell>
          <cell r="N1491">
            <v>2784.4</v>
          </cell>
          <cell r="O1491">
            <v>69.61</v>
          </cell>
          <cell r="P1491">
            <v>40</v>
          </cell>
          <cell r="Q1491">
            <v>40</v>
          </cell>
          <cell r="R1491">
            <v>0</v>
          </cell>
        </row>
        <row r="1492">
          <cell r="A1492" t="str">
            <v>8BG295LIB07W6H83LD</v>
          </cell>
          <cell r="B1492" t="str">
            <v>Q3-23</v>
          </cell>
          <cell r="C1492" t="str">
            <v>Europe Operations OU</v>
          </cell>
          <cell r="D1492">
            <v>2674345</v>
          </cell>
          <cell r="E1492" t="str">
            <v>Amazon EU SARL, succursale Italiana</v>
          </cell>
          <cell r="F1492" t="str">
            <v>8BG295LI</v>
          </cell>
          <cell r="G1492" t="str">
            <v>B07W6H83LD</v>
          </cell>
          <cell r="H1492" t="str">
            <v>943-000798</v>
          </cell>
          <cell r="I1492" t="str">
            <v>OE INVOICES</v>
          </cell>
          <cell r="J1492">
            <v>44422170753</v>
          </cell>
          <cell r="K1492">
            <v>44915</v>
          </cell>
          <cell r="L1492">
            <v>26</v>
          </cell>
          <cell r="M1492" t="str">
            <v>EUR</v>
          </cell>
          <cell r="N1492">
            <v>73.84</v>
          </cell>
          <cell r="O1492">
            <v>18.46</v>
          </cell>
          <cell r="P1492">
            <v>4</v>
          </cell>
          <cell r="Q1492">
            <v>4</v>
          </cell>
          <cell r="R1492">
            <v>0</v>
          </cell>
        </row>
        <row r="1493">
          <cell r="A1493" t="str">
            <v>8BG295LIB07W6HBBMH</v>
          </cell>
          <cell r="B1493" t="str">
            <v>Q3-23</v>
          </cell>
          <cell r="C1493" t="str">
            <v>Europe Operations OU</v>
          </cell>
          <cell r="D1493">
            <v>2674345</v>
          </cell>
          <cell r="E1493" t="str">
            <v>Amazon EU SARL, succursale Italiana</v>
          </cell>
          <cell r="F1493" t="str">
            <v>8BG295LI</v>
          </cell>
          <cell r="G1493" t="str">
            <v>B07W6HBBMH</v>
          </cell>
          <cell r="H1493" t="str">
            <v>943-000777</v>
          </cell>
          <cell r="I1493" t="str">
            <v>OE INVOICES</v>
          </cell>
          <cell r="J1493">
            <v>44422176556</v>
          </cell>
          <cell r="K1493">
            <v>44922</v>
          </cell>
          <cell r="L1493">
            <v>2</v>
          </cell>
          <cell r="M1493" t="str">
            <v>EUR</v>
          </cell>
          <cell r="N1493">
            <v>1709.28</v>
          </cell>
          <cell r="O1493">
            <v>23.74</v>
          </cell>
          <cell r="P1493">
            <v>72</v>
          </cell>
          <cell r="Q1493">
            <v>72</v>
          </cell>
          <cell r="R1493">
            <v>0</v>
          </cell>
        </row>
        <row r="1494">
          <cell r="A1494" t="str">
            <v>8BG295LIB07W6HLSFF</v>
          </cell>
          <cell r="B1494" t="str">
            <v>Q3-23</v>
          </cell>
          <cell r="C1494" t="str">
            <v>Europe Operations OU</v>
          </cell>
          <cell r="D1494">
            <v>2674345</v>
          </cell>
          <cell r="E1494" t="str">
            <v>Amazon EU SARL, succursale Italiana</v>
          </cell>
          <cell r="F1494" t="str">
            <v>8BG295LI</v>
          </cell>
          <cell r="G1494" t="str">
            <v>B07W6HLSFF</v>
          </cell>
          <cell r="H1494" t="str">
            <v>981-001024</v>
          </cell>
          <cell r="I1494" t="str">
            <v>OE INVOICES</v>
          </cell>
          <cell r="J1494">
            <v>44422170753</v>
          </cell>
          <cell r="K1494">
            <v>44915</v>
          </cell>
          <cell r="L1494">
            <v>27</v>
          </cell>
          <cell r="M1494" t="str">
            <v>EUR</v>
          </cell>
          <cell r="N1494">
            <v>316.48</v>
          </cell>
          <cell r="O1494">
            <v>39.56</v>
          </cell>
          <cell r="P1494">
            <v>8</v>
          </cell>
          <cell r="Q1494">
            <v>8</v>
          </cell>
          <cell r="R1494">
            <v>0</v>
          </cell>
        </row>
        <row r="1495">
          <cell r="A1495" t="str">
            <v>8BG295LIB07W6HPP3R</v>
          </cell>
          <cell r="B1495" t="str">
            <v>Q3-23</v>
          </cell>
          <cell r="C1495" t="str">
            <v>Europe Operations OU</v>
          </cell>
          <cell r="D1495">
            <v>2674345</v>
          </cell>
          <cell r="E1495" t="str">
            <v>Amazon EU SARL, succursale Italiana</v>
          </cell>
          <cell r="F1495" t="str">
            <v>8BG295LI</v>
          </cell>
          <cell r="G1495" t="str">
            <v>B07W6HPP3R</v>
          </cell>
          <cell r="H1495" t="str">
            <v>920-010303</v>
          </cell>
          <cell r="I1495" t="str">
            <v>OE INVOICES</v>
          </cell>
          <cell r="J1495">
            <v>44422170753</v>
          </cell>
          <cell r="K1495">
            <v>44915</v>
          </cell>
          <cell r="L1495">
            <v>28</v>
          </cell>
          <cell r="M1495" t="str">
            <v>EUR</v>
          </cell>
          <cell r="N1495">
            <v>12066.08</v>
          </cell>
          <cell r="O1495">
            <v>116.02</v>
          </cell>
          <cell r="P1495">
            <v>104</v>
          </cell>
          <cell r="Q1495">
            <v>104</v>
          </cell>
          <cell r="R1495">
            <v>0</v>
          </cell>
        </row>
        <row r="1496">
          <cell r="A1496" t="str">
            <v>8BG295LIB07W6HT7X6</v>
          </cell>
          <cell r="B1496" t="str">
            <v>Q3-23</v>
          </cell>
          <cell r="C1496" t="str">
            <v>Europe Operations OU</v>
          </cell>
          <cell r="D1496">
            <v>2674345</v>
          </cell>
          <cell r="E1496" t="str">
            <v>Amazon EU SARL, succursale Italiana</v>
          </cell>
          <cell r="F1496" t="str">
            <v>8BG295LI</v>
          </cell>
          <cell r="G1496" t="str">
            <v>B07W6HT7X6</v>
          </cell>
          <cell r="H1496" t="str">
            <v>920-010245</v>
          </cell>
          <cell r="I1496" t="str">
            <v>OE INVOICES</v>
          </cell>
          <cell r="J1496">
            <v>44422170753</v>
          </cell>
          <cell r="K1496">
            <v>44915</v>
          </cell>
          <cell r="L1496">
            <v>29</v>
          </cell>
          <cell r="M1496" t="str">
            <v>EUR</v>
          </cell>
          <cell r="N1496">
            <v>402.76</v>
          </cell>
          <cell r="O1496">
            <v>100.69</v>
          </cell>
          <cell r="P1496">
            <v>4</v>
          </cell>
          <cell r="Q1496">
            <v>4</v>
          </cell>
          <cell r="R1496">
            <v>0</v>
          </cell>
        </row>
        <row r="1497">
          <cell r="A1497" t="str">
            <v>8BG295LIB07W6JKJ5J</v>
          </cell>
          <cell r="B1497" t="str">
            <v>Q3-23</v>
          </cell>
          <cell r="C1497" t="str">
            <v>Europe Operations OU</v>
          </cell>
          <cell r="D1497">
            <v>2674345</v>
          </cell>
          <cell r="E1497" t="str">
            <v>Amazon EU SARL, succursale Italiana</v>
          </cell>
          <cell r="F1497" t="str">
            <v>8BG295LI</v>
          </cell>
          <cell r="G1497" t="str">
            <v>B07W6JKJ5J</v>
          </cell>
          <cell r="H1497" t="str">
            <v>920-011203</v>
          </cell>
          <cell r="I1497" t="str">
            <v>OE INVOICES</v>
          </cell>
          <cell r="J1497">
            <v>44422170753</v>
          </cell>
          <cell r="K1497">
            <v>44915</v>
          </cell>
          <cell r="L1497">
            <v>30</v>
          </cell>
          <cell r="M1497" t="str">
            <v>EUR</v>
          </cell>
          <cell r="N1497">
            <v>696.08</v>
          </cell>
          <cell r="O1497">
            <v>87.01</v>
          </cell>
          <cell r="P1497">
            <v>8</v>
          </cell>
          <cell r="Q1497">
            <v>8</v>
          </cell>
          <cell r="R1497">
            <v>0</v>
          </cell>
        </row>
        <row r="1498">
          <cell r="A1498" t="str">
            <v>8BG295LIB07W6JNK1Z</v>
          </cell>
          <cell r="B1498" t="str">
            <v>Q3-23</v>
          </cell>
          <cell r="C1498" t="str">
            <v>Europe Operations OU</v>
          </cell>
          <cell r="D1498">
            <v>2674345</v>
          </cell>
          <cell r="E1498" t="str">
            <v>Amazon EU SARL, succursale Italiana</v>
          </cell>
          <cell r="F1498" t="str">
            <v>8BG295LI</v>
          </cell>
          <cell r="G1498" t="str">
            <v>B07W6JNK1Z</v>
          </cell>
          <cell r="H1498" t="str">
            <v>981-001018</v>
          </cell>
          <cell r="I1498" t="str">
            <v>OE INVOICES</v>
          </cell>
          <cell r="J1498">
            <v>44422170753</v>
          </cell>
          <cell r="K1498">
            <v>44915</v>
          </cell>
          <cell r="L1498">
            <v>31</v>
          </cell>
          <cell r="M1498" t="str">
            <v>EUR</v>
          </cell>
          <cell r="N1498">
            <v>474.72</v>
          </cell>
          <cell r="O1498">
            <v>39.56</v>
          </cell>
          <cell r="P1498">
            <v>12</v>
          </cell>
          <cell r="Q1498">
            <v>12</v>
          </cell>
          <cell r="R1498">
            <v>0</v>
          </cell>
        </row>
        <row r="1499">
          <cell r="A1499" t="str">
            <v>8BG295LIB07W6JPVPF</v>
          </cell>
          <cell r="B1499" t="str">
            <v>Q3-23</v>
          </cell>
          <cell r="C1499" t="str">
            <v>Europe Operations OU</v>
          </cell>
          <cell r="D1499">
            <v>2674345</v>
          </cell>
          <cell r="E1499" t="str">
            <v>Amazon EU SARL, succursale Italiana</v>
          </cell>
          <cell r="F1499" t="str">
            <v>8BG295LI</v>
          </cell>
          <cell r="G1499" t="str">
            <v>B07W6JPVPF</v>
          </cell>
          <cell r="H1499" t="str">
            <v>943-000778</v>
          </cell>
          <cell r="I1499" t="str">
            <v>OE INVOICES</v>
          </cell>
          <cell r="J1499">
            <v>44422170753</v>
          </cell>
          <cell r="K1499">
            <v>44915</v>
          </cell>
          <cell r="L1499">
            <v>32</v>
          </cell>
          <cell r="M1499" t="str">
            <v>EUR</v>
          </cell>
          <cell r="N1499">
            <v>3418.56</v>
          </cell>
          <cell r="O1499">
            <v>23.74</v>
          </cell>
          <cell r="P1499">
            <v>144</v>
          </cell>
          <cell r="Q1499">
            <v>144</v>
          </cell>
          <cell r="R1499">
            <v>0</v>
          </cell>
        </row>
        <row r="1500">
          <cell r="A1500" t="str">
            <v>8BG295LIB07W7K29YK</v>
          </cell>
          <cell r="B1500" t="str">
            <v>Q3-23</v>
          </cell>
          <cell r="C1500" t="str">
            <v>Europe Operations OU</v>
          </cell>
          <cell r="D1500">
            <v>2674345</v>
          </cell>
          <cell r="E1500" t="str">
            <v>Amazon EU SARL, succursale Italiana</v>
          </cell>
          <cell r="F1500" t="str">
            <v>8BG295LI</v>
          </cell>
          <cell r="G1500" t="str">
            <v>B07W7K29YK</v>
          </cell>
          <cell r="H1500" t="str">
            <v>943-000791</v>
          </cell>
          <cell r="I1500" t="str">
            <v>OE INVOICES</v>
          </cell>
          <cell r="J1500">
            <v>44422170753</v>
          </cell>
          <cell r="K1500">
            <v>44915</v>
          </cell>
          <cell r="L1500">
            <v>33</v>
          </cell>
          <cell r="M1500" t="str">
            <v>EUR</v>
          </cell>
          <cell r="N1500">
            <v>649.6</v>
          </cell>
          <cell r="O1500">
            <v>11.6</v>
          </cell>
          <cell r="P1500">
            <v>56</v>
          </cell>
          <cell r="Q1500">
            <v>56</v>
          </cell>
          <cell r="R1500">
            <v>0</v>
          </cell>
        </row>
        <row r="1501">
          <cell r="A1501" t="str">
            <v>8BG295LIB07W7L32NJ</v>
          </cell>
          <cell r="B1501" t="str">
            <v>Q3-23</v>
          </cell>
          <cell r="C1501" t="str">
            <v>Europe Operations OU</v>
          </cell>
          <cell r="D1501">
            <v>2674345</v>
          </cell>
          <cell r="E1501" t="str">
            <v>Amazon EU SARL, succursale Italiana</v>
          </cell>
          <cell r="F1501" t="str">
            <v>8BG295LI</v>
          </cell>
          <cell r="G1501" t="str">
            <v>B07W7L32NJ</v>
          </cell>
          <cell r="H1501" t="str">
            <v>920-011423</v>
          </cell>
          <cell r="I1501" t="str">
            <v>OE INVOICES</v>
          </cell>
          <cell r="J1501">
            <v>44422170753</v>
          </cell>
          <cell r="K1501">
            <v>44915</v>
          </cell>
          <cell r="L1501">
            <v>34</v>
          </cell>
          <cell r="M1501" t="str">
            <v>EUR</v>
          </cell>
          <cell r="N1501">
            <v>4455.04</v>
          </cell>
          <cell r="O1501">
            <v>69.61</v>
          </cell>
          <cell r="P1501">
            <v>64</v>
          </cell>
          <cell r="Q1501">
            <v>64</v>
          </cell>
          <cell r="R1501">
            <v>0</v>
          </cell>
        </row>
        <row r="1502">
          <cell r="A1502" t="str">
            <v>8BG295LIB07W7LNTMC</v>
          </cell>
          <cell r="B1502" t="str">
            <v>Q3-23</v>
          </cell>
          <cell r="C1502" t="str">
            <v>Europe Operations OU</v>
          </cell>
          <cell r="D1502">
            <v>2674345</v>
          </cell>
          <cell r="E1502" t="str">
            <v>Amazon EU SARL, succursale Italiana</v>
          </cell>
          <cell r="F1502" t="str">
            <v>8BG295LI</v>
          </cell>
          <cell r="G1502" t="str">
            <v>B07W7LNTMC</v>
          </cell>
          <cell r="H1502" t="str">
            <v>943-000792</v>
          </cell>
          <cell r="I1502" t="str">
            <v>OE INVOICES</v>
          </cell>
          <cell r="J1502">
            <v>44422170753</v>
          </cell>
          <cell r="K1502">
            <v>44915</v>
          </cell>
          <cell r="L1502">
            <v>35</v>
          </cell>
          <cell r="M1502" t="str">
            <v>EUR</v>
          </cell>
          <cell r="N1502">
            <v>1763.2</v>
          </cell>
          <cell r="O1502">
            <v>11.6</v>
          </cell>
          <cell r="P1502">
            <v>152</v>
          </cell>
          <cell r="Q1502">
            <v>152</v>
          </cell>
          <cell r="R1502">
            <v>0</v>
          </cell>
        </row>
        <row r="1503">
          <cell r="A1503" t="str">
            <v>8BG295LIB07W7M4MZP</v>
          </cell>
          <cell r="B1503" t="str">
            <v>Q3-23</v>
          </cell>
          <cell r="C1503" t="str">
            <v>Europe Operations OU</v>
          </cell>
          <cell r="D1503">
            <v>2674345</v>
          </cell>
          <cell r="E1503" t="str">
            <v>Amazon EU SARL, succursale Italiana</v>
          </cell>
          <cell r="F1503" t="str">
            <v>8BG295LI</v>
          </cell>
          <cell r="G1503" t="str">
            <v>B07W7M4MZP</v>
          </cell>
          <cell r="H1503" t="str">
            <v>920-010301</v>
          </cell>
          <cell r="I1503" t="str">
            <v>OE INVOICES</v>
          </cell>
          <cell r="J1503">
            <v>44422170753</v>
          </cell>
          <cell r="K1503">
            <v>44915</v>
          </cell>
          <cell r="L1503">
            <v>36</v>
          </cell>
          <cell r="M1503" t="str">
            <v>EUR</v>
          </cell>
          <cell r="N1503">
            <v>1856.32</v>
          </cell>
          <cell r="O1503">
            <v>116.02</v>
          </cell>
          <cell r="P1503">
            <v>16</v>
          </cell>
          <cell r="Q1503">
            <v>16</v>
          </cell>
          <cell r="R1503">
            <v>0</v>
          </cell>
        </row>
        <row r="1504">
          <cell r="A1504" t="str">
            <v>8BG295LIB07W7MQMD9</v>
          </cell>
          <cell r="B1504" t="str">
            <v>Q3-23</v>
          </cell>
          <cell r="C1504" t="str">
            <v>Europe Operations OU</v>
          </cell>
          <cell r="D1504">
            <v>2674345</v>
          </cell>
          <cell r="E1504" t="str">
            <v>Amazon EU SARL, succursale Italiana</v>
          </cell>
          <cell r="F1504" t="str">
            <v>8BG295LI</v>
          </cell>
          <cell r="G1504" t="str">
            <v>B07W7MQMD9</v>
          </cell>
          <cell r="H1504" t="str">
            <v>910-005730</v>
          </cell>
          <cell r="I1504" t="str">
            <v>OE INVOICES</v>
          </cell>
          <cell r="J1504">
            <v>44422170753</v>
          </cell>
          <cell r="K1504">
            <v>44915</v>
          </cell>
          <cell r="L1504">
            <v>37</v>
          </cell>
          <cell r="M1504" t="str">
            <v>EUR</v>
          </cell>
          <cell r="N1504">
            <v>949.6</v>
          </cell>
          <cell r="O1504">
            <v>47.48</v>
          </cell>
          <cell r="P1504">
            <v>20</v>
          </cell>
          <cell r="Q1504">
            <v>20</v>
          </cell>
          <cell r="R1504">
            <v>0</v>
          </cell>
        </row>
        <row r="1505">
          <cell r="A1505" t="str">
            <v>8DUEXZHEB07HZQT8JG</v>
          </cell>
          <cell r="B1505" t="str">
            <v>Q3-23</v>
          </cell>
          <cell r="C1505" t="str">
            <v>Europe Operations OU</v>
          </cell>
          <cell r="D1505">
            <v>2674345</v>
          </cell>
          <cell r="E1505" t="str">
            <v>Amazon EU SARL, succursale Italiana</v>
          </cell>
          <cell r="F1505" t="str">
            <v>8DUEXZHE</v>
          </cell>
          <cell r="G1505" t="str">
            <v>B07HZQT8JG</v>
          </cell>
          <cell r="H1505" t="str">
            <v>920-008940</v>
          </cell>
          <cell r="I1505" t="str">
            <v>OE INVOICES</v>
          </cell>
          <cell r="J1505">
            <v>44422163467</v>
          </cell>
          <cell r="K1505">
            <v>44909</v>
          </cell>
          <cell r="L1505">
            <v>1</v>
          </cell>
          <cell r="M1505" t="str">
            <v>EUR</v>
          </cell>
          <cell r="N1505">
            <v>586.72</v>
          </cell>
          <cell r="O1505">
            <v>73.34</v>
          </cell>
          <cell r="P1505">
            <v>8</v>
          </cell>
          <cell r="Q1505">
            <v>8</v>
          </cell>
          <cell r="R1505">
            <v>0</v>
          </cell>
        </row>
        <row r="1506">
          <cell r="A1506" t="str">
            <v>8DUEXZHEB07W6HMCF8</v>
          </cell>
          <cell r="B1506" t="str">
            <v>Q3-23</v>
          </cell>
          <cell r="C1506" t="str">
            <v>Europe Operations OU</v>
          </cell>
          <cell r="D1506">
            <v>2674345</v>
          </cell>
          <cell r="E1506" t="str">
            <v>Amazon EU SARL, succursale Italiana</v>
          </cell>
          <cell r="F1506" t="str">
            <v>8DUEXZHE</v>
          </cell>
          <cell r="G1506" t="str">
            <v>B07W6HMCF8</v>
          </cell>
          <cell r="H1506" t="str">
            <v>920-009104</v>
          </cell>
          <cell r="I1506" t="str">
            <v>OE INVOICES</v>
          </cell>
          <cell r="J1506">
            <v>44422163467</v>
          </cell>
          <cell r="K1506">
            <v>44909</v>
          </cell>
          <cell r="L1506">
            <v>2</v>
          </cell>
          <cell r="M1506" t="str">
            <v>EUR</v>
          </cell>
          <cell r="N1506">
            <v>15896.16</v>
          </cell>
          <cell r="O1506">
            <v>141.93</v>
          </cell>
          <cell r="P1506">
            <v>112</v>
          </cell>
          <cell r="Q1506">
            <v>112</v>
          </cell>
          <cell r="R1506">
            <v>0</v>
          </cell>
        </row>
        <row r="1507">
          <cell r="A1507" t="str">
            <v>8ESGGO9XB07W4DH5GL</v>
          </cell>
          <cell r="B1507" t="str">
            <v>Q3-23</v>
          </cell>
          <cell r="C1507" t="str">
            <v>Europe Operations OU</v>
          </cell>
          <cell r="D1507">
            <v>2674345</v>
          </cell>
          <cell r="E1507" t="str">
            <v>Amazon EU SARL, succursale Italiana</v>
          </cell>
          <cell r="F1507" t="str">
            <v>8ESGGO9X</v>
          </cell>
          <cell r="G1507" t="str">
            <v>B07W4DH5GL</v>
          </cell>
          <cell r="H1507" t="str">
            <v>920-010808</v>
          </cell>
          <cell r="I1507" t="str">
            <v>OE INVOICES</v>
          </cell>
          <cell r="J1507">
            <v>44422158455</v>
          </cell>
          <cell r="K1507">
            <v>44907</v>
          </cell>
          <cell r="L1507">
            <v>1</v>
          </cell>
          <cell r="M1507" t="str">
            <v>EUR</v>
          </cell>
          <cell r="N1507">
            <v>4895.2</v>
          </cell>
          <cell r="O1507">
            <v>42.2</v>
          </cell>
          <cell r="P1507">
            <v>116</v>
          </cell>
          <cell r="Q1507">
            <v>116</v>
          </cell>
          <cell r="R1507">
            <v>0</v>
          </cell>
        </row>
        <row r="1508">
          <cell r="A1508" t="str">
            <v>8FQ2THMTB07W4DH5GL</v>
          </cell>
          <cell r="B1508" t="str">
            <v>Q3-23</v>
          </cell>
          <cell r="C1508" t="str">
            <v>Europe Operations OU</v>
          </cell>
          <cell r="D1508">
            <v>2674345</v>
          </cell>
          <cell r="E1508" t="str">
            <v>Amazon EU SARL, succursale Italiana</v>
          </cell>
          <cell r="F1508" t="str">
            <v>8FQ2THMT</v>
          </cell>
          <cell r="G1508" t="str">
            <v>B07W4DH5GL</v>
          </cell>
          <cell r="H1508" t="str">
            <v>920-010808</v>
          </cell>
          <cell r="I1508" t="str">
            <v>OE INVOICES</v>
          </cell>
          <cell r="J1508">
            <v>44422163655</v>
          </cell>
          <cell r="K1508">
            <v>44909</v>
          </cell>
          <cell r="L1508">
            <v>1</v>
          </cell>
          <cell r="M1508" t="str">
            <v>EUR</v>
          </cell>
          <cell r="N1508">
            <v>8946.4</v>
          </cell>
          <cell r="O1508">
            <v>42.2</v>
          </cell>
          <cell r="P1508">
            <v>212</v>
          </cell>
          <cell r="Q1508">
            <v>212</v>
          </cell>
          <cell r="R1508">
            <v>0</v>
          </cell>
        </row>
        <row r="1509">
          <cell r="A1509" t="str">
            <v>8FQ2THMTB07W7MQMDH</v>
          </cell>
          <cell r="B1509" t="str">
            <v>Q3-23</v>
          </cell>
          <cell r="C1509" t="str">
            <v>Europe Operations OU</v>
          </cell>
          <cell r="D1509">
            <v>2674345</v>
          </cell>
          <cell r="E1509" t="str">
            <v>Amazon EU SARL, succursale Italiana</v>
          </cell>
          <cell r="F1509" t="str">
            <v>8FQ2THMT</v>
          </cell>
          <cell r="G1509" t="str">
            <v>B07W7MQMDH</v>
          </cell>
          <cell r="H1509" t="str">
            <v>920-010805</v>
          </cell>
          <cell r="I1509" t="str">
            <v>OE INVOICES</v>
          </cell>
          <cell r="J1509">
            <v>44422163655</v>
          </cell>
          <cell r="K1509">
            <v>44909</v>
          </cell>
          <cell r="L1509">
            <v>2</v>
          </cell>
          <cell r="M1509" t="str">
            <v>EUR</v>
          </cell>
          <cell r="N1509">
            <v>189.92</v>
          </cell>
          <cell r="O1509">
            <v>47.48</v>
          </cell>
          <cell r="P1509">
            <v>4</v>
          </cell>
          <cell r="Q1509">
            <v>4</v>
          </cell>
          <cell r="R1509">
            <v>0</v>
          </cell>
        </row>
        <row r="1510">
          <cell r="A1510" t="str">
            <v>8GSFVICRB01A9HC69G</v>
          </cell>
          <cell r="B1510" t="str">
            <v>Q3-23</v>
          </cell>
          <cell r="C1510" t="str">
            <v>Europe Operations OU</v>
          </cell>
          <cell r="D1510">
            <v>2674345</v>
          </cell>
          <cell r="E1510" t="str">
            <v>Amazon EU SARL, succursale Italiana</v>
          </cell>
          <cell r="F1510" t="str">
            <v>8GSFVICR</v>
          </cell>
          <cell r="G1510" t="str">
            <v>B01A9HC69G</v>
          </cell>
          <cell r="H1510" t="str">
            <v>910-004640</v>
          </cell>
          <cell r="I1510" t="str">
            <v>OE INVOICES</v>
          </cell>
          <cell r="J1510">
            <v>44422157096</v>
          </cell>
          <cell r="K1510">
            <v>44904</v>
          </cell>
          <cell r="L1510">
            <v>1</v>
          </cell>
          <cell r="M1510" t="str">
            <v>EUR</v>
          </cell>
          <cell r="N1510">
            <v>93.6</v>
          </cell>
          <cell r="O1510">
            <v>9.36</v>
          </cell>
          <cell r="P1510">
            <v>10</v>
          </cell>
          <cell r="Q1510">
            <v>10</v>
          </cell>
          <cell r="R1510">
            <v>0</v>
          </cell>
        </row>
        <row r="1511">
          <cell r="A1511" t="str">
            <v>8IGCODXQB07W6FW84S</v>
          </cell>
          <cell r="B1511" t="str">
            <v>Q3-23</v>
          </cell>
          <cell r="C1511" t="str">
            <v>Europe Operations OU</v>
          </cell>
          <cell r="D1511">
            <v>2674345</v>
          </cell>
          <cell r="E1511" t="str">
            <v>Amazon EU SARL, succursale Italiana</v>
          </cell>
          <cell r="F1511" t="str">
            <v>8IGCODXQ</v>
          </cell>
          <cell r="G1511" t="str">
            <v>B07W6FW84S</v>
          </cell>
          <cell r="H1511" t="str">
            <v>939-002001</v>
          </cell>
          <cell r="I1511" t="str">
            <v>OE INVOICES</v>
          </cell>
          <cell r="J1511">
            <v>44422176560</v>
          </cell>
          <cell r="K1511">
            <v>44922</v>
          </cell>
          <cell r="L1511">
            <v>1</v>
          </cell>
          <cell r="M1511" t="str">
            <v>EUR</v>
          </cell>
          <cell r="N1511">
            <v>1377.84</v>
          </cell>
          <cell r="O1511">
            <v>172.23</v>
          </cell>
          <cell r="P1511">
            <v>8</v>
          </cell>
          <cell r="Q1511">
            <v>8</v>
          </cell>
          <cell r="R1511">
            <v>0</v>
          </cell>
        </row>
        <row r="1512">
          <cell r="A1512" t="str">
            <v>8ISKBUCSB00AIIIKPQ</v>
          </cell>
          <cell r="B1512" t="str">
            <v>Q3-23</v>
          </cell>
          <cell r="C1512" t="str">
            <v>Europe Operations OU</v>
          </cell>
          <cell r="D1512">
            <v>2674345</v>
          </cell>
          <cell r="E1512" t="str">
            <v>Amazon EU SARL, succursale Italiana</v>
          </cell>
          <cell r="F1512" t="str">
            <v>8ISKBUCS</v>
          </cell>
          <cell r="G1512" t="str">
            <v>B00AIIIKPQ</v>
          </cell>
          <cell r="H1512" t="str">
            <v>910-003506</v>
          </cell>
          <cell r="I1512" t="str">
            <v>OE INVOICES</v>
          </cell>
          <cell r="J1512">
            <v>44422158769</v>
          </cell>
          <cell r="K1512">
            <v>44907</v>
          </cell>
          <cell r="L1512">
            <v>1</v>
          </cell>
          <cell r="M1512" t="str">
            <v>EUR</v>
          </cell>
          <cell r="N1512">
            <v>445.12</v>
          </cell>
          <cell r="O1512">
            <v>55.64</v>
          </cell>
          <cell r="P1512">
            <v>8</v>
          </cell>
          <cell r="Q1512">
            <v>8</v>
          </cell>
          <cell r="R1512">
            <v>0</v>
          </cell>
        </row>
        <row r="1513">
          <cell r="A1513" t="str">
            <v>8JGSI6BMB00FSF2OSS</v>
          </cell>
          <cell r="B1513" t="str">
            <v>Q3-23</v>
          </cell>
          <cell r="C1513" t="str">
            <v>Europe Operations OU</v>
          </cell>
          <cell r="D1513">
            <v>2674345</v>
          </cell>
          <cell r="E1513" t="str">
            <v>Amazon EU SARL, succursale Italiana</v>
          </cell>
          <cell r="F1513" t="str">
            <v>8JGSI6BM</v>
          </cell>
          <cell r="G1513" t="str">
            <v>B00FSF2OSS</v>
          </cell>
          <cell r="H1513" t="str">
            <v>980-000812</v>
          </cell>
          <cell r="I1513" t="str">
            <v>OE INVOICES</v>
          </cell>
          <cell r="J1513">
            <v>44422145083</v>
          </cell>
          <cell r="K1513">
            <v>44897</v>
          </cell>
          <cell r="L1513">
            <v>1</v>
          </cell>
          <cell r="M1513" t="str">
            <v>EUR</v>
          </cell>
          <cell r="N1513">
            <v>117.12</v>
          </cell>
          <cell r="O1513">
            <v>29.28</v>
          </cell>
          <cell r="P1513">
            <v>4</v>
          </cell>
          <cell r="Q1513">
            <v>4</v>
          </cell>
          <cell r="R1513">
            <v>0</v>
          </cell>
        </row>
        <row r="1514">
          <cell r="A1514" t="str">
            <v>8JIYRRZWB07JGCM9QM</v>
          </cell>
          <cell r="B1514" t="str">
            <v>Q3-23</v>
          </cell>
          <cell r="C1514" t="str">
            <v>Europe Operations OU</v>
          </cell>
          <cell r="D1514">
            <v>2674345</v>
          </cell>
          <cell r="E1514" t="str">
            <v>Amazon EU SARL, succursale Italiana</v>
          </cell>
          <cell r="F1514" t="str">
            <v>8JIYRRZW</v>
          </cell>
          <cell r="G1514" t="str">
            <v>B07JGCM9QM</v>
          </cell>
          <cell r="H1514" t="str">
            <v>945-000062</v>
          </cell>
          <cell r="I1514" t="str">
            <v>OE INVOICES</v>
          </cell>
          <cell r="J1514">
            <v>44422140672</v>
          </cell>
          <cell r="K1514">
            <v>44895</v>
          </cell>
          <cell r="L1514">
            <v>1</v>
          </cell>
          <cell r="M1514" t="str">
            <v>EUR</v>
          </cell>
          <cell r="N1514">
            <v>6918.87</v>
          </cell>
          <cell r="O1514">
            <v>147.21</v>
          </cell>
          <cell r="P1514">
            <v>47</v>
          </cell>
          <cell r="Q1514">
            <v>47</v>
          </cell>
          <cell r="R1514">
            <v>0</v>
          </cell>
        </row>
        <row r="1515">
          <cell r="A1515" t="str">
            <v>8JIYRRZWB07W5JJP7D</v>
          </cell>
          <cell r="B1515" t="str">
            <v>Q3-23</v>
          </cell>
          <cell r="C1515" t="str">
            <v>Europe Operations OU</v>
          </cell>
          <cell r="D1515">
            <v>2674345</v>
          </cell>
          <cell r="E1515" t="str">
            <v>Amazon EU SARL, succursale Italiana</v>
          </cell>
          <cell r="F1515" t="str">
            <v>8JIYRRZW</v>
          </cell>
          <cell r="G1515" t="str">
            <v>B07W5JJP7D</v>
          </cell>
          <cell r="H1515" t="str">
            <v>920-009343</v>
          </cell>
          <cell r="I1515" t="str">
            <v>OE INVOICES</v>
          </cell>
          <cell r="J1515">
            <v>44422146725</v>
          </cell>
          <cell r="K1515">
            <v>44900</v>
          </cell>
          <cell r="L1515">
            <v>1</v>
          </cell>
          <cell r="M1515" t="str">
            <v>EUR</v>
          </cell>
          <cell r="N1515">
            <v>6806</v>
          </cell>
          <cell r="O1515">
            <v>68.06</v>
          </cell>
          <cell r="P1515">
            <v>100</v>
          </cell>
          <cell r="Q1515">
            <v>100</v>
          </cell>
          <cell r="R1515">
            <v>0</v>
          </cell>
        </row>
        <row r="1516">
          <cell r="A1516" t="str">
            <v>8KIX7NYMB07W5JJP7R</v>
          </cell>
          <cell r="B1516" t="str">
            <v>Q3-23</v>
          </cell>
          <cell r="C1516" t="str">
            <v>Europe Operations OU</v>
          </cell>
          <cell r="D1516">
            <v>2674345</v>
          </cell>
          <cell r="E1516" t="str">
            <v>Amazon EU SARL, succursale Italiana</v>
          </cell>
          <cell r="F1516" t="str">
            <v>8KIX7NYM</v>
          </cell>
          <cell r="G1516" t="str">
            <v>B07W5JJP7R</v>
          </cell>
          <cell r="H1516" t="str">
            <v>920-009626</v>
          </cell>
          <cell r="I1516" t="str">
            <v>OE INVOICES</v>
          </cell>
          <cell r="J1516">
            <v>44422170005</v>
          </cell>
          <cell r="K1516">
            <v>44915</v>
          </cell>
          <cell r="L1516">
            <v>1</v>
          </cell>
          <cell r="M1516" t="str">
            <v>EUR</v>
          </cell>
          <cell r="N1516">
            <v>695.92</v>
          </cell>
          <cell r="O1516">
            <v>86.99</v>
          </cell>
          <cell r="P1516">
            <v>8</v>
          </cell>
          <cell r="Q1516">
            <v>8</v>
          </cell>
          <cell r="R1516">
            <v>0</v>
          </cell>
        </row>
        <row r="1517">
          <cell r="A1517" t="str">
            <v>8M8TKVMPB077BT728N</v>
          </cell>
          <cell r="B1517" t="str">
            <v>Q3-23</v>
          </cell>
          <cell r="C1517" t="str">
            <v>Europe Operations OU</v>
          </cell>
          <cell r="D1517">
            <v>2674345</v>
          </cell>
          <cell r="E1517" t="str">
            <v>Amazon EU SARL, succursale Italiana</v>
          </cell>
          <cell r="F1517" t="str">
            <v>8M8TKVMP</v>
          </cell>
          <cell r="G1517" t="str">
            <v>B077BT728N</v>
          </cell>
          <cell r="H1517" t="str">
            <v>920-008669</v>
          </cell>
          <cell r="I1517" t="str">
            <v>OE INVOICES</v>
          </cell>
          <cell r="J1517">
            <v>44422156279</v>
          </cell>
          <cell r="K1517">
            <v>44904</v>
          </cell>
          <cell r="L1517">
            <v>1</v>
          </cell>
          <cell r="M1517" t="str">
            <v>EUR</v>
          </cell>
          <cell r="N1517">
            <v>1147.3</v>
          </cell>
          <cell r="O1517">
            <v>16.39</v>
          </cell>
          <cell r="P1517">
            <v>70</v>
          </cell>
          <cell r="Q1517">
            <v>70</v>
          </cell>
          <cell r="R1517">
            <v>0</v>
          </cell>
        </row>
        <row r="1518">
          <cell r="A1518" t="str">
            <v>8SGS6BFXB00IRCDT7Y</v>
          </cell>
          <cell r="B1518" t="str">
            <v>Q3-23</v>
          </cell>
          <cell r="C1518" t="str">
            <v>Europe Operations OU</v>
          </cell>
          <cell r="D1518">
            <v>2674345</v>
          </cell>
          <cell r="E1518" t="str">
            <v>Amazon EU SARL, succursale Italiana</v>
          </cell>
          <cell r="F1518" t="str">
            <v>8SGS6BFX</v>
          </cell>
          <cell r="G1518" t="str">
            <v>B00IRCDT7Y</v>
          </cell>
          <cell r="H1518" t="str">
            <v>980-000912</v>
          </cell>
          <cell r="I1518" t="str">
            <v>OE INVOICES</v>
          </cell>
          <cell r="J1518">
            <v>44422158003</v>
          </cell>
          <cell r="K1518">
            <v>44907</v>
          </cell>
          <cell r="L1518">
            <v>1</v>
          </cell>
          <cell r="M1518" t="str">
            <v>EUR</v>
          </cell>
          <cell r="N1518">
            <v>24712.32</v>
          </cell>
          <cell r="O1518">
            <v>29.28</v>
          </cell>
          <cell r="P1518">
            <v>844</v>
          </cell>
          <cell r="Q1518">
            <v>844</v>
          </cell>
          <cell r="R151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579D-3E65-45A6-9829-7F368CCAA30C}">
  <dimension ref="A1:AJ1609"/>
  <sheetViews>
    <sheetView workbookViewId="0">
      <pane ySplit="1" topLeftCell="A2" activePane="bottomLeft" state="frozen"/>
      <selection pane="bottomLeft" activeCell="J1" sqref="J1:L1"/>
    </sheetView>
  </sheetViews>
  <sheetFormatPr defaultColWidth="9" defaultRowHeight="15" x14ac:dyDescent="0.25"/>
  <cols>
    <col min="1" max="3" width="10.85546875" customWidth="1"/>
    <col min="4" max="4" width="20.85546875" customWidth="1"/>
    <col min="5" max="5" width="8.85546875" customWidth="1"/>
    <col min="6" max="6" width="12.85546875" customWidth="1"/>
    <col min="7" max="7" width="9.85546875" customWidth="1"/>
    <col min="8" max="8" width="12.85546875" customWidth="1"/>
    <col min="9" max="9" width="9.85546875" customWidth="1"/>
    <col min="10" max="12" width="11.85546875" customWidth="1"/>
    <col min="13" max="13" width="9.85546875" customWidth="1"/>
    <col min="14" max="14" width="11.85546875" customWidth="1"/>
    <col min="15" max="15" width="9.85546875" customWidth="1"/>
    <col min="16" max="16" width="11.85546875" customWidth="1"/>
    <col min="17" max="17" width="12.85546875" customWidth="1"/>
    <col min="18" max="19" width="14.85546875" customWidth="1"/>
    <col min="20" max="20" width="12.85546875" customWidth="1"/>
    <col min="21" max="21" width="10.85546875" customWidth="1"/>
    <col min="22" max="22" width="7.85546875" customWidth="1"/>
    <col min="23" max="24" width="12.85546875" customWidth="1"/>
    <col min="25" max="26" width="18.85546875" customWidth="1"/>
    <col min="27" max="27" width="10.85546875" customWidth="1"/>
    <col min="28" max="28" width="8.85546875" customWidth="1"/>
    <col min="29" max="30" width="9.85546875" customWidth="1"/>
    <col min="31" max="31" width="12.85546875" customWidth="1"/>
    <col min="32" max="34" width="10.85546875" customWidth="1"/>
    <col min="35" max="35" width="15.140625" customWidth="1"/>
    <col min="259" max="261" width="10.85546875" customWidth="1"/>
    <col min="262" max="262" width="20.85546875" customWidth="1"/>
    <col min="263" max="263" width="8.85546875" customWidth="1"/>
    <col min="264" max="264" width="12.85546875" customWidth="1"/>
    <col min="265" max="265" width="9.85546875" customWidth="1"/>
    <col min="266" max="266" width="12.85546875" customWidth="1"/>
    <col min="267" max="267" width="9.85546875" customWidth="1"/>
    <col min="268" max="268" width="11.85546875" customWidth="1"/>
    <col min="269" max="269" width="9.85546875" customWidth="1"/>
    <col min="270" max="270" width="11.85546875" customWidth="1"/>
    <col min="271" max="271" width="9.85546875" customWidth="1"/>
    <col min="272" max="272" width="11.85546875" customWidth="1"/>
    <col min="273" max="273" width="12.85546875" customWidth="1"/>
    <col min="274" max="275" width="14.85546875" customWidth="1"/>
    <col min="276" max="276" width="12.85546875" customWidth="1"/>
    <col min="277" max="277" width="10.85546875" customWidth="1"/>
    <col min="278" max="278" width="7.85546875" customWidth="1"/>
    <col min="279" max="280" width="12.85546875" customWidth="1"/>
    <col min="281" max="282" width="18.85546875" customWidth="1"/>
    <col min="283" max="283" width="10.85546875" customWidth="1"/>
    <col min="284" max="284" width="8.85546875" customWidth="1"/>
    <col min="285" max="286" width="9.85546875" customWidth="1"/>
    <col min="287" max="287" width="12.85546875" customWidth="1"/>
    <col min="288" max="290" width="10.85546875" customWidth="1"/>
    <col min="291" max="291" width="15.140625" customWidth="1"/>
    <col min="515" max="517" width="10.85546875" customWidth="1"/>
    <col min="518" max="518" width="20.85546875" customWidth="1"/>
    <col min="519" max="519" width="8.85546875" customWidth="1"/>
    <col min="520" max="520" width="12.85546875" customWidth="1"/>
    <col min="521" max="521" width="9.85546875" customWidth="1"/>
    <col min="522" max="522" width="12.85546875" customWidth="1"/>
    <col min="523" max="523" width="9.85546875" customWidth="1"/>
    <col min="524" max="524" width="11.85546875" customWidth="1"/>
    <col min="525" max="525" width="9.85546875" customWidth="1"/>
    <col min="526" max="526" width="11.85546875" customWidth="1"/>
    <col min="527" max="527" width="9.85546875" customWidth="1"/>
    <col min="528" max="528" width="11.85546875" customWidth="1"/>
    <col min="529" max="529" width="12.85546875" customWidth="1"/>
    <col min="530" max="531" width="14.85546875" customWidth="1"/>
    <col min="532" max="532" width="12.85546875" customWidth="1"/>
    <col min="533" max="533" width="10.85546875" customWidth="1"/>
    <col min="534" max="534" width="7.85546875" customWidth="1"/>
    <col min="535" max="536" width="12.85546875" customWidth="1"/>
    <col min="537" max="538" width="18.85546875" customWidth="1"/>
    <col min="539" max="539" width="10.85546875" customWidth="1"/>
    <col min="540" max="540" width="8.85546875" customWidth="1"/>
    <col min="541" max="542" width="9.85546875" customWidth="1"/>
    <col min="543" max="543" width="12.85546875" customWidth="1"/>
    <col min="544" max="546" width="10.85546875" customWidth="1"/>
    <col min="547" max="547" width="15.140625" customWidth="1"/>
    <col min="771" max="773" width="10.85546875" customWidth="1"/>
    <col min="774" max="774" width="20.85546875" customWidth="1"/>
    <col min="775" max="775" width="8.85546875" customWidth="1"/>
    <col min="776" max="776" width="12.85546875" customWidth="1"/>
    <col min="777" max="777" width="9.85546875" customWidth="1"/>
    <col min="778" max="778" width="12.85546875" customWidth="1"/>
    <col min="779" max="779" width="9.85546875" customWidth="1"/>
    <col min="780" max="780" width="11.85546875" customWidth="1"/>
    <col min="781" max="781" width="9.85546875" customWidth="1"/>
    <col min="782" max="782" width="11.85546875" customWidth="1"/>
    <col min="783" max="783" width="9.85546875" customWidth="1"/>
    <col min="784" max="784" width="11.85546875" customWidth="1"/>
    <col min="785" max="785" width="12.85546875" customWidth="1"/>
    <col min="786" max="787" width="14.85546875" customWidth="1"/>
    <col min="788" max="788" width="12.85546875" customWidth="1"/>
    <col min="789" max="789" width="10.85546875" customWidth="1"/>
    <col min="790" max="790" width="7.85546875" customWidth="1"/>
    <col min="791" max="792" width="12.85546875" customWidth="1"/>
    <col min="793" max="794" width="18.85546875" customWidth="1"/>
    <col min="795" max="795" width="10.85546875" customWidth="1"/>
    <col min="796" max="796" width="8.85546875" customWidth="1"/>
    <col min="797" max="798" width="9.85546875" customWidth="1"/>
    <col min="799" max="799" width="12.85546875" customWidth="1"/>
    <col min="800" max="802" width="10.85546875" customWidth="1"/>
    <col min="803" max="803" width="15.140625" customWidth="1"/>
    <col min="1027" max="1029" width="10.85546875" customWidth="1"/>
    <col min="1030" max="1030" width="20.85546875" customWidth="1"/>
    <col min="1031" max="1031" width="8.85546875" customWidth="1"/>
    <col min="1032" max="1032" width="12.85546875" customWidth="1"/>
    <col min="1033" max="1033" width="9.85546875" customWidth="1"/>
    <col min="1034" max="1034" width="12.85546875" customWidth="1"/>
    <col min="1035" max="1035" width="9.85546875" customWidth="1"/>
    <col min="1036" max="1036" width="11.85546875" customWidth="1"/>
    <col min="1037" max="1037" width="9.85546875" customWidth="1"/>
    <col min="1038" max="1038" width="11.85546875" customWidth="1"/>
    <col min="1039" max="1039" width="9.85546875" customWidth="1"/>
    <col min="1040" max="1040" width="11.85546875" customWidth="1"/>
    <col min="1041" max="1041" width="12.85546875" customWidth="1"/>
    <col min="1042" max="1043" width="14.85546875" customWidth="1"/>
    <col min="1044" max="1044" width="12.85546875" customWidth="1"/>
    <col min="1045" max="1045" width="10.85546875" customWidth="1"/>
    <col min="1046" max="1046" width="7.85546875" customWidth="1"/>
    <col min="1047" max="1048" width="12.85546875" customWidth="1"/>
    <col min="1049" max="1050" width="18.85546875" customWidth="1"/>
    <col min="1051" max="1051" width="10.85546875" customWidth="1"/>
    <col min="1052" max="1052" width="8.85546875" customWidth="1"/>
    <col min="1053" max="1054" width="9.85546875" customWidth="1"/>
    <col min="1055" max="1055" width="12.85546875" customWidth="1"/>
    <col min="1056" max="1058" width="10.85546875" customWidth="1"/>
    <col min="1059" max="1059" width="15.140625" customWidth="1"/>
    <col min="1283" max="1285" width="10.85546875" customWidth="1"/>
    <col min="1286" max="1286" width="20.85546875" customWidth="1"/>
    <col min="1287" max="1287" width="8.85546875" customWidth="1"/>
    <col min="1288" max="1288" width="12.85546875" customWidth="1"/>
    <col min="1289" max="1289" width="9.85546875" customWidth="1"/>
    <col min="1290" max="1290" width="12.85546875" customWidth="1"/>
    <col min="1291" max="1291" width="9.85546875" customWidth="1"/>
    <col min="1292" max="1292" width="11.85546875" customWidth="1"/>
    <col min="1293" max="1293" width="9.85546875" customWidth="1"/>
    <col min="1294" max="1294" width="11.85546875" customWidth="1"/>
    <col min="1295" max="1295" width="9.85546875" customWidth="1"/>
    <col min="1296" max="1296" width="11.85546875" customWidth="1"/>
    <col min="1297" max="1297" width="12.85546875" customWidth="1"/>
    <col min="1298" max="1299" width="14.85546875" customWidth="1"/>
    <col min="1300" max="1300" width="12.85546875" customWidth="1"/>
    <col min="1301" max="1301" width="10.85546875" customWidth="1"/>
    <col min="1302" max="1302" width="7.85546875" customWidth="1"/>
    <col min="1303" max="1304" width="12.85546875" customWidth="1"/>
    <col min="1305" max="1306" width="18.85546875" customWidth="1"/>
    <col min="1307" max="1307" width="10.85546875" customWidth="1"/>
    <col min="1308" max="1308" width="8.85546875" customWidth="1"/>
    <col min="1309" max="1310" width="9.85546875" customWidth="1"/>
    <col min="1311" max="1311" width="12.85546875" customWidth="1"/>
    <col min="1312" max="1314" width="10.85546875" customWidth="1"/>
    <col min="1315" max="1315" width="15.140625" customWidth="1"/>
    <col min="1539" max="1541" width="10.85546875" customWidth="1"/>
    <col min="1542" max="1542" width="20.85546875" customWidth="1"/>
    <col min="1543" max="1543" width="8.85546875" customWidth="1"/>
    <col min="1544" max="1544" width="12.85546875" customWidth="1"/>
    <col min="1545" max="1545" width="9.85546875" customWidth="1"/>
    <col min="1546" max="1546" width="12.85546875" customWidth="1"/>
    <col min="1547" max="1547" width="9.85546875" customWidth="1"/>
    <col min="1548" max="1548" width="11.85546875" customWidth="1"/>
    <col min="1549" max="1549" width="9.85546875" customWidth="1"/>
    <col min="1550" max="1550" width="11.85546875" customWidth="1"/>
    <col min="1551" max="1551" width="9.85546875" customWidth="1"/>
    <col min="1552" max="1552" width="11.85546875" customWidth="1"/>
    <col min="1553" max="1553" width="12.85546875" customWidth="1"/>
    <col min="1554" max="1555" width="14.85546875" customWidth="1"/>
    <col min="1556" max="1556" width="12.85546875" customWidth="1"/>
    <col min="1557" max="1557" width="10.85546875" customWidth="1"/>
    <col min="1558" max="1558" width="7.85546875" customWidth="1"/>
    <col min="1559" max="1560" width="12.85546875" customWidth="1"/>
    <col min="1561" max="1562" width="18.85546875" customWidth="1"/>
    <col min="1563" max="1563" width="10.85546875" customWidth="1"/>
    <col min="1564" max="1564" width="8.85546875" customWidth="1"/>
    <col min="1565" max="1566" width="9.85546875" customWidth="1"/>
    <col min="1567" max="1567" width="12.85546875" customWidth="1"/>
    <col min="1568" max="1570" width="10.85546875" customWidth="1"/>
    <col min="1571" max="1571" width="15.140625" customWidth="1"/>
    <col min="1795" max="1797" width="10.85546875" customWidth="1"/>
    <col min="1798" max="1798" width="20.85546875" customWidth="1"/>
    <col min="1799" max="1799" width="8.85546875" customWidth="1"/>
    <col min="1800" max="1800" width="12.85546875" customWidth="1"/>
    <col min="1801" max="1801" width="9.85546875" customWidth="1"/>
    <col min="1802" max="1802" width="12.85546875" customWidth="1"/>
    <col min="1803" max="1803" width="9.85546875" customWidth="1"/>
    <col min="1804" max="1804" width="11.85546875" customWidth="1"/>
    <col min="1805" max="1805" width="9.85546875" customWidth="1"/>
    <col min="1806" max="1806" width="11.85546875" customWidth="1"/>
    <col min="1807" max="1807" width="9.85546875" customWidth="1"/>
    <col min="1808" max="1808" width="11.85546875" customWidth="1"/>
    <col min="1809" max="1809" width="12.85546875" customWidth="1"/>
    <col min="1810" max="1811" width="14.85546875" customWidth="1"/>
    <col min="1812" max="1812" width="12.85546875" customWidth="1"/>
    <col min="1813" max="1813" width="10.85546875" customWidth="1"/>
    <col min="1814" max="1814" width="7.85546875" customWidth="1"/>
    <col min="1815" max="1816" width="12.85546875" customWidth="1"/>
    <col min="1817" max="1818" width="18.85546875" customWidth="1"/>
    <col min="1819" max="1819" width="10.85546875" customWidth="1"/>
    <col min="1820" max="1820" width="8.85546875" customWidth="1"/>
    <col min="1821" max="1822" width="9.85546875" customWidth="1"/>
    <col min="1823" max="1823" width="12.85546875" customWidth="1"/>
    <col min="1824" max="1826" width="10.85546875" customWidth="1"/>
    <col min="1827" max="1827" width="15.140625" customWidth="1"/>
    <col min="2051" max="2053" width="10.85546875" customWidth="1"/>
    <col min="2054" max="2054" width="20.85546875" customWidth="1"/>
    <col min="2055" max="2055" width="8.85546875" customWidth="1"/>
    <col min="2056" max="2056" width="12.85546875" customWidth="1"/>
    <col min="2057" max="2057" width="9.85546875" customWidth="1"/>
    <col min="2058" max="2058" width="12.85546875" customWidth="1"/>
    <col min="2059" max="2059" width="9.85546875" customWidth="1"/>
    <col min="2060" max="2060" width="11.85546875" customWidth="1"/>
    <col min="2061" max="2061" width="9.85546875" customWidth="1"/>
    <col min="2062" max="2062" width="11.85546875" customWidth="1"/>
    <col min="2063" max="2063" width="9.85546875" customWidth="1"/>
    <col min="2064" max="2064" width="11.85546875" customWidth="1"/>
    <col min="2065" max="2065" width="12.85546875" customWidth="1"/>
    <col min="2066" max="2067" width="14.85546875" customWidth="1"/>
    <col min="2068" max="2068" width="12.85546875" customWidth="1"/>
    <col min="2069" max="2069" width="10.85546875" customWidth="1"/>
    <col min="2070" max="2070" width="7.85546875" customWidth="1"/>
    <col min="2071" max="2072" width="12.85546875" customWidth="1"/>
    <col min="2073" max="2074" width="18.85546875" customWidth="1"/>
    <col min="2075" max="2075" width="10.85546875" customWidth="1"/>
    <col min="2076" max="2076" width="8.85546875" customWidth="1"/>
    <col min="2077" max="2078" width="9.85546875" customWidth="1"/>
    <col min="2079" max="2079" width="12.85546875" customWidth="1"/>
    <col min="2080" max="2082" width="10.85546875" customWidth="1"/>
    <col min="2083" max="2083" width="15.140625" customWidth="1"/>
    <col min="2307" max="2309" width="10.85546875" customWidth="1"/>
    <col min="2310" max="2310" width="20.85546875" customWidth="1"/>
    <col min="2311" max="2311" width="8.85546875" customWidth="1"/>
    <col min="2312" max="2312" width="12.85546875" customWidth="1"/>
    <col min="2313" max="2313" width="9.85546875" customWidth="1"/>
    <col min="2314" max="2314" width="12.85546875" customWidth="1"/>
    <col min="2315" max="2315" width="9.85546875" customWidth="1"/>
    <col min="2316" max="2316" width="11.85546875" customWidth="1"/>
    <col min="2317" max="2317" width="9.85546875" customWidth="1"/>
    <col min="2318" max="2318" width="11.85546875" customWidth="1"/>
    <col min="2319" max="2319" width="9.85546875" customWidth="1"/>
    <col min="2320" max="2320" width="11.85546875" customWidth="1"/>
    <col min="2321" max="2321" width="12.85546875" customWidth="1"/>
    <col min="2322" max="2323" width="14.85546875" customWidth="1"/>
    <col min="2324" max="2324" width="12.85546875" customWidth="1"/>
    <col min="2325" max="2325" width="10.85546875" customWidth="1"/>
    <col min="2326" max="2326" width="7.85546875" customWidth="1"/>
    <col min="2327" max="2328" width="12.85546875" customWidth="1"/>
    <col min="2329" max="2330" width="18.85546875" customWidth="1"/>
    <col min="2331" max="2331" width="10.85546875" customWidth="1"/>
    <col min="2332" max="2332" width="8.85546875" customWidth="1"/>
    <col min="2333" max="2334" width="9.85546875" customWidth="1"/>
    <col min="2335" max="2335" width="12.85546875" customWidth="1"/>
    <col min="2336" max="2338" width="10.85546875" customWidth="1"/>
    <col min="2339" max="2339" width="15.140625" customWidth="1"/>
    <col min="2563" max="2565" width="10.85546875" customWidth="1"/>
    <col min="2566" max="2566" width="20.85546875" customWidth="1"/>
    <col min="2567" max="2567" width="8.85546875" customWidth="1"/>
    <col min="2568" max="2568" width="12.85546875" customWidth="1"/>
    <col min="2569" max="2569" width="9.85546875" customWidth="1"/>
    <col min="2570" max="2570" width="12.85546875" customWidth="1"/>
    <col min="2571" max="2571" width="9.85546875" customWidth="1"/>
    <col min="2572" max="2572" width="11.85546875" customWidth="1"/>
    <col min="2573" max="2573" width="9.85546875" customWidth="1"/>
    <col min="2574" max="2574" width="11.85546875" customWidth="1"/>
    <col min="2575" max="2575" width="9.85546875" customWidth="1"/>
    <col min="2576" max="2576" width="11.85546875" customWidth="1"/>
    <col min="2577" max="2577" width="12.85546875" customWidth="1"/>
    <col min="2578" max="2579" width="14.85546875" customWidth="1"/>
    <col min="2580" max="2580" width="12.85546875" customWidth="1"/>
    <col min="2581" max="2581" width="10.85546875" customWidth="1"/>
    <col min="2582" max="2582" width="7.85546875" customWidth="1"/>
    <col min="2583" max="2584" width="12.85546875" customWidth="1"/>
    <col min="2585" max="2586" width="18.85546875" customWidth="1"/>
    <col min="2587" max="2587" width="10.85546875" customWidth="1"/>
    <col min="2588" max="2588" width="8.85546875" customWidth="1"/>
    <col min="2589" max="2590" width="9.85546875" customWidth="1"/>
    <col min="2591" max="2591" width="12.85546875" customWidth="1"/>
    <col min="2592" max="2594" width="10.85546875" customWidth="1"/>
    <col min="2595" max="2595" width="15.140625" customWidth="1"/>
    <col min="2819" max="2821" width="10.85546875" customWidth="1"/>
    <col min="2822" max="2822" width="20.85546875" customWidth="1"/>
    <col min="2823" max="2823" width="8.85546875" customWidth="1"/>
    <col min="2824" max="2824" width="12.85546875" customWidth="1"/>
    <col min="2825" max="2825" width="9.85546875" customWidth="1"/>
    <col min="2826" max="2826" width="12.85546875" customWidth="1"/>
    <col min="2827" max="2827" width="9.85546875" customWidth="1"/>
    <col min="2828" max="2828" width="11.85546875" customWidth="1"/>
    <col min="2829" max="2829" width="9.85546875" customWidth="1"/>
    <col min="2830" max="2830" width="11.85546875" customWidth="1"/>
    <col min="2831" max="2831" width="9.85546875" customWidth="1"/>
    <col min="2832" max="2832" width="11.85546875" customWidth="1"/>
    <col min="2833" max="2833" width="12.85546875" customWidth="1"/>
    <col min="2834" max="2835" width="14.85546875" customWidth="1"/>
    <col min="2836" max="2836" width="12.85546875" customWidth="1"/>
    <col min="2837" max="2837" width="10.85546875" customWidth="1"/>
    <col min="2838" max="2838" width="7.85546875" customWidth="1"/>
    <col min="2839" max="2840" width="12.85546875" customWidth="1"/>
    <col min="2841" max="2842" width="18.85546875" customWidth="1"/>
    <col min="2843" max="2843" width="10.85546875" customWidth="1"/>
    <col min="2844" max="2844" width="8.85546875" customWidth="1"/>
    <col min="2845" max="2846" width="9.85546875" customWidth="1"/>
    <col min="2847" max="2847" width="12.85546875" customWidth="1"/>
    <col min="2848" max="2850" width="10.85546875" customWidth="1"/>
    <col min="2851" max="2851" width="15.140625" customWidth="1"/>
    <col min="3075" max="3077" width="10.85546875" customWidth="1"/>
    <col min="3078" max="3078" width="20.85546875" customWidth="1"/>
    <col min="3079" max="3079" width="8.85546875" customWidth="1"/>
    <col min="3080" max="3080" width="12.85546875" customWidth="1"/>
    <col min="3081" max="3081" width="9.85546875" customWidth="1"/>
    <col min="3082" max="3082" width="12.85546875" customWidth="1"/>
    <col min="3083" max="3083" width="9.85546875" customWidth="1"/>
    <col min="3084" max="3084" width="11.85546875" customWidth="1"/>
    <col min="3085" max="3085" width="9.85546875" customWidth="1"/>
    <col min="3086" max="3086" width="11.85546875" customWidth="1"/>
    <col min="3087" max="3087" width="9.85546875" customWidth="1"/>
    <col min="3088" max="3088" width="11.85546875" customWidth="1"/>
    <col min="3089" max="3089" width="12.85546875" customWidth="1"/>
    <col min="3090" max="3091" width="14.85546875" customWidth="1"/>
    <col min="3092" max="3092" width="12.85546875" customWidth="1"/>
    <col min="3093" max="3093" width="10.85546875" customWidth="1"/>
    <col min="3094" max="3094" width="7.85546875" customWidth="1"/>
    <col min="3095" max="3096" width="12.85546875" customWidth="1"/>
    <col min="3097" max="3098" width="18.85546875" customWidth="1"/>
    <col min="3099" max="3099" width="10.85546875" customWidth="1"/>
    <col min="3100" max="3100" width="8.85546875" customWidth="1"/>
    <col min="3101" max="3102" width="9.85546875" customWidth="1"/>
    <col min="3103" max="3103" width="12.85546875" customWidth="1"/>
    <col min="3104" max="3106" width="10.85546875" customWidth="1"/>
    <col min="3107" max="3107" width="15.140625" customWidth="1"/>
    <col min="3331" max="3333" width="10.85546875" customWidth="1"/>
    <col min="3334" max="3334" width="20.85546875" customWidth="1"/>
    <col min="3335" max="3335" width="8.85546875" customWidth="1"/>
    <col min="3336" max="3336" width="12.85546875" customWidth="1"/>
    <col min="3337" max="3337" width="9.85546875" customWidth="1"/>
    <col min="3338" max="3338" width="12.85546875" customWidth="1"/>
    <col min="3339" max="3339" width="9.85546875" customWidth="1"/>
    <col min="3340" max="3340" width="11.85546875" customWidth="1"/>
    <col min="3341" max="3341" width="9.85546875" customWidth="1"/>
    <col min="3342" max="3342" width="11.85546875" customWidth="1"/>
    <col min="3343" max="3343" width="9.85546875" customWidth="1"/>
    <col min="3344" max="3344" width="11.85546875" customWidth="1"/>
    <col min="3345" max="3345" width="12.85546875" customWidth="1"/>
    <col min="3346" max="3347" width="14.85546875" customWidth="1"/>
    <col min="3348" max="3348" width="12.85546875" customWidth="1"/>
    <col min="3349" max="3349" width="10.85546875" customWidth="1"/>
    <col min="3350" max="3350" width="7.85546875" customWidth="1"/>
    <col min="3351" max="3352" width="12.85546875" customWidth="1"/>
    <col min="3353" max="3354" width="18.85546875" customWidth="1"/>
    <col min="3355" max="3355" width="10.85546875" customWidth="1"/>
    <col min="3356" max="3356" width="8.85546875" customWidth="1"/>
    <col min="3357" max="3358" width="9.85546875" customWidth="1"/>
    <col min="3359" max="3359" width="12.85546875" customWidth="1"/>
    <col min="3360" max="3362" width="10.85546875" customWidth="1"/>
    <col min="3363" max="3363" width="15.140625" customWidth="1"/>
    <col min="3587" max="3589" width="10.85546875" customWidth="1"/>
    <col min="3590" max="3590" width="20.85546875" customWidth="1"/>
    <col min="3591" max="3591" width="8.85546875" customWidth="1"/>
    <col min="3592" max="3592" width="12.85546875" customWidth="1"/>
    <col min="3593" max="3593" width="9.85546875" customWidth="1"/>
    <col min="3594" max="3594" width="12.85546875" customWidth="1"/>
    <col min="3595" max="3595" width="9.85546875" customWidth="1"/>
    <col min="3596" max="3596" width="11.85546875" customWidth="1"/>
    <col min="3597" max="3597" width="9.85546875" customWidth="1"/>
    <col min="3598" max="3598" width="11.85546875" customWidth="1"/>
    <col min="3599" max="3599" width="9.85546875" customWidth="1"/>
    <col min="3600" max="3600" width="11.85546875" customWidth="1"/>
    <col min="3601" max="3601" width="12.85546875" customWidth="1"/>
    <col min="3602" max="3603" width="14.85546875" customWidth="1"/>
    <col min="3604" max="3604" width="12.85546875" customWidth="1"/>
    <col min="3605" max="3605" width="10.85546875" customWidth="1"/>
    <col min="3606" max="3606" width="7.85546875" customWidth="1"/>
    <col min="3607" max="3608" width="12.85546875" customWidth="1"/>
    <col min="3609" max="3610" width="18.85546875" customWidth="1"/>
    <col min="3611" max="3611" width="10.85546875" customWidth="1"/>
    <col min="3612" max="3612" width="8.85546875" customWidth="1"/>
    <col min="3613" max="3614" width="9.85546875" customWidth="1"/>
    <col min="3615" max="3615" width="12.85546875" customWidth="1"/>
    <col min="3616" max="3618" width="10.85546875" customWidth="1"/>
    <col min="3619" max="3619" width="15.140625" customWidth="1"/>
    <col min="3843" max="3845" width="10.85546875" customWidth="1"/>
    <col min="3846" max="3846" width="20.85546875" customWidth="1"/>
    <col min="3847" max="3847" width="8.85546875" customWidth="1"/>
    <col min="3848" max="3848" width="12.85546875" customWidth="1"/>
    <col min="3849" max="3849" width="9.85546875" customWidth="1"/>
    <col min="3850" max="3850" width="12.85546875" customWidth="1"/>
    <col min="3851" max="3851" width="9.85546875" customWidth="1"/>
    <col min="3852" max="3852" width="11.85546875" customWidth="1"/>
    <col min="3853" max="3853" width="9.85546875" customWidth="1"/>
    <col min="3854" max="3854" width="11.85546875" customWidth="1"/>
    <col min="3855" max="3855" width="9.85546875" customWidth="1"/>
    <col min="3856" max="3856" width="11.85546875" customWidth="1"/>
    <col min="3857" max="3857" width="12.85546875" customWidth="1"/>
    <col min="3858" max="3859" width="14.85546875" customWidth="1"/>
    <col min="3860" max="3860" width="12.85546875" customWidth="1"/>
    <col min="3861" max="3861" width="10.85546875" customWidth="1"/>
    <col min="3862" max="3862" width="7.85546875" customWidth="1"/>
    <col min="3863" max="3864" width="12.85546875" customWidth="1"/>
    <col min="3865" max="3866" width="18.85546875" customWidth="1"/>
    <col min="3867" max="3867" width="10.85546875" customWidth="1"/>
    <col min="3868" max="3868" width="8.85546875" customWidth="1"/>
    <col min="3869" max="3870" width="9.85546875" customWidth="1"/>
    <col min="3871" max="3871" width="12.85546875" customWidth="1"/>
    <col min="3872" max="3874" width="10.85546875" customWidth="1"/>
    <col min="3875" max="3875" width="15.140625" customWidth="1"/>
    <col min="4099" max="4101" width="10.85546875" customWidth="1"/>
    <col min="4102" max="4102" width="20.85546875" customWidth="1"/>
    <col min="4103" max="4103" width="8.85546875" customWidth="1"/>
    <col min="4104" max="4104" width="12.85546875" customWidth="1"/>
    <col min="4105" max="4105" width="9.85546875" customWidth="1"/>
    <col min="4106" max="4106" width="12.85546875" customWidth="1"/>
    <col min="4107" max="4107" width="9.85546875" customWidth="1"/>
    <col min="4108" max="4108" width="11.85546875" customWidth="1"/>
    <col min="4109" max="4109" width="9.85546875" customWidth="1"/>
    <col min="4110" max="4110" width="11.85546875" customWidth="1"/>
    <col min="4111" max="4111" width="9.85546875" customWidth="1"/>
    <col min="4112" max="4112" width="11.85546875" customWidth="1"/>
    <col min="4113" max="4113" width="12.85546875" customWidth="1"/>
    <col min="4114" max="4115" width="14.85546875" customWidth="1"/>
    <col min="4116" max="4116" width="12.85546875" customWidth="1"/>
    <col min="4117" max="4117" width="10.85546875" customWidth="1"/>
    <col min="4118" max="4118" width="7.85546875" customWidth="1"/>
    <col min="4119" max="4120" width="12.85546875" customWidth="1"/>
    <col min="4121" max="4122" width="18.85546875" customWidth="1"/>
    <col min="4123" max="4123" width="10.85546875" customWidth="1"/>
    <col min="4124" max="4124" width="8.85546875" customWidth="1"/>
    <col min="4125" max="4126" width="9.85546875" customWidth="1"/>
    <col min="4127" max="4127" width="12.85546875" customWidth="1"/>
    <col min="4128" max="4130" width="10.85546875" customWidth="1"/>
    <col min="4131" max="4131" width="15.140625" customWidth="1"/>
    <col min="4355" max="4357" width="10.85546875" customWidth="1"/>
    <col min="4358" max="4358" width="20.85546875" customWidth="1"/>
    <col min="4359" max="4359" width="8.85546875" customWidth="1"/>
    <col min="4360" max="4360" width="12.85546875" customWidth="1"/>
    <col min="4361" max="4361" width="9.85546875" customWidth="1"/>
    <col min="4362" max="4362" width="12.85546875" customWidth="1"/>
    <col min="4363" max="4363" width="9.85546875" customWidth="1"/>
    <col min="4364" max="4364" width="11.85546875" customWidth="1"/>
    <col min="4365" max="4365" width="9.85546875" customWidth="1"/>
    <col min="4366" max="4366" width="11.85546875" customWidth="1"/>
    <col min="4367" max="4367" width="9.85546875" customWidth="1"/>
    <col min="4368" max="4368" width="11.85546875" customWidth="1"/>
    <col min="4369" max="4369" width="12.85546875" customWidth="1"/>
    <col min="4370" max="4371" width="14.85546875" customWidth="1"/>
    <col min="4372" max="4372" width="12.85546875" customWidth="1"/>
    <col min="4373" max="4373" width="10.85546875" customWidth="1"/>
    <col min="4374" max="4374" width="7.85546875" customWidth="1"/>
    <col min="4375" max="4376" width="12.85546875" customWidth="1"/>
    <col min="4377" max="4378" width="18.85546875" customWidth="1"/>
    <col min="4379" max="4379" width="10.85546875" customWidth="1"/>
    <col min="4380" max="4380" width="8.85546875" customWidth="1"/>
    <col min="4381" max="4382" width="9.85546875" customWidth="1"/>
    <col min="4383" max="4383" width="12.85546875" customWidth="1"/>
    <col min="4384" max="4386" width="10.85546875" customWidth="1"/>
    <col min="4387" max="4387" width="15.140625" customWidth="1"/>
    <col min="4611" max="4613" width="10.85546875" customWidth="1"/>
    <col min="4614" max="4614" width="20.85546875" customWidth="1"/>
    <col min="4615" max="4615" width="8.85546875" customWidth="1"/>
    <col min="4616" max="4616" width="12.85546875" customWidth="1"/>
    <col min="4617" max="4617" width="9.85546875" customWidth="1"/>
    <col min="4618" max="4618" width="12.85546875" customWidth="1"/>
    <col min="4619" max="4619" width="9.85546875" customWidth="1"/>
    <col min="4620" max="4620" width="11.85546875" customWidth="1"/>
    <col min="4621" max="4621" width="9.85546875" customWidth="1"/>
    <col min="4622" max="4622" width="11.85546875" customWidth="1"/>
    <col min="4623" max="4623" width="9.85546875" customWidth="1"/>
    <col min="4624" max="4624" width="11.85546875" customWidth="1"/>
    <col min="4625" max="4625" width="12.85546875" customWidth="1"/>
    <col min="4626" max="4627" width="14.85546875" customWidth="1"/>
    <col min="4628" max="4628" width="12.85546875" customWidth="1"/>
    <col min="4629" max="4629" width="10.85546875" customWidth="1"/>
    <col min="4630" max="4630" width="7.85546875" customWidth="1"/>
    <col min="4631" max="4632" width="12.85546875" customWidth="1"/>
    <col min="4633" max="4634" width="18.85546875" customWidth="1"/>
    <col min="4635" max="4635" width="10.85546875" customWidth="1"/>
    <col min="4636" max="4636" width="8.85546875" customWidth="1"/>
    <col min="4637" max="4638" width="9.85546875" customWidth="1"/>
    <col min="4639" max="4639" width="12.85546875" customWidth="1"/>
    <col min="4640" max="4642" width="10.85546875" customWidth="1"/>
    <col min="4643" max="4643" width="15.140625" customWidth="1"/>
    <col min="4867" max="4869" width="10.85546875" customWidth="1"/>
    <col min="4870" max="4870" width="20.85546875" customWidth="1"/>
    <col min="4871" max="4871" width="8.85546875" customWidth="1"/>
    <col min="4872" max="4872" width="12.85546875" customWidth="1"/>
    <col min="4873" max="4873" width="9.85546875" customWidth="1"/>
    <col min="4874" max="4874" width="12.85546875" customWidth="1"/>
    <col min="4875" max="4875" width="9.85546875" customWidth="1"/>
    <col min="4876" max="4876" width="11.85546875" customWidth="1"/>
    <col min="4877" max="4877" width="9.85546875" customWidth="1"/>
    <col min="4878" max="4878" width="11.85546875" customWidth="1"/>
    <col min="4879" max="4879" width="9.85546875" customWidth="1"/>
    <col min="4880" max="4880" width="11.85546875" customWidth="1"/>
    <col min="4881" max="4881" width="12.85546875" customWidth="1"/>
    <col min="4882" max="4883" width="14.85546875" customWidth="1"/>
    <col min="4884" max="4884" width="12.85546875" customWidth="1"/>
    <col min="4885" max="4885" width="10.85546875" customWidth="1"/>
    <col min="4886" max="4886" width="7.85546875" customWidth="1"/>
    <col min="4887" max="4888" width="12.85546875" customWidth="1"/>
    <col min="4889" max="4890" width="18.85546875" customWidth="1"/>
    <col min="4891" max="4891" width="10.85546875" customWidth="1"/>
    <col min="4892" max="4892" width="8.85546875" customWidth="1"/>
    <col min="4893" max="4894" width="9.85546875" customWidth="1"/>
    <col min="4895" max="4895" width="12.85546875" customWidth="1"/>
    <col min="4896" max="4898" width="10.85546875" customWidth="1"/>
    <col min="4899" max="4899" width="15.140625" customWidth="1"/>
    <col min="5123" max="5125" width="10.85546875" customWidth="1"/>
    <col min="5126" max="5126" width="20.85546875" customWidth="1"/>
    <col min="5127" max="5127" width="8.85546875" customWidth="1"/>
    <col min="5128" max="5128" width="12.85546875" customWidth="1"/>
    <col min="5129" max="5129" width="9.85546875" customWidth="1"/>
    <col min="5130" max="5130" width="12.85546875" customWidth="1"/>
    <col min="5131" max="5131" width="9.85546875" customWidth="1"/>
    <col min="5132" max="5132" width="11.85546875" customWidth="1"/>
    <col min="5133" max="5133" width="9.85546875" customWidth="1"/>
    <col min="5134" max="5134" width="11.85546875" customWidth="1"/>
    <col min="5135" max="5135" width="9.85546875" customWidth="1"/>
    <col min="5136" max="5136" width="11.85546875" customWidth="1"/>
    <col min="5137" max="5137" width="12.85546875" customWidth="1"/>
    <col min="5138" max="5139" width="14.85546875" customWidth="1"/>
    <col min="5140" max="5140" width="12.85546875" customWidth="1"/>
    <col min="5141" max="5141" width="10.85546875" customWidth="1"/>
    <col min="5142" max="5142" width="7.85546875" customWidth="1"/>
    <col min="5143" max="5144" width="12.85546875" customWidth="1"/>
    <col min="5145" max="5146" width="18.85546875" customWidth="1"/>
    <col min="5147" max="5147" width="10.85546875" customWidth="1"/>
    <col min="5148" max="5148" width="8.85546875" customWidth="1"/>
    <col min="5149" max="5150" width="9.85546875" customWidth="1"/>
    <col min="5151" max="5151" width="12.85546875" customWidth="1"/>
    <col min="5152" max="5154" width="10.85546875" customWidth="1"/>
    <col min="5155" max="5155" width="15.140625" customWidth="1"/>
    <col min="5379" max="5381" width="10.85546875" customWidth="1"/>
    <col min="5382" max="5382" width="20.85546875" customWidth="1"/>
    <col min="5383" max="5383" width="8.85546875" customWidth="1"/>
    <col min="5384" max="5384" width="12.85546875" customWidth="1"/>
    <col min="5385" max="5385" width="9.85546875" customWidth="1"/>
    <col min="5386" max="5386" width="12.85546875" customWidth="1"/>
    <col min="5387" max="5387" width="9.85546875" customWidth="1"/>
    <col min="5388" max="5388" width="11.85546875" customWidth="1"/>
    <col min="5389" max="5389" width="9.85546875" customWidth="1"/>
    <col min="5390" max="5390" width="11.85546875" customWidth="1"/>
    <col min="5391" max="5391" width="9.85546875" customWidth="1"/>
    <col min="5392" max="5392" width="11.85546875" customWidth="1"/>
    <col min="5393" max="5393" width="12.85546875" customWidth="1"/>
    <col min="5394" max="5395" width="14.85546875" customWidth="1"/>
    <col min="5396" max="5396" width="12.85546875" customWidth="1"/>
    <col min="5397" max="5397" width="10.85546875" customWidth="1"/>
    <col min="5398" max="5398" width="7.85546875" customWidth="1"/>
    <col min="5399" max="5400" width="12.85546875" customWidth="1"/>
    <col min="5401" max="5402" width="18.85546875" customWidth="1"/>
    <col min="5403" max="5403" width="10.85546875" customWidth="1"/>
    <col min="5404" max="5404" width="8.85546875" customWidth="1"/>
    <col min="5405" max="5406" width="9.85546875" customWidth="1"/>
    <col min="5407" max="5407" width="12.85546875" customWidth="1"/>
    <col min="5408" max="5410" width="10.85546875" customWidth="1"/>
    <col min="5411" max="5411" width="15.140625" customWidth="1"/>
    <col min="5635" max="5637" width="10.85546875" customWidth="1"/>
    <col min="5638" max="5638" width="20.85546875" customWidth="1"/>
    <col min="5639" max="5639" width="8.85546875" customWidth="1"/>
    <col min="5640" max="5640" width="12.85546875" customWidth="1"/>
    <col min="5641" max="5641" width="9.85546875" customWidth="1"/>
    <col min="5642" max="5642" width="12.85546875" customWidth="1"/>
    <col min="5643" max="5643" width="9.85546875" customWidth="1"/>
    <col min="5644" max="5644" width="11.85546875" customWidth="1"/>
    <col min="5645" max="5645" width="9.85546875" customWidth="1"/>
    <col min="5646" max="5646" width="11.85546875" customWidth="1"/>
    <col min="5647" max="5647" width="9.85546875" customWidth="1"/>
    <col min="5648" max="5648" width="11.85546875" customWidth="1"/>
    <col min="5649" max="5649" width="12.85546875" customWidth="1"/>
    <col min="5650" max="5651" width="14.85546875" customWidth="1"/>
    <col min="5652" max="5652" width="12.85546875" customWidth="1"/>
    <col min="5653" max="5653" width="10.85546875" customWidth="1"/>
    <col min="5654" max="5654" width="7.85546875" customWidth="1"/>
    <col min="5655" max="5656" width="12.85546875" customWidth="1"/>
    <col min="5657" max="5658" width="18.85546875" customWidth="1"/>
    <col min="5659" max="5659" width="10.85546875" customWidth="1"/>
    <col min="5660" max="5660" width="8.85546875" customWidth="1"/>
    <col min="5661" max="5662" width="9.85546875" customWidth="1"/>
    <col min="5663" max="5663" width="12.85546875" customWidth="1"/>
    <col min="5664" max="5666" width="10.85546875" customWidth="1"/>
    <col min="5667" max="5667" width="15.140625" customWidth="1"/>
    <col min="5891" max="5893" width="10.85546875" customWidth="1"/>
    <col min="5894" max="5894" width="20.85546875" customWidth="1"/>
    <col min="5895" max="5895" width="8.85546875" customWidth="1"/>
    <col min="5896" max="5896" width="12.85546875" customWidth="1"/>
    <col min="5897" max="5897" width="9.85546875" customWidth="1"/>
    <col min="5898" max="5898" width="12.85546875" customWidth="1"/>
    <col min="5899" max="5899" width="9.85546875" customWidth="1"/>
    <col min="5900" max="5900" width="11.85546875" customWidth="1"/>
    <col min="5901" max="5901" width="9.85546875" customWidth="1"/>
    <col min="5902" max="5902" width="11.85546875" customWidth="1"/>
    <col min="5903" max="5903" width="9.85546875" customWidth="1"/>
    <col min="5904" max="5904" width="11.85546875" customWidth="1"/>
    <col min="5905" max="5905" width="12.85546875" customWidth="1"/>
    <col min="5906" max="5907" width="14.85546875" customWidth="1"/>
    <col min="5908" max="5908" width="12.85546875" customWidth="1"/>
    <col min="5909" max="5909" width="10.85546875" customWidth="1"/>
    <col min="5910" max="5910" width="7.85546875" customWidth="1"/>
    <col min="5911" max="5912" width="12.85546875" customWidth="1"/>
    <col min="5913" max="5914" width="18.85546875" customWidth="1"/>
    <col min="5915" max="5915" width="10.85546875" customWidth="1"/>
    <col min="5916" max="5916" width="8.85546875" customWidth="1"/>
    <col min="5917" max="5918" width="9.85546875" customWidth="1"/>
    <col min="5919" max="5919" width="12.85546875" customWidth="1"/>
    <col min="5920" max="5922" width="10.85546875" customWidth="1"/>
    <col min="5923" max="5923" width="15.140625" customWidth="1"/>
    <col min="6147" max="6149" width="10.85546875" customWidth="1"/>
    <col min="6150" max="6150" width="20.85546875" customWidth="1"/>
    <col min="6151" max="6151" width="8.85546875" customWidth="1"/>
    <col min="6152" max="6152" width="12.85546875" customWidth="1"/>
    <col min="6153" max="6153" width="9.85546875" customWidth="1"/>
    <col min="6154" max="6154" width="12.85546875" customWidth="1"/>
    <col min="6155" max="6155" width="9.85546875" customWidth="1"/>
    <col min="6156" max="6156" width="11.85546875" customWidth="1"/>
    <col min="6157" max="6157" width="9.85546875" customWidth="1"/>
    <col min="6158" max="6158" width="11.85546875" customWidth="1"/>
    <col min="6159" max="6159" width="9.85546875" customWidth="1"/>
    <col min="6160" max="6160" width="11.85546875" customWidth="1"/>
    <col min="6161" max="6161" width="12.85546875" customWidth="1"/>
    <col min="6162" max="6163" width="14.85546875" customWidth="1"/>
    <col min="6164" max="6164" width="12.85546875" customWidth="1"/>
    <col min="6165" max="6165" width="10.85546875" customWidth="1"/>
    <col min="6166" max="6166" width="7.85546875" customWidth="1"/>
    <col min="6167" max="6168" width="12.85546875" customWidth="1"/>
    <col min="6169" max="6170" width="18.85546875" customWidth="1"/>
    <col min="6171" max="6171" width="10.85546875" customWidth="1"/>
    <col min="6172" max="6172" width="8.85546875" customWidth="1"/>
    <col min="6173" max="6174" width="9.85546875" customWidth="1"/>
    <col min="6175" max="6175" width="12.85546875" customWidth="1"/>
    <col min="6176" max="6178" width="10.85546875" customWidth="1"/>
    <col min="6179" max="6179" width="15.140625" customWidth="1"/>
    <col min="6403" max="6405" width="10.85546875" customWidth="1"/>
    <col min="6406" max="6406" width="20.85546875" customWidth="1"/>
    <col min="6407" max="6407" width="8.85546875" customWidth="1"/>
    <col min="6408" max="6408" width="12.85546875" customWidth="1"/>
    <col min="6409" max="6409" width="9.85546875" customWidth="1"/>
    <col min="6410" max="6410" width="12.85546875" customWidth="1"/>
    <col min="6411" max="6411" width="9.85546875" customWidth="1"/>
    <col min="6412" max="6412" width="11.85546875" customWidth="1"/>
    <col min="6413" max="6413" width="9.85546875" customWidth="1"/>
    <col min="6414" max="6414" width="11.85546875" customWidth="1"/>
    <col min="6415" max="6415" width="9.85546875" customWidth="1"/>
    <col min="6416" max="6416" width="11.85546875" customWidth="1"/>
    <col min="6417" max="6417" width="12.85546875" customWidth="1"/>
    <col min="6418" max="6419" width="14.85546875" customWidth="1"/>
    <col min="6420" max="6420" width="12.85546875" customWidth="1"/>
    <col min="6421" max="6421" width="10.85546875" customWidth="1"/>
    <col min="6422" max="6422" width="7.85546875" customWidth="1"/>
    <col min="6423" max="6424" width="12.85546875" customWidth="1"/>
    <col min="6425" max="6426" width="18.85546875" customWidth="1"/>
    <col min="6427" max="6427" width="10.85546875" customWidth="1"/>
    <col min="6428" max="6428" width="8.85546875" customWidth="1"/>
    <col min="6429" max="6430" width="9.85546875" customWidth="1"/>
    <col min="6431" max="6431" width="12.85546875" customWidth="1"/>
    <col min="6432" max="6434" width="10.85546875" customWidth="1"/>
    <col min="6435" max="6435" width="15.140625" customWidth="1"/>
    <col min="6659" max="6661" width="10.85546875" customWidth="1"/>
    <col min="6662" max="6662" width="20.85546875" customWidth="1"/>
    <col min="6663" max="6663" width="8.85546875" customWidth="1"/>
    <col min="6664" max="6664" width="12.85546875" customWidth="1"/>
    <col min="6665" max="6665" width="9.85546875" customWidth="1"/>
    <col min="6666" max="6666" width="12.85546875" customWidth="1"/>
    <col min="6667" max="6667" width="9.85546875" customWidth="1"/>
    <col min="6668" max="6668" width="11.85546875" customWidth="1"/>
    <col min="6669" max="6669" width="9.85546875" customWidth="1"/>
    <col min="6670" max="6670" width="11.85546875" customWidth="1"/>
    <col min="6671" max="6671" width="9.85546875" customWidth="1"/>
    <col min="6672" max="6672" width="11.85546875" customWidth="1"/>
    <col min="6673" max="6673" width="12.85546875" customWidth="1"/>
    <col min="6674" max="6675" width="14.85546875" customWidth="1"/>
    <col min="6676" max="6676" width="12.85546875" customWidth="1"/>
    <col min="6677" max="6677" width="10.85546875" customWidth="1"/>
    <col min="6678" max="6678" width="7.85546875" customWidth="1"/>
    <col min="6679" max="6680" width="12.85546875" customWidth="1"/>
    <col min="6681" max="6682" width="18.85546875" customWidth="1"/>
    <col min="6683" max="6683" width="10.85546875" customWidth="1"/>
    <col min="6684" max="6684" width="8.85546875" customWidth="1"/>
    <col min="6685" max="6686" width="9.85546875" customWidth="1"/>
    <col min="6687" max="6687" width="12.85546875" customWidth="1"/>
    <col min="6688" max="6690" width="10.85546875" customWidth="1"/>
    <col min="6691" max="6691" width="15.140625" customWidth="1"/>
    <col min="6915" max="6917" width="10.85546875" customWidth="1"/>
    <col min="6918" max="6918" width="20.85546875" customWidth="1"/>
    <col min="6919" max="6919" width="8.85546875" customWidth="1"/>
    <col min="6920" max="6920" width="12.85546875" customWidth="1"/>
    <col min="6921" max="6921" width="9.85546875" customWidth="1"/>
    <col min="6922" max="6922" width="12.85546875" customWidth="1"/>
    <col min="6923" max="6923" width="9.85546875" customWidth="1"/>
    <col min="6924" max="6924" width="11.85546875" customWidth="1"/>
    <col min="6925" max="6925" width="9.85546875" customWidth="1"/>
    <col min="6926" max="6926" width="11.85546875" customWidth="1"/>
    <col min="6927" max="6927" width="9.85546875" customWidth="1"/>
    <col min="6928" max="6928" width="11.85546875" customWidth="1"/>
    <col min="6929" max="6929" width="12.85546875" customWidth="1"/>
    <col min="6930" max="6931" width="14.85546875" customWidth="1"/>
    <col min="6932" max="6932" width="12.85546875" customWidth="1"/>
    <col min="6933" max="6933" width="10.85546875" customWidth="1"/>
    <col min="6934" max="6934" width="7.85546875" customWidth="1"/>
    <col min="6935" max="6936" width="12.85546875" customWidth="1"/>
    <col min="6937" max="6938" width="18.85546875" customWidth="1"/>
    <col min="6939" max="6939" width="10.85546875" customWidth="1"/>
    <col min="6940" max="6940" width="8.85546875" customWidth="1"/>
    <col min="6941" max="6942" width="9.85546875" customWidth="1"/>
    <col min="6943" max="6943" width="12.85546875" customWidth="1"/>
    <col min="6944" max="6946" width="10.85546875" customWidth="1"/>
    <col min="6947" max="6947" width="15.140625" customWidth="1"/>
    <col min="7171" max="7173" width="10.85546875" customWidth="1"/>
    <col min="7174" max="7174" width="20.85546875" customWidth="1"/>
    <col min="7175" max="7175" width="8.85546875" customWidth="1"/>
    <col min="7176" max="7176" width="12.85546875" customWidth="1"/>
    <col min="7177" max="7177" width="9.85546875" customWidth="1"/>
    <col min="7178" max="7178" width="12.85546875" customWidth="1"/>
    <col min="7179" max="7179" width="9.85546875" customWidth="1"/>
    <col min="7180" max="7180" width="11.85546875" customWidth="1"/>
    <col min="7181" max="7181" width="9.85546875" customWidth="1"/>
    <col min="7182" max="7182" width="11.85546875" customWidth="1"/>
    <col min="7183" max="7183" width="9.85546875" customWidth="1"/>
    <col min="7184" max="7184" width="11.85546875" customWidth="1"/>
    <col min="7185" max="7185" width="12.85546875" customWidth="1"/>
    <col min="7186" max="7187" width="14.85546875" customWidth="1"/>
    <col min="7188" max="7188" width="12.85546875" customWidth="1"/>
    <col min="7189" max="7189" width="10.85546875" customWidth="1"/>
    <col min="7190" max="7190" width="7.85546875" customWidth="1"/>
    <col min="7191" max="7192" width="12.85546875" customWidth="1"/>
    <col min="7193" max="7194" width="18.85546875" customWidth="1"/>
    <col min="7195" max="7195" width="10.85546875" customWidth="1"/>
    <col min="7196" max="7196" width="8.85546875" customWidth="1"/>
    <col min="7197" max="7198" width="9.85546875" customWidth="1"/>
    <col min="7199" max="7199" width="12.85546875" customWidth="1"/>
    <col min="7200" max="7202" width="10.85546875" customWidth="1"/>
    <col min="7203" max="7203" width="15.140625" customWidth="1"/>
    <col min="7427" max="7429" width="10.85546875" customWidth="1"/>
    <col min="7430" max="7430" width="20.85546875" customWidth="1"/>
    <col min="7431" max="7431" width="8.85546875" customWidth="1"/>
    <col min="7432" max="7432" width="12.85546875" customWidth="1"/>
    <col min="7433" max="7433" width="9.85546875" customWidth="1"/>
    <col min="7434" max="7434" width="12.85546875" customWidth="1"/>
    <col min="7435" max="7435" width="9.85546875" customWidth="1"/>
    <col min="7436" max="7436" width="11.85546875" customWidth="1"/>
    <col min="7437" max="7437" width="9.85546875" customWidth="1"/>
    <col min="7438" max="7438" width="11.85546875" customWidth="1"/>
    <col min="7439" max="7439" width="9.85546875" customWidth="1"/>
    <col min="7440" max="7440" width="11.85546875" customWidth="1"/>
    <col min="7441" max="7441" width="12.85546875" customWidth="1"/>
    <col min="7442" max="7443" width="14.85546875" customWidth="1"/>
    <col min="7444" max="7444" width="12.85546875" customWidth="1"/>
    <col min="7445" max="7445" width="10.85546875" customWidth="1"/>
    <col min="7446" max="7446" width="7.85546875" customWidth="1"/>
    <col min="7447" max="7448" width="12.85546875" customWidth="1"/>
    <col min="7449" max="7450" width="18.85546875" customWidth="1"/>
    <col min="7451" max="7451" width="10.85546875" customWidth="1"/>
    <col min="7452" max="7452" width="8.85546875" customWidth="1"/>
    <col min="7453" max="7454" width="9.85546875" customWidth="1"/>
    <col min="7455" max="7455" width="12.85546875" customWidth="1"/>
    <col min="7456" max="7458" width="10.85546875" customWidth="1"/>
    <col min="7459" max="7459" width="15.140625" customWidth="1"/>
    <col min="7683" max="7685" width="10.85546875" customWidth="1"/>
    <col min="7686" max="7686" width="20.85546875" customWidth="1"/>
    <col min="7687" max="7687" width="8.85546875" customWidth="1"/>
    <col min="7688" max="7688" width="12.85546875" customWidth="1"/>
    <col min="7689" max="7689" width="9.85546875" customWidth="1"/>
    <col min="7690" max="7690" width="12.85546875" customWidth="1"/>
    <col min="7691" max="7691" width="9.85546875" customWidth="1"/>
    <col min="7692" max="7692" width="11.85546875" customWidth="1"/>
    <col min="7693" max="7693" width="9.85546875" customWidth="1"/>
    <col min="7694" max="7694" width="11.85546875" customWidth="1"/>
    <col min="7695" max="7695" width="9.85546875" customWidth="1"/>
    <col min="7696" max="7696" width="11.85546875" customWidth="1"/>
    <col min="7697" max="7697" width="12.85546875" customWidth="1"/>
    <col min="7698" max="7699" width="14.85546875" customWidth="1"/>
    <col min="7700" max="7700" width="12.85546875" customWidth="1"/>
    <col min="7701" max="7701" width="10.85546875" customWidth="1"/>
    <col min="7702" max="7702" width="7.85546875" customWidth="1"/>
    <col min="7703" max="7704" width="12.85546875" customWidth="1"/>
    <col min="7705" max="7706" width="18.85546875" customWidth="1"/>
    <col min="7707" max="7707" width="10.85546875" customWidth="1"/>
    <col min="7708" max="7708" width="8.85546875" customWidth="1"/>
    <col min="7709" max="7710" width="9.85546875" customWidth="1"/>
    <col min="7711" max="7711" width="12.85546875" customWidth="1"/>
    <col min="7712" max="7714" width="10.85546875" customWidth="1"/>
    <col min="7715" max="7715" width="15.140625" customWidth="1"/>
    <col min="7939" max="7941" width="10.85546875" customWidth="1"/>
    <col min="7942" max="7942" width="20.85546875" customWidth="1"/>
    <col min="7943" max="7943" width="8.85546875" customWidth="1"/>
    <col min="7944" max="7944" width="12.85546875" customWidth="1"/>
    <col min="7945" max="7945" width="9.85546875" customWidth="1"/>
    <col min="7946" max="7946" width="12.85546875" customWidth="1"/>
    <col min="7947" max="7947" width="9.85546875" customWidth="1"/>
    <col min="7948" max="7948" width="11.85546875" customWidth="1"/>
    <col min="7949" max="7949" width="9.85546875" customWidth="1"/>
    <col min="7950" max="7950" width="11.85546875" customWidth="1"/>
    <col min="7951" max="7951" width="9.85546875" customWidth="1"/>
    <col min="7952" max="7952" width="11.85546875" customWidth="1"/>
    <col min="7953" max="7953" width="12.85546875" customWidth="1"/>
    <col min="7954" max="7955" width="14.85546875" customWidth="1"/>
    <col min="7956" max="7956" width="12.85546875" customWidth="1"/>
    <col min="7957" max="7957" width="10.85546875" customWidth="1"/>
    <col min="7958" max="7958" width="7.85546875" customWidth="1"/>
    <col min="7959" max="7960" width="12.85546875" customWidth="1"/>
    <col min="7961" max="7962" width="18.85546875" customWidth="1"/>
    <col min="7963" max="7963" width="10.85546875" customWidth="1"/>
    <col min="7964" max="7964" width="8.85546875" customWidth="1"/>
    <col min="7965" max="7966" width="9.85546875" customWidth="1"/>
    <col min="7967" max="7967" width="12.85546875" customWidth="1"/>
    <col min="7968" max="7970" width="10.85546875" customWidth="1"/>
    <col min="7971" max="7971" width="15.140625" customWidth="1"/>
    <col min="8195" max="8197" width="10.85546875" customWidth="1"/>
    <col min="8198" max="8198" width="20.85546875" customWidth="1"/>
    <col min="8199" max="8199" width="8.85546875" customWidth="1"/>
    <col min="8200" max="8200" width="12.85546875" customWidth="1"/>
    <col min="8201" max="8201" width="9.85546875" customWidth="1"/>
    <col min="8202" max="8202" width="12.85546875" customWidth="1"/>
    <col min="8203" max="8203" width="9.85546875" customWidth="1"/>
    <col min="8204" max="8204" width="11.85546875" customWidth="1"/>
    <col min="8205" max="8205" width="9.85546875" customWidth="1"/>
    <col min="8206" max="8206" width="11.85546875" customWidth="1"/>
    <col min="8207" max="8207" width="9.85546875" customWidth="1"/>
    <col min="8208" max="8208" width="11.85546875" customWidth="1"/>
    <col min="8209" max="8209" width="12.85546875" customWidth="1"/>
    <col min="8210" max="8211" width="14.85546875" customWidth="1"/>
    <col min="8212" max="8212" width="12.85546875" customWidth="1"/>
    <col min="8213" max="8213" width="10.85546875" customWidth="1"/>
    <col min="8214" max="8214" width="7.85546875" customWidth="1"/>
    <col min="8215" max="8216" width="12.85546875" customWidth="1"/>
    <col min="8217" max="8218" width="18.85546875" customWidth="1"/>
    <col min="8219" max="8219" width="10.85546875" customWidth="1"/>
    <col min="8220" max="8220" width="8.85546875" customWidth="1"/>
    <col min="8221" max="8222" width="9.85546875" customWidth="1"/>
    <col min="8223" max="8223" width="12.85546875" customWidth="1"/>
    <col min="8224" max="8226" width="10.85546875" customWidth="1"/>
    <col min="8227" max="8227" width="15.140625" customWidth="1"/>
    <col min="8451" max="8453" width="10.85546875" customWidth="1"/>
    <col min="8454" max="8454" width="20.85546875" customWidth="1"/>
    <col min="8455" max="8455" width="8.85546875" customWidth="1"/>
    <col min="8456" max="8456" width="12.85546875" customWidth="1"/>
    <col min="8457" max="8457" width="9.85546875" customWidth="1"/>
    <col min="8458" max="8458" width="12.85546875" customWidth="1"/>
    <col min="8459" max="8459" width="9.85546875" customWidth="1"/>
    <col min="8460" max="8460" width="11.85546875" customWidth="1"/>
    <col min="8461" max="8461" width="9.85546875" customWidth="1"/>
    <col min="8462" max="8462" width="11.85546875" customWidth="1"/>
    <col min="8463" max="8463" width="9.85546875" customWidth="1"/>
    <col min="8464" max="8464" width="11.85546875" customWidth="1"/>
    <col min="8465" max="8465" width="12.85546875" customWidth="1"/>
    <col min="8466" max="8467" width="14.85546875" customWidth="1"/>
    <col min="8468" max="8468" width="12.85546875" customWidth="1"/>
    <col min="8469" max="8469" width="10.85546875" customWidth="1"/>
    <col min="8470" max="8470" width="7.85546875" customWidth="1"/>
    <col min="8471" max="8472" width="12.85546875" customWidth="1"/>
    <col min="8473" max="8474" width="18.85546875" customWidth="1"/>
    <col min="8475" max="8475" width="10.85546875" customWidth="1"/>
    <col min="8476" max="8476" width="8.85546875" customWidth="1"/>
    <col min="8477" max="8478" width="9.85546875" customWidth="1"/>
    <col min="8479" max="8479" width="12.85546875" customWidth="1"/>
    <col min="8480" max="8482" width="10.85546875" customWidth="1"/>
    <col min="8483" max="8483" width="15.140625" customWidth="1"/>
    <col min="8707" max="8709" width="10.85546875" customWidth="1"/>
    <col min="8710" max="8710" width="20.85546875" customWidth="1"/>
    <col min="8711" max="8711" width="8.85546875" customWidth="1"/>
    <col min="8712" max="8712" width="12.85546875" customWidth="1"/>
    <col min="8713" max="8713" width="9.85546875" customWidth="1"/>
    <col min="8714" max="8714" width="12.85546875" customWidth="1"/>
    <col min="8715" max="8715" width="9.85546875" customWidth="1"/>
    <col min="8716" max="8716" width="11.85546875" customWidth="1"/>
    <col min="8717" max="8717" width="9.85546875" customWidth="1"/>
    <col min="8718" max="8718" width="11.85546875" customWidth="1"/>
    <col min="8719" max="8719" width="9.85546875" customWidth="1"/>
    <col min="8720" max="8720" width="11.85546875" customWidth="1"/>
    <col min="8721" max="8721" width="12.85546875" customWidth="1"/>
    <col min="8722" max="8723" width="14.85546875" customWidth="1"/>
    <col min="8724" max="8724" width="12.85546875" customWidth="1"/>
    <col min="8725" max="8725" width="10.85546875" customWidth="1"/>
    <col min="8726" max="8726" width="7.85546875" customWidth="1"/>
    <col min="8727" max="8728" width="12.85546875" customWidth="1"/>
    <col min="8729" max="8730" width="18.85546875" customWidth="1"/>
    <col min="8731" max="8731" width="10.85546875" customWidth="1"/>
    <col min="8732" max="8732" width="8.85546875" customWidth="1"/>
    <col min="8733" max="8734" width="9.85546875" customWidth="1"/>
    <col min="8735" max="8735" width="12.85546875" customWidth="1"/>
    <col min="8736" max="8738" width="10.85546875" customWidth="1"/>
    <col min="8739" max="8739" width="15.140625" customWidth="1"/>
    <col min="8963" max="8965" width="10.85546875" customWidth="1"/>
    <col min="8966" max="8966" width="20.85546875" customWidth="1"/>
    <col min="8967" max="8967" width="8.85546875" customWidth="1"/>
    <col min="8968" max="8968" width="12.85546875" customWidth="1"/>
    <col min="8969" max="8969" width="9.85546875" customWidth="1"/>
    <col min="8970" max="8970" width="12.85546875" customWidth="1"/>
    <col min="8971" max="8971" width="9.85546875" customWidth="1"/>
    <col min="8972" max="8972" width="11.85546875" customWidth="1"/>
    <col min="8973" max="8973" width="9.85546875" customWidth="1"/>
    <col min="8974" max="8974" width="11.85546875" customWidth="1"/>
    <col min="8975" max="8975" width="9.85546875" customWidth="1"/>
    <col min="8976" max="8976" width="11.85546875" customWidth="1"/>
    <col min="8977" max="8977" width="12.85546875" customWidth="1"/>
    <col min="8978" max="8979" width="14.85546875" customWidth="1"/>
    <col min="8980" max="8980" width="12.85546875" customWidth="1"/>
    <col min="8981" max="8981" width="10.85546875" customWidth="1"/>
    <col min="8982" max="8982" width="7.85546875" customWidth="1"/>
    <col min="8983" max="8984" width="12.85546875" customWidth="1"/>
    <col min="8985" max="8986" width="18.85546875" customWidth="1"/>
    <col min="8987" max="8987" width="10.85546875" customWidth="1"/>
    <col min="8988" max="8988" width="8.85546875" customWidth="1"/>
    <col min="8989" max="8990" width="9.85546875" customWidth="1"/>
    <col min="8991" max="8991" width="12.85546875" customWidth="1"/>
    <col min="8992" max="8994" width="10.85546875" customWidth="1"/>
    <col min="8995" max="8995" width="15.140625" customWidth="1"/>
    <col min="9219" max="9221" width="10.85546875" customWidth="1"/>
    <col min="9222" max="9222" width="20.85546875" customWidth="1"/>
    <col min="9223" max="9223" width="8.85546875" customWidth="1"/>
    <col min="9224" max="9224" width="12.85546875" customWidth="1"/>
    <col min="9225" max="9225" width="9.85546875" customWidth="1"/>
    <col min="9226" max="9226" width="12.85546875" customWidth="1"/>
    <col min="9227" max="9227" width="9.85546875" customWidth="1"/>
    <col min="9228" max="9228" width="11.85546875" customWidth="1"/>
    <col min="9229" max="9229" width="9.85546875" customWidth="1"/>
    <col min="9230" max="9230" width="11.85546875" customWidth="1"/>
    <col min="9231" max="9231" width="9.85546875" customWidth="1"/>
    <col min="9232" max="9232" width="11.85546875" customWidth="1"/>
    <col min="9233" max="9233" width="12.85546875" customWidth="1"/>
    <col min="9234" max="9235" width="14.85546875" customWidth="1"/>
    <col min="9236" max="9236" width="12.85546875" customWidth="1"/>
    <col min="9237" max="9237" width="10.85546875" customWidth="1"/>
    <col min="9238" max="9238" width="7.85546875" customWidth="1"/>
    <col min="9239" max="9240" width="12.85546875" customWidth="1"/>
    <col min="9241" max="9242" width="18.85546875" customWidth="1"/>
    <col min="9243" max="9243" width="10.85546875" customWidth="1"/>
    <col min="9244" max="9244" width="8.85546875" customWidth="1"/>
    <col min="9245" max="9246" width="9.85546875" customWidth="1"/>
    <col min="9247" max="9247" width="12.85546875" customWidth="1"/>
    <col min="9248" max="9250" width="10.85546875" customWidth="1"/>
    <col min="9251" max="9251" width="15.140625" customWidth="1"/>
    <col min="9475" max="9477" width="10.85546875" customWidth="1"/>
    <col min="9478" max="9478" width="20.85546875" customWidth="1"/>
    <col min="9479" max="9479" width="8.85546875" customWidth="1"/>
    <col min="9480" max="9480" width="12.85546875" customWidth="1"/>
    <col min="9481" max="9481" width="9.85546875" customWidth="1"/>
    <col min="9482" max="9482" width="12.85546875" customWidth="1"/>
    <col min="9483" max="9483" width="9.85546875" customWidth="1"/>
    <col min="9484" max="9484" width="11.85546875" customWidth="1"/>
    <col min="9485" max="9485" width="9.85546875" customWidth="1"/>
    <col min="9486" max="9486" width="11.85546875" customWidth="1"/>
    <col min="9487" max="9487" width="9.85546875" customWidth="1"/>
    <col min="9488" max="9488" width="11.85546875" customWidth="1"/>
    <col min="9489" max="9489" width="12.85546875" customWidth="1"/>
    <col min="9490" max="9491" width="14.85546875" customWidth="1"/>
    <col min="9492" max="9492" width="12.85546875" customWidth="1"/>
    <col min="9493" max="9493" width="10.85546875" customWidth="1"/>
    <col min="9494" max="9494" width="7.85546875" customWidth="1"/>
    <col min="9495" max="9496" width="12.85546875" customWidth="1"/>
    <col min="9497" max="9498" width="18.85546875" customWidth="1"/>
    <col min="9499" max="9499" width="10.85546875" customWidth="1"/>
    <col min="9500" max="9500" width="8.85546875" customWidth="1"/>
    <col min="9501" max="9502" width="9.85546875" customWidth="1"/>
    <col min="9503" max="9503" width="12.85546875" customWidth="1"/>
    <col min="9504" max="9506" width="10.85546875" customWidth="1"/>
    <col min="9507" max="9507" width="15.140625" customWidth="1"/>
    <col min="9731" max="9733" width="10.85546875" customWidth="1"/>
    <col min="9734" max="9734" width="20.85546875" customWidth="1"/>
    <col min="9735" max="9735" width="8.85546875" customWidth="1"/>
    <col min="9736" max="9736" width="12.85546875" customWidth="1"/>
    <col min="9737" max="9737" width="9.85546875" customWidth="1"/>
    <col min="9738" max="9738" width="12.85546875" customWidth="1"/>
    <col min="9739" max="9739" width="9.85546875" customWidth="1"/>
    <col min="9740" max="9740" width="11.85546875" customWidth="1"/>
    <col min="9741" max="9741" width="9.85546875" customWidth="1"/>
    <col min="9742" max="9742" width="11.85546875" customWidth="1"/>
    <col min="9743" max="9743" width="9.85546875" customWidth="1"/>
    <col min="9744" max="9744" width="11.85546875" customWidth="1"/>
    <col min="9745" max="9745" width="12.85546875" customWidth="1"/>
    <col min="9746" max="9747" width="14.85546875" customWidth="1"/>
    <col min="9748" max="9748" width="12.85546875" customWidth="1"/>
    <col min="9749" max="9749" width="10.85546875" customWidth="1"/>
    <col min="9750" max="9750" width="7.85546875" customWidth="1"/>
    <col min="9751" max="9752" width="12.85546875" customWidth="1"/>
    <col min="9753" max="9754" width="18.85546875" customWidth="1"/>
    <col min="9755" max="9755" width="10.85546875" customWidth="1"/>
    <col min="9756" max="9756" width="8.85546875" customWidth="1"/>
    <col min="9757" max="9758" width="9.85546875" customWidth="1"/>
    <col min="9759" max="9759" width="12.85546875" customWidth="1"/>
    <col min="9760" max="9762" width="10.85546875" customWidth="1"/>
    <col min="9763" max="9763" width="15.140625" customWidth="1"/>
    <col min="9987" max="9989" width="10.85546875" customWidth="1"/>
    <col min="9990" max="9990" width="20.85546875" customWidth="1"/>
    <col min="9991" max="9991" width="8.85546875" customWidth="1"/>
    <col min="9992" max="9992" width="12.85546875" customWidth="1"/>
    <col min="9993" max="9993" width="9.85546875" customWidth="1"/>
    <col min="9994" max="9994" width="12.85546875" customWidth="1"/>
    <col min="9995" max="9995" width="9.85546875" customWidth="1"/>
    <col min="9996" max="9996" width="11.85546875" customWidth="1"/>
    <col min="9997" max="9997" width="9.85546875" customWidth="1"/>
    <col min="9998" max="9998" width="11.85546875" customWidth="1"/>
    <col min="9999" max="9999" width="9.85546875" customWidth="1"/>
    <col min="10000" max="10000" width="11.85546875" customWidth="1"/>
    <col min="10001" max="10001" width="12.85546875" customWidth="1"/>
    <col min="10002" max="10003" width="14.85546875" customWidth="1"/>
    <col min="10004" max="10004" width="12.85546875" customWidth="1"/>
    <col min="10005" max="10005" width="10.85546875" customWidth="1"/>
    <col min="10006" max="10006" width="7.85546875" customWidth="1"/>
    <col min="10007" max="10008" width="12.85546875" customWidth="1"/>
    <col min="10009" max="10010" width="18.85546875" customWidth="1"/>
    <col min="10011" max="10011" width="10.85546875" customWidth="1"/>
    <col min="10012" max="10012" width="8.85546875" customWidth="1"/>
    <col min="10013" max="10014" width="9.85546875" customWidth="1"/>
    <col min="10015" max="10015" width="12.85546875" customWidth="1"/>
    <col min="10016" max="10018" width="10.85546875" customWidth="1"/>
    <col min="10019" max="10019" width="15.140625" customWidth="1"/>
    <col min="10243" max="10245" width="10.85546875" customWidth="1"/>
    <col min="10246" max="10246" width="20.85546875" customWidth="1"/>
    <col min="10247" max="10247" width="8.85546875" customWidth="1"/>
    <col min="10248" max="10248" width="12.85546875" customWidth="1"/>
    <col min="10249" max="10249" width="9.85546875" customWidth="1"/>
    <col min="10250" max="10250" width="12.85546875" customWidth="1"/>
    <col min="10251" max="10251" width="9.85546875" customWidth="1"/>
    <col min="10252" max="10252" width="11.85546875" customWidth="1"/>
    <col min="10253" max="10253" width="9.85546875" customWidth="1"/>
    <col min="10254" max="10254" width="11.85546875" customWidth="1"/>
    <col min="10255" max="10255" width="9.85546875" customWidth="1"/>
    <col min="10256" max="10256" width="11.85546875" customWidth="1"/>
    <col min="10257" max="10257" width="12.85546875" customWidth="1"/>
    <col min="10258" max="10259" width="14.85546875" customWidth="1"/>
    <col min="10260" max="10260" width="12.85546875" customWidth="1"/>
    <col min="10261" max="10261" width="10.85546875" customWidth="1"/>
    <col min="10262" max="10262" width="7.85546875" customWidth="1"/>
    <col min="10263" max="10264" width="12.85546875" customWidth="1"/>
    <col min="10265" max="10266" width="18.85546875" customWidth="1"/>
    <col min="10267" max="10267" width="10.85546875" customWidth="1"/>
    <col min="10268" max="10268" width="8.85546875" customWidth="1"/>
    <col min="10269" max="10270" width="9.85546875" customWidth="1"/>
    <col min="10271" max="10271" width="12.85546875" customWidth="1"/>
    <col min="10272" max="10274" width="10.85546875" customWidth="1"/>
    <col min="10275" max="10275" width="15.140625" customWidth="1"/>
    <col min="10499" max="10501" width="10.85546875" customWidth="1"/>
    <col min="10502" max="10502" width="20.85546875" customWidth="1"/>
    <col min="10503" max="10503" width="8.85546875" customWidth="1"/>
    <col min="10504" max="10504" width="12.85546875" customWidth="1"/>
    <col min="10505" max="10505" width="9.85546875" customWidth="1"/>
    <col min="10506" max="10506" width="12.85546875" customWidth="1"/>
    <col min="10507" max="10507" width="9.85546875" customWidth="1"/>
    <col min="10508" max="10508" width="11.85546875" customWidth="1"/>
    <col min="10509" max="10509" width="9.85546875" customWidth="1"/>
    <col min="10510" max="10510" width="11.85546875" customWidth="1"/>
    <col min="10511" max="10511" width="9.85546875" customWidth="1"/>
    <col min="10512" max="10512" width="11.85546875" customWidth="1"/>
    <col min="10513" max="10513" width="12.85546875" customWidth="1"/>
    <col min="10514" max="10515" width="14.85546875" customWidth="1"/>
    <col min="10516" max="10516" width="12.85546875" customWidth="1"/>
    <col min="10517" max="10517" width="10.85546875" customWidth="1"/>
    <col min="10518" max="10518" width="7.85546875" customWidth="1"/>
    <col min="10519" max="10520" width="12.85546875" customWidth="1"/>
    <col min="10521" max="10522" width="18.85546875" customWidth="1"/>
    <col min="10523" max="10523" width="10.85546875" customWidth="1"/>
    <col min="10524" max="10524" width="8.85546875" customWidth="1"/>
    <col min="10525" max="10526" width="9.85546875" customWidth="1"/>
    <col min="10527" max="10527" width="12.85546875" customWidth="1"/>
    <col min="10528" max="10530" width="10.85546875" customWidth="1"/>
    <col min="10531" max="10531" width="15.140625" customWidth="1"/>
    <col min="10755" max="10757" width="10.85546875" customWidth="1"/>
    <col min="10758" max="10758" width="20.85546875" customWidth="1"/>
    <col min="10759" max="10759" width="8.85546875" customWidth="1"/>
    <col min="10760" max="10760" width="12.85546875" customWidth="1"/>
    <col min="10761" max="10761" width="9.85546875" customWidth="1"/>
    <col min="10762" max="10762" width="12.85546875" customWidth="1"/>
    <col min="10763" max="10763" width="9.85546875" customWidth="1"/>
    <col min="10764" max="10764" width="11.85546875" customWidth="1"/>
    <col min="10765" max="10765" width="9.85546875" customWidth="1"/>
    <col min="10766" max="10766" width="11.85546875" customWidth="1"/>
    <col min="10767" max="10767" width="9.85546875" customWidth="1"/>
    <col min="10768" max="10768" width="11.85546875" customWidth="1"/>
    <col min="10769" max="10769" width="12.85546875" customWidth="1"/>
    <col min="10770" max="10771" width="14.85546875" customWidth="1"/>
    <col min="10772" max="10772" width="12.85546875" customWidth="1"/>
    <col min="10773" max="10773" width="10.85546875" customWidth="1"/>
    <col min="10774" max="10774" width="7.85546875" customWidth="1"/>
    <col min="10775" max="10776" width="12.85546875" customWidth="1"/>
    <col min="10777" max="10778" width="18.85546875" customWidth="1"/>
    <col min="10779" max="10779" width="10.85546875" customWidth="1"/>
    <col min="10780" max="10780" width="8.85546875" customWidth="1"/>
    <col min="10781" max="10782" width="9.85546875" customWidth="1"/>
    <col min="10783" max="10783" width="12.85546875" customWidth="1"/>
    <col min="10784" max="10786" width="10.85546875" customWidth="1"/>
    <col min="10787" max="10787" width="15.140625" customWidth="1"/>
    <col min="11011" max="11013" width="10.85546875" customWidth="1"/>
    <col min="11014" max="11014" width="20.85546875" customWidth="1"/>
    <col min="11015" max="11015" width="8.85546875" customWidth="1"/>
    <col min="11016" max="11016" width="12.85546875" customWidth="1"/>
    <col min="11017" max="11017" width="9.85546875" customWidth="1"/>
    <col min="11018" max="11018" width="12.85546875" customWidth="1"/>
    <col min="11019" max="11019" width="9.85546875" customWidth="1"/>
    <col min="11020" max="11020" width="11.85546875" customWidth="1"/>
    <col min="11021" max="11021" width="9.85546875" customWidth="1"/>
    <col min="11022" max="11022" width="11.85546875" customWidth="1"/>
    <col min="11023" max="11023" width="9.85546875" customWidth="1"/>
    <col min="11024" max="11024" width="11.85546875" customWidth="1"/>
    <col min="11025" max="11025" width="12.85546875" customWidth="1"/>
    <col min="11026" max="11027" width="14.85546875" customWidth="1"/>
    <col min="11028" max="11028" width="12.85546875" customWidth="1"/>
    <col min="11029" max="11029" width="10.85546875" customWidth="1"/>
    <col min="11030" max="11030" width="7.85546875" customWidth="1"/>
    <col min="11031" max="11032" width="12.85546875" customWidth="1"/>
    <col min="11033" max="11034" width="18.85546875" customWidth="1"/>
    <col min="11035" max="11035" width="10.85546875" customWidth="1"/>
    <col min="11036" max="11036" width="8.85546875" customWidth="1"/>
    <col min="11037" max="11038" width="9.85546875" customWidth="1"/>
    <col min="11039" max="11039" width="12.85546875" customWidth="1"/>
    <col min="11040" max="11042" width="10.85546875" customWidth="1"/>
    <col min="11043" max="11043" width="15.140625" customWidth="1"/>
    <col min="11267" max="11269" width="10.85546875" customWidth="1"/>
    <col min="11270" max="11270" width="20.85546875" customWidth="1"/>
    <col min="11271" max="11271" width="8.85546875" customWidth="1"/>
    <col min="11272" max="11272" width="12.85546875" customWidth="1"/>
    <col min="11273" max="11273" width="9.85546875" customWidth="1"/>
    <col min="11274" max="11274" width="12.85546875" customWidth="1"/>
    <col min="11275" max="11275" width="9.85546875" customWidth="1"/>
    <col min="11276" max="11276" width="11.85546875" customWidth="1"/>
    <col min="11277" max="11277" width="9.85546875" customWidth="1"/>
    <col min="11278" max="11278" width="11.85546875" customWidth="1"/>
    <col min="11279" max="11279" width="9.85546875" customWidth="1"/>
    <col min="11280" max="11280" width="11.85546875" customWidth="1"/>
    <col min="11281" max="11281" width="12.85546875" customWidth="1"/>
    <col min="11282" max="11283" width="14.85546875" customWidth="1"/>
    <col min="11284" max="11284" width="12.85546875" customWidth="1"/>
    <col min="11285" max="11285" width="10.85546875" customWidth="1"/>
    <col min="11286" max="11286" width="7.85546875" customWidth="1"/>
    <col min="11287" max="11288" width="12.85546875" customWidth="1"/>
    <col min="11289" max="11290" width="18.85546875" customWidth="1"/>
    <col min="11291" max="11291" width="10.85546875" customWidth="1"/>
    <col min="11292" max="11292" width="8.85546875" customWidth="1"/>
    <col min="11293" max="11294" width="9.85546875" customWidth="1"/>
    <col min="11295" max="11295" width="12.85546875" customWidth="1"/>
    <col min="11296" max="11298" width="10.85546875" customWidth="1"/>
    <col min="11299" max="11299" width="15.140625" customWidth="1"/>
    <col min="11523" max="11525" width="10.85546875" customWidth="1"/>
    <col min="11526" max="11526" width="20.85546875" customWidth="1"/>
    <col min="11527" max="11527" width="8.85546875" customWidth="1"/>
    <col min="11528" max="11528" width="12.85546875" customWidth="1"/>
    <col min="11529" max="11529" width="9.85546875" customWidth="1"/>
    <col min="11530" max="11530" width="12.85546875" customWidth="1"/>
    <col min="11531" max="11531" width="9.85546875" customWidth="1"/>
    <col min="11532" max="11532" width="11.85546875" customWidth="1"/>
    <col min="11533" max="11533" width="9.85546875" customWidth="1"/>
    <col min="11534" max="11534" width="11.85546875" customWidth="1"/>
    <col min="11535" max="11535" width="9.85546875" customWidth="1"/>
    <col min="11536" max="11536" width="11.85546875" customWidth="1"/>
    <col min="11537" max="11537" width="12.85546875" customWidth="1"/>
    <col min="11538" max="11539" width="14.85546875" customWidth="1"/>
    <col min="11540" max="11540" width="12.85546875" customWidth="1"/>
    <col min="11541" max="11541" width="10.85546875" customWidth="1"/>
    <col min="11542" max="11542" width="7.85546875" customWidth="1"/>
    <col min="11543" max="11544" width="12.85546875" customWidth="1"/>
    <col min="11545" max="11546" width="18.85546875" customWidth="1"/>
    <col min="11547" max="11547" width="10.85546875" customWidth="1"/>
    <col min="11548" max="11548" width="8.85546875" customWidth="1"/>
    <col min="11549" max="11550" width="9.85546875" customWidth="1"/>
    <col min="11551" max="11551" width="12.85546875" customWidth="1"/>
    <col min="11552" max="11554" width="10.85546875" customWidth="1"/>
    <col min="11555" max="11555" width="15.140625" customWidth="1"/>
    <col min="11779" max="11781" width="10.85546875" customWidth="1"/>
    <col min="11782" max="11782" width="20.85546875" customWidth="1"/>
    <col min="11783" max="11783" width="8.85546875" customWidth="1"/>
    <col min="11784" max="11784" width="12.85546875" customWidth="1"/>
    <col min="11785" max="11785" width="9.85546875" customWidth="1"/>
    <col min="11786" max="11786" width="12.85546875" customWidth="1"/>
    <col min="11787" max="11787" width="9.85546875" customWidth="1"/>
    <col min="11788" max="11788" width="11.85546875" customWidth="1"/>
    <col min="11789" max="11789" width="9.85546875" customWidth="1"/>
    <col min="11790" max="11790" width="11.85546875" customWidth="1"/>
    <col min="11791" max="11791" width="9.85546875" customWidth="1"/>
    <col min="11792" max="11792" width="11.85546875" customWidth="1"/>
    <col min="11793" max="11793" width="12.85546875" customWidth="1"/>
    <col min="11794" max="11795" width="14.85546875" customWidth="1"/>
    <col min="11796" max="11796" width="12.85546875" customWidth="1"/>
    <col min="11797" max="11797" width="10.85546875" customWidth="1"/>
    <col min="11798" max="11798" width="7.85546875" customWidth="1"/>
    <col min="11799" max="11800" width="12.85546875" customWidth="1"/>
    <col min="11801" max="11802" width="18.85546875" customWidth="1"/>
    <col min="11803" max="11803" width="10.85546875" customWidth="1"/>
    <col min="11804" max="11804" width="8.85546875" customWidth="1"/>
    <col min="11805" max="11806" width="9.85546875" customWidth="1"/>
    <col min="11807" max="11807" width="12.85546875" customWidth="1"/>
    <col min="11808" max="11810" width="10.85546875" customWidth="1"/>
    <col min="11811" max="11811" width="15.140625" customWidth="1"/>
    <col min="12035" max="12037" width="10.85546875" customWidth="1"/>
    <col min="12038" max="12038" width="20.85546875" customWidth="1"/>
    <col min="12039" max="12039" width="8.85546875" customWidth="1"/>
    <col min="12040" max="12040" width="12.85546875" customWidth="1"/>
    <col min="12041" max="12041" width="9.85546875" customWidth="1"/>
    <col min="12042" max="12042" width="12.85546875" customWidth="1"/>
    <col min="12043" max="12043" width="9.85546875" customWidth="1"/>
    <col min="12044" max="12044" width="11.85546875" customWidth="1"/>
    <col min="12045" max="12045" width="9.85546875" customWidth="1"/>
    <col min="12046" max="12046" width="11.85546875" customWidth="1"/>
    <col min="12047" max="12047" width="9.85546875" customWidth="1"/>
    <col min="12048" max="12048" width="11.85546875" customWidth="1"/>
    <col min="12049" max="12049" width="12.85546875" customWidth="1"/>
    <col min="12050" max="12051" width="14.85546875" customWidth="1"/>
    <col min="12052" max="12052" width="12.85546875" customWidth="1"/>
    <col min="12053" max="12053" width="10.85546875" customWidth="1"/>
    <col min="12054" max="12054" width="7.85546875" customWidth="1"/>
    <col min="12055" max="12056" width="12.85546875" customWidth="1"/>
    <col min="12057" max="12058" width="18.85546875" customWidth="1"/>
    <col min="12059" max="12059" width="10.85546875" customWidth="1"/>
    <col min="12060" max="12060" width="8.85546875" customWidth="1"/>
    <col min="12061" max="12062" width="9.85546875" customWidth="1"/>
    <col min="12063" max="12063" width="12.85546875" customWidth="1"/>
    <col min="12064" max="12066" width="10.85546875" customWidth="1"/>
    <col min="12067" max="12067" width="15.140625" customWidth="1"/>
    <col min="12291" max="12293" width="10.85546875" customWidth="1"/>
    <col min="12294" max="12294" width="20.85546875" customWidth="1"/>
    <col min="12295" max="12295" width="8.85546875" customWidth="1"/>
    <col min="12296" max="12296" width="12.85546875" customWidth="1"/>
    <col min="12297" max="12297" width="9.85546875" customWidth="1"/>
    <col min="12298" max="12298" width="12.85546875" customWidth="1"/>
    <col min="12299" max="12299" width="9.85546875" customWidth="1"/>
    <col min="12300" max="12300" width="11.85546875" customWidth="1"/>
    <col min="12301" max="12301" width="9.85546875" customWidth="1"/>
    <col min="12302" max="12302" width="11.85546875" customWidth="1"/>
    <col min="12303" max="12303" width="9.85546875" customWidth="1"/>
    <col min="12304" max="12304" width="11.85546875" customWidth="1"/>
    <col min="12305" max="12305" width="12.85546875" customWidth="1"/>
    <col min="12306" max="12307" width="14.85546875" customWidth="1"/>
    <col min="12308" max="12308" width="12.85546875" customWidth="1"/>
    <col min="12309" max="12309" width="10.85546875" customWidth="1"/>
    <col min="12310" max="12310" width="7.85546875" customWidth="1"/>
    <col min="12311" max="12312" width="12.85546875" customWidth="1"/>
    <col min="12313" max="12314" width="18.85546875" customWidth="1"/>
    <col min="12315" max="12315" width="10.85546875" customWidth="1"/>
    <col min="12316" max="12316" width="8.85546875" customWidth="1"/>
    <col min="12317" max="12318" width="9.85546875" customWidth="1"/>
    <col min="12319" max="12319" width="12.85546875" customWidth="1"/>
    <col min="12320" max="12322" width="10.85546875" customWidth="1"/>
    <col min="12323" max="12323" width="15.140625" customWidth="1"/>
    <col min="12547" max="12549" width="10.85546875" customWidth="1"/>
    <col min="12550" max="12550" width="20.85546875" customWidth="1"/>
    <col min="12551" max="12551" width="8.85546875" customWidth="1"/>
    <col min="12552" max="12552" width="12.85546875" customWidth="1"/>
    <col min="12553" max="12553" width="9.85546875" customWidth="1"/>
    <col min="12554" max="12554" width="12.85546875" customWidth="1"/>
    <col min="12555" max="12555" width="9.85546875" customWidth="1"/>
    <col min="12556" max="12556" width="11.85546875" customWidth="1"/>
    <col min="12557" max="12557" width="9.85546875" customWidth="1"/>
    <col min="12558" max="12558" width="11.85546875" customWidth="1"/>
    <col min="12559" max="12559" width="9.85546875" customWidth="1"/>
    <col min="12560" max="12560" width="11.85546875" customWidth="1"/>
    <col min="12561" max="12561" width="12.85546875" customWidth="1"/>
    <col min="12562" max="12563" width="14.85546875" customWidth="1"/>
    <col min="12564" max="12564" width="12.85546875" customWidth="1"/>
    <col min="12565" max="12565" width="10.85546875" customWidth="1"/>
    <col min="12566" max="12566" width="7.85546875" customWidth="1"/>
    <col min="12567" max="12568" width="12.85546875" customWidth="1"/>
    <col min="12569" max="12570" width="18.85546875" customWidth="1"/>
    <col min="12571" max="12571" width="10.85546875" customWidth="1"/>
    <col min="12572" max="12572" width="8.85546875" customWidth="1"/>
    <col min="12573" max="12574" width="9.85546875" customWidth="1"/>
    <col min="12575" max="12575" width="12.85546875" customWidth="1"/>
    <col min="12576" max="12578" width="10.85546875" customWidth="1"/>
    <col min="12579" max="12579" width="15.140625" customWidth="1"/>
    <col min="12803" max="12805" width="10.85546875" customWidth="1"/>
    <col min="12806" max="12806" width="20.85546875" customWidth="1"/>
    <col min="12807" max="12807" width="8.85546875" customWidth="1"/>
    <col min="12808" max="12808" width="12.85546875" customWidth="1"/>
    <col min="12809" max="12809" width="9.85546875" customWidth="1"/>
    <col min="12810" max="12810" width="12.85546875" customWidth="1"/>
    <col min="12811" max="12811" width="9.85546875" customWidth="1"/>
    <col min="12812" max="12812" width="11.85546875" customWidth="1"/>
    <col min="12813" max="12813" width="9.85546875" customWidth="1"/>
    <col min="12814" max="12814" width="11.85546875" customWidth="1"/>
    <col min="12815" max="12815" width="9.85546875" customWidth="1"/>
    <col min="12816" max="12816" width="11.85546875" customWidth="1"/>
    <col min="12817" max="12817" width="12.85546875" customWidth="1"/>
    <col min="12818" max="12819" width="14.85546875" customWidth="1"/>
    <col min="12820" max="12820" width="12.85546875" customWidth="1"/>
    <col min="12821" max="12821" width="10.85546875" customWidth="1"/>
    <col min="12822" max="12822" width="7.85546875" customWidth="1"/>
    <col min="12823" max="12824" width="12.85546875" customWidth="1"/>
    <col min="12825" max="12826" width="18.85546875" customWidth="1"/>
    <col min="12827" max="12827" width="10.85546875" customWidth="1"/>
    <col min="12828" max="12828" width="8.85546875" customWidth="1"/>
    <col min="12829" max="12830" width="9.85546875" customWidth="1"/>
    <col min="12831" max="12831" width="12.85546875" customWidth="1"/>
    <col min="12832" max="12834" width="10.85546875" customWidth="1"/>
    <col min="12835" max="12835" width="15.140625" customWidth="1"/>
    <col min="13059" max="13061" width="10.85546875" customWidth="1"/>
    <col min="13062" max="13062" width="20.85546875" customWidth="1"/>
    <col min="13063" max="13063" width="8.85546875" customWidth="1"/>
    <col min="13064" max="13064" width="12.85546875" customWidth="1"/>
    <col min="13065" max="13065" width="9.85546875" customWidth="1"/>
    <col min="13066" max="13066" width="12.85546875" customWidth="1"/>
    <col min="13067" max="13067" width="9.85546875" customWidth="1"/>
    <col min="13068" max="13068" width="11.85546875" customWidth="1"/>
    <col min="13069" max="13069" width="9.85546875" customWidth="1"/>
    <col min="13070" max="13070" width="11.85546875" customWidth="1"/>
    <col min="13071" max="13071" width="9.85546875" customWidth="1"/>
    <col min="13072" max="13072" width="11.85546875" customWidth="1"/>
    <col min="13073" max="13073" width="12.85546875" customWidth="1"/>
    <col min="13074" max="13075" width="14.85546875" customWidth="1"/>
    <col min="13076" max="13076" width="12.85546875" customWidth="1"/>
    <col min="13077" max="13077" width="10.85546875" customWidth="1"/>
    <col min="13078" max="13078" width="7.85546875" customWidth="1"/>
    <col min="13079" max="13080" width="12.85546875" customWidth="1"/>
    <col min="13081" max="13082" width="18.85546875" customWidth="1"/>
    <col min="13083" max="13083" width="10.85546875" customWidth="1"/>
    <col min="13084" max="13084" width="8.85546875" customWidth="1"/>
    <col min="13085" max="13086" width="9.85546875" customWidth="1"/>
    <col min="13087" max="13087" width="12.85546875" customWidth="1"/>
    <col min="13088" max="13090" width="10.85546875" customWidth="1"/>
    <col min="13091" max="13091" width="15.140625" customWidth="1"/>
    <col min="13315" max="13317" width="10.85546875" customWidth="1"/>
    <col min="13318" max="13318" width="20.85546875" customWidth="1"/>
    <col min="13319" max="13319" width="8.85546875" customWidth="1"/>
    <col min="13320" max="13320" width="12.85546875" customWidth="1"/>
    <col min="13321" max="13321" width="9.85546875" customWidth="1"/>
    <col min="13322" max="13322" width="12.85546875" customWidth="1"/>
    <col min="13323" max="13323" width="9.85546875" customWidth="1"/>
    <col min="13324" max="13324" width="11.85546875" customWidth="1"/>
    <col min="13325" max="13325" width="9.85546875" customWidth="1"/>
    <col min="13326" max="13326" width="11.85546875" customWidth="1"/>
    <col min="13327" max="13327" width="9.85546875" customWidth="1"/>
    <col min="13328" max="13328" width="11.85546875" customWidth="1"/>
    <col min="13329" max="13329" width="12.85546875" customWidth="1"/>
    <col min="13330" max="13331" width="14.85546875" customWidth="1"/>
    <col min="13332" max="13332" width="12.85546875" customWidth="1"/>
    <col min="13333" max="13333" width="10.85546875" customWidth="1"/>
    <col min="13334" max="13334" width="7.85546875" customWidth="1"/>
    <col min="13335" max="13336" width="12.85546875" customWidth="1"/>
    <col min="13337" max="13338" width="18.85546875" customWidth="1"/>
    <col min="13339" max="13339" width="10.85546875" customWidth="1"/>
    <col min="13340" max="13340" width="8.85546875" customWidth="1"/>
    <col min="13341" max="13342" width="9.85546875" customWidth="1"/>
    <col min="13343" max="13343" width="12.85546875" customWidth="1"/>
    <col min="13344" max="13346" width="10.85546875" customWidth="1"/>
    <col min="13347" max="13347" width="15.140625" customWidth="1"/>
    <col min="13571" max="13573" width="10.85546875" customWidth="1"/>
    <col min="13574" max="13574" width="20.85546875" customWidth="1"/>
    <col min="13575" max="13575" width="8.85546875" customWidth="1"/>
    <col min="13576" max="13576" width="12.85546875" customWidth="1"/>
    <col min="13577" max="13577" width="9.85546875" customWidth="1"/>
    <col min="13578" max="13578" width="12.85546875" customWidth="1"/>
    <col min="13579" max="13579" width="9.85546875" customWidth="1"/>
    <col min="13580" max="13580" width="11.85546875" customWidth="1"/>
    <col min="13581" max="13581" width="9.85546875" customWidth="1"/>
    <col min="13582" max="13582" width="11.85546875" customWidth="1"/>
    <col min="13583" max="13583" width="9.85546875" customWidth="1"/>
    <col min="13584" max="13584" width="11.85546875" customWidth="1"/>
    <col min="13585" max="13585" width="12.85546875" customWidth="1"/>
    <col min="13586" max="13587" width="14.85546875" customWidth="1"/>
    <col min="13588" max="13588" width="12.85546875" customWidth="1"/>
    <col min="13589" max="13589" width="10.85546875" customWidth="1"/>
    <col min="13590" max="13590" width="7.85546875" customWidth="1"/>
    <col min="13591" max="13592" width="12.85546875" customWidth="1"/>
    <col min="13593" max="13594" width="18.85546875" customWidth="1"/>
    <col min="13595" max="13595" width="10.85546875" customWidth="1"/>
    <col min="13596" max="13596" width="8.85546875" customWidth="1"/>
    <col min="13597" max="13598" width="9.85546875" customWidth="1"/>
    <col min="13599" max="13599" width="12.85546875" customWidth="1"/>
    <col min="13600" max="13602" width="10.85546875" customWidth="1"/>
    <col min="13603" max="13603" width="15.140625" customWidth="1"/>
    <col min="13827" max="13829" width="10.85546875" customWidth="1"/>
    <col min="13830" max="13830" width="20.85546875" customWidth="1"/>
    <col min="13831" max="13831" width="8.85546875" customWidth="1"/>
    <col min="13832" max="13832" width="12.85546875" customWidth="1"/>
    <col min="13833" max="13833" width="9.85546875" customWidth="1"/>
    <col min="13834" max="13834" width="12.85546875" customWidth="1"/>
    <col min="13835" max="13835" width="9.85546875" customWidth="1"/>
    <col min="13836" max="13836" width="11.85546875" customWidth="1"/>
    <col min="13837" max="13837" width="9.85546875" customWidth="1"/>
    <col min="13838" max="13838" width="11.85546875" customWidth="1"/>
    <col min="13839" max="13839" width="9.85546875" customWidth="1"/>
    <col min="13840" max="13840" width="11.85546875" customWidth="1"/>
    <col min="13841" max="13841" width="12.85546875" customWidth="1"/>
    <col min="13842" max="13843" width="14.85546875" customWidth="1"/>
    <col min="13844" max="13844" width="12.85546875" customWidth="1"/>
    <col min="13845" max="13845" width="10.85546875" customWidth="1"/>
    <col min="13846" max="13846" width="7.85546875" customWidth="1"/>
    <col min="13847" max="13848" width="12.85546875" customWidth="1"/>
    <col min="13849" max="13850" width="18.85546875" customWidth="1"/>
    <col min="13851" max="13851" width="10.85546875" customWidth="1"/>
    <col min="13852" max="13852" width="8.85546875" customWidth="1"/>
    <col min="13853" max="13854" width="9.85546875" customWidth="1"/>
    <col min="13855" max="13855" width="12.85546875" customWidth="1"/>
    <col min="13856" max="13858" width="10.85546875" customWidth="1"/>
    <col min="13859" max="13859" width="15.140625" customWidth="1"/>
    <col min="14083" max="14085" width="10.85546875" customWidth="1"/>
    <col min="14086" max="14086" width="20.85546875" customWidth="1"/>
    <col min="14087" max="14087" width="8.85546875" customWidth="1"/>
    <col min="14088" max="14088" width="12.85546875" customWidth="1"/>
    <col min="14089" max="14089" width="9.85546875" customWidth="1"/>
    <col min="14090" max="14090" width="12.85546875" customWidth="1"/>
    <col min="14091" max="14091" width="9.85546875" customWidth="1"/>
    <col min="14092" max="14092" width="11.85546875" customWidth="1"/>
    <col min="14093" max="14093" width="9.85546875" customWidth="1"/>
    <col min="14094" max="14094" width="11.85546875" customWidth="1"/>
    <col min="14095" max="14095" width="9.85546875" customWidth="1"/>
    <col min="14096" max="14096" width="11.85546875" customWidth="1"/>
    <col min="14097" max="14097" width="12.85546875" customWidth="1"/>
    <col min="14098" max="14099" width="14.85546875" customWidth="1"/>
    <col min="14100" max="14100" width="12.85546875" customWidth="1"/>
    <col min="14101" max="14101" width="10.85546875" customWidth="1"/>
    <col min="14102" max="14102" width="7.85546875" customWidth="1"/>
    <col min="14103" max="14104" width="12.85546875" customWidth="1"/>
    <col min="14105" max="14106" width="18.85546875" customWidth="1"/>
    <col min="14107" max="14107" width="10.85546875" customWidth="1"/>
    <col min="14108" max="14108" width="8.85546875" customWidth="1"/>
    <col min="14109" max="14110" width="9.85546875" customWidth="1"/>
    <col min="14111" max="14111" width="12.85546875" customWidth="1"/>
    <col min="14112" max="14114" width="10.85546875" customWidth="1"/>
    <col min="14115" max="14115" width="15.140625" customWidth="1"/>
    <col min="14339" max="14341" width="10.85546875" customWidth="1"/>
    <col min="14342" max="14342" width="20.85546875" customWidth="1"/>
    <col min="14343" max="14343" width="8.85546875" customWidth="1"/>
    <col min="14344" max="14344" width="12.85546875" customWidth="1"/>
    <col min="14345" max="14345" width="9.85546875" customWidth="1"/>
    <col min="14346" max="14346" width="12.85546875" customWidth="1"/>
    <col min="14347" max="14347" width="9.85546875" customWidth="1"/>
    <col min="14348" max="14348" width="11.85546875" customWidth="1"/>
    <col min="14349" max="14349" width="9.85546875" customWidth="1"/>
    <col min="14350" max="14350" width="11.85546875" customWidth="1"/>
    <col min="14351" max="14351" width="9.85546875" customWidth="1"/>
    <col min="14352" max="14352" width="11.85546875" customWidth="1"/>
    <col min="14353" max="14353" width="12.85546875" customWidth="1"/>
    <col min="14354" max="14355" width="14.85546875" customWidth="1"/>
    <col min="14356" max="14356" width="12.85546875" customWidth="1"/>
    <col min="14357" max="14357" width="10.85546875" customWidth="1"/>
    <col min="14358" max="14358" width="7.85546875" customWidth="1"/>
    <col min="14359" max="14360" width="12.85546875" customWidth="1"/>
    <col min="14361" max="14362" width="18.85546875" customWidth="1"/>
    <col min="14363" max="14363" width="10.85546875" customWidth="1"/>
    <col min="14364" max="14364" width="8.85546875" customWidth="1"/>
    <col min="14365" max="14366" width="9.85546875" customWidth="1"/>
    <col min="14367" max="14367" width="12.85546875" customWidth="1"/>
    <col min="14368" max="14370" width="10.85546875" customWidth="1"/>
    <col min="14371" max="14371" width="15.140625" customWidth="1"/>
    <col min="14595" max="14597" width="10.85546875" customWidth="1"/>
    <col min="14598" max="14598" width="20.85546875" customWidth="1"/>
    <col min="14599" max="14599" width="8.85546875" customWidth="1"/>
    <col min="14600" max="14600" width="12.85546875" customWidth="1"/>
    <col min="14601" max="14601" width="9.85546875" customWidth="1"/>
    <col min="14602" max="14602" width="12.85546875" customWidth="1"/>
    <col min="14603" max="14603" width="9.85546875" customWidth="1"/>
    <col min="14604" max="14604" width="11.85546875" customWidth="1"/>
    <col min="14605" max="14605" width="9.85546875" customWidth="1"/>
    <col min="14606" max="14606" width="11.85546875" customWidth="1"/>
    <col min="14607" max="14607" width="9.85546875" customWidth="1"/>
    <col min="14608" max="14608" width="11.85546875" customWidth="1"/>
    <col min="14609" max="14609" width="12.85546875" customWidth="1"/>
    <col min="14610" max="14611" width="14.85546875" customWidth="1"/>
    <col min="14612" max="14612" width="12.85546875" customWidth="1"/>
    <col min="14613" max="14613" width="10.85546875" customWidth="1"/>
    <col min="14614" max="14614" width="7.85546875" customWidth="1"/>
    <col min="14615" max="14616" width="12.85546875" customWidth="1"/>
    <col min="14617" max="14618" width="18.85546875" customWidth="1"/>
    <col min="14619" max="14619" width="10.85546875" customWidth="1"/>
    <col min="14620" max="14620" width="8.85546875" customWidth="1"/>
    <col min="14621" max="14622" width="9.85546875" customWidth="1"/>
    <col min="14623" max="14623" width="12.85546875" customWidth="1"/>
    <col min="14624" max="14626" width="10.85546875" customWidth="1"/>
    <col min="14627" max="14627" width="15.140625" customWidth="1"/>
    <col min="14851" max="14853" width="10.85546875" customWidth="1"/>
    <col min="14854" max="14854" width="20.85546875" customWidth="1"/>
    <col min="14855" max="14855" width="8.85546875" customWidth="1"/>
    <col min="14856" max="14856" width="12.85546875" customWidth="1"/>
    <col min="14857" max="14857" width="9.85546875" customWidth="1"/>
    <col min="14858" max="14858" width="12.85546875" customWidth="1"/>
    <col min="14859" max="14859" width="9.85546875" customWidth="1"/>
    <col min="14860" max="14860" width="11.85546875" customWidth="1"/>
    <col min="14861" max="14861" width="9.85546875" customWidth="1"/>
    <col min="14862" max="14862" width="11.85546875" customWidth="1"/>
    <col min="14863" max="14863" width="9.85546875" customWidth="1"/>
    <col min="14864" max="14864" width="11.85546875" customWidth="1"/>
    <col min="14865" max="14865" width="12.85546875" customWidth="1"/>
    <col min="14866" max="14867" width="14.85546875" customWidth="1"/>
    <col min="14868" max="14868" width="12.85546875" customWidth="1"/>
    <col min="14869" max="14869" width="10.85546875" customWidth="1"/>
    <col min="14870" max="14870" width="7.85546875" customWidth="1"/>
    <col min="14871" max="14872" width="12.85546875" customWidth="1"/>
    <col min="14873" max="14874" width="18.85546875" customWidth="1"/>
    <col min="14875" max="14875" width="10.85546875" customWidth="1"/>
    <col min="14876" max="14876" width="8.85546875" customWidth="1"/>
    <col min="14877" max="14878" width="9.85546875" customWidth="1"/>
    <col min="14879" max="14879" width="12.85546875" customWidth="1"/>
    <col min="14880" max="14882" width="10.85546875" customWidth="1"/>
    <col min="14883" max="14883" width="15.140625" customWidth="1"/>
    <col min="15107" max="15109" width="10.85546875" customWidth="1"/>
    <col min="15110" max="15110" width="20.85546875" customWidth="1"/>
    <col min="15111" max="15111" width="8.85546875" customWidth="1"/>
    <col min="15112" max="15112" width="12.85546875" customWidth="1"/>
    <col min="15113" max="15113" width="9.85546875" customWidth="1"/>
    <col min="15114" max="15114" width="12.85546875" customWidth="1"/>
    <col min="15115" max="15115" width="9.85546875" customWidth="1"/>
    <col min="15116" max="15116" width="11.85546875" customWidth="1"/>
    <col min="15117" max="15117" width="9.85546875" customWidth="1"/>
    <col min="15118" max="15118" width="11.85546875" customWidth="1"/>
    <col min="15119" max="15119" width="9.85546875" customWidth="1"/>
    <col min="15120" max="15120" width="11.85546875" customWidth="1"/>
    <col min="15121" max="15121" width="12.85546875" customWidth="1"/>
    <col min="15122" max="15123" width="14.85546875" customWidth="1"/>
    <col min="15124" max="15124" width="12.85546875" customWidth="1"/>
    <col min="15125" max="15125" width="10.85546875" customWidth="1"/>
    <col min="15126" max="15126" width="7.85546875" customWidth="1"/>
    <col min="15127" max="15128" width="12.85546875" customWidth="1"/>
    <col min="15129" max="15130" width="18.85546875" customWidth="1"/>
    <col min="15131" max="15131" width="10.85546875" customWidth="1"/>
    <col min="15132" max="15132" width="8.85546875" customWidth="1"/>
    <col min="15133" max="15134" width="9.85546875" customWidth="1"/>
    <col min="15135" max="15135" width="12.85546875" customWidth="1"/>
    <col min="15136" max="15138" width="10.85546875" customWidth="1"/>
    <col min="15139" max="15139" width="15.140625" customWidth="1"/>
    <col min="15363" max="15365" width="10.85546875" customWidth="1"/>
    <col min="15366" max="15366" width="20.85546875" customWidth="1"/>
    <col min="15367" max="15367" width="8.85546875" customWidth="1"/>
    <col min="15368" max="15368" width="12.85546875" customWidth="1"/>
    <col min="15369" max="15369" width="9.85546875" customWidth="1"/>
    <col min="15370" max="15370" width="12.85546875" customWidth="1"/>
    <col min="15371" max="15371" width="9.85546875" customWidth="1"/>
    <col min="15372" max="15372" width="11.85546875" customWidth="1"/>
    <col min="15373" max="15373" width="9.85546875" customWidth="1"/>
    <col min="15374" max="15374" width="11.85546875" customWidth="1"/>
    <col min="15375" max="15375" width="9.85546875" customWidth="1"/>
    <col min="15376" max="15376" width="11.85546875" customWidth="1"/>
    <col min="15377" max="15377" width="12.85546875" customWidth="1"/>
    <col min="15378" max="15379" width="14.85546875" customWidth="1"/>
    <col min="15380" max="15380" width="12.85546875" customWidth="1"/>
    <col min="15381" max="15381" width="10.85546875" customWidth="1"/>
    <col min="15382" max="15382" width="7.85546875" customWidth="1"/>
    <col min="15383" max="15384" width="12.85546875" customWidth="1"/>
    <col min="15385" max="15386" width="18.85546875" customWidth="1"/>
    <col min="15387" max="15387" width="10.85546875" customWidth="1"/>
    <col min="15388" max="15388" width="8.85546875" customWidth="1"/>
    <col min="15389" max="15390" width="9.85546875" customWidth="1"/>
    <col min="15391" max="15391" width="12.85546875" customWidth="1"/>
    <col min="15392" max="15394" width="10.85546875" customWidth="1"/>
    <col min="15395" max="15395" width="15.140625" customWidth="1"/>
    <col min="15619" max="15621" width="10.85546875" customWidth="1"/>
    <col min="15622" max="15622" width="20.85546875" customWidth="1"/>
    <col min="15623" max="15623" width="8.85546875" customWidth="1"/>
    <col min="15624" max="15624" width="12.85546875" customWidth="1"/>
    <col min="15625" max="15625" width="9.85546875" customWidth="1"/>
    <col min="15626" max="15626" width="12.85546875" customWidth="1"/>
    <col min="15627" max="15627" width="9.85546875" customWidth="1"/>
    <col min="15628" max="15628" width="11.85546875" customWidth="1"/>
    <col min="15629" max="15629" width="9.85546875" customWidth="1"/>
    <col min="15630" max="15630" width="11.85546875" customWidth="1"/>
    <col min="15631" max="15631" width="9.85546875" customWidth="1"/>
    <col min="15632" max="15632" width="11.85546875" customWidth="1"/>
    <col min="15633" max="15633" width="12.85546875" customWidth="1"/>
    <col min="15634" max="15635" width="14.85546875" customWidth="1"/>
    <col min="15636" max="15636" width="12.85546875" customWidth="1"/>
    <col min="15637" max="15637" width="10.85546875" customWidth="1"/>
    <col min="15638" max="15638" width="7.85546875" customWidth="1"/>
    <col min="15639" max="15640" width="12.85546875" customWidth="1"/>
    <col min="15641" max="15642" width="18.85546875" customWidth="1"/>
    <col min="15643" max="15643" width="10.85546875" customWidth="1"/>
    <col min="15644" max="15644" width="8.85546875" customWidth="1"/>
    <col min="15645" max="15646" width="9.85546875" customWidth="1"/>
    <col min="15647" max="15647" width="12.85546875" customWidth="1"/>
    <col min="15648" max="15650" width="10.85546875" customWidth="1"/>
    <col min="15651" max="15651" width="15.140625" customWidth="1"/>
    <col min="15875" max="15877" width="10.85546875" customWidth="1"/>
    <col min="15878" max="15878" width="20.85546875" customWidth="1"/>
    <col min="15879" max="15879" width="8.85546875" customWidth="1"/>
    <col min="15880" max="15880" width="12.85546875" customWidth="1"/>
    <col min="15881" max="15881" width="9.85546875" customWidth="1"/>
    <col min="15882" max="15882" width="12.85546875" customWidth="1"/>
    <col min="15883" max="15883" width="9.85546875" customWidth="1"/>
    <col min="15884" max="15884" width="11.85546875" customWidth="1"/>
    <col min="15885" max="15885" width="9.85546875" customWidth="1"/>
    <col min="15886" max="15886" width="11.85546875" customWidth="1"/>
    <col min="15887" max="15887" width="9.85546875" customWidth="1"/>
    <col min="15888" max="15888" width="11.85546875" customWidth="1"/>
    <col min="15889" max="15889" width="12.85546875" customWidth="1"/>
    <col min="15890" max="15891" width="14.85546875" customWidth="1"/>
    <col min="15892" max="15892" width="12.85546875" customWidth="1"/>
    <col min="15893" max="15893" width="10.85546875" customWidth="1"/>
    <col min="15894" max="15894" width="7.85546875" customWidth="1"/>
    <col min="15895" max="15896" width="12.85546875" customWidth="1"/>
    <col min="15897" max="15898" width="18.85546875" customWidth="1"/>
    <col min="15899" max="15899" width="10.85546875" customWidth="1"/>
    <col min="15900" max="15900" width="8.85546875" customWidth="1"/>
    <col min="15901" max="15902" width="9.85546875" customWidth="1"/>
    <col min="15903" max="15903" width="12.85546875" customWidth="1"/>
    <col min="15904" max="15906" width="10.85546875" customWidth="1"/>
    <col min="15907" max="15907" width="15.140625" customWidth="1"/>
    <col min="16131" max="16133" width="10.85546875" customWidth="1"/>
    <col min="16134" max="16134" width="20.85546875" customWidth="1"/>
    <col min="16135" max="16135" width="8.85546875" customWidth="1"/>
    <col min="16136" max="16136" width="12.85546875" customWidth="1"/>
    <col min="16137" max="16137" width="9.85546875" customWidth="1"/>
    <col min="16138" max="16138" width="12.85546875" customWidth="1"/>
    <col min="16139" max="16139" width="9.85546875" customWidth="1"/>
    <col min="16140" max="16140" width="11.85546875" customWidth="1"/>
    <col min="16141" max="16141" width="9.85546875" customWidth="1"/>
    <col min="16142" max="16142" width="11.85546875" customWidth="1"/>
    <col min="16143" max="16143" width="9.85546875" customWidth="1"/>
    <col min="16144" max="16144" width="11.85546875" customWidth="1"/>
    <col min="16145" max="16145" width="12.85546875" customWidth="1"/>
    <col min="16146" max="16147" width="14.85546875" customWidth="1"/>
    <col min="16148" max="16148" width="12.85546875" customWidth="1"/>
    <col min="16149" max="16149" width="10.85546875" customWidth="1"/>
    <col min="16150" max="16150" width="7.85546875" customWidth="1"/>
    <col min="16151" max="16152" width="12.85546875" customWidth="1"/>
    <col min="16153" max="16154" width="18.85546875" customWidth="1"/>
    <col min="16155" max="16155" width="10.85546875" customWidth="1"/>
    <col min="16156" max="16156" width="8.85546875" customWidth="1"/>
    <col min="16157" max="16158" width="9.85546875" customWidth="1"/>
    <col min="16159" max="16159" width="12.85546875" customWidth="1"/>
    <col min="16160" max="16162" width="10.85546875" customWidth="1"/>
    <col min="16163" max="16163" width="15.140625" customWidth="1"/>
  </cols>
  <sheetData>
    <row r="1" spans="1:36" s="3" customFormat="1" ht="63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</row>
    <row r="2" spans="1:36" x14ac:dyDescent="0.25">
      <c r="A2" t="s">
        <v>36</v>
      </c>
      <c r="B2" t="s">
        <v>37</v>
      </c>
      <c r="C2" t="s">
        <v>37</v>
      </c>
      <c r="D2" t="s">
        <v>38</v>
      </c>
      <c r="E2" s="4">
        <v>12</v>
      </c>
      <c r="F2" s="5">
        <v>1893.12</v>
      </c>
      <c r="G2" s="5" t="s">
        <v>39</v>
      </c>
      <c r="H2" s="5">
        <v>3137.76</v>
      </c>
      <c r="I2" s="5" t="s">
        <v>39</v>
      </c>
      <c r="J2" s="5">
        <v>64.366079999999997</v>
      </c>
      <c r="K2" s="5">
        <f>J2/E2</f>
        <v>5.3638399999999997</v>
      </c>
      <c r="L2" s="5">
        <f>F2/E2</f>
        <v>157.76</v>
      </c>
      <c r="M2" s="5" t="s">
        <v>39</v>
      </c>
      <c r="N2" s="5">
        <v>64.366079999999997</v>
      </c>
      <c r="O2" s="5" t="s">
        <v>39</v>
      </c>
      <c r="P2" t="s">
        <v>40</v>
      </c>
      <c r="Q2" t="s">
        <v>41</v>
      </c>
      <c r="R2" t="s">
        <v>37</v>
      </c>
      <c r="S2" t="s">
        <v>42</v>
      </c>
      <c r="T2" t="s">
        <v>43</v>
      </c>
      <c r="U2" t="s">
        <v>44</v>
      </c>
      <c r="V2">
        <v>147</v>
      </c>
      <c r="W2" t="s">
        <v>45</v>
      </c>
      <c r="X2" t="s">
        <v>46</v>
      </c>
      <c r="Y2" t="s">
        <v>47</v>
      </c>
      <c r="Z2" t="s">
        <v>37</v>
      </c>
      <c r="AA2" t="s">
        <v>48</v>
      </c>
      <c r="AB2" t="s">
        <v>37</v>
      </c>
      <c r="AC2" s="6" t="s">
        <v>37</v>
      </c>
      <c r="AD2" s="6" t="s">
        <v>37</v>
      </c>
      <c r="AE2" t="s">
        <v>37</v>
      </c>
      <c r="AF2" t="s">
        <v>37</v>
      </c>
      <c r="AG2" s="6" t="s">
        <v>37</v>
      </c>
      <c r="AH2" t="s">
        <v>37</v>
      </c>
      <c r="AI2" t="s">
        <v>37</v>
      </c>
      <c r="AJ2" t="str">
        <f>P2&amp;Q2</f>
        <v>4A3KDTEZB079Z3DSBK</v>
      </c>
    </row>
    <row r="3" spans="1:36" ht="15" customHeight="1" x14ac:dyDescent="0.25">
      <c r="A3" t="s">
        <v>49</v>
      </c>
      <c r="B3" t="s">
        <v>37</v>
      </c>
      <c r="C3" t="s">
        <v>37</v>
      </c>
      <c r="D3" t="s">
        <v>38</v>
      </c>
      <c r="E3" s="4">
        <v>4</v>
      </c>
      <c r="F3" s="5">
        <v>335.56</v>
      </c>
      <c r="G3" s="5" t="s">
        <v>39</v>
      </c>
      <c r="H3" s="5">
        <v>540.96</v>
      </c>
      <c r="I3" s="5" t="s">
        <v>39</v>
      </c>
      <c r="J3" s="5">
        <v>11.409039999999999</v>
      </c>
      <c r="K3" s="5">
        <f t="shared" ref="K3:K66" si="0">J3/E3</f>
        <v>2.8522599999999998</v>
      </c>
      <c r="L3" s="5">
        <f t="shared" ref="L3:L66" si="1">F3/E3</f>
        <v>83.89</v>
      </c>
      <c r="M3" s="5" t="s">
        <v>39</v>
      </c>
      <c r="N3" s="5">
        <v>11.409039999999999</v>
      </c>
      <c r="O3" s="5" t="s">
        <v>39</v>
      </c>
      <c r="P3" t="s">
        <v>50</v>
      </c>
      <c r="Q3" t="s">
        <v>51</v>
      </c>
      <c r="R3" t="s">
        <v>37</v>
      </c>
      <c r="S3" t="s">
        <v>52</v>
      </c>
      <c r="T3" t="s">
        <v>43</v>
      </c>
      <c r="U3" t="s">
        <v>44</v>
      </c>
      <c r="V3">
        <v>147</v>
      </c>
      <c r="W3" t="s">
        <v>45</v>
      </c>
      <c r="X3" t="s">
        <v>53</v>
      </c>
      <c r="Y3" t="s">
        <v>54</v>
      </c>
      <c r="Z3" t="s">
        <v>37</v>
      </c>
      <c r="AA3" t="s">
        <v>55</v>
      </c>
      <c r="AB3" t="s">
        <v>37</v>
      </c>
      <c r="AC3" s="6" t="s">
        <v>37</v>
      </c>
      <c r="AD3" s="6" t="s">
        <v>37</v>
      </c>
      <c r="AE3" t="s">
        <v>37</v>
      </c>
      <c r="AF3" t="s">
        <v>37</v>
      </c>
      <c r="AG3" s="6" t="s">
        <v>37</v>
      </c>
      <c r="AH3" t="s">
        <v>37</v>
      </c>
      <c r="AI3" t="s">
        <v>37</v>
      </c>
      <c r="AJ3" t="str">
        <f t="shared" ref="AJ3:AJ66" si="2">P3&amp;Q3</f>
        <v>3A946EXYB07W6G3KBL</v>
      </c>
    </row>
    <row r="4" spans="1:36" ht="15" customHeight="1" x14ac:dyDescent="0.25">
      <c r="A4" t="s">
        <v>56</v>
      </c>
      <c r="B4" t="s">
        <v>37</v>
      </c>
      <c r="C4" t="s">
        <v>37</v>
      </c>
      <c r="D4" t="s">
        <v>38</v>
      </c>
      <c r="E4" s="4">
        <v>4</v>
      </c>
      <c r="F4" s="5">
        <v>257.68</v>
      </c>
      <c r="G4" s="5" t="s">
        <v>39</v>
      </c>
      <c r="H4" s="5">
        <v>377</v>
      </c>
      <c r="I4" s="5" t="s">
        <v>39</v>
      </c>
      <c r="J4" s="5">
        <v>8.76112</v>
      </c>
      <c r="K4" s="5">
        <f t="shared" si="0"/>
        <v>2.19028</v>
      </c>
      <c r="L4" s="5">
        <f t="shared" si="1"/>
        <v>64.42</v>
      </c>
      <c r="M4" s="5" t="s">
        <v>39</v>
      </c>
      <c r="N4" s="5">
        <v>8.76112</v>
      </c>
      <c r="O4" s="5" t="s">
        <v>39</v>
      </c>
      <c r="P4" t="s">
        <v>57</v>
      </c>
      <c r="Q4" t="s">
        <v>58</v>
      </c>
      <c r="R4" t="s">
        <v>37</v>
      </c>
      <c r="S4" t="s">
        <v>59</v>
      </c>
      <c r="T4" t="s">
        <v>43</v>
      </c>
      <c r="U4" t="s">
        <v>44</v>
      </c>
      <c r="V4">
        <v>147</v>
      </c>
      <c r="W4" t="s">
        <v>45</v>
      </c>
      <c r="X4" t="s">
        <v>60</v>
      </c>
      <c r="Y4" t="s">
        <v>61</v>
      </c>
      <c r="Z4" t="s">
        <v>37</v>
      </c>
      <c r="AA4" t="s">
        <v>55</v>
      </c>
      <c r="AB4" t="s">
        <v>37</v>
      </c>
      <c r="AC4" s="6" t="s">
        <v>37</v>
      </c>
      <c r="AD4" s="6" t="s">
        <v>37</v>
      </c>
      <c r="AE4" t="s">
        <v>37</v>
      </c>
      <c r="AF4" t="s">
        <v>37</v>
      </c>
      <c r="AG4" s="6" t="s">
        <v>37</v>
      </c>
      <c r="AH4" t="s">
        <v>37</v>
      </c>
      <c r="AI4" t="s">
        <v>37</v>
      </c>
      <c r="AJ4" t="str">
        <f t="shared" si="2"/>
        <v>3GBCH66MB0055ZWOZ4</v>
      </c>
    </row>
    <row r="5" spans="1:36" ht="15" customHeight="1" x14ac:dyDescent="0.25">
      <c r="A5" t="s">
        <v>62</v>
      </c>
      <c r="B5" t="s">
        <v>37</v>
      </c>
      <c r="C5" t="s">
        <v>37</v>
      </c>
      <c r="D5" t="s">
        <v>38</v>
      </c>
      <c r="E5" s="4">
        <v>8</v>
      </c>
      <c r="F5" s="5">
        <v>210.96</v>
      </c>
      <c r="G5" s="5" t="s">
        <v>39</v>
      </c>
      <c r="H5" s="5">
        <v>354</v>
      </c>
      <c r="I5" s="5" t="s">
        <v>39</v>
      </c>
      <c r="J5" s="5">
        <v>7.1726400000000003</v>
      </c>
      <c r="K5" s="5">
        <f t="shared" si="0"/>
        <v>0.89658000000000004</v>
      </c>
      <c r="L5" s="5">
        <f t="shared" si="1"/>
        <v>26.37</v>
      </c>
      <c r="M5" s="5" t="s">
        <v>39</v>
      </c>
      <c r="N5" s="5">
        <v>7.1726400000000003</v>
      </c>
      <c r="O5" s="5" t="s">
        <v>39</v>
      </c>
      <c r="P5" t="s">
        <v>63</v>
      </c>
      <c r="Q5" t="s">
        <v>64</v>
      </c>
      <c r="R5" t="s">
        <v>37</v>
      </c>
      <c r="S5" t="s">
        <v>65</v>
      </c>
      <c r="T5" t="s">
        <v>43</v>
      </c>
      <c r="U5" t="s">
        <v>44</v>
      </c>
      <c r="V5">
        <v>147</v>
      </c>
      <c r="W5" t="s">
        <v>45</v>
      </c>
      <c r="X5" t="s">
        <v>53</v>
      </c>
      <c r="Y5" t="s">
        <v>66</v>
      </c>
      <c r="Z5" t="s">
        <v>37</v>
      </c>
      <c r="AA5" t="s">
        <v>48</v>
      </c>
      <c r="AB5" t="s">
        <v>37</v>
      </c>
      <c r="AC5" s="6" t="s">
        <v>37</v>
      </c>
      <c r="AD5" s="6" t="s">
        <v>37</v>
      </c>
      <c r="AE5" t="s">
        <v>37</v>
      </c>
      <c r="AF5" t="s">
        <v>37</v>
      </c>
      <c r="AG5" s="6" t="s">
        <v>37</v>
      </c>
      <c r="AH5" t="s">
        <v>37</v>
      </c>
      <c r="AI5" t="s">
        <v>37</v>
      </c>
      <c r="AJ5" t="str">
        <f t="shared" si="2"/>
        <v>7H9X1Z6SB00Q6MR0UO</v>
      </c>
    </row>
    <row r="6" spans="1:36" ht="15" customHeight="1" x14ac:dyDescent="0.25">
      <c r="A6" t="s">
        <v>36</v>
      </c>
      <c r="B6" t="s">
        <v>37</v>
      </c>
      <c r="C6" t="s">
        <v>37</v>
      </c>
      <c r="D6" t="s">
        <v>38</v>
      </c>
      <c r="E6" s="4">
        <v>8</v>
      </c>
      <c r="F6" s="5">
        <v>324.8</v>
      </c>
      <c r="G6" s="5" t="s">
        <v>39</v>
      </c>
      <c r="H6" s="5">
        <v>472.08</v>
      </c>
      <c r="I6" s="5" t="s">
        <v>39</v>
      </c>
      <c r="J6" s="5">
        <v>11.043200000000001</v>
      </c>
      <c r="K6" s="5">
        <f t="shared" si="0"/>
        <v>1.3804000000000001</v>
      </c>
      <c r="L6" s="5">
        <f t="shared" si="1"/>
        <v>40.6</v>
      </c>
      <c r="M6" s="5" t="s">
        <v>39</v>
      </c>
      <c r="N6" s="5">
        <v>11.043200000000001</v>
      </c>
      <c r="O6" s="5" t="s">
        <v>39</v>
      </c>
      <c r="P6" t="s">
        <v>67</v>
      </c>
      <c r="Q6" t="s">
        <v>68</v>
      </c>
      <c r="R6" t="s">
        <v>37</v>
      </c>
      <c r="S6" t="s">
        <v>69</v>
      </c>
      <c r="T6" t="s">
        <v>43</v>
      </c>
      <c r="U6" t="s">
        <v>44</v>
      </c>
      <c r="V6">
        <v>147</v>
      </c>
      <c r="W6" t="s">
        <v>45</v>
      </c>
      <c r="X6" t="s">
        <v>60</v>
      </c>
      <c r="Y6" t="s">
        <v>70</v>
      </c>
      <c r="Z6" t="s">
        <v>37</v>
      </c>
      <c r="AA6" t="s">
        <v>55</v>
      </c>
      <c r="AB6" t="s">
        <v>37</v>
      </c>
      <c r="AC6" s="6" t="s">
        <v>37</v>
      </c>
      <c r="AD6" s="6" t="s">
        <v>37</v>
      </c>
      <c r="AE6" t="s">
        <v>37</v>
      </c>
      <c r="AF6" t="s">
        <v>37</v>
      </c>
      <c r="AG6" s="6" t="s">
        <v>37</v>
      </c>
      <c r="AH6" t="s">
        <v>37</v>
      </c>
      <c r="AI6" t="s">
        <v>37</v>
      </c>
      <c r="AJ6" t="str">
        <f t="shared" si="2"/>
        <v>2TMBDXBKB07W4DHZLS</v>
      </c>
    </row>
    <row r="7" spans="1:36" ht="15" customHeight="1" x14ac:dyDescent="0.25">
      <c r="A7" t="s">
        <v>71</v>
      </c>
      <c r="B7" t="s">
        <v>37</v>
      </c>
      <c r="C7" t="s">
        <v>37</v>
      </c>
      <c r="D7" t="s">
        <v>38</v>
      </c>
      <c r="E7" s="4">
        <v>4</v>
      </c>
      <c r="F7" s="5">
        <v>301.64</v>
      </c>
      <c r="G7" s="5" t="s">
        <v>39</v>
      </c>
      <c r="H7" s="5">
        <v>442.6</v>
      </c>
      <c r="I7" s="5" t="s">
        <v>39</v>
      </c>
      <c r="J7" s="5">
        <v>10.25576</v>
      </c>
      <c r="K7" s="5">
        <f t="shared" si="0"/>
        <v>2.5639400000000001</v>
      </c>
      <c r="L7" s="5">
        <f t="shared" si="1"/>
        <v>75.41</v>
      </c>
      <c r="M7" s="5" t="s">
        <v>39</v>
      </c>
      <c r="N7" s="5">
        <v>10.25576</v>
      </c>
      <c r="O7" s="5" t="s">
        <v>39</v>
      </c>
      <c r="P7" t="s">
        <v>72</v>
      </c>
      <c r="Q7" t="s">
        <v>73</v>
      </c>
      <c r="R7" t="s">
        <v>37</v>
      </c>
      <c r="S7" t="s">
        <v>74</v>
      </c>
      <c r="T7" t="s">
        <v>43</v>
      </c>
      <c r="U7" t="s">
        <v>44</v>
      </c>
      <c r="V7">
        <v>147</v>
      </c>
      <c r="W7" t="s">
        <v>45</v>
      </c>
      <c r="X7" t="s">
        <v>53</v>
      </c>
      <c r="Y7" t="s">
        <v>75</v>
      </c>
      <c r="Z7" t="s">
        <v>37</v>
      </c>
      <c r="AA7" t="s">
        <v>48</v>
      </c>
      <c r="AB7" t="s">
        <v>37</v>
      </c>
      <c r="AC7" s="6" t="s">
        <v>37</v>
      </c>
      <c r="AD7" s="6" t="s">
        <v>37</v>
      </c>
      <c r="AE7" t="s">
        <v>37</v>
      </c>
      <c r="AF7" t="s">
        <v>37</v>
      </c>
      <c r="AG7" s="6" t="s">
        <v>37</v>
      </c>
      <c r="AH7" t="s">
        <v>37</v>
      </c>
      <c r="AI7" t="s">
        <v>37</v>
      </c>
      <c r="AJ7" t="str">
        <f t="shared" si="2"/>
        <v>4GF112AEB07W4DGFSM</v>
      </c>
    </row>
    <row r="8" spans="1:36" ht="15" customHeight="1" x14ac:dyDescent="0.25">
      <c r="A8" t="s">
        <v>76</v>
      </c>
      <c r="B8" t="s">
        <v>37</v>
      </c>
      <c r="C8" t="s">
        <v>37</v>
      </c>
      <c r="D8" t="s">
        <v>38</v>
      </c>
      <c r="E8" s="4">
        <v>50</v>
      </c>
      <c r="F8" s="5">
        <v>468</v>
      </c>
      <c r="G8" s="5" t="s">
        <v>39</v>
      </c>
      <c r="H8" s="5">
        <v>696.5</v>
      </c>
      <c r="I8" s="5" t="s">
        <v>39</v>
      </c>
      <c r="J8" s="5">
        <v>15.912000000000001</v>
      </c>
      <c r="K8" s="5">
        <f t="shared" si="0"/>
        <v>0.31824000000000002</v>
      </c>
      <c r="L8" s="5">
        <f t="shared" si="1"/>
        <v>9.36</v>
      </c>
      <c r="M8" s="5" t="s">
        <v>39</v>
      </c>
      <c r="N8" s="5">
        <v>15.912000000000001</v>
      </c>
      <c r="O8" s="5" t="s">
        <v>39</v>
      </c>
      <c r="P8" t="s">
        <v>77</v>
      </c>
      <c r="Q8" t="s">
        <v>78</v>
      </c>
      <c r="R8" t="s">
        <v>37</v>
      </c>
      <c r="S8" t="s">
        <v>79</v>
      </c>
      <c r="T8" t="s">
        <v>43</v>
      </c>
      <c r="U8" t="s">
        <v>44</v>
      </c>
      <c r="V8">
        <v>147</v>
      </c>
      <c r="W8" t="s">
        <v>45</v>
      </c>
      <c r="X8" t="s">
        <v>60</v>
      </c>
      <c r="Y8" t="s">
        <v>80</v>
      </c>
      <c r="Z8" t="s">
        <v>37</v>
      </c>
      <c r="AA8" t="s">
        <v>55</v>
      </c>
      <c r="AB8" t="s">
        <v>37</v>
      </c>
      <c r="AC8" s="6" t="s">
        <v>37</v>
      </c>
      <c r="AD8" s="6" t="s">
        <v>37</v>
      </c>
      <c r="AE8" t="s">
        <v>37</v>
      </c>
      <c r="AF8" t="s">
        <v>37</v>
      </c>
      <c r="AG8" s="6" t="s">
        <v>37</v>
      </c>
      <c r="AH8" t="s">
        <v>37</v>
      </c>
      <c r="AI8" t="s">
        <v>37</v>
      </c>
      <c r="AJ8" t="str">
        <f t="shared" si="2"/>
        <v>4E16R26MB003V0QEV0</v>
      </c>
    </row>
    <row r="9" spans="1:36" ht="15" customHeight="1" x14ac:dyDescent="0.25">
      <c r="A9" t="s">
        <v>36</v>
      </c>
      <c r="B9" t="s">
        <v>37</v>
      </c>
      <c r="C9" t="s">
        <v>37</v>
      </c>
      <c r="D9" t="s">
        <v>38</v>
      </c>
      <c r="E9" s="4">
        <v>1</v>
      </c>
      <c r="F9" s="5">
        <v>210.52</v>
      </c>
      <c r="G9" s="5" t="s">
        <v>39</v>
      </c>
      <c r="H9" s="5">
        <v>336.06</v>
      </c>
      <c r="I9" s="5" t="s">
        <v>39</v>
      </c>
      <c r="J9" s="5">
        <v>7.15768</v>
      </c>
      <c r="K9" s="5">
        <f t="shared" si="0"/>
        <v>7.15768</v>
      </c>
      <c r="L9" s="5">
        <f t="shared" si="1"/>
        <v>210.52</v>
      </c>
      <c r="M9" s="5" t="s">
        <v>39</v>
      </c>
      <c r="N9" s="5">
        <v>7.15768</v>
      </c>
      <c r="O9" s="5" t="s">
        <v>39</v>
      </c>
      <c r="P9" t="s">
        <v>40</v>
      </c>
      <c r="Q9" t="s">
        <v>81</v>
      </c>
      <c r="R9" t="s">
        <v>37</v>
      </c>
      <c r="S9" t="s">
        <v>82</v>
      </c>
      <c r="T9" t="s">
        <v>43</v>
      </c>
      <c r="U9" t="s">
        <v>44</v>
      </c>
      <c r="V9">
        <v>147</v>
      </c>
      <c r="W9" t="s">
        <v>45</v>
      </c>
      <c r="X9" t="s">
        <v>46</v>
      </c>
      <c r="Y9" t="s">
        <v>83</v>
      </c>
      <c r="Z9" t="s">
        <v>37</v>
      </c>
      <c r="AA9" t="s">
        <v>55</v>
      </c>
      <c r="AB9" t="s">
        <v>37</v>
      </c>
      <c r="AC9" s="6" t="s">
        <v>37</v>
      </c>
      <c r="AD9" s="6" t="s">
        <v>37</v>
      </c>
      <c r="AE9" t="s">
        <v>37</v>
      </c>
      <c r="AF9" t="s">
        <v>37</v>
      </c>
      <c r="AG9" s="6" t="s">
        <v>37</v>
      </c>
      <c r="AH9" t="s">
        <v>37</v>
      </c>
      <c r="AI9" t="s">
        <v>37</v>
      </c>
      <c r="AJ9" t="str">
        <f t="shared" si="2"/>
        <v>4A3KDTEZB07W6JB7N7</v>
      </c>
    </row>
    <row r="10" spans="1:36" ht="15" customHeight="1" x14ac:dyDescent="0.25">
      <c r="A10" t="s">
        <v>36</v>
      </c>
      <c r="B10" t="s">
        <v>37</v>
      </c>
      <c r="C10" t="s">
        <v>37</v>
      </c>
      <c r="D10" t="s">
        <v>38</v>
      </c>
      <c r="E10" s="4">
        <v>70</v>
      </c>
      <c r="F10" s="5">
        <v>655.20000000000005</v>
      </c>
      <c r="G10" s="5" t="s">
        <v>39</v>
      </c>
      <c r="H10" s="5">
        <v>975.1</v>
      </c>
      <c r="I10" s="5" t="s">
        <v>39</v>
      </c>
      <c r="J10" s="5">
        <v>22.276800000000001</v>
      </c>
      <c r="K10" s="5">
        <f t="shared" si="0"/>
        <v>0.31824000000000002</v>
      </c>
      <c r="L10" s="5">
        <f t="shared" si="1"/>
        <v>9.3600000000000012</v>
      </c>
      <c r="M10" s="5" t="s">
        <v>39</v>
      </c>
      <c r="N10" s="5">
        <v>22.276800000000001</v>
      </c>
      <c r="O10" s="5" t="s">
        <v>39</v>
      </c>
      <c r="P10" t="s">
        <v>67</v>
      </c>
      <c r="Q10" t="s">
        <v>84</v>
      </c>
      <c r="R10" t="s">
        <v>85</v>
      </c>
      <c r="S10" t="s">
        <v>86</v>
      </c>
      <c r="T10" t="s">
        <v>43</v>
      </c>
      <c r="U10" t="s">
        <v>44</v>
      </c>
      <c r="V10">
        <v>147</v>
      </c>
      <c r="W10" t="s">
        <v>45</v>
      </c>
      <c r="X10" t="s">
        <v>53</v>
      </c>
      <c r="Y10" t="s">
        <v>87</v>
      </c>
      <c r="Z10" t="s">
        <v>37</v>
      </c>
      <c r="AA10" t="s">
        <v>48</v>
      </c>
      <c r="AB10" t="s">
        <v>37</v>
      </c>
      <c r="AC10" s="6" t="s">
        <v>37</v>
      </c>
      <c r="AD10" s="6" t="s">
        <v>37</v>
      </c>
      <c r="AE10" t="s">
        <v>37</v>
      </c>
      <c r="AF10" t="s">
        <v>37</v>
      </c>
      <c r="AG10" s="6" t="s">
        <v>37</v>
      </c>
      <c r="AH10" t="s">
        <v>37</v>
      </c>
      <c r="AI10" t="s">
        <v>37</v>
      </c>
      <c r="AJ10" t="str">
        <f t="shared" si="2"/>
        <v>2TMBDXBKB01A9GXEOI</v>
      </c>
    </row>
    <row r="11" spans="1:36" ht="15" customHeight="1" x14ac:dyDescent="0.25">
      <c r="A11" t="s">
        <v>88</v>
      </c>
      <c r="B11" t="s">
        <v>37</v>
      </c>
      <c r="C11" t="s">
        <v>37</v>
      </c>
      <c r="D11" t="s">
        <v>38</v>
      </c>
      <c r="E11" s="4">
        <v>60</v>
      </c>
      <c r="F11" s="5">
        <v>1867.2</v>
      </c>
      <c r="G11" s="5" t="s">
        <v>39</v>
      </c>
      <c r="H11" s="5">
        <v>2360.4</v>
      </c>
      <c r="I11" s="5" t="s">
        <v>39</v>
      </c>
      <c r="J11" s="5">
        <v>63.4848</v>
      </c>
      <c r="K11" s="5">
        <f t="shared" si="0"/>
        <v>1.0580799999999999</v>
      </c>
      <c r="L11" s="5">
        <f t="shared" si="1"/>
        <v>31.12</v>
      </c>
      <c r="M11" s="5" t="s">
        <v>39</v>
      </c>
      <c r="N11" s="5">
        <v>63.4848</v>
      </c>
      <c r="O11" s="5" t="s">
        <v>39</v>
      </c>
      <c r="P11" t="s">
        <v>89</v>
      </c>
      <c r="Q11" t="s">
        <v>90</v>
      </c>
      <c r="R11" t="s">
        <v>37</v>
      </c>
      <c r="S11" t="s">
        <v>91</v>
      </c>
      <c r="T11" t="s">
        <v>43</v>
      </c>
      <c r="U11" t="s">
        <v>44</v>
      </c>
      <c r="V11">
        <v>147</v>
      </c>
      <c r="W11" t="s">
        <v>92</v>
      </c>
      <c r="X11" t="s">
        <v>93</v>
      </c>
      <c r="Y11" t="s">
        <v>94</v>
      </c>
      <c r="Z11" t="s">
        <v>37</v>
      </c>
      <c r="AA11" t="s">
        <v>95</v>
      </c>
      <c r="AB11" t="s">
        <v>37</v>
      </c>
      <c r="AC11" s="6" t="s">
        <v>37</v>
      </c>
      <c r="AD11" s="6" t="s">
        <v>37</v>
      </c>
      <c r="AE11" t="s">
        <v>37</v>
      </c>
      <c r="AF11" t="s">
        <v>37</v>
      </c>
      <c r="AG11" s="6" t="s">
        <v>37</v>
      </c>
      <c r="AH11" t="s">
        <v>37</v>
      </c>
      <c r="AI11" t="s">
        <v>37</v>
      </c>
      <c r="AJ11" t="str">
        <f t="shared" si="2"/>
        <v>2W68T8TOB07W5JKBMG</v>
      </c>
    </row>
    <row r="12" spans="1:36" ht="15" customHeight="1" x14ac:dyDescent="0.25">
      <c r="A12" t="s">
        <v>96</v>
      </c>
      <c r="B12" t="s">
        <v>37</v>
      </c>
      <c r="C12" t="s">
        <v>37</v>
      </c>
      <c r="D12" t="s">
        <v>38</v>
      </c>
      <c r="E12" s="4">
        <v>12</v>
      </c>
      <c r="F12" s="5">
        <v>1455</v>
      </c>
      <c r="G12" s="5" t="s">
        <v>39</v>
      </c>
      <c r="H12" s="5">
        <v>2055.6</v>
      </c>
      <c r="I12" s="5" t="s">
        <v>39</v>
      </c>
      <c r="J12" s="5">
        <v>49.47</v>
      </c>
      <c r="K12" s="5">
        <f t="shared" si="0"/>
        <v>4.1224999999999996</v>
      </c>
      <c r="L12" s="5">
        <f t="shared" si="1"/>
        <v>121.25</v>
      </c>
      <c r="M12" s="5" t="s">
        <v>39</v>
      </c>
      <c r="N12" s="5">
        <v>49.47</v>
      </c>
      <c r="O12" s="5" t="s">
        <v>39</v>
      </c>
      <c r="P12" t="s">
        <v>97</v>
      </c>
      <c r="Q12" t="s">
        <v>98</v>
      </c>
      <c r="R12" t="s">
        <v>37</v>
      </c>
      <c r="S12" t="s">
        <v>99</v>
      </c>
      <c r="T12" t="s">
        <v>43</v>
      </c>
      <c r="U12" t="s">
        <v>44</v>
      </c>
      <c r="V12">
        <v>147</v>
      </c>
      <c r="W12" t="s">
        <v>45</v>
      </c>
      <c r="X12" t="s">
        <v>60</v>
      </c>
      <c r="Y12" t="s">
        <v>100</v>
      </c>
      <c r="Z12" t="s">
        <v>37</v>
      </c>
      <c r="AA12" t="s">
        <v>48</v>
      </c>
      <c r="AB12" t="s">
        <v>37</v>
      </c>
      <c r="AC12" s="6" t="s">
        <v>37</v>
      </c>
      <c r="AD12" s="6" t="s">
        <v>37</v>
      </c>
      <c r="AE12" t="s">
        <v>37</v>
      </c>
      <c r="AF12" t="s">
        <v>37</v>
      </c>
      <c r="AG12" s="6" t="s">
        <v>37</v>
      </c>
      <c r="AH12" t="s">
        <v>37</v>
      </c>
      <c r="AI12" t="s">
        <v>37</v>
      </c>
      <c r="AJ12" t="str">
        <f t="shared" si="2"/>
        <v>7EMS2FPGB074KGS5C3</v>
      </c>
    </row>
    <row r="13" spans="1:36" ht="15" customHeight="1" x14ac:dyDescent="0.25">
      <c r="A13" t="s">
        <v>76</v>
      </c>
      <c r="B13" t="s">
        <v>37</v>
      </c>
      <c r="C13" t="s">
        <v>37</v>
      </c>
      <c r="D13" t="s">
        <v>38</v>
      </c>
      <c r="E13" s="4">
        <v>276</v>
      </c>
      <c r="F13" s="5">
        <v>7278.12</v>
      </c>
      <c r="G13" s="5" t="s">
        <v>39</v>
      </c>
      <c r="H13" s="5">
        <v>12213</v>
      </c>
      <c r="I13" s="5" t="s">
        <v>39</v>
      </c>
      <c r="J13" s="5">
        <v>247.45607999999999</v>
      </c>
      <c r="K13" s="5">
        <f t="shared" si="0"/>
        <v>0.89657999999999993</v>
      </c>
      <c r="L13" s="5">
        <f t="shared" si="1"/>
        <v>26.37</v>
      </c>
      <c r="M13" s="5" t="s">
        <v>39</v>
      </c>
      <c r="N13" s="5">
        <v>247.45607999999999</v>
      </c>
      <c r="O13" s="5" t="s">
        <v>39</v>
      </c>
      <c r="P13" t="s">
        <v>63</v>
      </c>
      <c r="Q13" t="s">
        <v>64</v>
      </c>
      <c r="R13" t="s">
        <v>37</v>
      </c>
      <c r="S13" t="s">
        <v>65</v>
      </c>
      <c r="T13" t="s">
        <v>43</v>
      </c>
      <c r="U13" t="s">
        <v>44</v>
      </c>
      <c r="V13">
        <v>147</v>
      </c>
      <c r="W13" t="s">
        <v>45</v>
      </c>
      <c r="X13" t="s">
        <v>53</v>
      </c>
      <c r="Y13" t="s">
        <v>66</v>
      </c>
      <c r="Z13" t="s">
        <v>37</v>
      </c>
      <c r="AA13" t="s">
        <v>48</v>
      </c>
      <c r="AB13" t="s">
        <v>37</v>
      </c>
      <c r="AC13" s="6" t="s">
        <v>37</v>
      </c>
      <c r="AD13" s="6" t="s">
        <v>37</v>
      </c>
      <c r="AE13" t="s">
        <v>37</v>
      </c>
      <c r="AF13" t="s">
        <v>37</v>
      </c>
      <c r="AG13" s="6" t="s">
        <v>37</v>
      </c>
      <c r="AH13" t="s">
        <v>37</v>
      </c>
      <c r="AI13" t="s">
        <v>37</v>
      </c>
      <c r="AJ13" t="str">
        <f t="shared" si="2"/>
        <v>7H9X1Z6SB00Q6MR0UO</v>
      </c>
    </row>
    <row r="14" spans="1:36" ht="15" customHeight="1" x14ac:dyDescent="0.25">
      <c r="A14" t="s">
        <v>101</v>
      </c>
      <c r="B14" t="s">
        <v>37</v>
      </c>
      <c r="C14" t="s">
        <v>37</v>
      </c>
      <c r="D14" t="s">
        <v>38</v>
      </c>
      <c r="E14" s="4">
        <v>40</v>
      </c>
      <c r="F14" s="5">
        <v>655.6</v>
      </c>
      <c r="G14" s="5" t="s">
        <v>39</v>
      </c>
      <c r="H14" s="5">
        <v>983.2</v>
      </c>
      <c r="I14" s="5" t="s">
        <v>39</v>
      </c>
      <c r="J14" s="5">
        <v>22.290400000000002</v>
      </c>
      <c r="K14" s="5">
        <f t="shared" si="0"/>
        <v>0.55726000000000009</v>
      </c>
      <c r="L14" s="5">
        <f t="shared" si="1"/>
        <v>16.39</v>
      </c>
      <c r="M14" s="5" t="s">
        <v>39</v>
      </c>
      <c r="N14" s="5">
        <v>22.290400000000002</v>
      </c>
      <c r="O14" s="5" t="s">
        <v>39</v>
      </c>
      <c r="P14" t="s">
        <v>102</v>
      </c>
      <c r="Q14" t="s">
        <v>103</v>
      </c>
      <c r="R14" t="s">
        <v>37</v>
      </c>
      <c r="S14" t="s">
        <v>104</v>
      </c>
      <c r="T14" t="s">
        <v>43</v>
      </c>
      <c r="U14" t="s">
        <v>44</v>
      </c>
      <c r="V14">
        <v>147</v>
      </c>
      <c r="W14" t="s">
        <v>45</v>
      </c>
      <c r="X14" t="s">
        <v>53</v>
      </c>
      <c r="Y14" t="s">
        <v>105</v>
      </c>
      <c r="Z14" t="s">
        <v>37</v>
      </c>
      <c r="AA14" t="s">
        <v>55</v>
      </c>
      <c r="AB14" t="s">
        <v>37</v>
      </c>
      <c r="AC14" s="6" t="s">
        <v>37</v>
      </c>
      <c r="AD14" s="6" t="s">
        <v>37</v>
      </c>
      <c r="AE14" t="s">
        <v>37</v>
      </c>
      <c r="AF14" t="s">
        <v>37</v>
      </c>
      <c r="AG14" s="6" t="s">
        <v>37</v>
      </c>
      <c r="AH14" t="s">
        <v>37</v>
      </c>
      <c r="AI14" t="s">
        <v>37</v>
      </c>
      <c r="AJ14" t="str">
        <f t="shared" si="2"/>
        <v>2M7QFTCOB07W7JYP91</v>
      </c>
    </row>
    <row r="15" spans="1:36" ht="15" customHeight="1" x14ac:dyDescent="0.25">
      <c r="A15" t="s">
        <v>96</v>
      </c>
      <c r="B15" t="s">
        <v>37</v>
      </c>
      <c r="C15" t="s">
        <v>37</v>
      </c>
      <c r="D15" t="s">
        <v>38</v>
      </c>
      <c r="E15" s="4">
        <v>24</v>
      </c>
      <c r="F15" s="5">
        <v>278.39999999999998</v>
      </c>
      <c r="G15" s="5" t="s">
        <v>39</v>
      </c>
      <c r="H15" s="5">
        <v>471.84</v>
      </c>
      <c r="I15" s="5" t="s">
        <v>39</v>
      </c>
      <c r="J15" s="5">
        <v>9.4656000000000002</v>
      </c>
      <c r="K15" s="5">
        <f t="shared" si="0"/>
        <v>0.39440000000000003</v>
      </c>
      <c r="L15" s="5">
        <f t="shared" si="1"/>
        <v>11.6</v>
      </c>
      <c r="M15" s="5" t="s">
        <v>39</v>
      </c>
      <c r="N15" s="5">
        <v>9.4656000000000002</v>
      </c>
      <c r="O15" s="5" t="s">
        <v>39</v>
      </c>
      <c r="P15" t="s">
        <v>106</v>
      </c>
      <c r="Q15" t="s">
        <v>107</v>
      </c>
      <c r="R15" t="s">
        <v>37</v>
      </c>
      <c r="S15" t="s">
        <v>108</v>
      </c>
      <c r="T15" t="s">
        <v>43</v>
      </c>
      <c r="U15" t="s">
        <v>44</v>
      </c>
      <c r="V15">
        <v>147</v>
      </c>
      <c r="W15" t="s">
        <v>45</v>
      </c>
      <c r="X15" t="s">
        <v>53</v>
      </c>
      <c r="Y15" t="s">
        <v>109</v>
      </c>
      <c r="Z15" t="s">
        <v>37</v>
      </c>
      <c r="AA15" t="s">
        <v>95</v>
      </c>
      <c r="AB15" t="s">
        <v>37</v>
      </c>
      <c r="AC15" s="6" t="s">
        <v>37</v>
      </c>
      <c r="AD15" s="6" t="s">
        <v>37</v>
      </c>
      <c r="AE15" t="s">
        <v>37</v>
      </c>
      <c r="AF15" t="s">
        <v>37</v>
      </c>
      <c r="AG15" s="6" t="s">
        <v>37</v>
      </c>
      <c r="AH15" t="s">
        <v>37</v>
      </c>
      <c r="AI15" t="s">
        <v>37</v>
      </c>
      <c r="AJ15" t="str">
        <f t="shared" si="2"/>
        <v>2CLMXQWQB07W7K29YK</v>
      </c>
    </row>
    <row r="16" spans="1:36" ht="15" customHeight="1" x14ac:dyDescent="0.25">
      <c r="A16" t="s">
        <v>110</v>
      </c>
      <c r="B16" t="s">
        <v>37</v>
      </c>
      <c r="C16" t="s">
        <v>37</v>
      </c>
      <c r="D16" t="s">
        <v>38</v>
      </c>
      <c r="E16" s="4">
        <v>4</v>
      </c>
      <c r="F16" s="5">
        <v>105.48</v>
      </c>
      <c r="G16" s="5" t="s">
        <v>39</v>
      </c>
      <c r="H16" s="5">
        <v>177</v>
      </c>
      <c r="I16" s="5" t="s">
        <v>39</v>
      </c>
      <c r="J16" s="5">
        <v>3.5863200000000002</v>
      </c>
      <c r="K16" s="5">
        <f t="shared" si="0"/>
        <v>0.89658000000000004</v>
      </c>
      <c r="L16" s="5">
        <f t="shared" si="1"/>
        <v>26.37</v>
      </c>
      <c r="M16" s="5" t="s">
        <v>39</v>
      </c>
      <c r="N16" s="5">
        <v>3.5863200000000002</v>
      </c>
      <c r="O16" s="5" t="s">
        <v>39</v>
      </c>
      <c r="P16" t="s">
        <v>63</v>
      </c>
      <c r="Q16" t="s">
        <v>64</v>
      </c>
      <c r="R16" t="s">
        <v>37</v>
      </c>
      <c r="S16" t="s">
        <v>65</v>
      </c>
      <c r="T16" t="s">
        <v>43</v>
      </c>
      <c r="U16" t="s">
        <v>44</v>
      </c>
      <c r="V16">
        <v>147</v>
      </c>
      <c r="W16" t="s">
        <v>45</v>
      </c>
      <c r="X16" t="s">
        <v>53</v>
      </c>
      <c r="Y16" t="s">
        <v>66</v>
      </c>
      <c r="Z16" t="s">
        <v>37</v>
      </c>
      <c r="AA16" t="s">
        <v>48</v>
      </c>
      <c r="AB16" t="s">
        <v>37</v>
      </c>
      <c r="AC16" s="6" t="s">
        <v>37</v>
      </c>
      <c r="AD16" s="6" t="s">
        <v>37</v>
      </c>
      <c r="AE16" t="s">
        <v>37</v>
      </c>
      <c r="AF16" t="s">
        <v>37</v>
      </c>
      <c r="AG16" s="6" t="s">
        <v>37</v>
      </c>
      <c r="AH16" t="s">
        <v>37</v>
      </c>
      <c r="AI16" t="s">
        <v>37</v>
      </c>
      <c r="AJ16" t="str">
        <f t="shared" si="2"/>
        <v>7H9X1Z6SB00Q6MR0UO</v>
      </c>
    </row>
    <row r="17" spans="1:36" ht="15" customHeight="1" x14ac:dyDescent="0.25">
      <c r="A17" t="s">
        <v>96</v>
      </c>
      <c r="B17" t="s">
        <v>37</v>
      </c>
      <c r="C17" t="s">
        <v>37</v>
      </c>
      <c r="D17" t="s">
        <v>38</v>
      </c>
      <c r="E17" s="4">
        <v>10</v>
      </c>
      <c r="F17" s="5">
        <v>322.10000000000002</v>
      </c>
      <c r="G17" s="5" t="s">
        <v>39</v>
      </c>
      <c r="H17" s="5">
        <v>483.5</v>
      </c>
      <c r="I17" s="5" t="s">
        <v>39</v>
      </c>
      <c r="J17" s="5">
        <v>10.9514</v>
      </c>
      <c r="K17" s="5">
        <f t="shared" si="0"/>
        <v>1.09514</v>
      </c>
      <c r="L17" s="5">
        <f t="shared" si="1"/>
        <v>32.21</v>
      </c>
      <c r="M17" s="5" t="s">
        <v>39</v>
      </c>
      <c r="N17" s="5">
        <v>10.9514</v>
      </c>
      <c r="O17" s="5" t="s">
        <v>39</v>
      </c>
      <c r="P17" t="s">
        <v>50</v>
      </c>
      <c r="Q17" t="s">
        <v>111</v>
      </c>
      <c r="R17" t="s">
        <v>37</v>
      </c>
      <c r="S17" t="s">
        <v>112</v>
      </c>
      <c r="T17" t="s">
        <v>43</v>
      </c>
      <c r="U17" t="s">
        <v>44</v>
      </c>
      <c r="V17">
        <v>147</v>
      </c>
      <c r="W17" t="s">
        <v>45</v>
      </c>
      <c r="X17" t="s">
        <v>60</v>
      </c>
      <c r="Y17" t="s">
        <v>113</v>
      </c>
      <c r="Z17" t="s">
        <v>37</v>
      </c>
      <c r="AA17" t="s">
        <v>55</v>
      </c>
      <c r="AB17" t="s">
        <v>37</v>
      </c>
      <c r="AC17" s="6" t="s">
        <v>37</v>
      </c>
      <c r="AD17" s="6" t="s">
        <v>37</v>
      </c>
      <c r="AE17" t="s">
        <v>37</v>
      </c>
      <c r="AF17" t="s">
        <v>37</v>
      </c>
      <c r="AG17" s="6" t="s">
        <v>37</v>
      </c>
      <c r="AH17" t="s">
        <v>37</v>
      </c>
      <c r="AI17" t="s">
        <v>37</v>
      </c>
      <c r="AJ17" t="str">
        <f t="shared" si="2"/>
        <v>3A946EXYB015BCWNNS</v>
      </c>
    </row>
    <row r="18" spans="1:36" ht="15" customHeight="1" x14ac:dyDescent="0.25">
      <c r="A18" t="s">
        <v>76</v>
      </c>
      <c r="B18" t="s">
        <v>37</v>
      </c>
      <c r="C18" t="s">
        <v>37</v>
      </c>
      <c r="D18" t="s">
        <v>38</v>
      </c>
      <c r="E18" s="4">
        <v>6</v>
      </c>
      <c r="F18" s="5">
        <v>158.1</v>
      </c>
      <c r="G18" s="5" t="s">
        <v>39</v>
      </c>
      <c r="H18" s="5">
        <v>236.04</v>
      </c>
      <c r="I18" s="5" t="s">
        <v>39</v>
      </c>
      <c r="J18" s="5">
        <v>5.3754</v>
      </c>
      <c r="K18" s="5">
        <f t="shared" si="0"/>
        <v>0.89590000000000003</v>
      </c>
      <c r="L18" s="5">
        <f t="shared" si="1"/>
        <v>26.349999999999998</v>
      </c>
      <c r="M18" s="5" t="s">
        <v>39</v>
      </c>
      <c r="N18" s="5">
        <v>5.3754</v>
      </c>
      <c r="O18" s="5" t="s">
        <v>39</v>
      </c>
      <c r="P18" t="s">
        <v>114</v>
      </c>
      <c r="Q18" t="s">
        <v>115</v>
      </c>
      <c r="R18" t="s">
        <v>37</v>
      </c>
      <c r="S18" t="s">
        <v>116</v>
      </c>
      <c r="T18" t="s">
        <v>43</v>
      </c>
      <c r="U18" t="s">
        <v>44</v>
      </c>
      <c r="V18">
        <v>147</v>
      </c>
      <c r="W18" t="s">
        <v>45</v>
      </c>
      <c r="X18" t="s">
        <v>60</v>
      </c>
      <c r="Y18" t="s">
        <v>117</v>
      </c>
      <c r="Z18" t="s">
        <v>37</v>
      </c>
      <c r="AA18" t="s">
        <v>55</v>
      </c>
      <c r="AB18" t="s">
        <v>37</v>
      </c>
      <c r="AC18" s="6" t="s">
        <v>37</v>
      </c>
      <c r="AD18" s="6" t="s">
        <v>37</v>
      </c>
      <c r="AE18" t="s">
        <v>37</v>
      </c>
      <c r="AF18" t="s">
        <v>37</v>
      </c>
      <c r="AG18" s="6" t="s">
        <v>37</v>
      </c>
      <c r="AH18" t="s">
        <v>37</v>
      </c>
      <c r="AI18" t="s">
        <v>37</v>
      </c>
      <c r="AJ18" t="str">
        <f t="shared" si="2"/>
        <v>243WWSUAB00DN1D1MW</v>
      </c>
    </row>
    <row r="19" spans="1:36" ht="15" customHeight="1" x14ac:dyDescent="0.25">
      <c r="A19" t="s">
        <v>118</v>
      </c>
      <c r="B19" t="s">
        <v>37</v>
      </c>
      <c r="C19" t="s">
        <v>37</v>
      </c>
      <c r="D19" t="s">
        <v>38</v>
      </c>
      <c r="E19" s="4">
        <v>30</v>
      </c>
      <c r="F19" s="5">
        <v>280.8</v>
      </c>
      <c r="G19" s="5" t="s">
        <v>39</v>
      </c>
      <c r="H19" s="5">
        <v>417.9</v>
      </c>
      <c r="I19" s="5" t="s">
        <v>39</v>
      </c>
      <c r="J19" s="5">
        <v>9.5472000000000001</v>
      </c>
      <c r="K19" s="5">
        <f t="shared" si="0"/>
        <v>0.31824000000000002</v>
      </c>
      <c r="L19" s="5">
        <f t="shared" si="1"/>
        <v>9.3600000000000012</v>
      </c>
      <c r="M19" s="5" t="s">
        <v>39</v>
      </c>
      <c r="N19" s="5">
        <v>9.5472000000000001</v>
      </c>
      <c r="O19" s="5" t="s">
        <v>39</v>
      </c>
      <c r="P19" t="s">
        <v>119</v>
      </c>
      <c r="Q19" t="s">
        <v>84</v>
      </c>
      <c r="R19" t="s">
        <v>85</v>
      </c>
      <c r="S19" t="s">
        <v>86</v>
      </c>
      <c r="T19" t="s">
        <v>43</v>
      </c>
      <c r="U19" t="s">
        <v>44</v>
      </c>
      <c r="V19">
        <v>147</v>
      </c>
      <c r="W19" t="s">
        <v>45</v>
      </c>
      <c r="X19" t="s">
        <v>53</v>
      </c>
      <c r="Y19" t="s">
        <v>87</v>
      </c>
      <c r="Z19" t="s">
        <v>37</v>
      </c>
      <c r="AA19" t="s">
        <v>48</v>
      </c>
      <c r="AB19" t="s">
        <v>37</v>
      </c>
      <c r="AC19" s="6" t="s">
        <v>37</v>
      </c>
      <c r="AD19" s="6" t="s">
        <v>37</v>
      </c>
      <c r="AE19" t="s">
        <v>37</v>
      </c>
      <c r="AF19" t="s">
        <v>37</v>
      </c>
      <c r="AG19" s="6" t="s">
        <v>37</v>
      </c>
      <c r="AH19" t="s">
        <v>37</v>
      </c>
      <c r="AI19" t="s">
        <v>37</v>
      </c>
      <c r="AJ19" t="str">
        <f t="shared" si="2"/>
        <v>31DJDC7QB01A9GXEOI</v>
      </c>
    </row>
    <row r="20" spans="1:36" ht="15" customHeight="1" x14ac:dyDescent="0.25">
      <c r="A20" t="s">
        <v>101</v>
      </c>
      <c r="B20" t="s">
        <v>37</v>
      </c>
      <c r="C20" t="s">
        <v>37</v>
      </c>
      <c r="D20" t="s">
        <v>38</v>
      </c>
      <c r="E20" s="4">
        <v>16</v>
      </c>
      <c r="F20" s="5">
        <v>379.84</v>
      </c>
      <c r="G20" s="5" t="s">
        <v>39</v>
      </c>
      <c r="H20" s="5">
        <v>629.44000000000005</v>
      </c>
      <c r="I20" s="5" t="s">
        <v>39</v>
      </c>
      <c r="J20" s="5">
        <v>12.91456</v>
      </c>
      <c r="K20" s="5">
        <f t="shared" si="0"/>
        <v>0.80715999999999999</v>
      </c>
      <c r="L20" s="5">
        <f t="shared" si="1"/>
        <v>23.74</v>
      </c>
      <c r="M20" s="5" t="s">
        <v>39</v>
      </c>
      <c r="N20" s="5">
        <v>12.91456</v>
      </c>
      <c r="O20" s="5" t="s">
        <v>39</v>
      </c>
      <c r="P20" t="s">
        <v>120</v>
      </c>
      <c r="Q20" t="s">
        <v>121</v>
      </c>
      <c r="R20" t="s">
        <v>37</v>
      </c>
      <c r="S20" t="s">
        <v>122</v>
      </c>
      <c r="T20" t="s">
        <v>43</v>
      </c>
      <c r="U20" t="s">
        <v>44</v>
      </c>
      <c r="V20">
        <v>147</v>
      </c>
      <c r="W20" t="s">
        <v>45</v>
      </c>
      <c r="X20" t="s">
        <v>53</v>
      </c>
      <c r="Y20" t="s">
        <v>123</v>
      </c>
      <c r="Z20" t="s">
        <v>37</v>
      </c>
      <c r="AA20" t="s">
        <v>95</v>
      </c>
      <c r="AB20" t="s">
        <v>37</v>
      </c>
      <c r="AC20" s="6" t="s">
        <v>37</v>
      </c>
      <c r="AD20" s="6" t="s">
        <v>37</v>
      </c>
      <c r="AE20" t="s">
        <v>37</v>
      </c>
      <c r="AF20" t="s">
        <v>37</v>
      </c>
      <c r="AG20" s="6" t="s">
        <v>37</v>
      </c>
      <c r="AH20" t="s">
        <v>37</v>
      </c>
      <c r="AI20" t="s">
        <v>37</v>
      </c>
      <c r="AJ20" t="str">
        <f t="shared" si="2"/>
        <v>5MWU8WTDB07W6HBBMH</v>
      </c>
    </row>
    <row r="21" spans="1:36" ht="15" customHeight="1" x14ac:dyDescent="0.25">
      <c r="A21" t="s">
        <v>96</v>
      </c>
      <c r="B21" t="s">
        <v>37</v>
      </c>
      <c r="C21" t="s">
        <v>37</v>
      </c>
      <c r="D21" t="s">
        <v>38</v>
      </c>
      <c r="E21" s="4">
        <v>48</v>
      </c>
      <c r="F21" s="5">
        <v>5568.96</v>
      </c>
      <c r="G21" s="5" t="s">
        <v>39</v>
      </c>
      <c r="H21" s="5">
        <v>7868.64</v>
      </c>
      <c r="I21" s="5" t="s">
        <v>39</v>
      </c>
      <c r="J21" s="5">
        <v>189.34464</v>
      </c>
      <c r="K21" s="5">
        <f t="shared" si="0"/>
        <v>3.94468</v>
      </c>
      <c r="L21" s="5">
        <f t="shared" si="1"/>
        <v>116.02</v>
      </c>
      <c r="M21" s="5" t="s">
        <v>39</v>
      </c>
      <c r="N21" s="5">
        <v>189.34464</v>
      </c>
      <c r="O21" s="5" t="s">
        <v>39</v>
      </c>
      <c r="P21" t="s">
        <v>106</v>
      </c>
      <c r="Q21" t="s">
        <v>124</v>
      </c>
      <c r="R21" t="s">
        <v>37</v>
      </c>
      <c r="S21" t="s">
        <v>125</v>
      </c>
      <c r="T21" t="s">
        <v>43</v>
      </c>
      <c r="U21" t="s">
        <v>44</v>
      </c>
      <c r="V21">
        <v>147</v>
      </c>
      <c r="W21" t="s">
        <v>45</v>
      </c>
      <c r="X21" t="s">
        <v>60</v>
      </c>
      <c r="Y21" t="s">
        <v>126</v>
      </c>
      <c r="Z21" t="s">
        <v>37</v>
      </c>
      <c r="AA21" t="s">
        <v>55</v>
      </c>
      <c r="AB21" t="s">
        <v>37</v>
      </c>
      <c r="AC21" s="6" t="s">
        <v>37</v>
      </c>
      <c r="AD21" s="6" t="s">
        <v>37</v>
      </c>
      <c r="AE21" t="s">
        <v>37</v>
      </c>
      <c r="AF21" t="s">
        <v>37</v>
      </c>
      <c r="AG21" s="6" t="s">
        <v>37</v>
      </c>
      <c r="AH21" t="s">
        <v>37</v>
      </c>
      <c r="AI21" t="s">
        <v>37</v>
      </c>
      <c r="AJ21" t="str">
        <f t="shared" si="2"/>
        <v>2CLMXQWQB07W6HPP3R</v>
      </c>
    </row>
    <row r="22" spans="1:36" ht="15" customHeight="1" x14ac:dyDescent="0.25">
      <c r="A22" t="s">
        <v>127</v>
      </c>
      <c r="B22" t="s">
        <v>37</v>
      </c>
      <c r="C22" t="s">
        <v>37</v>
      </c>
      <c r="D22" t="s">
        <v>38</v>
      </c>
      <c r="E22" s="4">
        <v>16</v>
      </c>
      <c r="F22" s="5">
        <v>328</v>
      </c>
      <c r="G22" s="5" t="s">
        <v>39</v>
      </c>
      <c r="H22" s="5">
        <v>655.04</v>
      </c>
      <c r="I22" s="5" t="s">
        <v>39</v>
      </c>
      <c r="J22" s="5">
        <v>11.151999999999999</v>
      </c>
      <c r="K22" s="5">
        <f t="shared" si="0"/>
        <v>0.69699999999999995</v>
      </c>
      <c r="L22" s="5">
        <f t="shared" si="1"/>
        <v>20.5</v>
      </c>
      <c r="M22" s="5" t="s">
        <v>39</v>
      </c>
      <c r="N22" s="5">
        <v>11.151999999999999</v>
      </c>
      <c r="O22" s="5" t="s">
        <v>39</v>
      </c>
      <c r="P22" t="s">
        <v>128</v>
      </c>
      <c r="Q22" t="s">
        <v>129</v>
      </c>
      <c r="R22" t="s">
        <v>130</v>
      </c>
      <c r="S22" t="s">
        <v>131</v>
      </c>
      <c r="T22" t="s">
        <v>43</v>
      </c>
      <c r="U22" t="s">
        <v>44</v>
      </c>
      <c r="V22">
        <v>147</v>
      </c>
      <c r="W22" t="s">
        <v>45</v>
      </c>
      <c r="X22" t="s">
        <v>60</v>
      </c>
      <c r="Y22" t="s">
        <v>132</v>
      </c>
      <c r="Z22" t="s">
        <v>37</v>
      </c>
      <c r="AA22" t="s">
        <v>95</v>
      </c>
      <c r="AB22" t="s">
        <v>37</v>
      </c>
      <c r="AC22" s="6" t="s">
        <v>37</v>
      </c>
      <c r="AD22" s="6" t="s">
        <v>37</v>
      </c>
      <c r="AE22" t="s">
        <v>37</v>
      </c>
      <c r="AF22" t="s">
        <v>37</v>
      </c>
      <c r="AG22" s="6" t="s">
        <v>37</v>
      </c>
      <c r="AH22" t="s">
        <v>37</v>
      </c>
      <c r="AI22" t="s">
        <v>37</v>
      </c>
      <c r="AJ22" t="str">
        <f t="shared" si="2"/>
        <v>7RAC5F9EB002L3TSLQ</v>
      </c>
    </row>
    <row r="23" spans="1:36" ht="15" customHeight="1" x14ac:dyDescent="0.25">
      <c r="A23" t="s">
        <v>36</v>
      </c>
      <c r="B23" t="s">
        <v>37</v>
      </c>
      <c r="C23" t="s">
        <v>37</v>
      </c>
      <c r="D23" t="s">
        <v>38</v>
      </c>
      <c r="E23" s="4">
        <v>176</v>
      </c>
      <c r="F23" s="5">
        <v>7145.6</v>
      </c>
      <c r="G23" s="5" t="s">
        <v>39</v>
      </c>
      <c r="H23" s="5">
        <v>10385.76</v>
      </c>
      <c r="I23" s="5" t="s">
        <v>39</v>
      </c>
      <c r="J23" s="5">
        <v>242.9504</v>
      </c>
      <c r="K23" s="5">
        <f t="shared" si="0"/>
        <v>1.3804000000000001</v>
      </c>
      <c r="L23" s="5">
        <f t="shared" si="1"/>
        <v>40.6</v>
      </c>
      <c r="M23" s="5" t="s">
        <v>39</v>
      </c>
      <c r="N23" s="5">
        <v>242.9504</v>
      </c>
      <c r="O23" s="5" t="s">
        <v>39</v>
      </c>
      <c r="P23" t="s">
        <v>133</v>
      </c>
      <c r="Q23" t="s">
        <v>134</v>
      </c>
      <c r="R23" t="s">
        <v>37</v>
      </c>
      <c r="S23" t="s">
        <v>135</v>
      </c>
      <c r="T23" t="s">
        <v>43</v>
      </c>
      <c r="U23" t="s">
        <v>44</v>
      </c>
      <c r="V23">
        <v>147</v>
      </c>
      <c r="W23" t="s">
        <v>45</v>
      </c>
      <c r="X23" t="s">
        <v>60</v>
      </c>
      <c r="Y23" t="s">
        <v>136</v>
      </c>
      <c r="Z23" t="s">
        <v>37</v>
      </c>
      <c r="AA23" t="s">
        <v>48</v>
      </c>
      <c r="AB23" t="s">
        <v>37</v>
      </c>
      <c r="AC23" s="6" t="s">
        <v>37</v>
      </c>
      <c r="AD23" s="6" t="s">
        <v>37</v>
      </c>
      <c r="AE23" t="s">
        <v>37</v>
      </c>
      <c r="AF23" t="s">
        <v>37</v>
      </c>
      <c r="AG23" s="6" t="s">
        <v>37</v>
      </c>
      <c r="AH23" t="s">
        <v>37</v>
      </c>
      <c r="AI23" t="s">
        <v>37</v>
      </c>
      <c r="AJ23" t="str">
        <f t="shared" si="2"/>
        <v>36BT7GGLB00O8K42PM</v>
      </c>
    </row>
    <row r="24" spans="1:36" ht="15" customHeight="1" x14ac:dyDescent="0.25">
      <c r="A24" t="s">
        <v>36</v>
      </c>
      <c r="B24" t="s">
        <v>37</v>
      </c>
      <c r="C24" t="s">
        <v>37</v>
      </c>
      <c r="D24" t="s">
        <v>38</v>
      </c>
      <c r="E24" s="4">
        <v>336</v>
      </c>
      <c r="F24" s="5">
        <v>6888</v>
      </c>
      <c r="G24" s="5" t="s">
        <v>39</v>
      </c>
      <c r="H24" s="5">
        <v>13755.84</v>
      </c>
      <c r="I24" s="5" t="s">
        <v>39</v>
      </c>
      <c r="J24" s="5">
        <v>234.19200000000001</v>
      </c>
      <c r="K24" s="5">
        <f t="shared" si="0"/>
        <v>0.69700000000000006</v>
      </c>
      <c r="L24" s="5">
        <f t="shared" si="1"/>
        <v>20.5</v>
      </c>
      <c r="M24" s="5" t="s">
        <v>39</v>
      </c>
      <c r="N24" s="5">
        <v>234.19200000000001</v>
      </c>
      <c r="O24" s="5" t="s">
        <v>39</v>
      </c>
      <c r="P24" t="s">
        <v>128</v>
      </c>
      <c r="Q24" t="s">
        <v>129</v>
      </c>
      <c r="R24" t="s">
        <v>130</v>
      </c>
      <c r="S24" t="s">
        <v>131</v>
      </c>
      <c r="T24" t="s">
        <v>43</v>
      </c>
      <c r="U24" t="s">
        <v>44</v>
      </c>
      <c r="V24">
        <v>147</v>
      </c>
      <c r="W24" t="s">
        <v>45</v>
      </c>
      <c r="X24" t="s">
        <v>60</v>
      </c>
      <c r="Y24" t="s">
        <v>132</v>
      </c>
      <c r="Z24" t="s">
        <v>37</v>
      </c>
      <c r="AA24" t="s">
        <v>95</v>
      </c>
      <c r="AB24" t="s">
        <v>37</v>
      </c>
      <c r="AC24" s="6" t="s">
        <v>37</v>
      </c>
      <c r="AD24" s="6" t="s">
        <v>37</v>
      </c>
      <c r="AE24" t="s">
        <v>37</v>
      </c>
      <c r="AF24" t="s">
        <v>37</v>
      </c>
      <c r="AG24" s="6" t="s">
        <v>37</v>
      </c>
      <c r="AH24" t="s">
        <v>37</v>
      </c>
      <c r="AI24" t="s">
        <v>37</v>
      </c>
      <c r="AJ24" t="str">
        <f t="shared" si="2"/>
        <v>7RAC5F9EB002L3TSLQ</v>
      </c>
    </row>
    <row r="25" spans="1:36" ht="15" customHeight="1" x14ac:dyDescent="0.25">
      <c r="A25" t="s">
        <v>36</v>
      </c>
      <c r="B25" t="s">
        <v>37</v>
      </c>
      <c r="C25" t="s">
        <v>37</v>
      </c>
      <c r="D25" t="s">
        <v>38</v>
      </c>
      <c r="E25" s="4">
        <v>80</v>
      </c>
      <c r="F25" s="5">
        <v>656</v>
      </c>
      <c r="G25" s="5" t="s">
        <v>39</v>
      </c>
      <c r="H25" s="5">
        <v>983.2</v>
      </c>
      <c r="I25" s="5" t="s">
        <v>39</v>
      </c>
      <c r="J25" s="5">
        <v>22.303999999999998</v>
      </c>
      <c r="K25" s="5">
        <f t="shared" si="0"/>
        <v>0.27879999999999999</v>
      </c>
      <c r="L25" s="5">
        <f t="shared" si="1"/>
        <v>8.1999999999999993</v>
      </c>
      <c r="M25" s="5" t="s">
        <v>39</v>
      </c>
      <c r="N25" s="5">
        <v>22.303999999999998</v>
      </c>
      <c r="O25" s="5" t="s">
        <v>39</v>
      </c>
      <c r="P25" t="s">
        <v>137</v>
      </c>
      <c r="Q25" t="s">
        <v>138</v>
      </c>
      <c r="R25" t="s">
        <v>37</v>
      </c>
      <c r="S25" t="s">
        <v>139</v>
      </c>
      <c r="T25" t="s">
        <v>43</v>
      </c>
      <c r="U25" t="s">
        <v>44</v>
      </c>
      <c r="V25">
        <v>147</v>
      </c>
      <c r="W25" t="s">
        <v>45</v>
      </c>
      <c r="X25" t="s">
        <v>53</v>
      </c>
      <c r="Y25" t="s">
        <v>140</v>
      </c>
      <c r="Z25" t="s">
        <v>37</v>
      </c>
      <c r="AA25" t="s">
        <v>95</v>
      </c>
      <c r="AB25" t="s">
        <v>37</v>
      </c>
      <c r="AC25" s="6" t="s">
        <v>37</v>
      </c>
      <c r="AD25" s="6" t="s">
        <v>37</v>
      </c>
      <c r="AE25" t="s">
        <v>37</v>
      </c>
      <c r="AF25" t="s">
        <v>37</v>
      </c>
      <c r="AG25" s="6" t="s">
        <v>37</v>
      </c>
      <c r="AH25" t="s">
        <v>37</v>
      </c>
      <c r="AI25" t="s">
        <v>37</v>
      </c>
      <c r="AJ25" t="str">
        <f t="shared" si="2"/>
        <v>3UDP1VLYB07W6JKH17</v>
      </c>
    </row>
    <row r="26" spans="1:36" ht="15" customHeight="1" x14ac:dyDescent="0.25">
      <c r="A26" t="s">
        <v>118</v>
      </c>
      <c r="B26" t="s">
        <v>37</v>
      </c>
      <c r="C26" t="s">
        <v>37</v>
      </c>
      <c r="D26" t="s">
        <v>38</v>
      </c>
      <c r="E26" s="4">
        <v>16</v>
      </c>
      <c r="F26" s="5">
        <v>1648.96</v>
      </c>
      <c r="G26" s="5" t="s">
        <v>39</v>
      </c>
      <c r="H26" s="5">
        <v>2164</v>
      </c>
      <c r="I26" s="5" t="s">
        <v>39</v>
      </c>
      <c r="J26" s="5">
        <v>56.064639999999997</v>
      </c>
      <c r="K26" s="5">
        <f t="shared" si="0"/>
        <v>3.5040399999999998</v>
      </c>
      <c r="L26" s="5">
        <f t="shared" si="1"/>
        <v>103.06</v>
      </c>
      <c r="M26" s="5" t="s">
        <v>39</v>
      </c>
      <c r="N26" s="5">
        <v>56.064639999999997</v>
      </c>
      <c r="O26" s="5" t="s">
        <v>39</v>
      </c>
      <c r="P26" t="s">
        <v>141</v>
      </c>
      <c r="Q26" t="s">
        <v>142</v>
      </c>
      <c r="R26" t="s">
        <v>37</v>
      </c>
      <c r="S26" t="s">
        <v>143</v>
      </c>
      <c r="T26" t="s">
        <v>43</v>
      </c>
      <c r="U26" t="s">
        <v>44</v>
      </c>
      <c r="V26">
        <v>147</v>
      </c>
      <c r="W26" t="s">
        <v>45</v>
      </c>
      <c r="X26" t="s">
        <v>46</v>
      </c>
      <c r="Y26" t="s">
        <v>144</v>
      </c>
      <c r="Z26" t="s">
        <v>37</v>
      </c>
      <c r="AA26" t="s">
        <v>55</v>
      </c>
      <c r="AB26" t="s">
        <v>37</v>
      </c>
      <c r="AC26" s="6" t="s">
        <v>37</v>
      </c>
      <c r="AD26" s="6" t="s">
        <v>37</v>
      </c>
      <c r="AE26" t="s">
        <v>37</v>
      </c>
      <c r="AF26" t="s">
        <v>37</v>
      </c>
      <c r="AG26" s="6" t="s">
        <v>37</v>
      </c>
      <c r="AH26" t="s">
        <v>37</v>
      </c>
      <c r="AI26" t="s">
        <v>37</v>
      </c>
      <c r="AJ26" t="str">
        <f t="shared" si="2"/>
        <v>56UO2L2IB07PPNT9B2</v>
      </c>
    </row>
    <row r="27" spans="1:36" ht="15" customHeight="1" x14ac:dyDescent="0.25">
      <c r="A27" t="s">
        <v>62</v>
      </c>
      <c r="B27" t="s">
        <v>37</v>
      </c>
      <c r="C27" t="s">
        <v>37</v>
      </c>
      <c r="D27" t="s">
        <v>38</v>
      </c>
      <c r="E27" s="4">
        <v>176</v>
      </c>
      <c r="F27" s="5">
        <v>12907.84</v>
      </c>
      <c r="G27" s="5" t="s">
        <v>39</v>
      </c>
      <c r="H27" s="5">
        <v>20917.599999999999</v>
      </c>
      <c r="I27" s="5" t="s">
        <v>39</v>
      </c>
      <c r="J27" s="5">
        <v>438.86655999999999</v>
      </c>
      <c r="K27" s="5">
        <f t="shared" si="0"/>
        <v>2.49356</v>
      </c>
      <c r="L27" s="5">
        <f t="shared" si="1"/>
        <v>73.34</v>
      </c>
      <c r="M27" s="5" t="s">
        <v>39</v>
      </c>
      <c r="N27" s="5">
        <v>438.86655999999999</v>
      </c>
      <c r="O27" s="5" t="s">
        <v>39</v>
      </c>
      <c r="P27" t="s">
        <v>63</v>
      </c>
      <c r="Q27" t="s">
        <v>145</v>
      </c>
      <c r="R27" t="s">
        <v>37</v>
      </c>
      <c r="S27" t="s">
        <v>146</v>
      </c>
      <c r="T27" t="s">
        <v>43</v>
      </c>
      <c r="U27" t="s">
        <v>44</v>
      </c>
      <c r="V27">
        <v>147</v>
      </c>
      <c r="W27" t="s">
        <v>45</v>
      </c>
      <c r="X27" t="s">
        <v>60</v>
      </c>
      <c r="Y27" t="s">
        <v>147</v>
      </c>
      <c r="Z27" t="s">
        <v>37</v>
      </c>
      <c r="AA27" t="s">
        <v>55</v>
      </c>
      <c r="AB27" t="s">
        <v>37</v>
      </c>
      <c r="AC27" s="6" t="s">
        <v>37</v>
      </c>
      <c r="AD27" s="6" t="s">
        <v>37</v>
      </c>
      <c r="AE27" t="s">
        <v>37</v>
      </c>
      <c r="AF27" t="s">
        <v>37</v>
      </c>
      <c r="AG27" s="6" t="s">
        <v>37</v>
      </c>
      <c r="AH27" t="s">
        <v>37</v>
      </c>
      <c r="AI27" t="s">
        <v>37</v>
      </c>
      <c r="AJ27" t="str">
        <f t="shared" si="2"/>
        <v>7H9X1Z6SB07W6JNQ82</v>
      </c>
    </row>
    <row r="28" spans="1:36" ht="15" customHeight="1" x14ac:dyDescent="0.25">
      <c r="A28" t="s">
        <v>96</v>
      </c>
      <c r="B28" t="s">
        <v>37</v>
      </c>
      <c r="C28" t="s">
        <v>37</v>
      </c>
      <c r="D28" t="s">
        <v>38</v>
      </c>
      <c r="E28" s="4">
        <v>4</v>
      </c>
      <c r="F28" s="5">
        <v>387.32</v>
      </c>
      <c r="G28" s="5" t="s">
        <v>39</v>
      </c>
      <c r="H28" s="5">
        <v>459</v>
      </c>
      <c r="I28" s="5" t="s">
        <v>39</v>
      </c>
      <c r="J28" s="5">
        <v>13.16888</v>
      </c>
      <c r="K28" s="5">
        <f t="shared" si="0"/>
        <v>3.2922199999999999</v>
      </c>
      <c r="L28" s="5">
        <f t="shared" si="1"/>
        <v>96.83</v>
      </c>
      <c r="M28" s="5" t="s">
        <v>39</v>
      </c>
      <c r="N28" s="5">
        <v>13.16888</v>
      </c>
      <c r="O28" s="5" t="s">
        <v>39</v>
      </c>
      <c r="P28" t="s">
        <v>148</v>
      </c>
      <c r="Q28" t="s">
        <v>149</v>
      </c>
      <c r="R28" t="s">
        <v>37</v>
      </c>
      <c r="S28" t="s">
        <v>150</v>
      </c>
      <c r="T28" t="s">
        <v>43</v>
      </c>
      <c r="U28" t="s">
        <v>44</v>
      </c>
      <c r="V28">
        <v>267</v>
      </c>
      <c r="W28" t="s">
        <v>151</v>
      </c>
      <c r="X28" t="s">
        <v>152</v>
      </c>
      <c r="Y28" t="s">
        <v>153</v>
      </c>
      <c r="Z28" t="s">
        <v>37</v>
      </c>
      <c r="AA28" t="s">
        <v>95</v>
      </c>
      <c r="AB28" t="s">
        <v>37</v>
      </c>
      <c r="AC28" s="6" t="s">
        <v>37</v>
      </c>
      <c r="AD28" s="6" t="s">
        <v>37</v>
      </c>
      <c r="AE28" t="s">
        <v>37</v>
      </c>
      <c r="AF28" t="s">
        <v>37</v>
      </c>
      <c r="AG28" s="6" t="s">
        <v>37</v>
      </c>
      <c r="AH28" t="s">
        <v>37</v>
      </c>
      <c r="AI28" t="s">
        <v>37</v>
      </c>
      <c r="AJ28" t="str">
        <f t="shared" si="2"/>
        <v>5FPQ9KSZB07W4DHL8V</v>
      </c>
    </row>
    <row r="29" spans="1:36" ht="15" customHeight="1" x14ac:dyDescent="0.25">
      <c r="A29" t="s">
        <v>101</v>
      </c>
      <c r="B29" t="s">
        <v>37</v>
      </c>
      <c r="C29" t="s">
        <v>37</v>
      </c>
      <c r="D29" t="s">
        <v>38</v>
      </c>
      <c r="E29" s="4">
        <v>76</v>
      </c>
      <c r="F29" s="5">
        <v>5731.16</v>
      </c>
      <c r="G29" s="5" t="s">
        <v>39</v>
      </c>
      <c r="H29" s="5">
        <v>8409.4</v>
      </c>
      <c r="I29" s="5" t="s">
        <v>39</v>
      </c>
      <c r="J29" s="5">
        <v>194.85944000000001</v>
      </c>
      <c r="K29" s="5">
        <f t="shared" si="0"/>
        <v>2.5639400000000001</v>
      </c>
      <c r="L29" s="5">
        <f t="shared" si="1"/>
        <v>75.41</v>
      </c>
      <c r="M29" s="5" t="s">
        <v>39</v>
      </c>
      <c r="N29" s="5">
        <v>194.85944000000001</v>
      </c>
      <c r="O29" s="5" t="s">
        <v>39</v>
      </c>
      <c r="P29" t="s">
        <v>72</v>
      </c>
      <c r="Q29" t="s">
        <v>73</v>
      </c>
      <c r="R29" t="s">
        <v>37</v>
      </c>
      <c r="S29" t="s">
        <v>74</v>
      </c>
      <c r="T29" t="s">
        <v>43</v>
      </c>
      <c r="U29" t="s">
        <v>44</v>
      </c>
      <c r="V29">
        <v>147</v>
      </c>
      <c r="W29" t="s">
        <v>45</v>
      </c>
      <c r="X29" t="s">
        <v>53</v>
      </c>
      <c r="Y29" t="s">
        <v>75</v>
      </c>
      <c r="Z29" t="s">
        <v>37</v>
      </c>
      <c r="AA29" t="s">
        <v>48</v>
      </c>
      <c r="AB29" t="s">
        <v>37</v>
      </c>
      <c r="AC29" s="6" t="s">
        <v>37</v>
      </c>
      <c r="AD29" s="6" t="s">
        <v>37</v>
      </c>
      <c r="AE29" t="s">
        <v>37</v>
      </c>
      <c r="AF29" t="s">
        <v>37</v>
      </c>
      <c r="AG29" s="6" t="s">
        <v>37</v>
      </c>
      <c r="AH29" t="s">
        <v>37</v>
      </c>
      <c r="AI29" t="s">
        <v>37</v>
      </c>
      <c r="AJ29" t="str">
        <f t="shared" si="2"/>
        <v>4GF112AEB07W4DGFSM</v>
      </c>
    </row>
    <row r="30" spans="1:36" ht="15" customHeight="1" x14ac:dyDescent="0.25">
      <c r="A30" t="s">
        <v>118</v>
      </c>
      <c r="B30" t="s">
        <v>37</v>
      </c>
      <c r="C30" t="s">
        <v>37</v>
      </c>
      <c r="D30" t="s">
        <v>38</v>
      </c>
      <c r="E30" s="4">
        <v>10</v>
      </c>
      <c r="F30" s="5">
        <v>175.6</v>
      </c>
      <c r="G30" s="5" t="s">
        <v>39</v>
      </c>
      <c r="H30" s="5">
        <v>270.39999999999998</v>
      </c>
      <c r="I30" s="5" t="s">
        <v>39</v>
      </c>
      <c r="J30" s="5">
        <v>5.9703999999999997</v>
      </c>
      <c r="K30" s="5">
        <f t="shared" si="0"/>
        <v>0.59704000000000002</v>
      </c>
      <c r="L30" s="5">
        <f t="shared" si="1"/>
        <v>17.559999999999999</v>
      </c>
      <c r="M30" s="5" t="s">
        <v>39</v>
      </c>
      <c r="N30" s="5">
        <v>5.9703999999999997</v>
      </c>
      <c r="O30" s="5" t="s">
        <v>39</v>
      </c>
      <c r="P30" t="s">
        <v>154</v>
      </c>
      <c r="Q30" t="s">
        <v>155</v>
      </c>
      <c r="R30" t="s">
        <v>37</v>
      </c>
      <c r="S30" t="s">
        <v>156</v>
      </c>
      <c r="T30" t="s">
        <v>43</v>
      </c>
      <c r="U30" t="s">
        <v>44</v>
      </c>
      <c r="V30">
        <v>147</v>
      </c>
      <c r="W30" t="s">
        <v>45</v>
      </c>
      <c r="X30" t="s">
        <v>60</v>
      </c>
      <c r="Y30" t="s">
        <v>157</v>
      </c>
      <c r="Z30" t="s">
        <v>37</v>
      </c>
      <c r="AA30" t="s">
        <v>55</v>
      </c>
      <c r="AB30" t="s">
        <v>37</v>
      </c>
      <c r="AC30" s="6" t="s">
        <v>37</v>
      </c>
      <c r="AD30" s="6" t="s">
        <v>37</v>
      </c>
      <c r="AE30" t="s">
        <v>37</v>
      </c>
      <c r="AF30" t="s">
        <v>37</v>
      </c>
      <c r="AG30" s="6" t="s">
        <v>37</v>
      </c>
      <c r="AH30" t="s">
        <v>37</v>
      </c>
      <c r="AI30" t="s">
        <v>37</v>
      </c>
      <c r="AJ30" t="str">
        <f t="shared" si="2"/>
        <v>1KW92RHQB0042BVWZ0</v>
      </c>
    </row>
    <row r="31" spans="1:36" ht="15" customHeight="1" x14ac:dyDescent="0.25">
      <c r="A31" t="s">
        <v>88</v>
      </c>
      <c r="B31" t="s">
        <v>37</v>
      </c>
      <c r="C31" t="s">
        <v>37</v>
      </c>
      <c r="D31" t="s">
        <v>38</v>
      </c>
      <c r="E31" s="4">
        <v>4</v>
      </c>
      <c r="F31" s="5">
        <v>189.92</v>
      </c>
      <c r="G31" s="5" t="s">
        <v>39</v>
      </c>
      <c r="H31" s="5">
        <v>311.44</v>
      </c>
      <c r="I31" s="5" t="s">
        <v>39</v>
      </c>
      <c r="J31" s="5">
        <v>6.4572799999999999</v>
      </c>
      <c r="K31" s="5">
        <f t="shared" si="0"/>
        <v>1.61432</v>
      </c>
      <c r="L31" s="5">
        <f t="shared" si="1"/>
        <v>47.48</v>
      </c>
      <c r="M31" s="5" t="s">
        <v>39</v>
      </c>
      <c r="N31" s="5">
        <v>6.4572799999999999</v>
      </c>
      <c r="O31" s="5" t="s">
        <v>39</v>
      </c>
      <c r="P31" t="s">
        <v>158</v>
      </c>
      <c r="Q31" t="s">
        <v>159</v>
      </c>
      <c r="R31" t="s">
        <v>37</v>
      </c>
      <c r="S31" t="s">
        <v>160</v>
      </c>
      <c r="T31" t="s">
        <v>43</v>
      </c>
      <c r="U31" t="s">
        <v>44</v>
      </c>
      <c r="V31">
        <v>147</v>
      </c>
      <c r="W31" t="s">
        <v>45</v>
      </c>
      <c r="X31" t="s">
        <v>60</v>
      </c>
      <c r="Y31" t="s">
        <v>161</v>
      </c>
      <c r="Z31" t="s">
        <v>37</v>
      </c>
      <c r="AA31" t="s">
        <v>55</v>
      </c>
      <c r="AB31" t="s">
        <v>37</v>
      </c>
      <c r="AC31" s="6" t="s">
        <v>37</v>
      </c>
      <c r="AD31" s="6" t="s">
        <v>37</v>
      </c>
      <c r="AE31" t="s">
        <v>37</v>
      </c>
      <c r="AF31" t="s">
        <v>37</v>
      </c>
      <c r="AG31" s="6" t="s">
        <v>37</v>
      </c>
      <c r="AH31" t="s">
        <v>37</v>
      </c>
      <c r="AI31" t="s">
        <v>37</v>
      </c>
      <c r="AJ31" t="str">
        <f t="shared" si="2"/>
        <v>8FQ2THMTB07W7MQMDH</v>
      </c>
    </row>
    <row r="32" spans="1:36" ht="15" customHeight="1" x14ac:dyDescent="0.25">
      <c r="A32" t="s">
        <v>162</v>
      </c>
      <c r="B32" t="s">
        <v>37</v>
      </c>
      <c r="C32" t="s">
        <v>37</v>
      </c>
      <c r="D32" t="s">
        <v>38</v>
      </c>
      <c r="E32" s="4">
        <v>20</v>
      </c>
      <c r="F32" s="5">
        <v>327.8</v>
      </c>
      <c r="G32" s="5" t="s">
        <v>39</v>
      </c>
      <c r="H32" s="5">
        <v>491.6</v>
      </c>
      <c r="I32" s="5" t="s">
        <v>39</v>
      </c>
      <c r="J32" s="5">
        <v>11.145200000000001</v>
      </c>
      <c r="K32" s="5">
        <f t="shared" si="0"/>
        <v>0.55726000000000009</v>
      </c>
      <c r="L32" s="5">
        <f t="shared" si="1"/>
        <v>16.39</v>
      </c>
      <c r="M32" s="5" t="s">
        <v>39</v>
      </c>
      <c r="N32" s="5">
        <v>11.145200000000001</v>
      </c>
      <c r="O32" s="5" t="s">
        <v>39</v>
      </c>
      <c r="P32" t="s">
        <v>128</v>
      </c>
      <c r="Q32" t="s">
        <v>163</v>
      </c>
      <c r="R32" t="s">
        <v>164</v>
      </c>
      <c r="S32" t="s">
        <v>165</v>
      </c>
      <c r="T32" t="s">
        <v>43</v>
      </c>
      <c r="U32" t="s">
        <v>44</v>
      </c>
      <c r="V32">
        <v>147</v>
      </c>
      <c r="W32" t="s">
        <v>45</v>
      </c>
      <c r="X32" t="s">
        <v>53</v>
      </c>
      <c r="Y32" t="s">
        <v>166</v>
      </c>
      <c r="Z32" t="s">
        <v>37</v>
      </c>
      <c r="AA32" t="s">
        <v>48</v>
      </c>
      <c r="AB32" t="s">
        <v>37</v>
      </c>
      <c r="AC32" s="6" t="s">
        <v>37</v>
      </c>
      <c r="AD32" s="6" t="s">
        <v>37</v>
      </c>
      <c r="AE32" t="s">
        <v>37</v>
      </c>
      <c r="AF32" t="s">
        <v>37</v>
      </c>
      <c r="AG32" s="6" t="s">
        <v>37</v>
      </c>
      <c r="AH32" t="s">
        <v>37</v>
      </c>
      <c r="AI32" t="s">
        <v>37</v>
      </c>
      <c r="AJ32" t="str">
        <f t="shared" si="2"/>
        <v>7RAC5F9EB01K7GEG9W</v>
      </c>
    </row>
    <row r="33" spans="1:36" ht="15" customHeight="1" x14ac:dyDescent="0.25">
      <c r="A33" t="s">
        <v>118</v>
      </c>
      <c r="B33" t="s">
        <v>37</v>
      </c>
      <c r="C33" t="s">
        <v>37</v>
      </c>
      <c r="D33" t="s">
        <v>38</v>
      </c>
      <c r="E33" s="4">
        <v>50</v>
      </c>
      <c r="F33" s="5">
        <v>468</v>
      </c>
      <c r="G33" s="5" t="s">
        <v>39</v>
      </c>
      <c r="H33" s="5">
        <v>696.5</v>
      </c>
      <c r="I33" s="5" t="s">
        <v>39</v>
      </c>
      <c r="J33" s="5">
        <v>15.912000000000001</v>
      </c>
      <c r="K33" s="5">
        <f t="shared" si="0"/>
        <v>0.31824000000000002</v>
      </c>
      <c r="L33" s="5">
        <f t="shared" si="1"/>
        <v>9.36</v>
      </c>
      <c r="M33" s="5" t="s">
        <v>39</v>
      </c>
      <c r="N33" s="5">
        <v>15.912000000000001</v>
      </c>
      <c r="O33" s="5" t="s">
        <v>39</v>
      </c>
      <c r="P33" t="s">
        <v>167</v>
      </c>
      <c r="Q33" t="s">
        <v>84</v>
      </c>
      <c r="R33" t="s">
        <v>85</v>
      </c>
      <c r="S33" t="s">
        <v>86</v>
      </c>
      <c r="T33" t="s">
        <v>43</v>
      </c>
      <c r="U33" t="s">
        <v>44</v>
      </c>
      <c r="V33">
        <v>147</v>
      </c>
      <c r="W33" t="s">
        <v>45</v>
      </c>
      <c r="X33" t="s">
        <v>53</v>
      </c>
      <c r="Y33" t="s">
        <v>87</v>
      </c>
      <c r="Z33" t="s">
        <v>37</v>
      </c>
      <c r="AA33" t="s">
        <v>48</v>
      </c>
      <c r="AB33" t="s">
        <v>37</v>
      </c>
      <c r="AC33" s="6" t="s">
        <v>37</v>
      </c>
      <c r="AD33" s="6" t="s">
        <v>37</v>
      </c>
      <c r="AE33" t="s">
        <v>37</v>
      </c>
      <c r="AF33" t="s">
        <v>37</v>
      </c>
      <c r="AG33" s="6" t="s">
        <v>37</v>
      </c>
      <c r="AH33" t="s">
        <v>37</v>
      </c>
      <c r="AI33" t="s">
        <v>37</v>
      </c>
      <c r="AJ33" t="str">
        <f t="shared" si="2"/>
        <v>31QWZ6KBB01A9GXEOI</v>
      </c>
    </row>
    <row r="34" spans="1:36" ht="15" customHeight="1" x14ac:dyDescent="0.25">
      <c r="A34" t="s">
        <v>36</v>
      </c>
      <c r="B34" t="s">
        <v>37</v>
      </c>
      <c r="C34" t="s">
        <v>37</v>
      </c>
      <c r="D34" t="s">
        <v>38</v>
      </c>
      <c r="E34" s="4">
        <v>16</v>
      </c>
      <c r="F34" s="5">
        <v>1113.76</v>
      </c>
      <c r="G34" s="5" t="s">
        <v>39</v>
      </c>
      <c r="H34" s="5">
        <v>1691.84</v>
      </c>
      <c r="I34" s="5" t="s">
        <v>39</v>
      </c>
      <c r="J34" s="5">
        <v>37.867840000000001</v>
      </c>
      <c r="K34" s="5">
        <f t="shared" si="0"/>
        <v>2.3667400000000001</v>
      </c>
      <c r="L34" s="5">
        <f t="shared" si="1"/>
        <v>69.61</v>
      </c>
      <c r="M34" s="5" t="s">
        <v>39</v>
      </c>
      <c r="N34" s="5">
        <v>37.867840000000001</v>
      </c>
      <c r="O34" s="5" t="s">
        <v>39</v>
      </c>
      <c r="P34" t="s">
        <v>168</v>
      </c>
      <c r="Q34" t="s">
        <v>169</v>
      </c>
      <c r="R34" t="s">
        <v>37</v>
      </c>
      <c r="S34" t="s">
        <v>170</v>
      </c>
      <c r="T34" t="s">
        <v>43</v>
      </c>
      <c r="U34" t="s">
        <v>44</v>
      </c>
      <c r="V34">
        <v>147</v>
      </c>
      <c r="W34" t="s">
        <v>45</v>
      </c>
      <c r="X34" t="s">
        <v>60</v>
      </c>
      <c r="Y34" t="s">
        <v>171</v>
      </c>
      <c r="Z34" t="s">
        <v>37</v>
      </c>
      <c r="AA34" t="s">
        <v>55</v>
      </c>
      <c r="AB34" t="s">
        <v>37</v>
      </c>
      <c r="AC34" s="6" t="s">
        <v>37</v>
      </c>
      <c r="AD34" s="6" t="s">
        <v>37</v>
      </c>
      <c r="AE34" t="s">
        <v>37</v>
      </c>
      <c r="AF34" t="s">
        <v>37</v>
      </c>
      <c r="AG34" s="6" t="s">
        <v>37</v>
      </c>
      <c r="AH34" t="s">
        <v>37</v>
      </c>
      <c r="AI34" t="s">
        <v>37</v>
      </c>
      <c r="AJ34" t="str">
        <f t="shared" si="2"/>
        <v>2R6FMUZDB07W4DH65R</v>
      </c>
    </row>
    <row r="35" spans="1:36" ht="15" customHeight="1" x14ac:dyDescent="0.25">
      <c r="A35" t="s">
        <v>76</v>
      </c>
      <c r="B35" t="s">
        <v>37</v>
      </c>
      <c r="C35" t="s">
        <v>37</v>
      </c>
      <c r="D35" t="s">
        <v>38</v>
      </c>
      <c r="E35" s="4">
        <v>2870</v>
      </c>
      <c r="F35" s="5">
        <v>47039.3</v>
      </c>
      <c r="G35" s="5" t="s">
        <v>39</v>
      </c>
      <c r="H35" s="5">
        <v>70544.600000000006</v>
      </c>
      <c r="I35" s="5" t="s">
        <v>39</v>
      </c>
      <c r="J35" s="5">
        <v>1599.3362</v>
      </c>
      <c r="K35" s="5">
        <f t="shared" si="0"/>
        <v>0.55725999999999998</v>
      </c>
      <c r="L35" s="5">
        <f t="shared" si="1"/>
        <v>16.39</v>
      </c>
      <c r="M35" s="5" t="s">
        <v>39</v>
      </c>
      <c r="N35" s="5">
        <v>1599.3362</v>
      </c>
      <c r="O35" s="5" t="s">
        <v>39</v>
      </c>
      <c r="P35" t="s">
        <v>172</v>
      </c>
      <c r="Q35" t="s">
        <v>173</v>
      </c>
      <c r="R35" t="s">
        <v>37</v>
      </c>
      <c r="S35" t="s">
        <v>174</v>
      </c>
      <c r="T35" t="s">
        <v>43</v>
      </c>
      <c r="U35" t="s">
        <v>44</v>
      </c>
      <c r="V35">
        <v>147</v>
      </c>
      <c r="W35" t="s">
        <v>45</v>
      </c>
      <c r="X35" t="s">
        <v>60</v>
      </c>
      <c r="Y35" t="s">
        <v>175</v>
      </c>
      <c r="Z35" t="s">
        <v>37</v>
      </c>
      <c r="AA35" t="s">
        <v>55</v>
      </c>
      <c r="AB35" t="s">
        <v>37</v>
      </c>
      <c r="AC35" s="6" t="s">
        <v>37</v>
      </c>
      <c r="AD35" s="6" t="s">
        <v>37</v>
      </c>
      <c r="AE35" t="s">
        <v>37</v>
      </c>
      <c r="AF35" t="s">
        <v>37</v>
      </c>
      <c r="AG35" s="6" t="s">
        <v>37</v>
      </c>
      <c r="AH35" t="s">
        <v>37</v>
      </c>
      <c r="AI35" t="s">
        <v>37</v>
      </c>
      <c r="AJ35" t="str">
        <f t="shared" si="2"/>
        <v>2LZI7R4TB077BT728N</v>
      </c>
    </row>
    <row r="36" spans="1:36" ht="15" customHeight="1" x14ac:dyDescent="0.25">
      <c r="A36" t="s">
        <v>176</v>
      </c>
      <c r="B36" t="s">
        <v>37</v>
      </c>
      <c r="C36" t="s">
        <v>37</v>
      </c>
      <c r="D36" t="s">
        <v>38</v>
      </c>
      <c r="E36" s="4">
        <v>8</v>
      </c>
      <c r="F36" s="5">
        <v>603.28</v>
      </c>
      <c r="G36" s="5" t="s">
        <v>39</v>
      </c>
      <c r="H36" s="5">
        <v>885.2</v>
      </c>
      <c r="I36" s="5" t="s">
        <v>39</v>
      </c>
      <c r="J36" s="5">
        <v>20.511520000000001</v>
      </c>
      <c r="K36" s="5">
        <f t="shared" si="0"/>
        <v>2.5639400000000001</v>
      </c>
      <c r="L36" s="5">
        <f t="shared" si="1"/>
        <v>75.41</v>
      </c>
      <c r="M36" s="5" t="s">
        <v>39</v>
      </c>
      <c r="N36" s="5">
        <v>20.511520000000001</v>
      </c>
      <c r="O36" s="5" t="s">
        <v>39</v>
      </c>
      <c r="P36" t="s">
        <v>72</v>
      </c>
      <c r="Q36" t="s">
        <v>73</v>
      </c>
      <c r="R36" t="s">
        <v>37</v>
      </c>
      <c r="S36" t="s">
        <v>74</v>
      </c>
      <c r="T36" t="s">
        <v>43</v>
      </c>
      <c r="U36" t="s">
        <v>44</v>
      </c>
      <c r="V36">
        <v>147</v>
      </c>
      <c r="W36" t="s">
        <v>45</v>
      </c>
      <c r="X36" t="s">
        <v>53</v>
      </c>
      <c r="Y36" t="s">
        <v>75</v>
      </c>
      <c r="Z36" t="s">
        <v>37</v>
      </c>
      <c r="AA36" t="s">
        <v>48</v>
      </c>
      <c r="AB36" t="s">
        <v>37</v>
      </c>
      <c r="AC36" s="6" t="s">
        <v>37</v>
      </c>
      <c r="AD36" s="6" t="s">
        <v>37</v>
      </c>
      <c r="AE36" t="s">
        <v>37</v>
      </c>
      <c r="AF36" t="s">
        <v>37</v>
      </c>
      <c r="AG36" s="6" t="s">
        <v>37</v>
      </c>
      <c r="AH36" t="s">
        <v>37</v>
      </c>
      <c r="AI36" t="s">
        <v>37</v>
      </c>
      <c r="AJ36" t="str">
        <f t="shared" si="2"/>
        <v>4GF112AEB07W4DGFSM</v>
      </c>
    </row>
    <row r="37" spans="1:36" ht="15" customHeight="1" x14ac:dyDescent="0.25">
      <c r="A37" t="s">
        <v>110</v>
      </c>
      <c r="B37" t="s">
        <v>37</v>
      </c>
      <c r="C37" t="s">
        <v>37</v>
      </c>
      <c r="D37" t="s">
        <v>38</v>
      </c>
      <c r="E37" s="4">
        <v>4</v>
      </c>
      <c r="F37" s="5">
        <v>301.64</v>
      </c>
      <c r="G37" s="5" t="s">
        <v>39</v>
      </c>
      <c r="H37" s="5">
        <v>442.6</v>
      </c>
      <c r="I37" s="5" t="s">
        <v>39</v>
      </c>
      <c r="J37" s="5">
        <v>10.25576</v>
      </c>
      <c r="K37" s="5">
        <f t="shared" si="0"/>
        <v>2.5639400000000001</v>
      </c>
      <c r="L37" s="5">
        <f t="shared" si="1"/>
        <v>75.41</v>
      </c>
      <c r="M37" s="5" t="s">
        <v>39</v>
      </c>
      <c r="N37" s="5">
        <v>10.25576</v>
      </c>
      <c r="O37" s="5" t="s">
        <v>39</v>
      </c>
      <c r="P37" t="s">
        <v>72</v>
      </c>
      <c r="Q37" t="s">
        <v>73</v>
      </c>
      <c r="R37" t="s">
        <v>37</v>
      </c>
      <c r="S37" t="s">
        <v>74</v>
      </c>
      <c r="T37" t="s">
        <v>43</v>
      </c>
      <c r="U37" t="s">
        <v>44</v>
      </c>
      <c r="V37">
        <v>147</v>
      </c>
      <c r="W37" t="s">
        <v>45</v>
      </c>
      <c r="X37" t="s">
        <v>53</v>
      </c>
      <c r="Y37" t="s">
        <v>75</v>
      </c>
      <c r="Z37" t="s">
        <v>37</v>
      </c>
      <c r="AA37" t="s">
        <v>48</v>
      </c>
      <c r="AB37" t="s">
        <v>37</v>
      </c>
      <c r="AC37" s="6" t="s">
        <v>37</v>
      </c>
      <c r="AD37" s="6" t="s">
        <v>37</v>
      </c>
      <c r="AE37" t="s">
        <v>37</v>
      </c>
      <c r="AF37" t="s">
        <v>37</v>
      </c>
      <c r="AG37" s="6" t="s">
        <v>37</v>
      </c>
      <c r="AH37" t="s">
        <v>37</v>
      </c>
      <c r="AI37" t="s">
        <v>37</v>
      </c>
      <c r="AJ37" t="str">
        <f t="shared" si="2"/>
        <v>4GF112AEB07W4DGFSM</v>
      </c>
    </row>
    <row r="38" spans="1:36" ht="15" customHeight="1" x14ac:dyDescent="0.25">
      <c r="A38" t="s">
        <v>62</v>
      </c>
      <c r="B38" t="s">
        <v>37</v>
      </c>
      <c r="C38" t="s">
        <v>37</v>
      </c>
      <c r="D38" t="s">
        <v>38</v>
      </c>
      <c r="E38" s="4">
        <v>24</v>
      </c>
      <c r="F38" s="5">
        <v>696.24</v>
      </c>
      <c r="G38" s="5" t="s">
        <v>39</v>
      </c>
      <c r="H38" s="5">
        <v>1160.4000000000001</v>
      </c>
      <c r="I38" s="5" t="s">
        <v>39</v>
      </c>
      <c r="J38" s="5">
        <v>23.672160000000002</v>
      </c>
      <c r="K38" s="5">
        <f t="shared" si="0"/>
        <v>0.98634000000000011</v>
      </c>
      <c r="L38" s="5">
        <f t="shared" si="1"/>
        <v>29.01</v>
      </c>
      <c r="M38" s="5" t="s">
        <v>39</v>
      </c>
      <c r="N38" s="5">
        <v>23.672160000000002</v>
      </c>
      <c r="O38" s="5" t="s">
        <v>39</v>
      </c>
      <c r="P38" t="s">
        <v>177</v>
      </c>
      <c r="Q38" t="s">
        <v>178</v>
      </c>
      <c r="R38" t="s">
        <v>37</v>
      </c>
      <c r="S38" t="s">
        <v>179</v>
      </c>
      <c r="T38" t="s">
        <v>43</v>
      </c>
      <c r="U38" t="s">
        <v>44</v>
      </c>
      <c r="V38">
        <v>147</v>
      </c>
      <c r="W38" t="s">
        <v>180</v>
      </c>
      <c r="X38" t="s">
        <v>53</v>
      </c>
      <c r="Y38" t="s">
        <v>181</v>
      </c>
      <c r="Z38" t="s">
        <v>37</v>
      </c>
      <c r="AA38" t="s">
        <v>55</v>
      </c>
      <c r="AB38" t="s">
        <v>37</v>
      </c>
      <c r="AC38" s="6" t="s">
        <v>37</v>
      </c>
      <c r="AD38" s="6" t="s">
        <v>37</v>
      </c>
      <c r="AE38" t="s">
        <v>37</v>
      </c>
      <c r="AF38" t="s">
        <v>37</v>
      </c>
      <c r="AG38" s="6" t="s">
        <v>37</v>
      </c>
      <c r="AH38" t="s">
        <v>37</v>
      </c>
      <c r="AI38" t="s">
        <v>37</v>
      </c>
      <c r="AJ38" t="str">
        <f t="shared" si="2"/>
        <v>4F3XMHTVB0766JZ8Q3</v>
      </c>
    </row>
    <row r="39" spans="1:36" ht="15" customHeight="1" x14ac:dyDescent="0.25">
      <c r="A39" t="s">
        <v>101</v>
      </c>
      <c r="B39" t="s">
        <v>37</v>
      </c>
      <c r="C39" t="s">
        <v>37</v>
      </c>
      <c r="D39" t="s">
        <v>38</v>
      </c>
      <c r="E39" s="4">
        <v>50</v>
      </c>
      <c r="F39" s="5">
        <v>468</v>
      </c>
      <c r="G39" s="5" t="s">
        <v>39</v>
      </c>
      <c r="H39" s="5">
        <v>696.5</v>
      </c>
      <c r="I39" s="5" t="s">
        <v>39</v>
      </c>
      <c r="J39" s="5">
        <v>15.912000000000001</v>
      </c>
      <c r="K39" s="5">
        <f t="shared" si="0"/>
        <v>0.31824000000000002</v>
      </c>
      <c r="L39" s="5">
        <f t="shared" si="1"/>
        <v>9.36</v>
      </c>
      <c r="M39" s="5" t="s">
        <v>39</v>
      </c>
      <c r="N39" s="5">
        <v>15.912000000000001</v>
      </c>
      <c r="O39" s="5" t="s">
        <v>39</v>
      </c>
      <c r="P39" t="s">
        <v>120</v>
      </c>
      <c r="Q39" t="s">
        <v>182</v>
      </c>
      <c r="R39" t="s">
        <v>183</v>
      </c>
      <c r="S39" t="s">
        <v>184</v>
      </c>
      <c r="T39" t="s">
        <v>43</v>
      </c>
      <c r="U39" t="s">
        <v>44</v>
      </c>
      <c r="V39">
        <v>147</v>
      </c>
      <c r="W39" t="s">
        <v>45</v>
      </c>
      <c r="X39" t="s">
        <v>53</v>
      </c>
      <c r="Y39" t="s">
        <v>185</v>
      </c>
      <c r="Z39" t="s">
        <v>37</v>
      </c>
      <c r="AA39" t="s">
        <v>48</v>
      </c>
      <c r="AB39" t="s">
        <v>37</v>
      </c>
      <c r="AC39" s="6" t="s">
        <v>37</v>
      </c>
      <c r="AD39" s="6" t="s">
        <v>37</v>
      </c>
      <c r="AE39" t="s">
        <v>37</v>
      </c>
      <c r="AF39" t="s">
        <v>37</v>
      </c>
      <c r="AG39" s="6" t="s">
        <v>37</v>
      </c>
      <c r="AH39" t="s">
        <v>37</v>
      </c>
      <c r="AI39" t="s">
        <v>37</v>
      </c>
      <c r="AJ39" t="str">
        <f t="shared" si="2"/>
        <v>5MWU8WTDB01A9HC69G</v>
      </c>
    </row>
    <row r="40" spans="1:36" ht="15" customHeight="1" x14ac:dyDescent="0.25">
      <c r="A40" t="s">
        <v>96</v>
      </c>
      <c r="B40" t="s">
        <v>37</v>
      </c>
      <c r="C40" t="s">
        <v>37</v>
      </c>
      <c r="D40" t="s">
        <v>38</v>
      </c>
      <c r="E40" s="4">
        <v>8</v>
      </c>
      <c r="F40" s="5">
        <v>882.16</v>
      </c>
      <c r="G40" s="5" t="s">
        <v>39</v>
      </c>
      <c r="H40" s="5">
        <v>1832</v>
      </c>
      <c r="I40" s="5" t="s">
        <v>39</v>
      </c>
      <c r="J40" s="5">
        <v>29.99344</v>
      </c>
      <c r="K40" s="5">
        <f t="shared" si="0"/>
        <v>3.74918</v>
      </c>
      <c r="L40" s="5">
        <f t="shared" si="1"/>
        <v>110.27</v>
      </c>
      <c r="M40" s="5" t="s">
        <v>39</v>
      </c>
      <c r="N40" s="5">
        <v>29.99344</v>
      </c>
      <c r="O40" s="5" t="s">
        <v>39</v>
      </c>
      <c r="P40" t="s">
        <v>186</v>
      </c>
      <c r="Q40" t="s">
        <v>187</v>
      </c>
      <c r="R40" t="s">
        <v>37</v>
      </c>
      <c r="S40" t="s">
        <v>188</v>
      </c>
      <c r="T40" t="s">
        <v>43</v>
      </c>
      <c r="U40" t="s">
        <v>44</v>
      </c>
      <c r="V40">
        <v>23</v>
      </c>
      <c r="W40" t="s">
        <v>189</v>
      </c>
      <c r="X40" t="s">
        <v>190</v>
      </c>
      <c r="Y40" t="s">
        <v>191</v>
      </c>
      <c r="Z40" t="s">
        <v>37</v>
      </c>
      <c r="AA40" t="s">
        <v>55</v>
      </c>
      <c r="AB40" t="s">
        <v>37</v>
      </c>
      <c r="AC40" s="6" t="s">
        <v>37</v>
      </c>
      <c r="AD40" s="6" t="s">
        <v>37</v>
      </c>
      <c r="AE40" t="s">
        <v>37</v>
      </c>
      <c r="AF40" t="s">
        <v>37</v>
      </c>
      <c r="AG40" s="6" t="s">
        <v>37</v>
      </c>
      <c r="AH40" t="s">
        <v>37</v>
      </c>
      <c r="AI40" t="s">
        <v>37</v>
      </c>
      <c r="AJ40" t="str">
        <f t="shared" si="2"/>
        <v>1M3XYEGXB07W7MSGPL</v>
      </c>
    </row>
    <row r="41" spans="1:36" ht="15" customHeight="1" x14ac:dyDescent="0.25">
      <c r="A41" t="s">
        <v>101</v>
      </c>
      <c r="B41" t="s">
        <v>37</v>
      </c>
      <c r="C41" t="s">
        <v>37</v>
      </c>
      <c r="D41" t="s">
        <v>38</v>
      </c>
      <c r="E41" s="4">
        <v>32</v>
      </c>
      <c r="F41" s="5">
        <v>1030.72</v>
      </c>
      <c r="G41" s="5" t="s">
        <v>39</v>
      </c>
      <c r="H41" s="5">
        <v>1547.2</v>
      </c>
      <c r="I41" s="5" t="s">
        <v>39</v>
      </c>
      <c r="J41" s="5">
        <v>35.04448</v>
      </c>
      <c r="K41" s="5">
        <f t="shared" si="0"/>
        <v>1.09514</v>
      </c>
      <c r="L41" s="5">
        <f t="shared" si="1"/>
        <v>32.21</v>
      </c>
      <c r="M41" s="5" t="s">
        <v>39</v>
      </c>
      <c r="N41" s="5">
        <v>35.04448</v>
      </c>
      <c r="O41" s="5" t="s">
        <v>39</v>
      </c>
      <c r="P41" t="s">
        <v>72</v>
      </c>
      <c r="Q41" t="s">
        <v>192</v>
      </c>
      <c r="R41" t="s">
        <v>37</v>
      </c>
      <c r="S41" t="s">
        <v>193</v>
      </c>
      <c r="T41" t="s">
        <v>43</v>
      </c>
      <c r="U41" t="s">
        <v>44</v>
      </c>
      <c r="V41">
        <v>147</v>
      </c>
      <c r="W41" t="s">
        <v>45</v>
      </c>
      <c r="X41" t="s">
        <v>60</v>
      </c>
      <c r="Y41" t="s">
        <v>194</v>
      </c>
      <c r="Z41" t="s">
        <v>37</v>
      </c>
      <c r="AA41" t="s">
        <v>55</v>
      </c>
      <c r="AB41" t="s">
        <v>37</v>
      </c>
      <c r="AC41" s="6" t="s">
        <v>37</v>
      </c>
      <c r="AD41" s="6" t="s">
        <v>37</v>
      </c>
      <c r="AE41" t="s">
        <v>37</v>
      </c>
      <c r="AF41" t="s">
        <v>37</v>
      </c>
      <c r="AG41" s="6" t="s">
        <v>37</v>
      </c>
      <c r="AH41" t="s">
        <v>37</v>
      </c>
      <c r="AI41" t="s">
        <v>37</v>
      </c>
      <c r="AJ41" t="str">
        <f t="shared" si="2"/>
        <v>4GF112AEB07W5JKPFG</v>
      </c>
    </row>
    <row r="42" spans="1:36" ht="15" customHeight="1" x14ac:dyDescent="0.25">
      <c r="A42" t="s">
        <v>176</v>
      </c>
      <c r="B42" t="s">
        <v>37</v>
      </c>
      <c r="C42" t="s">
        <v>37</v>
      </c>
      <c r="D42" t="s">
        <v>38</v>
      </c>
      <c r="E42" s="4">
        <v>0</v>
      </c>
      <c r="F42" s="5">
        <v>0</v>
      </c>
      <c r="G42" s="5" t="s">
        <v>39</v>
      </c>
      <c r="H42" s="5">
        <v>0</v>
      </c>
      <c r="I42" s="5" t="s">
        <v>39</v>
      </c>
      <c r="J42" s="5">
        <v>0</v>
      </c>
      <c r="K42" s="5" t="e">
        <f t="shared" si="0"/>
        <v>#DIV/0!</v>
      </c>
      <c r="L42" s="5" t="e">
        <f t="shared" si="1"/>
        <v>#DIV/0!</v>
      </c>
      <c r="M42" s="5" t="s">
        <v>39</v>
      </c>
      <c r="N42" s="5">
        <v>0</v>
      </c>
      <c r="O42" s="5" t="s">
        <v>39</v>
      </c>
      <c r="P42" t="s">
        <v>128</v>
      </c>
      <c r="Q42" t="s">
        <v>163</v>
      </c>
      <c r="R42" t="s">
        <v>164</v>
      </c>
      <c r="S42" t="s">
        <v>165</v>
      </c>
      <c r="T42" t="s">
        <v>43</v>
      </c>
      <c r="U42" t="s">
        <v>44</v>
      </c>
      <c r="V42">
        <v>147</v>
      </c>
      <c r="W42" t="s">
        <v>45</v>
      </c>
      <c r="X42" t="s">
        <v>53</v>
      </c>
      <c r="Y42" t="s">
        <v>166</v>
      </c>
      <c r="Z42" t="s">
        <v>37</v>
      </c>
      <c r="AA42" t="s">
        <v>48</v>
      </c>
      <c r="AB42" t="s">
        <v>37</v>
      </c>
      <c r="AC42" s="6" t="s">
        <v>37</v>
      </c>
      <c r="AD42" s="6" t="s">
        <v>37</v>
      </c>
      <c r="AE42" t="s">
        <v>37</v>
      </c>
      <c r="AF42" t="s">
        <v>37</v>
      </c>
      <c r="AG42" s="6" t="s">
        <v>37</v>
      </c>
      <c r="AH42" t="s">
        <v>37</v>
      </c>
      <c r="AI42" t="s">
        <v>37</v>
      </c>
      <c r="AJ42" t="str">
        <f t="shared" si="2"/>
        <v>7RAC5F9EB01K7GEG9W</v>
      </c>
    </row>
    <row r="43" spans="1:36" ht="15" customHeight="1" x14ac:dyDescent="0.25">
      <c r="A43" t="s">
        <v>110</v>
      </c>
      <c r="B43" t="s">
        <v>37</v>
      </c>
      <c r="C43" t="s">
        <v>37</v>
      </c>
      <c r="D43" t="s">
        <v>38</v>
      </c>
      <c r="E43" s="4">
        <v>0</v>
      </c>
      <c r="F43" s="5">
        <v>0</v>
      </c>
      <c r="G43" s="5" t="s">
        <v>39</v>
      </c>
      <c r="H43" s="5">
        <v>0</v>
      </c>
      <c r="I43" s="5" t="s">
        <v>39</v>
      </c>
      <c r="J43" s="5">
        <v>0</v>
      </c>
      <c r="K43" s="5" t="e">
        <f t="shared" si="0"/>
        <v>#DIV/0!</v>
      </c>
      <c r="L43" s="5" t="e">
        <f t="shared" si="1"/>
        <v>#DIV/0!</v>
      </c>
      <c r="M43" s="5" t="s">
        <v>39</v>
      </c>
      <c r="N43" s="5">
        <v>0</v>
      </c>
      <c r="O43" s="5" t="s">
        <v>39</v>
      </c>
      <c r="P43" t="s">
        <v>128</v>
      </c>
      <c r="Q43" t="s">
        <v>163</v>
      </c>
      <c r="R43" t="s">
        <v>164</v>
      </c>
      <c r="S43" t="s">
        <v>165</v>
      </c>
      <c r="T43" t="s">
        <v>43</v>
      </c>
      <c r="U43" t="s">
        <v>44</v>
      </c>
      <c r="V43">
        <v>147</v>
      </c>
      <c r="W43" t="s">
        <v>45</v>
      </c>
      <c r="X43" t="s">
        <v>53</v>
      </c>
      <c r="Y43" t="s">
        <v>166</v>
      </c>
      <c r="Z43" t="s">
        <v>37</v>
      </c>
      <c r="AA43" t="s">
        <v>48</v>
      </c>
      <c r="AB43" t="s">
        <v>37</v>
      </c>
      <c r="AC43" s="6" t="s">
        <v>37</v>
      </c>
      <c r="AD43" s="6" t="s">
        <v>37</v>
      </c>
      <c r="AE43" t="s">
        <v>37</v>
      </c>
      <c r="AF43" t="s">
        <v>37</v>
      </c>
      <c r="AG43" s="6" t="s">
        <v>37</v>
      </c>
      <c r="AH43" t="s">
        <v>37</v>
      </c>
      <c r="AI43" t="s">
        <v>37</v>
      </c>
      <c r="AJ43" t="str">
        <f t="shared" si="2"/>
        <v>7RAC5F9EB01K7GEG9W</v>
      </c>
    </row>
    <row r="44" spans="1:36" ht="15" customHeight="1" x14ac:dyDescent="0.25">
      <c r="A44" t="s">
        <v>49</v>
      </c>
      <c r="B44" t="s">
        <v>37</v>
      </c>
      <c r="C44" t="s">
        <v>37</v>
      </c>
      <c r="D44" t="s">
        <v>38</v>
      </c>
      <c r="E44" s="4">
        <v>4</v>
      </c>
      <c r="F44" s="5">
        <v>420</v>
      </c>
      <c r="G44" s="5" t="s">
        <v>39</v>
      </c>
      <c r="H44" s="5">
        <v>704.92</v>
      </c>
      <c r="I44" s="5" t="s">
        <v>39</v>
      </c>
      <c r="J44" s="5">
        <v>14.28</v>
      </c>
      <c r="K44" s="5">
        <f t="shared" si="0"/>
        <v>3.57</v>
      </c>
      <c r="L44" s="5">
        <f t="shared" si="1"/>
        <v>105</v>
      </c>
      <c r="M44" s="5" t="s">
        <v>39</v>
      </c>
      <c r="N44" s="5">
        <v>14.28</v>
      </c>
      <c r="O44" s="5" t="s">
        <v>39</v>
      </c>
      <c r="P44" t="s">
        <v>195</v>
      </c>
      <c r="Q44" t="s">
        <v>196</v>
      </c>
      <c r="R44" t="s">
        <v>37</v>
      </c>
      <c r="S44" t="s">
        <v>197</v>
      </c>
      <c r="T44" t="s">
        <v>43</v>
      </c>
      <c r="U44" t="s">
        <v>44</v>
      </c>
      <c r="V44">
        <v>147</v>
      </c>
      <c r="W44" t="s">
        <v>45</v>
      </c>
      <c r="X44" t="s">
        <v>46</v>
      </c>
      <c r="Y44" t="s">
        <v>198</v>
      </c>
      <c r="Z44" t="s">
        <v>37</v>
      </c>
      <c r="AA44" t="s">
        <v>95</v>
      </c>
      <c r="AB44" t="s">
        <v>37</v>
      </c>
      <c r="AC44" s="6" t="s">
        <v>37</v>
      </c>
      <c r="AD44" s="6" t="s">
        <v>37</v>
      </c>
      <c r="AE44" t="s">
        <v>37</v>
      </c>
      <c r="AF44" t="s">
        <v>37</v>
      </c>
      <c r="AG44" s="6" t="s">
        <v>37</v>
      </c>
      <c r="AH44" t="s">
        <v>37</v>
      </c>
      <c r="AI44" t="s">
        <v>37</v>
      </c>
      <c r="AJ44" t="str">
        <f t="shared" si="2"/>
        <v>5X1OU9ZGB07MTY7N22</v>
      </c>
    </row>
    <row r="45" spans="1:36" ht="15" customHeight="1" x14ac:dyDescent="0.25">
      <c r="A45" t="s">
        <v>96</v>
      </c>
      <c r="B45" t="s">
        <v>37</v>
      </c>
      <c r="C45" t="s">
        <v>37</v>
      </c>
      <c r="D45" t="s">
        <v>38</v>
      </c>
      <c r="E45" s="4">
        <v>48</v>
      </c>
      <c r="F45" s="5">
        <v>5040</v>
      </c>
      <c r="G45" s="5" t="s">
        <v>39</v>
      </c>
      <c r="H45" s="5">
        <v>8459.0400000000009</v>
      </c>
      <c r="I45" s="5" t="s">
        <v>39</v>
      </c>
      <c r="J45" s="5">
        <v>171.36</v>
      </c>
      <c r="K45" s="5">
        <f t="shared" si="0"/>
        <v>3.5700000000000003</v>
      </c>
      <c r="L45" s="5">
        <f t="shared" si="1"/>
        <v>105</v>
      </c>
      <c r="M45" s="5" t="s">
        <v>39</v>
      </c>
      <c r="N45" s="5">
        <v>171.36</v>
      </c>
      <c r="O45" s="5" t="s">
        <v>39</v>
      </c>
      <c r="P45" t="s">
        <v>195</v>
      </c>
      <c r="Q45" t="s">
        <v>196</v>
      </c>
      <c r="R45" t="s">
        <v>37</v>
      </c>
      <c r="S45" t="s">
        <v>197</v>
      </c>
      <c r="T45" t="s">
        <v>43</v>
      </c>
      <c r="U45" t="s">
        <v>44</v>
      </c>
      <c r="V45">
        <v>147</v>
      </c>
      <c r="W45" t="s">
        <v>45</v>
      </c>
      <c r="X45" t="s">
        <v>46</v>
      </c>
      <c r="Y45" t="s">
        <v>198</v>
      </c>
      <c r="Z45" t="s">
        <v>37</v>
      </c>
      <c r="AA45" t="s">
        <v>95</v>
      </c>
      <c r="AB45" t="s">
        <v>37</v>
      </c>
      <c r="AC45" s="6" t="s">
        <v>37</v>
      </c>
      <c r="AD45" s="6" t="s">
        <v>37</v>
      </c>
      <c r="AE45" t="s">
        <v>37</v>
      </c>
      <c r="AF45" t="s">
        <v>37</v>
      </c>
      <c r="AG45" s="6" t="s">
        <v>37</v>
      </c>
      <c r="AH45" t="s">
        <v>37</v>
      </c>
      <c r="AI45" t="s">
        <v>37</v>
      </c>
      <c r="AJ45" t="str">
        <f t="shared" si="2"/>
        <v>5X1OU9ZGB07MTY7N22</v>
      </c>
    </row>
    <row r="46" spans="1:36" ht="15" customHeight="1" x14ac:dyDescent="0.25">
      <c r="A46" t="s">
        <v>56</v>
      </c>
      <c r="B46" t="s">
        <v>37</v>
      </c>
      <c r="C46" t="s">
        <v>37</v>
      </c>
      <c r="D46" t="s">
        <v>38</v>
      </c>
      <c r="E46" s="4">
        <v>4</v>
      </c>
      <c r="F46" s="5">
        <v>230.04</v>
      </c>
      <c r="G46" s="5" t="s">
        <v>39</v>
      </c>
      <c r="H46" s="5">
        <v>340.96</v>
      </c>
      <c r="I46" s="5" t="s">
        <v>39</v>
      </c>
      <c r="J46" s="5">
        <v>7.8213600000000003</v>
      </c>
      <c r="K46" s="5">
        <f t="shared" si="0"/>
        <v>1.9553400000000001</v>
      </c>
      <c r="L46" s="5">
        <f t="shared" si="1"/>
        <v>57.51</v>
      </c>
      <c r="M46" s="5" t="s">
        <v>39</v>
      </c>
      <c r="N46" s="5">
        <v>7.8213600000000003</v>
      </c>
      <c r="O46" s="5" t="s">
        <v>39</v>
      </c>
      <c r="P46" t="s">
        <v>57</v>
      </c>
      <c r="Q46" t="s">
        <v>199</v>
      </c>
      <c r="R46" t="s">
        <v>37</v>
      </c>
      <c r="S46" t="s">
        <v>200</v>
      </c>
      <c r="T46" t="s">
        <v>43</v>
      </c>
      <c r="U46" t="s">
        <v>44</v>
      </c>
      <c r="V46">
        <v>147</v>
      </c>
      <c r="W46" t="s">
        <v>45</v>
      </c>
      <c r="X46" t="s">
        <v>46</v>
      </c>
      <c r="Y46" t="s">
        <v>201</v>
      </c>
      <c r="Z46" t="s">
        <v>37</v>
      </c>
      <c r="AA46" t="s">
        <v>48</v>
      </c>
      <c r="AB46" t="s">
        <v>37</v>
      </c>
      <c r="AC46" s="6" t="s">
        <v>37</v>
      </c>
      <c r="AD46" s="6" t="s">
        <v>37</v>
      </c>
      <c r="AE46" t="s">
        <v>37</v>
      </c>
      <c r="AF46" t="s">
        <v>37</v>
      </c>
      <c r="AG46" s="6" t="s">
        <v>37</v>
      </c>
      <c r="AH46" t="s">
        <v>37</v>
      </c>
      <c r="AI46" t="s">
        <v>37</v>
      </c>
      <c r="AJ46" t="str">
        <f t="shared" si="2"/>
        <v>3GBCH66MB06XPHQW6G</v>
      </c>
    </row>
    <row r="47" spans="1:36" ht="15" customHeight="1" x14ac:dyDescent="0.25">
      <c r="A47" t="s">
        <v>118</v>
      </c>
      <c r="B47" t="s">
        <v>37</v>
      </c>
      <c r="C47" t="s">
        <v>37</v>
      </c>
      <c r="D47" t="s">
        <v>38</v>
      </c>
      <c r="E47" s="4">
        <v>64</v>
      </c>
      <c r="F47" s="5">
        <v>7480.96</v>
      </c>
      <c r="G47" s="5" t="s">
        <v>39</v>
      </c>
      <c r="H47" s="5">
        <v>9390.08</v>
      </c>
      <c r="I47" s="5" t="s">
        <v>39</v>
      </c>
      <c r="J47" s="5">
        <v>254.35264000000001</v>
      </c>
      <c r="K47" s="5">
        <f t="shared" si="0"/>
        <v>3.9742600000000001</v>
      </c>
      <c r="L47" s="5">
        <f t="shared" si="1"/>
        <v>116.89</v>
      </c>
      <c r="M47" s="5" t="s">
        <v>39</v>
      </c>
      <c r="N47" s="5">
        <v>254.35264000000001</v>
      </c>
      <c r="O47" s="5" t="s">
        <v>39</v>
      </c>
      <c r="P47" t="s">
        <v>202</v>
      </c>
      <c r="Q47" t="s">
        <v>203</v>
      </c>
      <c r="R47" t="s">
        <v>37</v>
      </c>
      <c r="S47" t="s">
        <v>204</v>
      </c>
      <c r="T47" t="s">
        <v>43</v>
      </c>
      <c r="U47" t="s">
        <v>44</v>
      </c>
      <c r="V47">
        <v>147</v>
      </c>
      <c r="W47" t="s">
        <v>45</v>
      </c>
      <c r="X47" t="s">
        <v>46</v>
      </c>
      <c r="Y47" t="s">
        <v>205</v>
      </c>
      <c r="Z47" t="s">
        <v>37</v>
      </c>
      <c r="AA47" t="s">
        <v>55</v>
      </c>
      <c r="AB47" t="s">
        <v>37</v>
      </c>
      <c r="AC47" s="6" t="s">
        <v>37</v>
      </c>
      <c r="AD47" s="6" t="s">
        <v>37</v>
      </c>
      <c r="AE47" t="s">
        <v>37</v>
      </c>
      <c r="AF47" t="s">
        <v>37</v>
      </c>
      <c r="AG47" s="6" t="s">
        <v>37</v>
      </c>
      <c r="AH47" t="s">
        <v>37</v>
      </c>
      <c r="AI47" t="s">
        <v>37</v>
      </c>
      <c r="AJ47" t="str">
        <f t="shared" si="2"/>
        <v>39TAD6PCB07PMKHMFS</v>
      </c>
    </row>
    <row r="48" spans="1:36" ht="15" customHeight="1" x14ac:dyDescent="0.25">
      <c r="A48" t="s">
        <v>101</v>
      </c>
      <c r="B48" t="s">
        <v>37</v>
      </c>
      <c r="C48" t="s">
        <v>37</v>
      </c>
      <c r="D48" t="s">
        <v>38</v>
      </c>
      <c r="E48" s="4">
        <v>68</v>
      </c>
      <c r="F48" s="5">
        <v>4987.12</v>
      </c>
      <c r="G48" s="5" t="s">
        <v>39</v>
      </c>
      <c r="H48" s="5">
        <v>8081.8</v>
      </c>
      <c r="I48" s="5" t="s">
        <v>39</v>
      </c>
      <c r="J48" s="5">
        <v>169.56208000000001</v>
      </c>
      <c r="K48" s="5">
        <f t="shared" si="0"/>
        <v>2.49356</v>
      </c>
      <c r="L48" s="5">
        <f t="shared" si="1"/>
        <v>73.34</v>
      </c>
      <c r="M48" s="5" t="s">
        <v>39</v>
      </c>
      <c r="N48" s="5">
        <v>169.56208000000001</v>
      </c>
      <c r="O48" s="5" t="s">
        <v>39</v>
      </c>
      <c r="P48" t="s">
        <v>206</v>
      </c>
      <c r="Q48" t="s">
        <v>207</v>
      </c>
      <c r="R48" t="s">
        <v>37</v>
      </c>
      <c r="S48" t="s">
        <v>208</v>
      </c>
      <c r="T48" t="s">
        <v>43</v>
      </c>
      <c r="U48" t="s">
        <v>44</v>
      </c>
      <c r="V48">
        <v>147</v>
      </c>
      <c r="W48" t="s">
        <v>45</v>
      </c>
      <c r="X48" t="s">
        <v>46</v>
      </c>
      <c r="Y48" t="s">
        <v>209</v>
      </c>
      <c r="Z48" t="s">
        <v>37</v>
      </c>
      <c r="AA48" t="s">
        <v>55</v>
      </c>
      <c r="AB48" t="s">
        <v>37</v>
      </c>
      <c r="AC48" s="6" t="s">
        <v>37</v>
      </c>
      <c r="AD48" s="6" t="s">
        <v>37</v>
      </c>
      <c r="AE48" t="s">
        <v>37</v>
      </c>
      <c r="AF48" t="s">
        <v>37</v>
      </c>
      <c r="AG48" s="6" t="s">
        <v>37</v>
      </c>
      <c r="AH48" t="s">
        <v>37</v>
      </c>
      <c r="AI48" t="s">
        <v>37</v>
      </c>
      <c r="AJ48" t="str">
        <f t="shared" si="2"/>
        <v>1MDL1DPEB073399S1L</v>
      </c>
    </row>
    <row r="49" spans="1:36" ht="15" customHeight="1" x14ac:dyDescent="0.25">
      <c r="A49" t="s">
        <v>127</v>
      </c>
      <c r="B49" t="s">
        <v>37</v>
      </c>
      <c r="C49" t="s">
        <v>37</v>
      </c>
      <c r="D49" t="s">
        <v>38</v>
      </c>
      <c r="E49" s="4">
        <v>40</v>
      </c>
      <c r="F49" s="5">
        <v>655.6</v>
      </c>
      <c r="G49" s="5" t="s">
        <v>39</v>
      </c>
      <c r="H49" s="5">
        <v>983.2</v>
      </c>
      <c r="I49" s="5" t="s">
        <v>39</v>
      </c>
      <c r="J49" s="5">
        <v>22.290400000000002</v>
      </c>
      <c r="K49" s="5">
        <f t="shared" si="0"/>
        <v>0.55726000000000009</v>
      </c>
      <c r="L49" s="5">
        <f t="shared" si="1"/>
        <v>16.39</v>
      </c>
      <c r="M49" s="5" t="s">
        <v>39</v>
      </c>
      <c r="N49" s="5">
        <v>22.290400000000002</v>
      </c>
      <c r="O49" s="5" t="s">
        <v>39</v>
      </c>
      <c r="P49" t="s">
        <v>128</v>
      </c>
      <c r="Q49" t="s">
        <v>163</v>
      </c>
      <c r="R49" t="s">
        <v>164</v>
      </c>
      <c r="S49" t="s">
        <v>165</v>
      </c>
      <c r="T49" t="s">
        <v>43</v>
      </c>
      <c r="U49" t="s">
        <v>44</v>
      </c>
      <c r="V49">
        <v>147</v>
      </c>
      <c r="W49" t="s">
        <v>45</v>
      </c>
      <c r="X49" t="s">
        <v>53</v>
      </c>
      <c r="Y49" t="s">
        <v>166</v>
      </c>
      <c r="Z49" t="s">
        <v>37</v>
      </c>
      <c r="AA49" t="s">
        <v>48</v>
      </c>
      <c r="AB49" t="s">
        <v>37</v>
      </c>
      <c r="AC49" s="6" t="s">
        <v>37</v>
      </c>
      <c r="AD49" s="6" t="s">
        <v>37</v>
      </c>
      <c r="AE49" t="s">
        <v>37</v>
      </c>
      <c r="AF49" t="s">
        <v>37</v>
      </c>
      <c r="AG49" s="6" t="s">
        <v>37</v>
      </c>
      <c r="AH49" t="s">
        <v>37</v>
      </c>
      <c r="AI49" t="s">
        <v>37</v>
      </c>
      <c r="AJ49" t="str">
        <f t="shared" si="2"/>
        <v>7RAC5F9EB01K7GEG9W</v>
      </c>
    </row>
    <row r="50" spans="1:36" ht="15" customHeight="1" x14ac:dyDescent="0.25">
      <c r="A50" t="s">
        <v>36</v>
      </c>
      <c r="B50" t="s">
        <v>37</v>
      </c>
      <c r="C50" t="s">
        <v>37</v>
      </c>
      <c r="D50" t="s">
        <v>38</v>
      </c>
      <c r="E50" s="4">
        <v>400</v>
      </c>
      <c r="F50" s="5">
        <v>6556</v>
      </c>
      <c r="G50" s="5" t="s">
        <v>39</v>
      </c>
      <c r="H50" s="5">
        <v>9832</v>
      </c>
      <c r="I50" s="5" t="s">
        <v>39</v>
      </c>
      <c r="J50" s="5">
        <v>222.904</v>
      </c>
      <c r="K50" s="5">
        <f t="shared" si="0"/>
        <v>0.55725999999999998</v>
      </c>
      <c r="L50" s="5">
        <f t="shared" si="1"/>
        <v>16.39</v>
      </c>
      <c r="M50" s="5" t="s">
        <v>39</v>
      </c>
      <c r="N50" s="5">
        <v>222.904</v>
      </c>
      <c r="O50" s="5" t="s">
        <v>39</v>
      </c>
      <c r="P50" t="s">
        <v>128</v>
      </c>
      <c r="Q50" t="s">
        <v>163</v>
      </c>
      <c r="R50" t="s">
        <v>164</v>
      </c>
      <c r="S50" t="s">
        <v>165</v>
      </c>
      <c r="T50" t="s">
        <v>43</v>
      </c>
      <c r="U50" t="s">
        <v>44</v>
      </c>
      <c r="V50">
        <v>147</v>
      </c>
      <c r="W50" t="s">
        <v>45</v>
      </c>
      <c r="X50" t="s">
        <v>53</v>
      </c>
      <c r="Y50" t="s">
        <v>166</v>
      </c>
      <c r="Z50" t="s">
        <v>37</v>
      </c>
      <c r="AA50" t="s">
        <v>48</v>
      </c>
      <c r="AB50" t="s">
        <v>37</v>
      </c>
      <c r="AC50" s="6" t="s">
        <v>37</v>
      </c>
      <c r="AD50" s="6" t="s">
        <v>37</v>
      </c>
      <c r="AE50" t="s">
        <v>37</v>
      </c>
      <c r="AF50" t="s">
        <v>37</v>
      </c>
      <c r="AG50" s="6" t="s">
        <v>37</v>
      </c>
      <c r="AH50" t="s">
        <v>37</v>
      </c>
      <c r="AI50" t="s">
        <v>37</v>
      </c>
      <c r="AJ50" t="str">
        <f t="shared" si="2"/>
        <v>7RAC5F9EB01K7GEG9W</v>
      </c>
    </row>
    <row r="51" spans="1:36" ht="15" customHeight="1" x14ac:dyDescent="0.25">
      <c r="A51" t="s">
        <v>36</v>
      </c>
      <c r="B51" t="s">
        <v>37</v>
      </c>
      <c r="C51" t="s">
        <v>37</v>
      </c>
      <c r="D51" t="s">
        <v>38</v>
      </c>
      <c r="E51" s="4">
        <v>20</v>
      </c>
      <c r="F51" s="5">
        <v>327.8</v>
      </c>
      <c r="G51" s="5" t="s">
        <v>39</v>
      </c>
      <c r="H51" s="5">
        <v>491.6</v>
      </c>
      <c r="I51" s="5" t="s">
        <v>39</v>
      </c>
      <c r="J51" s="5">
        <v>11.145200000000001</v>
      </c>
      <c r="K51" s="5">
        <f t="shared" si="0"/>
        <v>0.55726000000000009</v>
      </c>
      <c r="L51" s="5">
        <f t="shared" si="1"/>
        <v>16.39</v>
      </c>
      <c r="M51" s="5" t="s">
        <v>39</v>
      </c>
      <c r="N51" s="5">
        <v>11.145200000000001</v>
      </c>
      <c r="O51" s="5" t="s">
        <v>39</v>
      </c>
      <c r="P51" t="s">
        <v>133</v>
      </c>
      <c r="Q51" t="s">
        <v>103</v>
      </c>
      <c r="R51" t="s">
        <v>37</v>
      </c>
      <c r="S51" t="s">
        <v>104</v>
      </c>
      <c r="T51" t="s">
        <v>43</v>
      </c>
      <c r="U51" t="s">
        <v>44</v>
      </c>
      <c r="V51">
        <v>147</v>
      </c>
      <c r="W51" t="s">
        <v>45</v>
      </c>
      <c r="X51" t="s">
        <v>53</v>
      </c>
      <c r="Y51" t="s">
        <v>105</v>
      </c>
      <c r="Z51" t="s">
        <v>37</v>
      </c>
      <c r="AA51" t="s">
        <v>55</v>
      </c>
      <c r="AB51" t="s">
        <v>37</v>
      </c>
      <c r="AC51" s="6" t="s">
        <v>37</v>
      </c>
      <c r="AD51" s="6" t="s">
        <v>37</v>
      </c>
      <c r="AE51" t="s">
        <v>37</v>
      </c>
      <c r="AF51" t="s">
        <v>37</v>
      </c>
      <c r="AG51" s="6" t="s">
        <v>37</v>
      </c>
      <c r="AH51" t="s">
        <v>37</v>
      </c>
      <c r="AI51" t="s">
        <v>37</v>
      </c>
      <c r="AJ51" t="str">
        <f t="shared" si="2"/>
        <v>36BT7GGLB07W7JYP91</v>
      </c>
    </row>
    <row r="52" spans="1:36" ht="15" customHeight="1" x14ac:dyDescent="0.25">
      <c r="A52" t="s">
        <v>210</v>
      </c>
      <c r="B52" t="s">
        <v>37</v>
      </c>
      <c r="C52" t="s">
        <v>37</v>
      </c>
      <c r="D52" t="s">
        <v>38</v>
      </c>
      <c r="E52" s="4">
        <v>8</v>
      </c>
      <c r="F52" s="5">
        <v>257.68</v>
      </c>
      <c r="G52" s="5" t="s">
        <v>39</v>
      </c>
      <c r="H52" s="5">
        <v>386.8</v>
      </c>
      <c r="I52" s="5" t="s">
        <v>39</v>
      </c>
      <c r="J52" s="5">
        <v>8.76112</v>
      </c>
      <c r="K52" s="5">
        <f t="shared" si="0"/>
        <v>1.09514</v>
      </c>
      <c r="L52" s="5">
        <f t="shared" si="1"/>
        <v>32.21</v>
      </c>
      <c r="M52" s="5" t="s">
        <v>39</v>
      </c>
      <c r="N52" s="5">
        <v>8.76112</v>
      </c>
      <c r="O52" s="5" t="s">
        <v>39</v>
      </c>
      <c r="P52" t="s">
        <v>211</v>
      </c>
      <c r="Q52" t="s">
        <v>212</v>
      </c>
      <c r="R52" t="s">
        <v>37</v>
      </c>
      <c r="S52" t="s">
        <v>213</v>
      </c>
      <c r="T52" t="s">
        <v>43</v>
      </c>
      <c r="U52" t="s">
        <v>44</v>
      </c>
      <c r="V52">
        <v>147</v>
      </c>
      <c r="W52" t="s">
        <v>45</v>
      </c>
      <c r="X52" t="s">
        <v>60</v>
      </c>
      <c r="Y52" t="s">
        <v>214</v>
      </c>
      <c r="Z52" t="s">
        <v>37</v>
      </c>
      <c r="AA52" t="s">
        <v>55</v>
      </c>
      <c r="AB52" t="s">
        <v>37</v>
      </c>
      <c r="AC52" s="6" t="s">
        <v>37</v>
      </c>
      <c r="AD52" s="6" t="s">
        <v>37</v>
      </c>
      <c r="AE52" t="s">
        <v>37</v>
      </c>
      <c r="AF52" t="s">
        <v>37</v>
      </c>
      <c r="AG52" s="6" t="s">
        <v>37</v>
      </c>
      <c r="AH52" t="s">
        <v>37</v>
      </c>
      <c r="AI52" t="s">
        <v>37</v>
      </c>
      <c r="AJ52" t="str">
        <f t="shared" si="2"/>
        <v>7ILTX3HJB07W7K1LSC</v>
      </c>
    </row>
    <row r="53" spans="1:36" ht="15" customHeight="1" x14ac:dyDescent="0.25">
      <c r="A53" t="s">
        <v>215</v>
      </c>
      <c r="B53" t="s">
        <v>37</v>
      </c>
      <c r="C53" t="s">
        <v>37</v>
      </c>
      <c r="D53" t="s">
        <v>38</v>
      </c>
      <c r="E53" s="4">
        <v>10</v>
      </c>
      <c r="F53" s="5">
        <v>163.9</v>
      </c>
      <c r="G53" s="5" t="s">
        <v>39</v>
      </c>
      <c r="H53" s="5">
        <v>245.8</v>
      </c>
      <c r="I53" s="5" t="s">
        <v>39</v>
      </c>
      <c r="J53" s="5">
        <v>5.5726000000000004</v>
      </c>
      <c r="K53" s="5">
        <f t="shared" si="0"/>
        <v>0.55726000000000009</v>
      </c>
      <c r="L53" s="5">
        <f t="shared" si="1"/>
        <v>16.39</v>
      </c>
      <c r="M53" s="5" t="s">
        <v>39</v>
      </c>
      <c r="N53" s="5">
        <v>5.5726000000000004</v>
      </c>
      <c r="O53" s="5" t="s">
        <v>39</v>
      </c>
      <c r="P53" t="s">
        <v>128</v>
      </c>
      <c r="Q53" t="s">
        <v>163</v>
      </c>
      <c r="R53" t="s">
        <v>164</v>
      </c>
      <c r="S53" t="s">
        <v>165</v>
      </c>
      <c r="T53" t="s">
        <v>43</v>
      </c>
      <c r="U53" t="s">
        <v>44</v>
      </c>
      <c r="V53">
        <v>147</v>
      </c>
      <c r="W53" t="s">
        <v>45</v>
      </c>
      <c r="X53" t="s">
        <v>53</v>
      </c>
      <c r="Y53" t="s">
        <v>166</v>
      </c>
      <c r="Z53" t="s">
        <v>37</v>
      </c>
      <c r="AA53" t="s">
        <v>48</v>
      </c>
      <c r="AB53" t="s">
        <v>37</v>
      </c>
      <c r="AC53" s="6" t="s">
        <v>37</v>
      </c>
      <c r="AD53" s="6" t="s">
        <v>37</v>
      </c>
      <c r="AE53" t="s">
        <v>37</v>
      </c>
      <c r="AF53" t="s">
        <v>37</v>
      </c>
      <c r="AG53" s="6" t="s">
        <v>37</v>
      </c>
      <c r="AH53" t="s">
        <v>37</v>
      </c>
      <c r="AI53" t="s">
        <v>37</v>
      </c>
      <c r="AJ53" t="str">
        <f t="shared" si="2"/>
        <v>7RAC5F9EB01K7GEG9W</v>
      </c>
    </row>
    <row r="54" spans="1:36" ht="15" customHeight="1" x14ac:dyDescent="0.25">
      <c r="A54" t="s">
        <v>36</v>
      </c>
      <c r="B54" t="s">
        <v>37</v>
      </c>
      <c r="C54" t="s">
        <v>37</v>
      </c>
      <c r="D54" t="s">
        <v>38</v>
      </c>
      <c r="E54" s="4">
        <v>8</v>
      </c>
      <c r="F54" s="5">
        <v>982.48</v>
      </c>
      <c r="G54" s="5" t="s">
        <v>39</v>
      </c>
      <c r="H54" s="5">
        <v>1370.48</v>
      </c>
      <c r="I54" s="5" t="s">
        <v>39</v>
      </c>
      <c r="J54" s="5">
        <v>33.404319999999998</v>
      </c>
      <c r="K54" s="5">
        <f t="shared" si="0"/>
        <v>4.1755399999999998</v>
      </c>
      <c r="L54" s="5">
        <f t="shared" si="1"/>
        <v>122.81</v>
      </c>
      <c r="M54" s="5" t="s">
        <v>39</v>
      </c>
      <c r="N54" s="5">
        <v>33.404319999999998</v>
      </c>
      <c r="O54" s="5" t="s">
        <v>39</v>
      </c>
      <c r="P54" t="s">
        <v>119</v>
      </c>
      <c r="Q54" t="s">
        <v>216</v>
      </c>
      <c r="R54" t="s">
        <v>37</v>
      </c>
      <c r="S54" t="s">
        <v>217</v>
      </c>
      <c r="T54" t="s">
        <v>43</v>
      </c>
      <c r="U54" t="s">
        <v>44</v>
      </c>
      <c r="V54">
        <v>23</v>
      </c>
      <c r="W54" t="s">
        <v>218</v>
      </c>
      <c r="X54" t="s">
        <v>219</v>
      </c>
      <c r="Y54" t="s">
        <v>220</v>
      </c>
      <c r="Z54" t="s">
        <v>37</v>
      </c>
      <c r="AA54" t="s">
        <v>95</v>
      </c>
      <c r="AB54" t="s">
        <v>37</v>
      </c>
      <c r="AC54" s="6" t="s">
        <v>37</v>
      </c>
      <c r="AD54" s="6" t="s">
        <v>37</v>
      </c>
      <c r="AE54" t="s">
        <v>37</v>
      </c>
      <c r="AF54" t="s">
        <v>37</v>
      </c>
      <c r="AG54" s="6" t="s">
        <v>37</v>
      </c>
      <c r="AH54" t="s">
        <v>37</v>
      </c>
      <c r="AI54" t="s">
        <v>37</v>
      </c>
      <c r="AJ54" t="str">
        <f t="shared" si="2"/>
        <v>31DJDC7QB07W7MKLNS</v>
      </c>
    </row>
    <row r="55" spans="1:36" ht="15" customHeight="1" x14ac:dyDescent="0.25">
      <c r="A55" t="s">
        <v>221</v>
      </c>
      <c r="B55" t="s">
        <v>37</v>
      </c>
      <c r="C55" t="s">
        <v>37</v>
      </c>
      <c r="D55" t="s">
        <v>38</v>
      </c>
      <c r="E55" s="4">
        <v>4</v>
      </c>
      <c r="F55" s="5">
        <v>335.56</v>
      </c>
      <c r="G55" s="5" t="s">
        <v>39</v>
      </c>
      <c r="H55" s="5">
        <v>540.96</v>
      </c>
      <c r="I55" s="5" t="s">
        <v>39</v>
      </c>
      <c r="J55" s="5">
        <v>11.409039999999999</v>
      </c>
      <c r="K55" s="5">
        <f t="shared" si="0"/>
        <v>2.8522599999999998</v>
      </c>
      <c r="L55" s="5">
        <f t="shared" si="1"/>
        <v>83.89</v>
      </c>
      <c r="M55" s="5" t="s">
        <v>39</v>
      </c>
      <c r="N55" s="5">
        <v>11.409039999999999</v>
      </c>
      <c r="O55" s="5" t="s">
        <v>39</v>
      </c>
      <c r="P55" t="s">
        <v>222</v>
      </c>
      <c r="Q55" t="s">
        <v>223</v>
      </c>
      <c r="R55" t="s">
        <v>37</v>
      </c>
      <c r="S55" t="s">
        <v>224</v>
      </c>
      <c r="T55" t="s">
        <v>43</v>
      </c>
      <c r="U55" t="s">
        <v>44</v>
      </c>
      <c r="V55">
        <v>147</v>
      </c>
      <c r="W55" t="s">
        <v>45</v>
      </c>
      <c r="X55" t="s">
        <v>53</v>
      </c>
      <c r="Y55" t="s">
        <v>225</v>
      </c>
      <c r="Z55" t="s">
        <v>37</v>
      </c>
      <c r="AA55" t="s">
        <v>55</v>
      </c>
      <c r="AB55" t="s">
        <v>37</v>
      </c>
      <c r="AC55" s="6" t="s">
        <v>37</v>
      </c>
      <c r="AD55" s="6" t="s">
        <v>37</v>
      </c>
      <c r="AE55" t="s">
        <v>37</v>
      </c>
      <c r="AF55" t="s">
        <v>37</v>
      </c>
      <c r="AG55" s="6" t="s">
        <v>37</v>
      </c>
      <c r="AH55" t="s">
        <v>37</v>
      </c>
      <c r="AI55" t="s">
        <v>37</v>
      </c>
      <c r="AJ55" t="str">
        <f t="shared" si="2"/>
        <v>2F7Y5WIXB07W4DHKTD</v>
      </c>
    </row>
    <row r="56" spans="1:36" ht="15" customHeight="1" x14ac:dyDescent="0.25">
      <c r="A56" t="s">
        <v>210</v>
      </c>
      <c r="B56" t="s">
        <v>37</v>
      </c>
      <c r="C56" t="s">
        <v>37</v>
      </c>
      <c r="D56" t="s">
        <v>38</v>
      </c>
      <c r="E56" s="4">
        <v>0</v>
      </c>
      <c r="F56" s="5">
        <v>0</v>
      </c>
      <c r="G56" s="5" t="s">
        <v>39</v>
      </c>
      <c r="H56" s="5">
        <v>0</v>
      </c>
      <c r="I56" s="5" t="s">
        <v>39</v>
      </c>
      <c r="J56" s="5">
        <v>0</v>
      </c>
      <c r="K56" s="5" t="e">
        <f t="shared" si="0"/>
        <v>#DIV/0!</v>
      </c>
      <c r="L56" s="5" t="e">
        <f t="shared" si="1"/>
        <v>#DIV/0!</v>
      </c>
      <c r="M56" s="5" t="s">
        <v>39</v>
      </c>
      <c r="N56" s="5">
        <v>0</v>
      </c>
      <c r="O56" s="5" t="s">
        <v>39</v>
      </c>
      <c r="P56" t="s">
        <v>226</v>
      </c>
      <c r="Q56" t="s">
        <v>227</v>
      </c>
      <c r="R56" t="s">
        <v>228</v>
      </c>
      <c r="S56" t="s">
        <v>229</v>
      </c>
      <c r="T56" t="s">
        <v>43</v>
      </c>
      <c r="U56" t="s">
        <v>44</v>
      </c>
      <c r="V56">
        <v>267</v>
      </c>
      <c r="W56" t="s">
        <v>151</v>
      </c>
      <c r="X56" t="s">
        <v>152</v>
      </c>
      <c r="Y56" t="s">
        <v>230</v>
      </c>
      <c r="Z56" t="s">
        <v>37</v>
      </c>
      <c r="AA56" t="s">
        <v>95</v>
      </c>
      <c r="AB56" t="s">
        <v>37</v>
      </c>
      <c r="AC56" s="6" t="s">
        <v>37</v>
      </c>
      <c r="AD56" s="6" t="s">
        <v>37</v>
      </c>
      <c r="AE56" t="s">
        <v>37</v>
      </c>
      <c r="AF56" t="s">
        <v>37</v>
      </c>
      <c r="AG56" s="6" t="s">
        <v>37</v>
      </c>
      <c r="AH56" t="s">
        <v>37</v>
      </c>
      <c r="AI56" t="s">
        <v>37</v>
      </c>
      <c r="AJ56" t="str">
        <f t="shared" si="2"/>
        <v>11Y5DH1JB078MHS3SC</v>
      </c>
    </row>
    <row r="57" spans="1:36" ht="15" customHeight="1" x14ac:dyDescent="0.25">
      <c r="A57" t="s">
        <v>231</v>
      </c>
      <c r="B57" t="s">
        <v>37</v>
      </c>
      <c r="C57" t="s">
        <v>37</v>
      </c>
      <c r="D57" t="s">
        <v>38</v>
      </c>
      <c r="E57" s="4">
        <v>0</v>
      </c>
      <c r="F57" s="5">
        <v>0</v>
      </c>
      <c r="G57" s="5" t="s">
        <v>39</v>
      </c>
      <c r="H57" s="5">
        <v>0</v>
      </c>
      <c r="I57" s="5" t="s">
        <v>39</v>
      </c>
      <c r="J57" s="5">
        <v>0</v>
      </c>
      <c r="K57" s="5" t="e">
        <f t="shared" si="0"/>
        <v>#DIV/0!</v>
      </c>
      <c r="L57" s="5" t="e">
        <f t="shared" si="1"/>
        <v>#DIV/0!</v>
      </c>
      <c r="M57" s="5" t="s">
        <v>39</v>
      </c>
      <c r="N57" s="5">
        <v>0</v>
      </c>
      <c r="O57" s="5" t="s">
        <v>39</v>
      </c>
      <c r="P57" t="s">
        <v>226</v>
      </c>
      <c r="Q57" t="s">
        <v>227</v>
      </c>
      <c r="R57" t="s">
        <v>228</v>
      </c>
      <c r="S57" t="s">
        <v>229</v>
      </c>
      <c r="T57" t="s">
        <v>43</v>
      </c>
      <c r="U57" t="s">
        <v>44</v>
      </c>
      <c r="V57">
        <v>267</v>
      </c>
      <c r="W57" t="s">
        <v>151</v>
      </c>
      <c r="X57" t="s">
        <v>152</v>
      </c>
      <c r="Y57" t="s">
        <v>230</v>
      </c>
      <c r="Z57" t="s">
        <v>37</v>
      </c>
      <c r="AA57" t="s">
        <v>95</v>
      </c>
      <c r="AB57" t="s">
        <v>37</v>
      </c>
      <c r="AC57" s="6" t="s">
        <v>37</v>
      </c>
      <c r="AD57" s="6" t="s">
        <v>37</v>
      </c>
      <c r="AE57" t="s">
        <v>37</v>
      </c>
      <c r="AF57" t="s">
        <v>37</v>
      </c>
      <c r="AG57" s="6" t="s">
        <v>37</v>
      </c>
      <c r="AH57" t="s">
        <v>37</v>
      </c>
      <c r="AI57" t="s">
        <v>37</v>
      </c>
      <c r="AJ57" t="str">
        <f t="shared" si="2"/>
        <v>11Y5DH1JB078MHS3SC</v>
      </c>
    </row>
    <row r="58" spans="1:36" ht="15" customHeight="1" x14ac:dyDescent="0.25">
      <c r="A58" t="s">
        <v>118</v>
      </c>
      <c r="B58" t="s">
        <v>37</v>
      </c>
      <c r="C58" t="s">
        <v>37</v>
      </c>
      <c r="D58" t="s">
        <v>38</v>
      </c>
      <c r="E58" s="4">
        <v>1</v>
      </c>
      <c r="F58" s="5">
        <v>210.52</v>
      </c>
      <c r="G58" s="5" t="s">
        <v>39</v>
      </c>
      <c r="H58" s="5">
        <v>336.06</v>
      </c>
      <c r="I58" s="5" t="s">
        <v>39</v>
      </c>
      <c r="J58" s="5">
        <v>7.15768</v>
      </c>
      <c r="K58" s="5">
        <f t="shared" si="0"/>
        <v>7.15768</v>
      </c>
      <c r="L58" s="5">
        <f t="shared" si="1"/>
        <v>210.52</v>
      </c>
      <c r="M58" s="5" t="s">
        <v>39</v>
      </c>
      <c r="N58" s="5">
        <v>7.15768</v>
      </c>
      <c r="O58" s="5" t="s">
        <v>39</v>
      </c>
      <c r="P58" t="s">
        <v>232</v>
      </c>
      <c r="Q58" t="s">
        <v>233</v>
      </c>
      <c r="R58" t="s">
        <v>234</v>
      </c>
      <c r="S58" t="s">
        <v>235</v>
      </c>
      <c r="T58" t="s">
        <v>43</v>
      </c>
      <c r="U58" t="s">
        <v>44</v>
      </c>
      <c r="V58">
        <v>147</v>
      </c>
      <c r="W58" t="s">
        <v>45</v>
      </c>
      <c r="X58" t="s">
        <v>46</v>
      </c>
      <c r="Y58" t="s">
        <v>236</v>
      </c>
      <c r="Z58" t="s">
        <v>37</v>
      </c>
      <c r="AA58" t="s">
        <v>55</v>
      </c>
      <c r="AB58" t="s">
        <v>37</v>
      </c>
      <c r="AC58" s="6" t="s">
        <v>37</v>
      </c>
      <c r="AD58" s="6" t="s">
        <v>37</v>
      </c>
      <c r="AE58" t="s">
        <v>37</v>
      </c>
      <c r="AF58" t="s">
        <v>37</v>
      </c>
      <c r="AG58" s="6" t="s">
        <v>37</v>
      </c>
      <c r="AH58" t="s">
        <v>37</v>
      </c>
      <c r="AI58" t="s">
        <v>37</v>
      </c>
      <c r="AJ58" t="str">
        <f t="shared" si="2"/>
        <v>23IZV8AJB013Y78YY4</v>
      </c>
    </row>
    <row r="59" spans="1:36" ht="15" customHeight="1" x14ac:dyDescent="0.25">
      <c r="A59" t="s">
        <v>88</v>
      </c>
      <c r="B59" t="s">
        <v>37</v>
      </c>
      <c r="C59" t="s">
        <v>37</v>
      </c>
      <c r="D59" t="s">
        <v>38</v>
      </c>
      <c r="E59" s="4">
        <v>8</v>
      </c>
      <c r="F59" s="5">
        <v>359.6</v>
      </c>
      <c r="G59" s="5" t="s">
        <v>39</v>
      </c>
      <c r="H59" s="5">
        <v>426.16</v>
      </c>
      <c r="I59" s="5" t="s">
        <v>39</v>
      </c>
      <c r="J59" s="5">
        <v>12.2264</v>
      </c>
      <c r="K59" s="5">
        <f t="shared" si="0"/>
        <v>1.5283</v>
      </c>
      <c r="L59" s="5">
        <f t="shared" si="1"/>
        <v>44.95</v>
      </c>
      <c r="M59" s="5" t="s">
        <v>39</v>
      </c>
      <c r="N59" s="5">
        <v>12.2264</v>
      </c>
      <c r="O59" s="5" t="s">
        <v>39</v>
      </c>
      <c r="P59" t="s">
        <v>89</v>
      </c>
      <c r="Q59" t="s">
        <v>237</v>
      </c>
      <c r="R59" t="s">
        <v>37</v>
      </c>
      <c r="S59" t="s">
        <v>238</v>
      </c>
      <c r="T59" t="s">
        <v>43</v>
      </c>
      <c r="U59" t="s">
        <v>44</v>
      </c>
      <c r="V59">
        <v>23</v>
      </c>
      <c r="W59" t="s">
        <v>45</v>
      </c>
      <c r="X59" t="s">
        <v>239</v>
      </c>
      <c r="Y59" t="s">
        <v>240</v>
      </c>
      <c r="Z59" t="s">
        <v>37</v>
      </c>
      <c r="AA59" t="s">
        <v>95</v>
      </c>
      <c r="AB59" t="s">
        <v>37</v>
      </c>
      <c r="AC59" s="6" t="s">
        <v>37</v>
      </c>
      <c r="AD59" s="6" t="s">
        <v>37</v>
      </c>
      <c r="AE59" t="s">
        <v>37</v>
      </c>
      <c r="AF59" t="s">
        <v>37</v>
      </c>
      <c r="AG59" s="6" t="s">
        <v>37</v>
      </c>
      <c r="AH59" t="s">
        <v>37</v>
      </c>
      <c r="AI59" t="s">
        <v>37</v>
      </c>
      <c r="AJ59" t="str">
        <f t="shared" si="2"/>
        <v>2W68T8TOB07W6HDNPG</v>
      </c>
    </row>
    <row r="60" spans="1:36" ht="15" customHeight="1" x14ac:dyDescent="0.25">
      <c r="A60" t="s">
        <v>96</v>
      </c>
      <c r="B60" t="s">
        <v>37</v>
      </c>
      <c r="C60" t="s">
        <v>37</v>
      </c>
      <c r="D60" t="s">
        <v>38</v>
      </c>
      <c r="E60" s="4">
        <v>32</v>
      </c>
      <c r="F60" s="5">
        <v>412.16</v>
      </c>
      <c r="G60" s="5" t="s">
        <v>39</v>
      </c>
      <c r="H60" s="5">
        <v>671.68</v>
      </c>
      <c r="I60" s="5" t="s">
        <v>39</v>
      </c>
      <c r="J60" s="5">
        <v>14.013439999999999</v>
      </c>
      <c r="K60" s="5">
        <f t="shared" si="0"/>
        <v>0.43791999999999998</v>
      </c>
      <c r="L60" s="5">
        <f t="shared" si="1"/>
        <v>12.88</v>
      </c>
      <c r="M60" s="5" t="s">
        <v>39</v>
      </c>
      <c r="N60" s="5">
        <v>14.013439999999999</v>
      </c>
      <c r="O60" s="5" t="s">
        <v>39</v>
      </c>
      <c r="P60" t="s">
        <v>241</v>
      </c>
      <c r="Q60" t="s">
        <v>242</v>
      </c>
      <c r="R60" t="s">
        <v>243</v>
      </c>
      <c r="S60" t="s">
        <v>244</v>
      </c>
      <c r="T60" t="s">
        <v>43</v>
      </c>
      <c r="U60" t="s">
        <v>44</v>
      </c>
      <c r="V60">
        <v>147</v>
      </c>
      <c r="W60" t="s">
        <v>45</v>
      </c>
      <c r="X60" t="s">
        <v>53</v>
      </c>
      <c r="Y60" t="s">
        <v>245</v>
      </c>
      <c r="Z60" t="s">
        <v>37</v>
      </c>
      <c r="AA60" t="s">
        <v>48</v>
      </c>
      <c r="AB60" t="s">
        <v>37</v>
      </c>
      <c r="AC60" s="6" t="s">
        <v>37</v>
      </c>
      <c r="AD60" s="6" t="s">
        <v>37</v>
      </c>
      <c r="AE60" t="s">
        <v>37</v>
      </c>
      <c r="AF60" t="s">
        <v>37</v>
      </c>
      <c r="AG60" s="6" t="s">
        <v>37</v>
      </c>
      <c r="AH60" t="s">
        <v>37</v>
      </c>
      <c r="AI60" t="s">
        <v>37</v>
      </c>
      <c r="AJ60" t="str">
        <f t="shared" si="2"/>
        <v>6451M4NBB00745IE2K</v>
      </c>
    </row>
    <row r="61" spans="1:36" ht="15" customHeight="1" x14ac:dyDescent="0.25">
      <c r="A61" t="s">
        <v>76</v>
      </c>
      <c r="B61" t="s">
        <v>37</v>
      </c>
      <c r="C61" t="s">
        <v>37</v>
      </c>
      <c r="D61" t="s">
        <v>38</v>
      </c>
      <c r="E61" s="4">
        <v>50</v>
      </c>
      <c r="F61" s="5">
        <v>526.5</v>
      </c>
      <c r="G61" s="5" t="s">
        <v>39</v>
      </c>
      <c r="H61" s="5">
        <v>619.5</v>
      </c>
      <c r="I61" s="5" t="s">
        <v>39</v>
      </c>
      <c r="J61" s="5">
        <v>17.901</v>
      </c>
      <c r="K61" s="5">
        <f t="shared" si="0"/>
        <v>0.35802</v>
      </c>
      <c r="L61" s="5">
        <f t="shared" si="1"/>
        <v>10.53</v>
      </c>
      <c r="M61" s="5" t="s">
        <v>39</v>
      </c>
      <c r="N61" s="5">
        <v>17.901</v>
      </c>
      <c r="O61" s="5" t="s">
        <v>39</v>
      </c>
      <c r="P61" t="s">
        <v>246</v>
      </c>
      <c r="Q61" t="s">
        <v>247</v>
      </c>
      <c r="R61" t="s">
        <v>37</v>
      </c>
      <c r="S61" t="s">
        <v>248</v>
      </c>
      <c r="T61" t="s">
        <v>43</v>
      </c>
      <c r="U61" t="s">
        <v>44</v>
      </c>
      <c r="V61">
        <v>147</v>
      </c>
      <c r="W61" t="s">
        <v>45</v>
      </c>
      <c r="X61" t="s">
        <v>60</v>
      </c>
      <c r="Y61" t="s">
        <v>249</v>
      </c>
      <c r="Z61" t="s">
        <v>37</v>
      </c>
      <c r="AA61" t="s">
        <v>55</v>
      </c>
      <c r="AB61" t="s">
        <v>37</v>
      </c>
      <c r="AC61" s="6" t="s">
        <v>37</v>
      </c>
      <c r="AD61" s="6" t="s">
        <v>37</v>
      </c>
      <c r="AE61" t="s">
        <v>37</v>
      </c>
      <c r="AF61" t="s">
        <v>37</v>
      </c>
      <c r="AG61" s="6" t="s">
        <v>37</v>
      </c>
      <c r="AH61" t="s">
        <v>37</v>
      </c>
      <c r="AI61" t="s">
        <v>37</v>
      </c>
      <c r="AJ61" t="str">
        <f t="shared" si="2"/>
        <v>1PSIXGLTB004APAH40</v>
      </c>
    </row>
    <row r="62" spans="1:36" ht="15" customHeight="1" x14ac:dyDescent="0.25">
      <c r="A62" t="s">
        <v>62</v>
      </c>
      <c r="B62" t="s">
        <v>37</v>
      </c>
      <c r="C62" t="s">
        <v>37</v>
      </c>
      <c r="D62" t="s">
        <v>38</v>
      </c>
      <c r="E62" s="4">
        <v>124</v>
      </c>
      <c r="F62" s="5">
        <v>2943.76</v>
      </c>
      <c r="G62" s="5" t="s">
        <v>39</v>
      </c>
      <c r="H62" s="5">
        <v>4878.16</v>
      </c>
      <c r="I62" s="5" t="s">
        <v>39</v>
      </c>
      <c r="J62" s="5">
        <v>100.08784</v>
      </c>
      <c r="K62" s="5">
        <f t="shared" si="0"/>
        <v>0.80715999999999999</v>
      </c>
      <c r="L62" s="5">
        <f t="shared" si="1"/>
        <v>23.740000000000002</v>
      </c>
      <c r="M62" s="5" t="s">
        <v>39</v>
      </c>
      <c r="N62" s="5">
        <v>100.08784</v>
      </c>
      <c r="O62" s="5" t="s">
        <v>39</v>
      </c>
      <c r="P62" t="s">
        <v>177</v>
      </c>
      <c r="Q62" t="s">
        <v>121</v>
      </c>
      <c r="R62" t="s">
        <v>37</v>
      </c>
      <c r="S62" t="s">
        <v>122</v>
      </c>
      <c r="T62" t="s">
        <v>43</v>
      </c>
      <c r="U62" t="s">
        <v>44</v>
      </c>
      <c r="V62">
        <v>147</v>
      </c>
      <c r="W62" t="s">
        <v>45</v>
      </c>
      <c r="X62" t="s">
        <v>53</v>
      </c>
      <c r="Y62" t="s">
        <v>123</v>
      </c>
      <c r="Z62" t="s">
        <v>37</v>
      </c>
      <c r="AA62" t="s">
        <v>95</v>
      </c>
      <c r="AB62" t="s">
        <v>37</v>
      </c>
      <c r="AC62" s="6" t="s">
        <v>37</v>
      </c>
      <c r="AD62" s="6" t="s">
        <v>37</v>
      </c>
      <c r="AE62" t="s">
        <v>37</v>
      </c>
      <c r="AF62" t="s">
        <v>37</v>
      </c>
      <c r="AG62" s="6" t="s">
        <v>37</v>
      </c>
      <c r="AH62" t="s">
        <v>37</v>
      </c>
      <c r="AI62" t="s">
        <v>37</v>
      </c>
      <c r="AJ62" t="str">
        <f t="shared" si="2"/>
        <v>4F3XMHTVB07W6HBBMH</v>
      </c>
    </row>
    <row r="63" spans="1:36" ht="15" customHeight="1" x14ac:dyDescent="0.25">
      <c r="A63" t="s">
        <v>96</v>
      </c>
      <c r="B63" t="s">
        <v>37</v>
      </c>
      <c r="C63" t="s">
        <v>37</v>
      </c>
      <c r="D63" t="s">
        <v>38</v>
      </c>
      <c r="E63" s="4">
        <v>4</v>
      </c>
      <c r="F63" s="5">
        <v>483.32</v>
      </c>
      <c r="G63" s="5" t="s">
        <v>39</v>
      </c>
      <c r="H63" s="5">
        <v>786.84</v>
      </c>
      <c r="I63" s="5" t="s">
        <v>39</v>
      </c>
      <c r="J63" s="5">
        <v>16.432880000000001</v>
      </c>
      <c r="K63" s="5">
        <f t="shared" si="0"/>
        <v>4.1082200000000002</v>
      </c>
      <c r="L63" s="5">
        <f t="shared" si="1"/>
        <v>120.83</v>
      </c>
      <c r="M63" s="5" t="s">
        <v>39</v>
      </c>
      <c r="N63" s="5">
        <v>16.432880000000001</v>
      </c>
      <c r="O63" s="5" t="s">
        <v>39</v>
      </c>
      <c r="P63" t="s">
        <v>195</v>
      </c>
      <c r="Q63" t="s">
        <v>250</v>
      </c>
      <c r="R63" t="s">
        <v>37</v>
      </c>
      <c r="S63" t="s">
        <v>251</v>
      </c>
      <c r="T63" t="s">
        <v>43</v>
      </c>
      <c r="U63" t="s">
        <v>44</v>
      </c>
      <c r="V63">
        <v>23</v>
      </c>
      <c r="W63" t="s">
        <v>218</v>
      </c>
      <c r="X63" t="s">
        <v>219</v>
      </c>
      <c r="Y63" t="s">
        <v>252</v>
      </c>
      <c r="Z63" t="s">
        <v>37</v>
      </c>
      <c r="AA63" t="s">
        <v>95</v>
      </c>
      <c r="AB63" t="s">
        <v>37</v>
      </c>
      <c r="AC63" s="6" t="s">
        <v>37</v>
      </c>
      <c r="AD63" s="6" t="s">
        <v>37</v>
      </c>
      <c r="AE63" t="s">
        <v>37</v>
      </c>
      <c r="AF63" t="s">
        <v>37</v>
      </c>
      <c r="AG63" s="6" t="s">
        <v>37</v>
      </c>
      <c r="AH63" t="s">
        <v>37</v>
      </c>
      <c r="AI63" t="s">
        <v>37</v>
      </c>
      <c r="AJ63" t="str">
        <f t="shared" si="2"/>
        <v>5X1OU9ZGB07W4DJF29</v>
      </c>
    </row>
    <row r="64" spans="1:36" ht="15" customHeight="1" x14ac:dyDescent="0.25">
      <c r="A64" t="s">
        <v>36</v>
      </c>
      <c r="B64" t="s">
        <v>37</v>
      </c>
      <c r="C64" t="s">
        <v>37</v>
      </c>
      <c r="D64" t="s">
        <v>38</v>
      </c>
      <c r="E64" s="4">
        <v>80</v>
      </c>
      <c r="F64" s="5">
        <v>9281.6</v>
      </c>
      <c r="G64" s="5" t="s">
        <v>39</v>
      </c>
      <c r="H64" s="5">
        <v>13114.4</v>
      </c>
      <c r="I64" s="5" t="s">
        <v>39</v>
      </c>
      <c r="J64" s="5">
        <v>315.57440000000003</v>
      </c>
      <c r="K64" s="5">
        <f t="shared" si="0"/>
        <v>3.9446800000000004</v>
      </c>
      <c r="L64" s="5">
        <f t="shared" si="1"/>
        <v>116.02000000000001</v>
      </c>
      <c r="M64" s="5" t="s">
        <v>39</v>
      </c>
      <c r="N64" s="5">
        <v>315.57440000000003</v>
      </c>
      <c r="O64" s="5" t="s">
        <v>39</v>
      </c>
      <c r="P64" t="s">
        <v>89</v>
      </c>
      <c r="Q64" t="s">
        <v>124</v>
      </c>
      <c r="R64" t="s">
        <v>37</v>
      </c>
      <c r="S64" t="s">
        <v>125</v>
      </c>
      <c r="T64" t="s">
        <v>43</v>
      </c>
      <c r="U64" t="s">
        <v>44</v>
      </c>
      <c r="V64">
        <v>147</v>
      </c>
      <c r="W64" t="s">
        <v>45</v>
      </c>
      <c r="X64" t="s">
        <v>60</v>
      </c>
      <c r="Y64" t="s">
        <v>126</v>
      </c>
      <c r="Z64" t="s">
        <v>37</v>
      </c>
      <c r="AA64" t="s">
        <v>55</v>
      </c>
      <c r="AB64" t="s">
        <v>37</v>
      </c>
      <c r="AC64" s="6" t="s">
        <v>37</v>
      </c>
      <c r="AD64" s="6" t="s">
        <v>37</v>
      </c>
      <c r="AE64" t="s">
        <v>37</v>
      </c>
      <c r="AF64" t="s">
        <v>37</v>
      </c>
      <c r="AG64" s="6" t="s">
        <v>37</v>
      </c>
      <c r="AH64" t="s">
        <v>37</v>
      </c>
      <c r="AI64" t="s">
        <v>37</v>
      </c>
      <c r="AJ64" t="str">
        <f t="shared" si="2"/>
        <v>2W68T8TOB07W6HPP3R</v>
      </c>
    </row>
    <row r="65" spans="1:36" ht="15" customHeight="1" x14ac:dyDescent="0.25">
      <c r="A65" t="s">
        <v>96</v>
      </c>
      <c r="B65" t="s">
        <v>37</v>
      </c>
      <c r="C65" t="s">
        <v>37</v>
      </c>
      <c r="D65" t="s">
        <v>38</v>
      </c>
      <c r="E65" s="4">
        <v>204</v>
      </c>
      <c r="F65" s="5">
        <v>22495.08</v>
      </c>
      <c r="G65" s="5" t="s">
        <v>39</v>
      </c>
      <c r="H65" s="5">
        <v>38290.800000000003</v>
      </c>
      <c r="I65" s="5" t="s">
        <v>39</v>
      </c>
      <c r="J65" s="5">
        <v>764.83271999999999</v>
      </c>
      <c r="K65" s="5">
        <f t="shared" si="0"/>
        <v>3.74918</v>
      </c>
      <c r="L65" s="5">
        <f t="shared" si="1"/>
        <v>110.27000000000001</v>
      </c>
      <c r="M65" s="5" t="s">
        <v>39</v>
      </c>
      <c r="N65" s="5">
        <v>764.83271999999999</v>
      </c>
      <c r="O65" s="5" t="s">
        <v>39</v>
      </c>
      <c r="P65" t="s">
        <v>253</v>
      </c>
      <c r="Q65" t="s">
        <v>254</v>
      </c>
      <c r="R65" t="s">
        <v>37</v>
      </c>
      <c r="S65" t="s">
        <v>255</v>
      </c>
      <c r="T65" t="s">
        <v>43</v>
      </c>
      <c r="U65" t="s">
        <v>44</v>
      </c>
      <c r="V65">
        <v>147</v>
      </c>
      <c r="W65" t="s">
        <v>45</v>
      </c>
      <c r="X65" t="s">
        <v>46</v>
      </c>
      <c r="Y65" t="s">
        <v>256</v>
      </c>
      <c r="Z65" t="s">
        <v>37</v>
      </c>
      <c r="AA65" t="s">
        <v>55</v>
      </c>
      <c r="AB65" t="s">
        <v>37</v>
      </c>
      <c r="AC65" s="6" t="s">
        <v>37</v>
      </c>
      <c r="AD65" s="6" t="s">
        <v>37</v>
      </c>
      <c r="AE65" t="s">
        <v>37</v>
      </c>
      <c r="AF65" t="s">
        <v>37</v>
      </c>
      <c r="AG65" s="6" t="s">
        <v>37</v>
      </c>
      <c r="AH65" t="s">
        <v>37</v>
      </c>
      <c r="AI65" t="s">
        <v>37</v>
      </c>
      <c r="AJ65" t="str">
        <f t="shared" si="2"/>
        <v>7BEDNOMIB07VTSZ63W</v>
      </c>
    </row>
    <row r="66" spans="1:36" ht="15" customHeight="1" x14ac:dyDescent="0.25">
      <c r="A66" t="s">
        <v>36</v>
      </c>
      <c r="B66" t="s">
        <v>37</v>
      </c>
      <c r="C66" t="s">
        <v>37</v>
      </c>
      <c r="D66" t="s">
        <v>38</v>
      </c>
      <c r="E66" s="4">
        <v>40</v>
      </c>
      <c r="F66" s="5">
        <v>5336.8</v>
      </c>
      <c r="G66" s="5" t="s">
        <v>39</v>
      </c>
      <c r="H66" s="5">
        <v>7540.8</v>
      </c>
      <c r="I66" s="5" t="s">
        <v>39</v>
      </c>
      <c r="J66" s="5">
        <v>181.4512</v>
      </c>
      <c r="K66" s="5">
        <f t="shared" si="0"/>
        <v>4.5362799999999996</v>
      </c>
      <c r="L66" s="5">
        <f t="shared" si="1"/>
        <v>133.42000000000002</v>
      </c>
      <c r="M66" s="5" t="s">
        <v>39</v>
      </c>
      <c r="N66" s="5">
        <v>181.4512</v>
      </c>
      <c r="O66" s="5" t="s">
        <v>39</v>
      </c>
      <c r="P66" t="s">
        <v>119</v>
      </c>
      <c r="Q66" t="s">
        <v>257</v>
      </c>
      <c r="R66" t="s">
        <v>37</v>
      </c>
      <c r="S66" t="s">
        <v>258</v>
      </c>
      <c r="T66" t="s">
        <v>43</v>
      </c>
      <c r="U66" t="s">
        <v>44</v>
      </c>
      <c r="V66">
        <v>147</v>
      </c>
      <c r="W66" t="s">
        <v>45</v>
      </c>
      <c r="X66" t="s">
        <v>60</v>
      </c>
      <c r="Y66" t="s">
        <v>259</v>
      </c>
      <c r="Z66" t="s">
        <v>37</v>
      </c>
      <c r="AA66" t="s">
        <v>55</v>
      </c>
      <c r="AB66" t="s">
        <v>37</v>
      </c>
      <c r="AC66" s="6" t="s">
        <v>37</v>
      </c>
      <c r="AD66" s="6" t="s">
        <v>37</v>
      </c>
      <c r="AE66" t="s">
        <v>37</v>
      </c>
      <c r="AF66" t="s">
        <v>37</v>
      </c>
      <c r="AG66" s="6" t="s">
        <v>37</v>
      </c>
      <c r="AH66" t="s">
        <v>37</v>
      </c>
      <c r="AI66" t="s">
        <v>37</v>
      </c>
      <c r="AJ66" t="str">
        <f t="shared" si="2"/>
        <v>31DJDC7QB07W6JNF81</v>
      </c>
    </row>
    <row r="67" spans="1:36" ht="15" customHeight="1" x14ac:dyDescent="0.25">
      <c r="A67" t="s">
        <v>96</v>
      </c>
      <c r="B67" t="s">
        <v>37</v>
      </c>
      <c r="C67" t="s">
        <v>37</v>
      </c>
      <c r="D67" t="s">
        <v>38</v>
      </c>
      <c r="E67" s="4">
        <v>2044</v>
      </c>
      <c r="F67" s="5">
        <v>149906.96</v>
      </c>
      <c r="G67" s="5" t="s">
        <v>39</v>
      </c>
      <c r="H67" s="5">
        <v>226168.6</v>
      </c>
      <c r="I67" s="5" t="s">
        <v>39</v>
      </c>
      <c r="J67" s="5">
        <v>5096.8366400000004</v>
      </c>
      <c r="K67" s="5">
        <f t="shared" ref="K67:K130" si="3">J67/E67</f>
        <v>2.49356</v>
      </c>
      <c r="L67" s="5">
        <f t="shared" ref="L67:L130" si="4">F67/E67</f>
        <v>73.339999999999989</v>
      </c>
      <c r="M67" s="5" t="s">
        <v>39</v>
      </c>
      <c r="N67" s="5">
        <v>5096.8366400000004</v>
      </c>
      <c r="O67" s="5" t="s">
        <v>39</v>
      </c>
      <c r="P67" t="s">
        <v>222</v>
      </c>
      <c r="Q67" t="s">
        <v>260</v>
      </c>
      <c r="R67" t="s">
        <v>37</v>
      </c>
      <c r="S67" t="s">
        <v>261</v>
      </c>
      <c r="T67" t="s">
        <v>43</v>
      </c>
      <c r="U67" t="s">
        <v>44</v>
      </c>
      <c r="V67">
        <v>147</v>
      </c>
      <c r="W67" t="s">
        <v>45</v>
      </c>
      <c r="X67" t="s">
        <v>46</v>
      </c>
      <c r="Y67" t="s">
        <v>262</v>
      </c>
      <c r="Z67" t="s">
        <v>37</v>
      </c>
      <c r="AA67" t="s">
        <v>55</v>
      </c>
      <c r="AB67" t="s">
        <v>37</v>
      </c>
      <c r="AC67" s="6" t="s">
        <v>37</v>
      </c>
      <c r="AD67" s="6" t="s">
        <v>37</v>
      </c>
      <c r="AE67" t="s">
        <v>37</v>
      </c>
      <c r="AF67" t="s">
        <v>37</v>
      </c>
      <c r="AG67" s="6" t="s">
        <v>37</v>
      </c>
      <c r="AH67" t="s">
        <v>37</v>
      </c>
      <c r="AI67" t="s">
        <v>37</v>
      </c>
      <c r="AJ67" t="str">
        <f t="shared" ref="AJ67:AJ130" si="5">P67&amp;Q67</f>
        <v>2F7Y5WIXB07TLX61W7</v>
      </c>
    </row>
    <row r="68" spans="1:36" ht="15" customHeight="1" x14ac:dyDescent="0.25">
      <c r="A68" t="s">
        <v>76</v>
      </c>
      <c r="B68" t="s">
        <v>37</v>
      </c>
      <c r="C68" t="s">
        <v>37</v>
      </c>
      <c r="D68" t="s">
        <v>38</v>
      </c>
      <c r="E68" s="4">
        <v>440</v>
      </c>
      <c r="F68" s="5">
        <v>3348.4</v>
      </c>
      <c r="G68" s="5" t="s">
        <v>39</v>
      </c>
      <c r="H68" s="5">
        <v>4866.3999999999996</v>
      </c>
      <c r="I68" s="5" t="s">
        <v>39</v>
      </c>
      <c r="J68" s="5">
        <v>113.8456</v>
      </c>
      <c r="K68" s="5">
        <f t="shared" si="3"/>
        <v>0.25874000000000003</v>
      </c>
      <c r="L68" s="5">
        <f t="shared" si="4"/>
        <v>7.61</v>
      </c>
      <c r="M68" s="5" t="s">
        <v>39</v>
      </c>
      <c r="N68" s="5">
        <v>113.8456</v>
      </c>
      <c r="O68" s="5" t="s">
        <v>39</v>
      </c>
      <c r="P68" t="s">
        <v>63</v>
      </c>
      <c r="Q68" t="s">
        <v>263</v>
      </c>
      <c r="R68" t="s">
        <v>37</v>
      </c>
      <c r="S68" t="s">
        <v>264</v>
      </c>
      <c r="T68" t="s">
        <v>43</v>
      </c>
      <c r="U68" t="s">
        <v>44</v>
      </c>
      <c r="V68">
        <v>147</v>
      </c>
      <c r="W68" t="s">
        <v>45</v>
      </c>
      <c r="X68" t="s">
        <v>53</v>
      </c>
      <c r="Y68" t="s">
        <v>265</v>
      </c>
      <c r="Z68" t="s">
        <v>37</v>
      </c>
      <c r="AA68" t="s">
        <v>48</v>
      </c>
      <c r="AB68" t="s">
        <v>37</v>
      </c>
      <c r="AC68" s="6" t="s">
        <v>37</v>
      </c>
      <c r="AD68" s="6" t="s">
        <v>37</v>
      </c>
      <c r="AE68" t="s">
        <v>37</v>
      </c>
      <c r="AF68" t="s">
        <v>37</v>
      </c>
      <c r="AG68" s="6" t="s">
        <v>37</v>
      </c>
      <c r="AH68" t="s">
        <v>37</v>
      </c>
      <c r="AI68" t="s">
        <v>37</v>
      </c>
      <c r="AJ68" t="str">
        <f t="shared" si="5"/>
        <v>7H9X1Z6SB07W8LZB2L</v>
      </c>
    </row>
    <row r="69" spans="1:36" ht="15" customHeight="1" x14ac:dyDescent="0.25">
      <c r="A69" t="s">
        <v>49</v>
      </c>
      <c r="B69" t="s">
        <v>37</v>
      </c>
      <c r="C69" t="s">
        <v>37</v>
      </c>
      <c r="D69" t="s">
        <v>38</v>
      </c>
      <c r="E69" s="4">
        <v>100</v>
      </c>
      <c r="F69" s="5">
        <v>7334</v>
      </c>
      <c r="G69" s="5" t="s">
        <v>39</v>
      </c>
      <c r="H69" s="5">
        <v>11065</v>
      </c>
      <c r="I69" s="5" t="s">
        <v>39</v>
      </c>
      <c r="J69" s="5">
        <v>249.35599999999999</v>
      </c>
      <c r="K69" s="5">
        <f t="shared" si="3"/>
        <v>2.49356</v>
      </c>
      <c r="L69" s="5">
        <f t="shared" si="4"/>
        <v>73.34</v>
      </c>
      <c r="M69" s="5" t="s">
        <v>39</v>
      </c>
      <c r="N69" s="5">
        <v>249.35599999999999</v>
      </c>
      <c r="O69" s="5" t="s">
        <v>39</v>
      </c>
      <c r="P69" t="s">
        <v>222</v>
      </c>
      <c r="Q69" t="s">
        <v>260</v>
      </c>
      <c r="R69" t="s">
        <v>37</v>
      </c>
      <c r="S69" t="s">
        <v>261</v>
      </c>
      <c r="T69" t="s">
        <v>43</v>
      </c>
      <c r="U69" t="s">
        <v>44</v>
      </c>
      <c r="V69">
        <v>147</v>
      </c>
      <c r="W69" t="s">
        <v>45</v>
      </c>
      <c r="X69" t="s">
        <v>46</v>
      </c>
      <c r="Y69" t="s">
        <v>262</v>
      </c>
      <c r="Z69" t="s">
        <v>37</v>
      </c>
      <c r="AA69" t="s">
        <v>55</v>
      </c>
      <c r="AB69" t="s">
        <v>37</v>
      </c>
      <c r="AC69" s="6" t="s">
        <v>37</v>
      </c>
      <c r="AD69" s="6" t="s">
        <v>37</v>
      </c>
      <c r="AE69" t="s">
        <v>37</v>
      </c>
      <c r="AF69" t="s">
        <v>37</v>
      </c>
      <c r="AG69" s="6" t="s">
        <v>37</v>
      </c>
      <c r="AH69" t="s">
        <v>37</v>
      </c>
      <c r="AI69" t="s">
        <v>37</v>
      </c>
      <c r="AJ69" t="str">
        <f t="shared" si="5"/>
        <v>2F7Y5WIXB07TLX61W7</v>
      </c>
    </row>
    <row r="70" spans="1:36" ht="15" customHeight="1" x14ac:dyDescent="0.25">
      <c r="A70" t="s">
        <v>96</v>
      </c>
      <c r="B70" t="s">
        <v>37</v>
      </c>
      <c r="C70" t="s">
        <v>37</v>
      </c>
      <c r="D70" t="s">
        <v>38</v>
      </c>
      <c r="E70" s="4">
        <v>16</v>
      </c>
      <c r="F70" s="5">
        <v>590.88</v>
      </c>
      <c r="G70" s="5" t="s">
        <v>39</v>
      </c>
      <c r="H70" s="5">
        <v>983.52</v>
      </c>
      <c r="I70" s="5" t="s">
        <v>39</v>
      </c>
      <c r="J70" s="5">
        <v>20.089919999999999</v>
      </c>
      <c r="K70" s="5">
        <f t="shared" si="3"/>
        <v>1.25562</v>
      </c>
      <c r="L70" s="5">
        <f t="shared" si="4"/>
        <v>36.93</v>
      </c>
      <c r="M70" s="5" t="s">
        <v>39</v>
      </c>
      <c r="N70" s="5">
        <v>20.089919999999999</v>
      </c>
      <c r="O70" s="5" t="s">
        <v>39</v>
      </c>
      <c r="P70" t="s">
        <v>241</v>
      </c>
      <c r="Q70" t="s">
        <v>266</v>
      </c>
      <c r="R70" t="s">
        <v>37</v>
      </c>
      <c r="S70" t="s">
        <v>267</v>
      </c>
      <c r="T70" t="s">
        <v>43</v>
      </c>
      <c r="U70" t="s">
        <v>44</v>
      </c>
      <c r="V70">
        <v>147</v>
      </c>
      <c r="W70" t="s">
        <v>45</v>
      </c>
      <c r="X70" t="s">
        <v>53</v>
      </c>
      <c r="Y70" t="s">
        <v>268</v>
      </c>
      <c r="Z70" t="s">
        <v>37</v>
      </c>
      <c r="AA70" t="s">
        <v>48</v>
      </c>
      <c r="AB70" t="s">
        <v>37</v>
      </c>
      <c r="AC70" s="6" t="s">
        <v>37</v>
      </c>
      <c r="AD70" s="6" t="s">
        <v>37</v>
      </c>
      <c r="AE70" t="s">
        <v>37</v>
      </c>
      <c r="AF70" t="s">
        <v>37</v>
      </c>
      <c r="AG70" s="6" t="s">
        <v>37</v>
      </c>
      <c r="AH70" t="s">
        <v>37</v>
      </c>
      <c r="AI70" t="s">
        <v>37</v>
      </c>
      <c r="AJ70" t="str">
        <f t="shared" si="5"/>
        <v>6451M4NBB07CGNDZR3</v>
      </c>
    </row>
    <row r="71" spans="1:36" ht="15" customHeight="1" x14ac:dyDescent="0.25">
      <c r="A71" t="s">
        <v>269</v>
      </c>
      <c r="B71" t="s">
        <v>37</v>
      </c>
      <c r="C71" t="s">
        <v>37</v>
      </c>
      <c r="D71" t="s">
        <v>38</v>
      </c>
      <c r="E71" s="4">
        <v>0</v>
      </c>
      <c r="F71" s="5">
        <v>0</v>
      </c>
      <c r="G71" s="5" t="s">
        <v>39</v>
      </c>
      <c r="H71" s="5">
        <v>0</v>
      </c>
      <c r="I71" s="5" t="s">
        <v>39</v>
      </c>
      <c r="J71" s="5">
        <v>0</v>
      </c>
      <c r="K71" s="5" t="e">
        <f t="shared" si="3"/>
        <v>#DIV/0!</v>
      </c>
      <c r="L71" s="5" t="e">
        <f t="shared" si="4"/>
        <v>#DIV/0!</v>
      </c>
      <c r="M71" s="5" t="s">
        <v>39</v>
      </c>
      <c r="N71" s="5">
        <v>0</v>
      </c>
      <c r="O71" s="5" t="s">
        <v>39</v>
      </c>
      <c r="P71" t="s">
        <v>270</v>
      </c>
      <c r="Q71" t="s">
        <v>271</v>
      </c>
      <c r="R71" t="s">
        <v>37</v>
      </c>
      <c r="S71" t="s">
        <v>272</v>
      </c>
      <c r="T71" t="s">
        <v>43</v>
      </c>
      <c r="U71" t="s">
        <v>44</v>
      </c>
      <c r="V71">
        <v>147</v>
      </c>
      <c r="W71" t="s">
        <v>45</v>
      </c>
      <c r="X71" t="s">
        <v>53</v>
      </c>
      <c r="Y71" t="s">
        <v>273</v>
      </c>
      <c r="Z71" t="s">
        <v>37</v>
      </c>
      <c r="AA71" t="s">
        <v>55</v>
      </c>
      <c r="AB71" t="s">
        <v>37</v>
      </c>
      <c r="AC71" s="6" t="s">
        <v>37</v>
      </c>
      <c r="AD71" s="6" t="s">
        <v>37</v>
      </c>
      <c r="AE71" t="s">
        <v>37</v>
      </c>
      <c r="AF71" t="s">
        <v>37</v>
      </c>
      <c r="AG71" s="6" t="s">
        <v>37</v>
      </c>
      <c r="AH71" t="s">
        <v>37</v>
      </c>
      <c r="AI71" t="s">
        <v>37</v>
      </c>
      <c r="AJ71" t="str">
        <f t="shared" si="5"/>
        <v>1X4DXX4TB07SF1RCYF</v>
      </c>
    </row>
    <row r="72" spans="1:36" ht="15" customHeight="1" x14ac:dyDescent="0.25">
      <c r="A72" t="s">
        <v>101</v>
      </c>
      <c r="B72" t="s">
        <v>37</v>
      </c>
      <c r="C72" t="s">
        <v>37</v>
      </c>
      <c r="D72" t="s">
        <v>38</v>
      </c>
      <c r="E72" s="4">
        <v>8</v>
      </c>
      <c r="F72" s="5">
        <v>774.64</v>
      </c>
      <c r="G72" s="5" t="s">
        <v>39</v>
      </c>
      <c r="H72" s="5">
        <v>918</v>
      </c>
      <c r="I72" s="5" t="s">
        <v>39</v>
      </c>
      <c r="J72" s="5">
        <v>26.337759999999999</v>
      </c>
      <c r="K72" s="5">
        <f t="shared" si="3"/>
        <v>3.2922199999999999</v>
      </c>
      <c r="L72" s="5">
        <f t="shared" si="4"/>
        <v>96.83</v>
      </c>
      <c r="M72" s="5" t="s">
        <v>39</v>
      </c>
      <c r="N72" s="5">
        <v>26.337759999999999</v>
      </c>
      <c r="O72" s="5" t="s">
        <v>39</v>
      </c>
      <c r="P72" t="s">
        <v>274</v>
      </c>
      <c r="Q72" t="s">
        <v>275</v>
      </c>
      <c r="R72" t="s">
        <v>276</v>
      </c>
      <c r="S72" t="s">
        <v>277</v>
      </c>
      <c r="T72" t="s">
        <v>43</v>
      </c>
      <c r="U72" t="s">
        <v>44</v>
      </c>
      <c r="V72">
        <v>267</v>
      </c>
      <c r="W72" t="s">
        <v>151</v>
      </c>
      <c r="X72" t="s">
        <v>152</v>
      </c>
      <c r="Y72" t="s">
        <v>278</v>
      </c>
      <c r="Z72" t="s">
        <v>37</v>
      </c>
      <c r="AA72" t="s">
        <v>95</v>
      </c>
      <c r="AB72" t="s">
        <v>37</v>
      </c>
      <c r="AC72" s="6" t="s">
        <v>37</v>
      </c>
      <c r="AD72" s="6" t="s">
        <v>37</v>
      </c>
      <c r="AE72" t="s">
        <v>37</v>
      </c>
      <c r="AF72" t="s">
        <v>37</v>
      </c>
      <c r="AG72" s="6" t="s">
        <v>37</v>
      </c>
      <c r="AH72" t="s">
        <v>37</v>
      </c>
      <c r="AI72" t="s">
        <v>37</v>
      </c>
      <c r="AJ72" t="str">
        <f t="shared" si="5"/>
        <v>4LYATDUXB002VA464S</v>
      </c>
    </row>
    <row r="73" spans="1:36" ht="15" customHeight="1" x14ac:dyDescent="0.25">
      <c r="A73" t="s">
        <v>49</v>
      </c>
      <c r="B73" t="s">
        <v>37</v>
      </c>
      <c r="C73" t="s">
        <v>37</v>
      </c>
      <c r="D73" t="s">
        <v>38</v>
      </c>
      <c r="E73" s="4">
        <v>4</v>
      </c>
      <c r="F73" s="5">
        <v>147.72</v>
      </c>
      <c r="G73" s="5" t="s">
        <v>39</v>
      </c>
      <c r="H73" s="5">
        <v>245.88</v>
      </c>
      <c r="I73" s="5" t="s">
        <v>39</v>
      </c>
      <c r="J73" s="5">
        <v>5.0224799999999998</v>
      </c>
      <c r="K73" s="5">
        <f t="shared" si="3"/>
        <v>1.25562</v>
      </c>
      <c r="L73" s="5">
        <f t="shared" si="4"/>
        <v>36.93</v>
      </c>
      <c r="M73" s="5" t="s">
        <v>39</v>
      </c>
      <c r="N73" s="5">
        <v>5.0224799999999998</v>
      </c>
      <c r="O73" s="5" t="s">
        <v>39</v>
      </c>
      <c r="P73" t="s">
        <v>241</v>
      </c>
      <c r="Q73" t="s">
        <v>266</v>
      </c>
      <c r="R73" t="s">
        <v>37</v>
      </c>
      <c r="S73" t="s">
        <v>267</v>
      </c>
      <c r="T73" t="s">
        <v>43</v>
      </c>
      <c r="U73" t="s">
        <v>44</v>
      </c>
      <c r="V73">
        <v>147</v>
      </c>
      <c r="W73" t="s">
        <v>45</v>
      </c>
      <c r="X73" t="s">
        <v>53</v>
      </c>
      <c r="Y73" t="s">
        <v>268</v>
      </c>
      <c r="Z73" t="s">
        <v>37</v>
      </c>
      <c r="AA73" t="s">
        <v>48</v>
      </c>
      <c r="AB73" t="s">
        <v>37</v>
      </c>
      <c r="AC73" s="6" t="s">
        <v>37</v>
      </c>
      <c r="AD73" s="6" t="s">
        <v>37</v>
      </c>
      <c r="AE73" t="s">
        <v>37</v>
      </c>
      <c r="AF73" t="s">
        <v>37</v>
      </c>
      <c r="AG73" s="6" t="s">
        <v>37</v>
      </c>
      <c r="AH73" t="s">
        <v>37</v>
      </c>
      <c r="AI73" t="s">
        <v>37</v>
      </c>
      <c r="AJ73" t="str">
        <f t="shared" si="5"/>
        <v>6451M4NBB07CGNDZR3</v>
      </c>
    </row>
    <row r="74" spans="1:36" ht="15" customHeight="1" x14ac:dyDescent="0.25">
      <c r="A74" t="s">
        <v>96</v>
      </c>
      <c r="B74" t="s">
        <v>37</v>
      </c>
      <c r="C74" t="s">
        <v>37</v>
      </c>
      <c r="D74" t="s">
        <v>38</v>
      </c>
      <c r="E74" s="4">
        <v>24</v>
      </c>
      <c r="F74" s="5">
        <v>1284.24</v>
      </c>
      <c r="G74" s="5" t="s">
        <v>39</v>
      </c>
      <c r="H74" s="5">
        <v>1967.04</v>
      </c>
      <c r="I74" s="5" t="s">
        <v>39</v>
      </c>
      <c r="J74" s="5">
        <v>43.664160000000003</v>
      </c>
      <c r="K74" s="5">
        <f t="shared" si="3"/>
        <v>1.8193400000000002</v>
      </c>
      <c r="L74" s="5">
        <f t="shared" si="4"/>
        <v>53.51</v>
      </c>
      <c r="M74" s="5" t="s">
        <v>39</v>
      </c>
      <c r="N74" s="5">
        <v>43.664160000000003</v>
      </c>
      <c r="O74" s="5" t="s">
        <v>39</v>
      </c>
      <c r="P74" t="s">
        <v>241</v>
      </c>
      <c r="Q74" t="s">
        <v>279</v>
      </c>
      <c r="R74" t="s">
        <v>37</v>
      </c>
      <c r="S74" t="s">
        <v>280</v>
      </c>
      <c r="T74" t="s">
        <v>43</v>
      </c>
      <c r="U74" t="s">
        <v>44</v>
      </c>
      <c r="V74">
        <v>23</v>
      </c>
      <c r="W74" t="s">
        <v>281</v>
      </c>
      <c r="X74" t="s">
        <v>282</v>
      </c>
      <c r="Y74" t="s">
        <v>283</v>
      </c>
      <c r="Z74" t="s">
        <v>37</v>
      </c>
      <c r="AA74" t="s">
        <v>95</v>
      </c>
      <c r="AB74" t="s">
        <v>37</v>
      </c>
      <c r="AC74" s="6" t="s">
        <v>37</v>
      </c>
      <c r="AD74" s="6" t="s">
        <v>37</v>
      </c>
      <c r="AE74" t="s">
        <v>37</v>
      </c>
      <c r="AF74" t="s">
        <v>37</v>
      </c>
      <c r="AG74" s="6" t="s">
        <v>37</v>
      </c>
      <c r="AH74" t="s">
        <v>37</v>
      </c>
      <c r="AI74" t="s">
        <v>37</v>
      </c>
      <c r="AJ74" t="str">
        <f t="shared" si="5"/>
        <v>6451M4NBB07W6HLQ35</v>
      </c>
    </row>
    <row r="75" spans="1:36" ht="15" customHeight="1" x14ac:dyDescent="0.25">
      <c r="A75" t="s">
        <v>284</v>
      </c>
      <c r="B75" t="s">
        <v>37</v>
      </c>
      <c r="C75" t="s">
        <v>37</v>
      </c>
      <c r="D75" t="s">
        <v>38</v>
      </c>
      <c r="E75" s="4">
        <v>4</v>
      </c>
      <c r="F75" s="5">
        <v>467.56</v>
      </c>
      <c r="G75" s="5" t="s">
        <v>39</v>
      </c>
      <c r="H75" s="5">
        <v>586.88</v>
      </c>
      <c r="I75" s="5" t="s">
        <v>39</v>
      </c>
      <c r="J75" s="5">
        <v>15.897040000000001</v>
      </c>
      <c r="K75" s="5">
        <f t="shared" si="3"/>
        <v>3.9742600000000001</v>
      </c>
      <c r="L75" s="5">
        <f t="shared" si="4"/>
        <v>116.89</v>
      </c>
      <c r="M75" s="5" t="s">
        <v>39</v>
      </c>
      <c r="N75" s="5">
        <v>15.897040000000001</v>
      </c>
      <c r="O75" s="5" t="s">
        <v>39</v>
      </c>
      <c r="P75" t="s">
        <v>202</v>
      </c>
      <c r="Q75" t="s">
        <v>203</v>
      </c>
      <c r="R75" t="s">
        <v>37</v>
      </c>
      <c r="S75" t="s">
        <v>204</v>
      </c>
      <c r="T75" t="s">
        <v>43</v>
      </c>
      <c r="U75" t="s">
        <v>44</v>
      </c>
      <c r="V75">
        <v>147</v>
      </c>
      <c r="W75" t="s">
        <v>45</v>
      </c>
      <c r="X75" t="s">
        <v>46</v>
      </c>
      <c r="Y75" t="s">
        <v>205</v>
      </c>
      <c r="Z75" t="s">
        <v>37</v>
      </c>
      <c r="AA75" t="s">
        <v>55</v>
      </c>
      <c r="AB75" t="s">
        <v>37</v>
      </c>
      <c r="AC75" s="6" t="s">
        <v>37</v>
      </c>
      <c r="AD75" s="6" t="s">
        <v>37</v>
      </c>
      <c r="AE75" t="s">
        <v>37</v>
      </c>
      <c r="AF75" t="s">
        <v>37</v>
      </c>
      <c r="AG75" s="6" t="s">
        <v>37</v>
      </c>
      <c r="AH75" t="s">
        <v>37</v>
      </c>
      <c r="AI75" t="s">
        <v>37</v>
      </c>
      <c r="AJ75" t="str">
        <f t="shared" si="5"/>
        <v>39TAD6PCB07PMKHMFS</v>
      </c>
    </row>
    <row r="76" spans="1:36" ht="15" customHeight="1" x14ac:dyDescent="0.25">
      <c r="A76" t="s">
        <v>127</v>
      </c>
      <c r="B76" t="s">
        <v>37</v>
      </c>
      <c r="C76" t="s">
        <v>37</v>
      </c>
      <c r="D76" t="s">
        <v>38</v>
      </c>
      <c r="E76" s="4">
        <v>4</v>
      </c>
      <c r="F76" s="5">
        <v>467.56</v>
      </c>
      <c r="G76" s="5" t="s">
        <v>39</v>
      </c>
      <c r="H76" s="5">
        <v>586.88</v>
      </c>
      <c r="I76" s="5" t="s">
        <v>39</v>
      </c>
      <c r="J76" s="5">
        <v>15.897040000000001</v>
      </c>
      <c r="K76" s="5">
        <f t="shared" si="3"/>
        <v>3.9742600000000001</v>
      </c>
      <c r="L76" s="5">
        <f t="shared" si="4"/>
        <v>116.89</v>
      </c>
      <c r="M76" s="5" t="s">
        <v>39</v>
      </c>
      <c r="N76" s="5">
        <v>15.897040000000001</v>
      </c>
      <c r="O76" s="5" t="s">
        <v>39</v>
      </c>
      <c r="P76" t="s">
        <v>202</v>
      </c>
      <c r="Q76" t="s">
        <v>203</v>
      </c>
      <c r="R76" t="s">
        <v>37</v>
      </c>
      <c r="S76" t="s">
        <v>204</v>
      </c>
      <c r="T76" t="s">
        <v>43</v>
      </c>
      <c r="U76" t="s">
        <v>44</v>
      </c>
      <c r="V76">
        <v>147</v>
      </c>
      <c r="W76" t="s">
        <v>45</v>
      </c>
      <c r="X76" t="s">
        <v>46</v>
      </c>
      <c r="Y76" t="s">
        <v>205</v>
      </c>
      <c r="Z76" t="s">
        <v>37</v>
      </c>
      <c r="AA76" t="s">
        <v>55</v>
      </c>
      <c r="AB76" t="s">
        <v>37</v>
      </c>
      <c r="AC76" s="6" t="s">
        <v>37</v>
      </c>
      <c r="AD76" s="6" t="s">
        <v>37</v>
      </c>
      <c r="AE76" t="s">
        <v>37</v>
      </c>
      <c r="AF76" t="s">
        <v>37</v>
      </c>
      <c r="AG76" s="6" t="s">
        <v>37</v>
      </c>
      <c r="AH76" t="s">
        <v>37</v>
      </c>
      <c r="AI76" t="s">
        <v>37</v>
      </c>
      <c r="AJ76" t="str">
        <f t="shared" si="5"/>
        <v>39TAD6PCB07PMKHMFS</v>
      </c>
    </row>
    <row r="77" spans="1:36" ht="15" customHeight="1" x14ac:dyDescent="0.25">
      <c r="A77" t="s">
        <v>285</v>
      </c>
      <c r="B77" t="s">
        <v>37</v>
      </c>
      <c r="C77" t="s">
        <v>37</v>
      </c>
      <c r="D77" t="s">
        <v>38</v>
      </c>
      <c r="E77" s="4">
        <v>0</v>
      </c>
      <c r="F77" s="5">
        <v>0</v>
      </c>
      <c r="G77" s="5" t="s">
        <v>39</v>
      </c>
      <c r="H77" s="5">
        <v>0</v>
      </c>
      <c r="I77" s="5" t="s">
        <v>39</v>
      </c>
      <c r="J77" s="5">
        <v>0</v>
      </c>
      <c r="K77" s="5" t="e">
        <f t="shared" si="3"/>
        <v>#DIV/0!</v>
      </c>
      <c r="L77" s="5" t="e">
        <f t="shared" si="4"/>
        <v>#DIV/0!</v>
      </c>
      <c r="M77" s="5" t="s">
        <v>39</v>
      </c>
      <c r="N77" s="5">
        <v>0</v>
      </c>
      <c r="O77" s="5" t="s">
        <v>39</v>
      </c>
      <c r="P77" t="s">
        <v>286</v>
      </c>
      <c r="Q77" t="s">
        <v>287</v>
      </c>
      <c r="R77" t="s">
        <v>37</v>
      </c>
      <c r="S77" t="s">
        <v>288</v>
      </c>
      <c r="T77" t="s">
        <v>43</v>
      </c>
      <c r="U77" t="s">
        <v>44</v>
      </c>
      <c r="V77">
        <v>147</v>
      </c>
      <c r="W77" t="s">
        <v>45</v>
      </c>
      <c r="X77" t="s">
        <v>239</v>
      </c>
      <c r="Y77" t="s">
        <v>289</v>
      </c>
      <c r="Z77" t="s">
        <v>37</v>
      </c>
      <c r="AA77" t="s">
        <v>95</v>
      </c>
      <c r="AB77" t="s">
        <v>37</v>
      </c>
      <c r="AC77" s="6" t="s">
        <v>37</v>
      </c>
      <c r="AD77" s="6" t="s">
        <v>37</v>
      </c>
      <c r="AE77" t="s">
        <v>37</v>
      </c>
      <c r="AF77" t="s">
        <v>37</v>
      </c>
      <c r="AG77" s="6" t="s">
        <v>37</v>
      </c>
      <c r="AH77" t="s">
        <v>37</v>
      </c>
      <c r="AI77" t="s">
        <v>37</v>
      </c>
      <c r="AJ77" t="str">
        <f t="shared" si="5"/>
        <v>4AP423UWB00ZOZZM4U</v>
      </c>
    </row>
    <row r="78" spans="1:36" ht="15" customHeight="1" x14ac:dyDescent="0.25">
      <c r="A78" t="s">
        <v>56</v>
      </c>
      <c r="B78" t="s">
        <v>37</v>
      </c>
      <c r="C78" t="s">
        <v>37</v>
      </c>
      <c r="D78" t="s">
        <v>38</v>
      </c>
      <c r="E78" s="4">
        <v>112</v>
      </c>
      <c r="F78" s="5">
        <v>15896.16</v>
      </c>
      <c r="G78" s="5" t="s">
        <v>39</v>
      </c>
      <c r="H78" s="5">
        <v>32368</v>
      </c>
      <c r="I78" s="5" t="s">
        <v>39</v>
      </c>
      <c r="J78" s="5">
        <v>540.46943999999996</v>
      </c>
      <c r="K78" s="5">
        <f t="shared" si="3"/>
        <v>4.8256199999999998</v>
      </c>
      <c r="L78" s="5">
        <f t="shared" si="4"/>
        <v>141.93</v>
      </c>
      <c r="M78" s="5" t="s">
        <v>39</v>
      </c>
      <c r="N78" s="5">
        <v>540.46943999999996</v>
      </c>
      <c r="O78" s="5" t="s">
        <v>39</v>
      </c>
      <c r="P78" t="s">
        <v>290</v>
      </c>
      <c r="Q78" t="s">
        <v>291</v>
      </c>
      <c r="R78" t="s">
        <v>37</v>
      </c>
      <c r="S78" t="s">
        <v>292</v>
      </c>
      <c r="T78" t="s">
        <v>43</v>
      </c>
      <c r="U78" t="s">
        <v>44</v>
      </c>
      <c r="V78">
        <v>107</v>
      </c>
      <c r="W78" t="s">
        <v>293</v>
      </c>
      <c r="X78" t="s">
        <v>294</v>
      </c>
      <c r="Y78" t="s">
        <v>295</v>
      </c>
      <c r="Z78" t="s">
        <v>296</v>
      </c>
      <c r="AA78" t="s">
        <v>55</v>
      </c>
      <c r="AB78" t="s">
        <v>37</v>
      </c>
      <c r="AC78" s="6" t="s">
        <v>37</v>
      </c>
      <c r="AD78" s="6" t="s">
        <v>37</v>
      </c>
      <c r="AE78" t="s">
        <v>37</v>
      </c>
      <c r="AF78" t="s">
        <v>37</v>
      </c>
      <c r="AG78" s="6" t="s">
        <v>37</v>
      </c>
      <c r="AH78" t="s">
        <v>37</v>
      </c>
      <c r="AI78" t="s">
        <v>37</v>
      </c>
      <c r="AJ78" t="str">
        <f t="shared" si="5"/>
        <v>8DUEXZHEB07W6HMCF8</v>
      </c>
    </row>
    <row r="79" spans="1:36" ht="15" customHeight="1" x14ac:dyDescent="0.25">
      <c r="A79" t="s">
        <v>118</v>
      </c>
      <c r="B79" t="s">
        <v>37</v>
      </c>
      <c r="C79" t="s">
        <v>37</v>
      </c>
      <c r="D79" t="s">
        <v>38</v>
      </c>
      <c r="E79" s="4">
        <v>34</v>
      </c>
      <c r="F79" s="5">
        <v>7157.68</v>
      </c>
      <c r="G79" s="5" t="s">
        <v>39</v>
      </c>
      <c r="H79" s="5">
        <v>11426.04</v>
      </c>
      <c r="I79" s="5" t="s">
        <v>39</v>
      </c>
      <c r="J79" s="5">
        <v>243.36112</v>
      </c>
      <c r="K79" s="5">
        <f t="shared" si="3"/>
        <v>7.15768</v>
      </c>
      <c r="L79" s="5">
        <f t="shared" si="4"/>
        <v>210.52</v>
      </c>
      <c r="M79" s="5" t="s">
        <v>39</v>
      </c>
      <c r="N79" s="5">
        <v>243.36112</v>
      </c>
      <c r="O79" s="5" t="s">
        <v>39</v>
      </c>
      <c r="P79" t="s">
        <v>40</v>
      </c>
      <c r="Q79" t="s">
        <v>233</v>
      </c>
      <c r="R79" t="s">
        <v>234</v>
      </c>
      <c r="S79" t="s">
        <v>235</v>
      </c>
      <c r="T79" t="s">
        <v>43</v>
      </c>
      <c r="U79" t="s">
        <v>44</v>
      </c>
      <c r="V79">
        <v>147</v>
      </c>
      <c r="W79" t="s">
        <v>45</v>
      </c>
      <c r="X79" t="s">
        <v>46</v>
      </c>
      <c r="Y79" t="s">
        <v>236</v>
      </c>
      <c r="Z79" t="s">
        <v>37</v>
      </c>
      <c r="AA79" t="s">
        <v>55</v>
      </c>
      <c r="AB79" t="s">
        <v>37</v>
      </c>
      <c r="AC79" s="6" t="s">
        <v>37</v>
      </c>
      <c r="AD79" s="6" t="s">
        <v>37</v>
      </c>
      <c r="AE79" t="s">
        <v>37</v>
      </c>
      <c r="AF79" t="s">
        <v>37</v>
      </c>
      <c r="AG79" s="6" t="s">
        <v>37</v>
      </c>
      <c r="AH79" t="s">
        <v>37</v>
      </c>
      <c r="AI79" t="s">
        <v>37</v>
      </c>
      <c r="AJ79" t="str">
        <f t="shared" si="5"/>
        <v>4A3KDTEZB013Y78YY4</v>
      </c>
    </row>
    <row r="80" spans="1:36" ht="15" customHeight="1" x14ac:dyDescent="0.25">
      <c r="A80" t="s">
        <v>36</v>
      </c>
      <c r="B80" t="s">
        <v>37</v>
      </c>
      <c r="C80" t="s">
        <v>37</v>
      </c>
      <c r="D80" t="s">
        <v>38</v>
      </c>
      <c r="E80" s="4">
        <v>83</v>
      </c>
      <c r="F80" s="5">
        <v>18348.810000000001</v>
      </c>
      <c r="G80" s="5" t="s">
        <v>39</v>
      </c>
      <c r="H80" s="5">
        <v>27892.98</v>
      </c>
      <c r="I80" s="5" t="s">
        <v>39</v>
      </c>
      <c r="J80" s="5">
        <v>623.85954000000004</v>
      </c>
      <c r="K80" s="5">
        <f t="shared" si="3"/>
        <v>7.5163800000000007</v>
      </c>
      <c r="L80" s="5">
        <f t="shared" si="4"/>
        <v>221.07000000000002</v>
      </c>
      <c r="M80" s="5" t="s">
        <v>39</v>
      </c>
      <c r="N80" s="5">
        <v>623.85954000000004</v>
      </c>
      <c r="O80" s="5" t="s">
        <v>39</v>
      </c>
      <c r="P80" t="s">
        <v>297</v>
      </c>
      <c r="Q80" t="s">
        <v>298</v>
      </c>
      <c r="R80" t="s">
        <v>37</v>
      </c>
      <c r="S80" t="s">
        <v>299</v>
      </c>
      <c r="T80" t="s">
        <v>43</v>
      </c>
      <c r="U80" t="s">
        <v>44</v>
      </c>
      <c r="V80">
        <v>147</v>
      </c>
      <c r="W80" t="s">
        <v>45</v>
      </c>
      <c r="X80" t="s">
        <v>46</v>
      </c>
      <c r="Y80" t="s">
        <v>300</v>
      </c>
      <c r="Z80" t="s">
        <v>37</v>
      </c>
      <c r="AA80" t="s">
        <v>55</v>
      </c>
      <c r="AB80" t="s">
        <v>37</v>
      </c>
      <c r="AC80" s="6" t="s">
        <v>37</v>
      </c>
      <c r="AD80" s="6" t="s">
        <v>37</v>
      </c>
      <c r="AE80" t="s">
        <v>37</v>
      </c>
      <c r="AF80" t="s">
        <v>37</v>
      </c>
      <c r="AG80" s="6" t="s">
        <v>37</v>
      </c>
      <c r="AH80" t="s">
        <v>37</v>
      </c>
      <c r="AI80" t="s">
        <v>37</v>
      </c>
      <c r="AJ80" t="str">
        <f t="shared" si="5"/>
        <v>5KUAVFPZB00YUIM2J0</v>
      </c>
    </row>
    <row r="81" spans="1:36" ht="15" customHeight="1" x14ac:dyDescent="0.25">
      <c r="A81" t="s">
        <v>118</v>
      </c>
      <c r="B81" t="s">
        <v>37</v>
      </c>
      <c r="C81" t="s">
        <v>37</v>
      </c>
      <c r="D81" t="s">
        <v>38</v>
      </c>
      <c r="E81" s="4">
        <v>16</v>
      </c>
      <c r="F81" s="5">
        <v>2545.44</v>
      </c>
      <c r="G81" s="5" t="s">
        <v>39</v>
      </c>
      <c r="H81" s="5">
        <v>3016.32</v>
      </c>
      <c r="I81" s="5" t="s">
        <v>39</v>
      </c>
      <c r="J81" s="5">
        <v>86.544960000000003</v>
      </c>
      <c r="K81" s="5">
        <f t="shared" si="3"/>
        <v>5.4090600000000002</v>
      </c>
      <c r="L81" s="5">
        <f t="shared" si="4"/>
        <v>159.09</v>
      </c>
      <c r="M81" s="5" t="s">
        <v>39</v>
      </c>
      <c r="N81" s="5">
        <v>86.544960000000003</v>
      </c>
      <c r="O81" s="5" t="s">
        <v>39</v>
      </c>
      <c r="P81" t="s">
        <v>154</v>
      </c>
      <c r="Q81" t="s">
        <v>227</v>
      </c>
      <c r="R81" t="s">
        <v>228</v>
      </c>
      <c r="S81" t="s">
        <v>229</v>
      </c>
      <c r="T81" t="s">
        <v>43</v>
      </c>
      <c r="U81" t="s">
        <v>44</v>
      </c>
      <c r="V81">
        <v>267</v>
      </c>
      <c r="W81" t="s">
        <v>151</v>
      </c>
      <c r="X81" t="s">
        <v>152</v>
      </c>
      <c r="Y81" t="s">
        <v>230</v>
      </c>
      <c r="Z81" t="s">
        <v>37</v>
      </c>
      <c r="AA81" t="s">
        <v>95</v>
      </c>
      <c r="AB81" t="s">
        <v>37</v>
      </c>
      <c r="AC81" s="6" t="s">
        <v>37</v>
      </c>
      <c r="AD81" s="6" t="s">
        <v>37</v>
      </c>
      <c r="AE81" t="s">
        <v>37</v>
      </c>
      <c r="AF81" t="s">
        <v>37</v>
      </c>
      <c r="AG81" s="6" t="s">
        <v>37</v>
      </c>
      <c r="AH81" t="s">
        <v>37</v>
      </c>
      <c r="AI81" t="s">
        <v>37</v>
      </c>
      <c r="AJ81" t="str">
        <f t="shared" si="5"/>
        <v>1KW92RHQB078MHS3SC</v>
      </c>
    </row>
    <row r="82" spans="1:36" ht="15" customHeight="1" x14ac:dyDescent="0.25">
      <c r="A82" t="s">
        <v>101</v>
      </c>
      <c r="B82" t="s">
        <v>37</v>
      </c>
      <c r="C82" t="s">
        <v>37</v>
      </c>
      <c r="D82" t="s">
        <v>38</v>
      </c>
      <c r="E82" s="4">
        <v>10</v>
      </c>
      <c r="F82" s="5">
        <v>359.5</v>
      </c>
      <c r="G82" s="5" t="s">
        <v>39</v>
      </c>
      <c r="H82" s="5">
        <v>385.2</v>
      </c>
      <c r="I82" s="5" t="s">
        <v>39</v>
      </c>
      <c r="J82" s="5">
        <v>12.223000000000001</v>
      </c>
      <c r="K82" s="5">
        <f t="shared" si="3"/>
        <v>1.2223000000000002</v>
      </c>
      <c r="L82" s="5">
        <f t="shared" si="4"/>
        <v>35.950000000000003</v>
      </c>
      <c r="M82" s="5" t="s">
        <v>39</v>
      </c>
      <c r="N82" s="5">
        <v>12.223000000000001</v>
      </c>
      <c r="O82" s="5" t="s">
        <v>39</v>
      </c>
      <c r="P82" t="s">
        <v>72</v>
      </c>
      <c r="Q82" t="s">
        <v>301</v>
      </c>
      <c r="R82" t="s">
        <v>37</v>
      </c>
      <c r="S82" t="s">
        <v>302</v>
      </c>
      <c r="T82" t="s">
        <v>43</v>
      </c>
      <c r="U82" t="s">
        <v>44</v>
      </c>
      <c r="V82">
        <v>147</v>
      </c>
      <c r="W82" t="s">
        <v>45</v>
      </c>
      <c r="X82" t="s">
        <v>53</v>
      </c>
      <c r="Y82" t="s">
        <v>303</v>
      </c>
      <c r="Z82" t="s">
        <v>37</v>
      </c>
      <c r="AA82" t="s">
        <v>55</v>
      </c>
      <c r="AB82" t="s">
        <v>37</v>
      </c>
      <c r="AC82" s="6" t="s">
        <v>37</v>
      </c>
      <c r="AD82" s="6" t="s">
        <v>37</v>
      </c>
      <c r="AE82" t="s">
        <v>37</v>
      </c>
      <c r="AF82" t="s">
        <v>37</v>
      </c>
      <c r="AG82" s="6" t="s">
        <v>37</v>
      </c>
      <c r="AH82" t="s">
        <v>37</v>
      </c>
      <c r="AI82" t="s">
        <v>37</v>
      </c>
      <c r="AJ82" t="str">
        <f t="shared" si="5"/>
        <v>4GF112AEB07W5JKPJY</v>
      </c>
    </row>
    <row r="83" spans="1:36" ht="15" customHeight="1" x14ac:dyDescent="0.25">
      <c r="A83" t="s">
        <v>96</v>
      </c>
      <c r="B83" t="s">
        <v>37</v>
      </c>
      <c r="C83" t="s">
        <v>37</v>
      </c>
      <c r="D83" t="s">
        <v>38</v>
      </c>
      <c r="E83" s="4">
        <v>36</v>
      </c>
      <c r="F83" s="5">
        <v>3020.04</v>
      </c>
      <c r="G83" s="5" t="s">
        <v>39</v>
      </c>
      <c r="H83" s="5">
        <v>4868.6400000000003</v>
      </c>
      <c r="I83" s="5" t="s">
        <v>39</v>
      </c>
      <c r="J83" s="5">
        <v>102.68136</v>
      </c>
      <c r="K83" s="5">
        <f t="shared" si="3"/>
        <v>2.8522599999999998</v>
      </c>
      <c r="L83" s="5">
        <f t="shared" si="4"/>
        <v>83.89</v>
      </c>
      <c r="M83" s="5" t="s">
        <v>39</v>
      </c>
      <c r="N83" s="5">
        <v>102.68136</v>
      </c>
      <c r="O83" s="5" t="s">
        <v>39</v>
      </c>
      <c r="P83" t="s">
        <v>222</v>
      </c>
      <c r="Q83" t="s">
        <v>223</v>
      </c>
      <c r="R83" t="s">
        <v>37</v>
      </c>
      <c r="S83" t="s">
        <v>224</v>
      </c>
      <c r="T83" t="s">
        <v>43</v>
      </c>
      <c r="U83" t="s">
        <v>44</v>
      </c>
      <c r="V83">
        <v>147</v>
      </c>
      <c r="W83" t="s">
        <v>45</v>
      </c>
      <c r="X83" t="s">
        <v>53</v>
      </c>
      <c r="Y83" t="s">
        <v>225</v>
      </c>
      <c r="Z83" t="s">
        <v>37</v>
      </c>
      <c r="AA83" t="s">
        <v>55</v>
      </c>
      <c r="AB83" t="s">
        <v>37</v>
      </c>
      <c r="AC83" s="6" t="s">
        <v>37</v>
      </c>
      <c r="AD83" s="6" t="s">
        <v>37</v>
      </c>
      <c r="AE83" t="s">
        <v>37</v>
      </c>
      <c r="AF83" t="s">
        <v>37</v>
      </c>
      <c r="AG83" s="6" t="s">
        <v>37</v>
      </c>
      <c r="AH83" t="s">
        <v>37</v>
      </c>
      <c r="AI83" t="s">
        <v>37</v>
      </c>
      <c r="AJ83" t="str">
        <f t="shared" si="5"/>
        <v>2F7Y5WIXB07W4DHKTD</v>
      </c>
    </row>
    <row r="84" spans="1:36" ht="15" customHeight="1" x14ac:dyDescent="0.25">
      <c r="A84" t="s">
        <v>62</v>
      </c>
      <c r="B84" t="s">
        <v>37</v>
      </c>
      <c r="C84" t="s">
        <v>37</v>
      </c>
      <c r="D84" t="s">
        <v>38</v>
      </c>
      <c r="E84" s="4">
        <v>4</v>
      </c>
      <c r="F84" s="5">
        <v>211.04</v>
      </c>
      <c r="G84" s="5" t="s">
        <v>39</v>
      </c>
      <c r="H84" s="5">
        <v>340.96</v>
      </c>
      <c r="I84" s="5" t="s">
        <v>39</v>
      </c>
      <c r="J84" s="5">
        <v>7.1753600000000004</v>
      </c>
      <c r="K84" s="5">
        <f t="shared" si="3"/>
        <v>1.7938400000000001</v>
      </c>
      <c r="L84" s="5">
        <f t="shared" si="4"/>
        <v>52.76</v>
      </c>
      <c r="M84" s="5" t="s">
        <v>39</v>
      </c>
      <c r="N84" s="5">
        <v>7.1753600000000004</v>
      </c>
      <c r="O84" s="5" t="s">
        <v>39</v>
      </c>
      <c r="P84" t="s">
        <v>177</v>
      </c>
      <c r="Q84" t="s">
        <v>304</v>
      </c>
      <c r="R84" t="s">
        <v>37</v>
      </c>
      <c r="S84" t="s">
        <v>305</v>
      </c>
      <c r="T84" t="s">
        <v>43</v>
      </c>
      <c r="U84" t="s">
        <v>44</v>
      </c>
      <c r="V84">
        <v>63</v>
      </c>
      <c r="W84" t="s">
        <v>45</v>
      </c>
      <c r="X84" t="s">
        <v>46</v>
      </c>
      <c r="Y84" t="s">
        <v>306</v>
      </c>
      <c r="Z84" t="s">
        <v>37</v>
      </c>
      <c r="AA84" t="s">
        <v>307</v>
      </c>
      <c r="AB84" t="s">
        <v>37</v>
      </c>
      <c r="AC84" s="6" t="s">
        <v>37</v>
      </c>
      <c r="AD84" s="6" t="s">
        <v>37</v>
      </c>
      <c r="AE84" t="s">
        <v>37</v>
      </c>
      <c r="AF84" t="s">
        <v>37</v>
      </c>
      <c r="AG84" s="6" t="s">
        <v>37</v>
      </c>
      <c r="AH84" t="s">
        <v>37</v>
      </c>
      <c r="AI84" t="s">
        <v>37</v>
      </c>
      <c r="AJ84" t="str">
        <f t="shared" si="5"/>
        <v>4F3XMHTVB07W6JGH8Z</v>
      </c>
    </row>
    <row r="85" spans="1:36" ht="15" customHeight="1" x14ac:dyDescent="0.25">
      <c r="A85" t="s">
        <v>96</v>
      </c>
      <c r="B85" t="s">
        <v>37</v>
      </c>
      <c r="C85" t="s">
        <v>37</v>
      </c>
      <c r="D85" t="s">
        <v>38</v>
      </c>
      <c r="E85" s="4">
        <v>32</v>
      </c>
      <c r="F85" s="5">
        <v>936.96</v>
      </c>
      <c r="G85" s="5" t="s">
        <v>39</v>
      </c>
      <c r="H85" s="5">
        <v>936.96</v>
      </c>
      <c r="I85" s="5" t="s">
        <v>39</v>
      </c>
      <c r="J85" s="5">
        <v>31.856639999999999</v>
      </c>
      <c r="K85" s="5">
        <f t="shared" si="3"/>
        <v>0.99551999999999996</v>
      </c>
      <c r="L85" s="5">
        <f t="shared" si="4"/>
        <v>29.28</v>
      </c>
      <c r="M85" s="5" t="s">
        <v>39</v>
      </c>
      <c r="N85" s="5">
        <v>31.856639999999999</v>
      </c>
      <c r="O85" s="5" t="s">
        <v>39</v>
      </c>
      <c r="P85" t="s">
        <v>222</v>
      </c>
      <c r="Q85" t="s">
        <v>308</v>
      </c>
      <c r="R85" t="s">
        <v>37</v>
      </c>
      <c r="S85" t="s">
        <v>309</v>
      </c>
      <c r="T85" t="s">
        <v>43</v>
      </c>
      <c r="U85" t="s">
        <v>44</v>
      </c>
      <c r="V85">
        <v>23</v>
      </c>
      <c r="W85" t="s">
        <v>310</v>
      </c>
      <c r="X85" t="s">
        <v>311</v>
      </c>
      <c r="Y85" t="s">
        <v>312</v>
      </c>
      <c r="Z85" t="s">
        <v>37</v>
      </c>
      <c r="AA85" t="s">
        <v>55</v>
      </c>
      <c r="AB85" t="s">
        <v>37</v>
      </c>
      <c r="AC85" s="6" t="s">
        <v>37</v>
      </c>
      <c r="AD85" s="6" t="s">
        <v>37</v>
      </c>
      <c r="AE85" t="s">
        <v>37</v>
      </c>
      <c r="AF85" t="s">
        <v>37</v>
      </c>
      <c r="AG85" s="6" t="s">
        <v>37</v>
      </c>
      <c r="AH85" t="s">
        <v>37</v>
      </c>
      <c r="AI85" t="s">
        <v>37</v>
      </c>
      <c r="AJ85" t="str">
        <f t="shared" si="5"/>
        <v>2F7Y5WIXB00IRCDT7Y</v>
      </c>
    </row>
    <row r="86" spans="1:36" ht="15" customHeight="1" x14ac:dyDescent="0.25">
      <c r="A86" t="s">
        <v>36</v>
      </c>
      <c r="B86" t="s">
        <v>37</v>
      </c>
      <c r="C86" t="s">
        <v>37</v>
      </c>
      <c r="D86" t="s">
        <v>38</v>
      </c>
      <c r="E86" s="4">
        <v>8</v>
      </c>
      <c r="F86" s="5">
        <v>324.8</v>
      </c>
      <c r="G86" s="5" t="s">
        <v>39</v>
      </c>
      <c r="H86" s="5">
        <v>472.08</v>
      </c>
      <c r="I86" s="5" t="s">
        <v>39</v>
      </c>
      <c r="J86" s="5">
        <v>11.043200000000001</v>
      </c>
      <c r="K86" s="5">
        <f t="shared" si="3"/>
        <v>1.3804000000000001</v>
      </c>
      <c r="L86" s="5">
        <f t="shared" si="4"/>
        <v>40.6</v>
      </c>
      <c r="M86" s="5" t="s">
        <v>39</v>
      </c>
      <c r="N86" s="5">
        <v>11.043200000000001</v>
      </c>
      <c r="O86" s="5" t="s">
        <v>39</v>
      </c>
      <c r="P86" t="s">
        <v>133</v>
      </c>
      <c r="Q86" t="s">
        <v>313</v>
      </c>
      <c r="R86" t="s">
        <v>37</v>
      </c>
      <c r="S86" t="s">
        <v>314</v>
      </c>
      <c r="T86" t="s">
        <v>43</v>
      </c>
      <c r="U86" t="s">
        <v>44</v>
      </c>
      <c r="V86">
        <v>147</v>
      </c>
      <c r="W86" t="s">
        <v>45</v>
      </c>
      <c r="X86" t="s">
        <v>60</v>
      </c>
      <c r="Y86" t="s">
        <v>315</v>
      </c>
      <c r="Z86" t="s">
        <v>37</v>
      </c>
      <c r="AA86" t="s">
        <v>55</v>
      </c>
      <c r="AB86" t="s">
        <v>37</v>
      </c>
      <c r="AC86" s="6" t="s">
        <v>37</v>
      </c>
      <c r="AD86" s="6" t="s">
        <v>37</v>
      </c>
      <c r="AE86" t="s">
        <v>37</v>
      </c>
      <c r="AF86" t="s">
        <v>37</v>
      </c>
      <c r="AG86" s="6" t="s">
        <v>37</v>
      </c>
      <c r="AH86" t="s">
        <v>37</v>
      </c>
      <c r="AI86" t="s">
        <v>37</v>
      </c>
      <c r="AJ86" t="str">
        <f t="shared" si="5"/>
        <v>36BT7GGLB07W7LNRN6</v>
      </c>
    </row>
    <row r="87" spans="1:36" ht="15" customHeight="1" x14ac:dyDescent="0.25">
      <c r="A87" t="s">
        <v>36</v>
      </c>
      <c r="B87" t="s">
        <v>37</v>
      </c>
      <c r="C87" t="s">
        <v>37</v>
      </c>
      <c r="D87" t="s">
        <v>38</v>
      </c>
      <c r="E87" s="4">
        <v>4</v>
      </c>
      <c r="F87" s="5">
        <v>525.52</v>
      </c>
      <c r="G87" s="5" t="s">
        <v>39</v>
      </c>
      <c r="H87" s="5">
        <v>881.96</v>
      </c>
      <c r="I87" s="5" t="s">
        <v>39</v>
      </c>
      <c r="J87" s="5">
        <v>17.86768</v>
      </c>
      <c r="K87" s="5">
        <f t="shared" si="3"/>
        <v>4.46692</v>
      </c>
      <c r="L87" s="5">
        <f t="shared" si="4"/>
        <v>131.38</v>
      </c>
      <c r="M87" s="5" t="s">
        <v>39</v>
      </c>
      <c r="N87" s="5">
        <v>17.86768</v>
      </c>
      <c r="O87" s="5" t="s">
        <v>39</v>
      </c>
      <c r="P87" t="s">
        <v>141</v>
      </c>
      <c r="Q87" t="s">
        <v>316</v>
      </c>
      <c r="R87" t="s">
        <v>37</v>
      </c>
      <c r="S87" t="s">
        <v>317</v>
      </c>
      <c r="T87" t="s">
        <v>318</v>
      </c>
      <c r="U87" t="s">
        <v>44</v>
      </c>
      <c r="V87">
        <v>147</v>
      </c>
      <c r="W87" t="s">
        <v>45</v>
      </c>
      <c r="X87" t="s">
        <v>60</v>
      </c>
      <c r="Y87" t="s">
        <v>319</v>
      </c>
      <c r="Z87" t="s">
        <v>37</v>
      </c>
      <c r="AA87" t="s">
        <v>95</v>
      </c>
      <c r="AB87" t="s">
        <v>37</v>
      </c>
      <c r="AC87" s="6" t="s">
        <v>37</v>
      </c>
      <c r="AD87" s="6" t="s">
        <v>37</v>
      </c>
      <c r="AE87" t="s">
        <v>37</v>
      </c>
      <c r="AF87" t="s">
        <v>37</v>
      </c>
      <c r="AG87" s="6" t="s">
        <v>37</v>
      </c>
      <c r="AH87" t="s">
        <v>37</v>
      </c>
      <c r="AI87" t="s">
        <v>37</v>
      </c>
      <c r="AJ87" t="str">
        <f t="shared" si="5"/>
        <v>56UO2L2IB07W7LQDX7</v>
      </c>
    </row>
    <row r="88" spans="1:36" ht="15" customHeight="1" x14ac:dyDescent="0.25">
      <c r="A88" t="s">
        <v>101</v>
      </c>
      <c r="B88" t="s">
        <v>37</v>
      </c>
      <c r="C88" t="s">
        <v>37</v>
      </c>
      <c r="D88" t="s">
        <v>38</v>
      </c>
      <c r="E88" s="4">
        <v>8</v>
      </c>
      <c r="F88" s="5">
        <v>92.8</v>
      </c>
      <c r="G88" s="5" t="s">
        <v>39</v>
      </c>
      <c r="H88" s="5">
        <v>157.28</v>
      </c>
      <c r="I88" s="5" t="s">
        <v>39</v>
      </c>
      <c r="J88" s="5">
        <v>3.1551999999999998</v>
      </c>
      <c r="K88" s="5">
        <f t="shared" si="3"/>
        <v>0.39439999999999997</v>
      </c>
      <c r="L88" s="5">
        <f t="shared" si="4"/>
        <v>11.6</v>
      </c>
      <c r="M88" s="5" t="s">
        <v>39</v>
      </c>
      <c r="N88" s="5">
        <v>3.1551999999999998</v>
      </c>
      <c r="O88" s="5" t="s">
        <v>39</v>
      </c>
      <c r="P88" t="s">
        <v>320</v>
      </c>
      <c r="Q88" t="s">
        <v>321</v>
      </c>
      <c r="R88" t="s">
        <v>37</v>
      </c>
      <c r="S88" t="s">
        <v>322</v>
      </c>
      <c r="T88" t="s">
        <v>43</v>
      </c>
      <c r="U88" t="s">
        <v>44</v>
      </c>
      <c r="V88">
        <v>147</v>
      </c>
      <c r="W88" t="s">
        <v>45</v>
      </c>
      <c r="X88" t="s">
        <v>46</v>
      </c>
      <c r="Y88" t="s">
        <v>323</v>
      </c>
      <c r="Z88" t="s">
        <v>37</v>
      </c>
      <c r="AA88" t="s">
        <v>48</v>
      </c>
      <c r="AB88" t="s">
        <v>37</v>
      </c>
      <c r="AC88" s="6" t="s">
        <v>37</v>
      </c>
      <c r="AD88" s="6" t="s">
        <v>37</v>
      </c>
      <c r="AE88" t="s">
        <v>37</v>
      </c>
      <c r="AF88" t="s">
        <v>37</v>
      </c>
      <c r="AG88" s="6" t="s">
        <v>37</v>
      </c>
      <c r="AH88" t="s">
        <v>37</v>
      </c>
      <c r="AI88" t="s">
        <v>37</v>
      </c>
      <c r="AJ88" t="str">
        <f t="shared" si="5"/>
        <v>8BG295LIB01DIJIDKI</v>
      </c>
    </row>
    <row r="89" spans="1:36" ht="15" customHeight="1" x14ac:dyDescent="0.25">
      <c r="A89" t="s">
        <v>96</v>
      </c>
      <c r="B89" t="s">
        <v>37</v>
      </c>
      <c r="C89" t="s">
        <v>37</v>
      </c>
      <c r="D89" t="s">
        <v>38</v>
      </c>
      <c r="E89" s="4">
        <v>50</v>
      </c>
      <c r="F89" s="5">
        <v>526.5</v>
      </c>
      <c r="G89" s="5" t="s">
        <v>39</v>
      </c>
      <c r="H89" s="5">
        <v>526.5</v>
      </c>
      <c r="I89" s="5" t="s">
        <v>39</v>
      </c>
      <c r="J89" s="5">
        <v>17.901</v>
      </c>
      <c r="K89" s="5">
        <f t="shared" si="3"/>
        <v>0.35802</v>
      </c>
      <c r="L89" s="5">
        <f t="shared" si="4"/>
        <v>10.53</v>
      </c>
      <c r="M89" s="5" t="s">
        <v>39</v>
      </c>
      <c r="N89" s="5">
        <v>17.901</v>
      </c>
      <c r="O89" s="5" t="s">
        <v>39</v>
      </c>
      <c r="P89" t="s">
        <v>222</v>
      </c>
      <c r="Q89" t="s">
        <v>324</v>
      </c>
      <c r="R89" t="s">
        <v>325</v>
      </c>
      <c r="S89" t="s">
        <v>326</v>
      </c>
      <c r="T89" t="s">
        <v>43</v>
      </c>
      <c r="U89" t="s">
        <v>44</v>
      </c>
      <c r="V89">
        <v>147</v>
      </c>
      <c r="W89" t="s">
        <v>45</v>
      </c>
      <c r="X89" t="s">
        <v>53</v>
      </c>
      <c r="Y89" t="s">
        <v>327</v>
      </c>
      <c r="Z89" t="s">
        <v>37</v>
      </c>
      <c r="AA89" t="s">
        <v>48</v>
      </c>
      <c r="AB89" t="s">
        <v>37</v>
      </c>
      <c r="AC89" s="6" t="s">
        <v>37</v>
      </c>
      <c r="AD89" s="6" t="s">
        <v>37</v>
      </c>
      <c r="AE89" t="s">
        <v>37</v>
      </c>
      <c r="AF89" t="s">
        <v>37</v>
      </c>
      <c r="AG89" s="6" t="s">
        <v>37</v>
      </c>
      <c r="AH89" t="s">
        <v>37</v>
      </c>
      <c r="AI89" t="s">
        <v>37</v>
      </c>
      <c r="AJ89" t="str">
        <f t="shared" si="5"/>
        <v>2F7Y5WIXB00544XFHC</v>
      </c>
    </row>
    <row r="90" spans="1:36" ht="15" customHeight="1" x14ac:dyDescent="0.25">
      <c r="A90" t="s">
        <v>101</v>
      </c>
      <c r="B90" t="s">
        <v>37</v>
      </c>
      <c r="C90" t="s">
        <v>37</v>
      </c>
      <c r="D90" t="s">
        <v>38</v>
      </c>
      <c r="E90" s="4">
        <v>48</v>
      </c>
      <c r="F90" s="5">
        <v>3313.44</v>
      </c>
      <c r="G90" s="5" t="s">
        <v>39</v>
      </c>
      <c r="H90" s="5">
        <v>5075.5200000000004</v>
      </c>
      <c r="I90" s="5" t="s">
        <v>39</v>
      </c>
      <c r="J90" s="5">
        <v>112.65696</v>
      </c>
      <c r="K90" s="5">
        <f t="shared" si="3"/>
        <v>2.3470200000000001</v>
      </c>
      <c r="L90" s="5">
        <f t="shared" si="4"/>
        <v>69.03</v>
      </c>
      <c r="M90" s="5" t="s">
        <v>39</v>
      </c>
      <c r="N90" s="5">
        <v>112.65696</v>
      </c>
      <c r="O90" s="5" t="s">
        <v>39</v>
      </c>
      <c r="P90" t="s">
        <v>120</v>
      </c>
      <c r="Q90" t="s">
        <v>328</v>
      </c>
      <c r="R90" t="s">
        <v>37</v>
      </c>
      <c r="S90" t="s">
        <v>329</v>
      </c>
      <c r="T90" t="s">
        <v>43</v>
      </c>
      <c r="U90" t="s">
        <v>44</v>
      </c>
      <c r="V90">
        <v>147</v>
      </c>
      <c r="W90" t="s">
        <v>45</v>
      </c>
      <c r="X90" t="s">
        <v>239</v>
      </c>
      <c r="Y90" t="s">
        <v>330</v>
      </c>
      <c r="Z90" t="s">
        <v>37</v>
      </c>
      <c r="AA90" t="s">
        <v>55</v>
      </c>
      <c r="AB90" t="s">
        <v>37</v>
      </c>
      <c r="AC90" s="6" t="s">
        <v>37</v>
      </c>
      <c r="AD90" s="6" t="s">
        <v>37</v>
      </c>
      <c r="AE90" t="s">
        <v>37</v>
      </c>
      <c r="AF90" t="s">
        <v>37</v>
      </c>
      <c r="AG90" s="6" t="s">
        <v>37</v>
      </c>
      <c r="AH90" t="s">
        <v>37</v>
      </c>
      <c r="AI90" t="s">
        <v>37</v>
      </c>
      <c r="AJ90" t="str">
        <f t="shared" si="5"/>
        <v>5MWU8WTDB07MM4V7NR</v>
      </c>
    </row>
    <row r="91" spans="1:36" ht="15" customHeight="1" x14ac:dyDescent="0.25">
      <c r="A91" t="s">
        <v>36</v>
      </c>
      <c r="B91" t="s">
        <v>37</v>
      </c>
      <c r="C91" t="s">
        <v>37</v>
      </c>
      <c r="D91" t="s">
        <v>38</v>
      </c>
      <c r="E91" s="4">
        <v>12</v>
      </c>
      <c r="F91" s="5">
        <v>538.08000000000004</v>
      </c>
      <c r="G91" s="5" t="s">
        <v>39</v>
      </c>
      <c r="H91" s="5">
        <v>865.44</v>
      </c>
      <c r="I91" s="5" t="s">
        <v>39</v>
      </c>
      <c r="J91" s="5">
        <v>18.294720000000002</v>
      </c>
      <c r="K91" s="5">
        <f t="shared" si="3"/>
        <v>1.5245600000000001</v>
      </c>
      <c r="L91" s="5">
        <f t="shared" si="4"/>
        <v>44.84</v>
      </c>
      <c r="M91" s="5" t="s">
        <v>39</v>
      </c>
      <c r="N91" s="5">
        <v>18.294720000000002</v>
      </c>
      <c r="O91" s="5" t="s">
        <v>39</v>
      </c>
      <c r="P91" t="s">
        <v>246</v>
      </c>
      <c r="Q91" t="s">
        <v>331</v>
      </c>
      <c r="R91" t="s">
        <v>37</v>
      </c>
      <c r="S91" t="s">
        <v>332</v>
      </c>
      <c r="T91" t="s">
        <v>43</v>
      </c>
      <c r="U91" t="s">
        <v>44</v>
      </c>
      <c r="V91">
        <v>147</v>
      </c>
      <c r="W91" t="s">
        <v>333</v>
      </c>
      <c r="X91" t="s">
        <v>334</v>
      </c>
      <c r="Y91" t="s">
        <v>335</v>
      </c>
      <c r="Z91" t="s">
        <v>37</v>
      </c>
      <c r="AA91" t="s">
        <v>55</v>
      </c>
      <c r="AB91" t="s">
        <v>37</v>
      </c>
      <c r="AC91" s="6" t="s">
        <v>37</v>
      </c>
      <c r="AD91" s="6" t="s">
        <v>37</v>
      </c>
      <c r="AE91" t="s">
        <v>37</v>
      </c>
      <c r="AF91" t="s">
        <v>37</v>
      </c>
      <c r="AG91" s="6" t="s">
        <v>37</v>
      </c>
      <c r="AH91" t="s">
        <v>37</v>
      </c>
      <c r="AI91" t="s">
        <v>37</v>
      </c>
      <c r="AJ91" t="str">
        <f t="shared" si="5"/>
        <v>1PSIXGLTB01LQTFOYK</v>
      </c>
    </row>
    <row r="92" spans="1:36" ht="15" customHeight="1" x14ac:dyDescent="0.25">
      <c r="A92" t="s">
        <v>96</v>
      </c>
      <c r="B92" t="s">
        <v>37</v>
      </c>
      <c r="C92" t="s">
        <v>37</v>
      </c>
      <c r="D92" t="s">
        <v>38</v>
      </c>
      <c r="E92" s="4">
        <v>40</v>
      </c>
      <c r="F92" s="5">
        <v>2933.6</v>
      </c>
      <c r="G92" s="5" t="s">
        <v>39</v>
      </c>
      <c r="H92" s="5">
        <v>4754</v>
      </c>
      <c r="I92" s="5" t="s">
        <v>39</v>
      </c>
      <c r="J92" s="5">
        <v>99.742400000000004</v>
      </c>
      <c r="K92" s="5">
        <f t="shared" si="3"/>
        <v>2.49356</v>
      </c>
      <c r="L92" s="5">
        <f t="shared" si="4"/>
        <v>73.34</v>
      </c>
      <c r="M92" s="5" t="s">
        <v>39</v>
      </c>
      <c r="N92" s="5">
        <v>99.742400000000004</v>
      </c>
      <c r="O92" s="5" t="s">
        <v>39</v>
      </c>
      <c r="P92" t="s">
        <v>336</v>
      </c>
      <c r="Q92" t="s">
        <v>207</v>
      </c>
      <c r="R92" t="s">
        <v>37</v>
      </c>
      <c r="S92" t="s">
        <v>208</v>
      </c>
      <c r="T92" t="s">
        <v>43</v>
      </c>
      <c r="U92" t="s">
        <v>44</v>
      </c>
      <c r="V92">
        <v>147</v>
      </c>
      <c r="W92" t="s">
        <v>45</v>
      </c>
      <c r="X92" t="s">
        <v>46</v>
      </c>
      <c r="Y92" t="s">
        <v>209</v>
      </c>
      <c r="Z92" t="s">
        <v>37</v>
      </c>
      <c r="AA92" t="s">
        <v>55</v>
      </c>
      <c r="AB92" t="s">
        <v>37</v>
      </c>
      <c r="AC92" s="6" t="s">
        <v>37</v>
      </c>
      <c r="AD92" s="6" t="s">
        <v>37</v>
      </c>
      <c r="AE92" t="s">
        <v>37</v>
      </c>
      <c r="AF92" t="s">
        <v>37</v>
      </c>
      <c r="AG92" s="6" t="s">
        <v>37</v>
      </c>
      <c r="AH92" t="s">
        <v>37</v>
      </c>
      <c r="AI92" t="s">
        <v>37</v>
      </c>
      <c r="AJ92" t="str">
        <f t="shared" si="5"/>
        <v>3OB2IUIKB073399S1L</v>
      </c>
    </row>
    <row r="93" spans="1:36" ht="15" customHeight="1" x14ac:dyDescent="0.25">
      <c r="A93" t="s">
        <v>36</v>
      </c>
      <c r="B93" t="s">
        <v>37</v>
      </c>
      <c r="C93" t="s">
        <v>37</v>
      </c>
      <c r="D93" t="s">
        <v>38</v>
      </c>
      <c r="E93" s="4">
        <v>80</v>
      </c>
      <c r="F93" s="5">
        <v>3164.8</v>
      </c>
      <c r="G93" s="5" t="s">
        <v>39</v>
      </c>
      <c r="H93" s="5">
        <v>5245.6</v>
      </c>
      <c r="I93" s="5" t="s">
        <v>39</v>
      </c>
      <c r="J93" s="5">
        <v>107.6032</v>
      </c>
      <c r="K93" s="5">
        <f t="shared" si="3"/>
        <v>1.34504</v>
      </c>
      <c r="L93" s="5">
        <f t="shared" si="4"/>
        <v>39.56</v>
      </c>
      <c r="M93" s="5" t="s">
        <v>39</v>
      </c>
      <c r="N93" s="5">
        <v>107.6032</v>
      </c>
      <c r="O93" s="5" t="s">
        <v>39</v>
      </c>
      <c r="P93" t="s">
        <v>67</v>
      </c>
      <c r="Q93" t="s">
        <v>337</v>
      </c>
      <c r="R93" t="s">
        <v>37</v>
      </c>
      <c r="S93" t="s">
        <v>338</v>
      </c>
      <c r="T93" t="s">
        <v>43</v>
      </c>
      <c r="U93" t="s">
        <v>44</v>
      </c>
      <c r="V93">
        <v>147</v>
      </c>
      <c r="W93" t="s">
        <v>45</v>
      </c>
      <c r="X93" t="s">
        <v>53</v>
      </c>
      <c r="Y93" t="s">
        <v>339</v>
      </c>
      <c r="Z93" t="s">
        <v>37</v>
      </c>
      <c r="AA93" t="s">
        <v>55</v>
      </c>
      <c r="AB93" t="s">
        <v>37</v>
      </c>
      <c r="AC93" s="6" t="s">
        <v>37</v>
      </c>
      <c r="AD93" s="6" t="s">
        <v>37</v>
      </c>
      <c r="AE93" t="s">
        <v>37</v>
      </c>
      <c r="AF93" t="s">
        <v>37</v>
      </c>
      <c r="AG93" s="6" t="s">
        <v>37</v>
      </c>
      <c r="AH93" t="s">
        <v>37</v>
      </c>
      <c r="AI93" t="s">
        <v>37</v>
      </c>
      <c r="AJ93" t="str">
        <f t="shared" si="5"/>
        <v>2TMBDXBKB00L8VNQ88</v>
      </c>
    </row>
    <row r="94" spans="1:36" ht="15" customHeight="1" x14ac:dyDescent="0.25">
      <c r="A94" t="s">
        <v>340</v>
      </c>
      <c r="B94" t="s">
        <v>37</v>
      </c>
      <c r="C94" t="s">
        <v>37</v>
      </c>
      <c r="D94" t="s">
        <v>38</v>
      </c>
      <c r="E94" s="4">
        <v>4</v>
      </c>
      <c r="F94" s="5">
        <v>293.36</v>
      </c>
      <c r="G94" s="5" t="s">
        <v>39</v>
      </c>
      <c r="H94" s="5">
        <v>442.6</v>
      </c>
      <c r="I94" s="5" t="s">
        <v>39</v>
      </c>
      <c r="J94" s="5">
        <v>9.97424</v>
      </c>
      <c r="K94" s="5">
        <f t="shared" si="3"/>
        <v>2.49356</v>
      </c>
      <c r="L94" s="5">
        <f t="shared" si="4"/>
        <v>73.34</v>
      </c>
      <c r="M94" s="5" t="s">
        <v>39</v>
      </c>
      <c r="N94" s="5">
        <v>9.97424</v>
      </c>
      <c r="O94" s="5" t="s">
        <v>39</v>
      </c>
      <c r="P94" t="s">
        <v>222</v>
      </c>
      <c r="Q94" t="s">
        <v>260</v>
      </c>
      <c r="R94" t="s">
        <v>37</v>
      </c>
      <c r="S94" t="s">
        <v>261</v>
      </c>
      <c r="T94" t="s">
        <v>43</v>
      </c>
      <c r="U94" t="s">
        <v>44</v>
      </c>
      <c r="V94">
        <v>147</v>
      </c>
      <c r="W94" t="s">
        <v>45</v>
      </c>
      <c r="X94" t="s">
        <v>46</v>
      </c>
      <c r="Y94" t="s">
        <v>262</v>
      </c>
      <c r="Z94" t="s">
        <v>37</v>
      </c>
      <c r="AA94" t="s">
        <v>55</v>
      </c>
      <c r="AB94" t="s">
        <v>37</v>
      </c>
      <c r="AC94" s="6" t="s">
        <v>37</v>
      </c>
      <c r="AD94" s="6" t="s">
        <v>37</v>
      </c>
      <c r="AE94" t="s">
        <v>37</v>
      </c>
      <c r="AF94" t="s">
        <v>37</v>
      </c>
      <c r="AG94" s="6" t="s">
        <v>37</v>
      </c>
      <c r="AH94" t="s">
        <v>37</v>
      </c>
      <c r="AI94" t="s">
        <v>37</v>
      </c>
      <c r="AJ94" t="str">
        <f t="shared" si="5"/>
        <v>2F7Y5WIXB07TLX61W7</v>
      </c>
    </row>
    <row r="95" spans="1:36" ht="15" customHeight="1" x14ac:dyDescent="0.25">
      <c r="A95" t="s">
        <v>76</v>
      </c>
      <c r="B95" t="s">
        <v>37</v>
      </c>
      <c r="C95" t="s">
        <v>37</v>
      </c>
      <c r="D95" t="s">
        <v>38</v>
      </c>
      <c r="E95" s="4">
        <v>32</v>
      </c>
      <c r="F95" s="5">
        <v>656</v>
      </c>
      <c r="G95" s="5" t="s">
        <v>39</v>
      </c>
      <c r="H95" s="5">
        <v>996.48</v>
      </c>
      <c r="I95" s="5" t="s">
        <v>39</v>
      </c>
      <c r="J95" s="5">
        <v>22.303999999999998</v>
      </c>
      <c r="K95" s="5">
        <f t="shared" si="3"/>
        <v>0.69699999999999995</v>
      </c>
      <c r="L95" s="5">
        <f t="shared" si="4"/>
        <v>20.5</v>
      </c>
      <c r="M95" s="5" t="s">
        <v>39</v>
      </c>
      <c r="N95" s="5">
        <v>22.303999999999998</v>
      </c>
      <c r="O95" s="5" t="s">
        <v>39</v>
      </c>
      <c r="P95" t="s">
        <v>114</v>
      </c>
      <c r="Q95" t="s">
        <v>341</v>
      </c>
      <c r="R95" t="s">
        <v>342</v>
      </c>
      <c r="S95" t="s">
        <v>343</v>
      </c>
      <c r="T95" t="s">
        <v>43</v>
      </c>
      <c r="U95" t="s">
        <v>44</v>
      </c>
      <c r="V95">
        <v>147</v>
      </c>
      <c r="W95" t="s">
        <v>45</v>
      </c>
      <c r="X95" t="s">
        <v>60</v>
      </c>
      <c r="Y95" t="s">
        <v>344</v>
      </c>
      <c r="Z95" t="s">
        <v>37</v>
      </c>
      <c r="AA95" t="s">
        <v>95</v>
      </c>
      <c r="AB95" t="s">
        <v>37</v>
      </c>
      <c r="AC95" s="6" t="s">
        <v>37</v>
      </c>
      <c r="AD95" s="6" t="s">
        <v>37</v>
      </c>
      <c r="AE95" t="s">
        <v>37</v>
      </c>
      <c r="AF95" t="s">
        <v>37</v>
      </c>
      <c r="AG95" s="6" t="s">
        <v>37</v>
      </c>
      <c r="AH95" t="s">
        <v>37</v>
      </c>
      <c r="AI95" t="s">
        <v>37</v>
      </c>
      <c r="AJ95" t="str">
        <f t="shared" si="5"/>
        <v>243WWSUAB007Z0YCEI</v>
      </c>
    </row>
    <row r="96" spans="1:36" ht="15" customHeight="1" x14ac:dyDescent="0.25">
      <c r="A96" t="s">
        <v>62</v>
      </c>
      <c r="B96" t="s">
        <v>37</v>
      </c>
      <c r="C96" t="s">
        <v>37</v>
      </c>
      <c r="D96" t="s">
        <v>38</v>
      </c>
      <c r="E96" s="4">
        <v>4</v>
      </c>
      <c r="F96" s="5">
        <v>377.76</v>
      </c>
      <c r="G96" s="5" t="s">
        <v>39</v>
      </c>
      <c r="H96" s="5">
        <v>377.76</v>
      </c>
      <c r="I96" s="5" t="s">
        <v>39</v>
      </c>
      <c r="J96" s="5">
        <v>12.84384</v>
      </c>
      <c r="K96" s="5">
        <f t="shared" si="3"/>
        <v>3.21096</v>
      </c>
      <c r="L96" s="5">
        <f t="shared" si="4"/>
        <v>94.44</v>
      </c>
      <c r="M96" s="5" t="s">
        <v>39</v>
      </c>
      <c r="N96" s="5">
        <v>12.84384</v>
      </c>
      <c r="O96" s="5" t="s">
        <v>39</v>
      </c>
      <c r="P96" t="s">
        <v>345</v>
      </c>
      <c r="Q96" t="s">
        <v>346</v>
      </c>
      <c r="R96" t="s">
        <v>37</v>
      </c>
      <c r="S96" t="s">
        <v>347</v>
      </c>
      <c r="T96" t="s">
        <v>348</v>
      </c>
      <c r="U96" t="s">
        <v>44</v>
      </c>
      <c r="V96">
        <v>147</v>
      </c>
      <c r="W96" t="s">
        <v>45</v>
      </c>
      <c r="X96" t="s">
        <v>349</v>
      </c>
      <c r="Y96" t="s">
        <v>350</v>
      </c>
      <c r="Z96" t="s">
        <v>37</v>
      </c>
      <c r="AA96" t="s">
        <v>55</v>
      </c>
      <c r="AB96" t="s">
        <v>37</v>
      </c>
      <c r="AC96" s="6" t="s">
        <v>37</v>
      </c>
      <c r="AD96" s="6" t="s">
        <v>37</v>
      </c>
      <c r="AE96" t="s">
        <v>37</v>
      </c>
      <c r="AF96" t="s">
        <v>37</v>
      </c>
      <c r="AG96" s="6" t="s">
        <v>37</v>
      </c>
      <c r="AH96" t="s">
        <v>37</v>
      </c>
      <c r="AI96" t="s">
        <v>37</v>
      </c>
      <c r="AJ96" t="str">
        <f t="shared" si="5"/>
        <v>2XSDZ5YGB07W4DGCMW</v>
      </c>
    </row>
    <row r="97" spans="1:36" ht="15" customHeight="1" x14ac:dyDescent="0.25">
      <c r="A97" t="s">
        <v>101</v>
      </c>
      <c r="B97" t="s">
        <v>37</v>
      </c>
      <c r="C97" t="s">
        <v>37</v>
      </c>
      <c r="D97" t="s">
        <v>38</v>
      </c>
      <c r="E97" s="4">
        <v>152</v>
      </c>
      <c r="F97" s="5">
        <v>17635.04</v>
      </c>
      <c r="G97" s="5" t="s">
        <v>39</v>
      </c>
      <c r="H97" s="5">
        <v>24917.360000000001</v>
      </c>
      <c r="I97" s="5" t="s">
        <v>39</v>
      </c>
      <c r="J97" s="5">
        <v>599.59136000000001</v>
      </c>
      <c r="K97" s="5">
        <f t="shared" si="3"/>
        <v>3.94468</v>
      </c>
      <c r="L97" s="5">
        <f t="shared" si="4"/>
        <v>116.02000000000001</v>
      </c>
      <c r="M97" s="5" t="s">
        <v>39</v>
      </c>
      <c r="N97" s="5">
        <v>599.59136000000001</v>
      </c>
      <c r="O97" s="5" t="s">
        <v>39</v>
      </c>
      <c r="P97" t="s">
        <v>120</v>
      </c>
      <c r="Q97" t="s">
        <v>351</v>
      </c>
      <c r="R97" t="s">
        <v>37</v>
      </c>
      <c r="S97" t="s">
        <v>352</v>
      </c>
      <c r="T97" t="s">
        <v>43</v>
      </c>
      <c r="U97" t="s">
        <v>44</v>
      </c>
      <c r="V97">
        <v>147</v>
      </c>
      <c r="W97" t="s">
        <v>45</v>
      </c>
      <c r="X97" t="s">
        <v>60</v>
      </c>
      <c r="Y97" t="s">
        <v>353</v>
      </c>
      <c r="Z97" t="s">
        <v>37</v>
      </c>
      <c r="AA97" t="s">
        <v>55</v>
      </c>
      <c r="AB97" t="s">
        <v>37</v>
      </c>
      <c r="AC97" s="6" t="s">
        <v>37</v>
      </c>
      <c r="AD97" s="6" t="s">
        <v>37</v>
      </c>
      <c r="AE97" t="s">
        <v>37</v>
      </c>
      <c r="AF97" t="s">
        <v>37</v>
      </c>
      <c r="AG97" s="6" t="s">
        <v>37</v>
      </c>
      <c r="AH97" t="s">
        <v>37</v>
      </c>
      <c r="AI97" t="s">
        <v>37</v>
      </c>
      <c r="AJ97" t="str">
        <f t="shared" si="5"/>
        <v>5MWU8WTDB07W6JKKBV</v>
      </c>
    </row>
    <row r="98" spans="1:36" ht="15" customHeight="1" x14ac:dyDescent="0.25">
      <c r="A98" t="s">
        <v>101</v>
      </c>
      <c r="B98" t="s">
        <v>37</v>
      </c>
      <c r="C98" t="s">
        <v>37</v>
      </c>
      <c r="D98" t="s">
        <v>38</v>
      </c>
      <c r="E98" s="4">
        <v>40</v>
      </c>
      <c r="F98" s="5">
        <v>1288.4000000000001</v>
      </c>
      <c r="G98" s="5" t="s">
        <v>39</v>
      </c>
      <c r="H98" s="5">
        <v>1934</v>
      </c>
      <c r="I98" s="5" t="s">
        <v>39</v>
      </c>
      <c r="J98" s="5">
        <v>43.805599999999998</v>
      </c>
      <c r="K98" s="5">
        <f t="shared" si="3"/>
        <v>1.09514</v>
      </c>
      <c r="L98" s="5">
        <f t="shared" si="4"/>
        <v>32.21</v>
      </c>
      <c r="M98" s="5" t="s">
        <v>39</v>
      </c>
      <c r="N98" s="5">
        <v>43.805599999999998</v>
      </c>
      <c r="O98" s="5" t="s">
        <v>39</v>
      </c>
      <c r="P98" t="s">
        <v>274</v>
      </c>
      <c r="Q98" t="s">
        <v>354</v>
      </c>
      <c r="R98" t="s">
        <v>37</v>
      </c>
      <c r="S98" t="s">
        <v>355</v>
      </c>
      <c r="T98" t="s">
        <v>43</v>
      </c>
      <c r="U98" t="s">
        <v>44</v>
      </c>
      <c r="V98">
        <v>147</v>
      </c>
      <c r="W98" t="s">
        <v>45</v>
      </c>
      <c r="X98" t="s">
        <v>356</v>
      </c>
      <c r="Y98" t="s">
        <v>357</v>
      </c>
      <c r="Z98" t="s">
        <v>37</v>
      </c>
      <c r="AA98" t="s">
        <v>55</v>
      </c>
      <c r="AB98" t="s">
        <v>37</v>
      </c>
      <c r="AC98" s="6" t="s">
        <v>37</v>
      </c>
      <c r="AD98" s="6" t="s">
        <v>37</v>
      </c>
      <c r="AE98" t="s">
        <v>37</v>
      </c>
      <c r="AF98" t="s">
        <v>37</v>
      </c>
      <c r="AG98" s="6" t="s">
        <v>37</v>
      </c>
      <c r="AH98" t="s">
        <v>37</v>
      </c>
      <c r="AI98" t="s">
        <v>37</v>
      </c>
      <c r="AJ98" t="str">
        <f t="shared" si="5"/>
        <v>4LYATDUXB07W6JM289</v>
      </c>
    </row>
    <row r="99" spans="1:36" ht="15" customHeight="1" x14ac:dyDescent="0.25">
      <c r="A99" t="s">
        <v>88</v>
      </c>
      <c r="B99" t="s">
        <v>37</v>
      </c>
      <c r="C99" t="s">
        <v>37</v>
      </c>
      <c r="D99" t="s">
        <v>38</v>
      </c>
      <c r="E99" s="4">
        <v>16</v>
      </c>
      <c r="F99" s="5">
        <v>206.08</v>
      </c>
      <c r="G99" s="5" t="s">
        <v>39</v>
      </c>
      <c r="H99" s="5">
        <v>314.56</v>
      </c>
      <c r="I99" s="5" t="s">
        <v>39</v>
      </c>
      <c r="J99" s="5">
        <v>7.0067199999999996</v>
      </c>
      <c r="K99" s="5">
        <f t="shared" si="3"/>
        <v>0.43791999999999998</v>
      </c>
      <c r="L99" s="5">
        <f t="shared" si="4"/>
        <v>12.88</v>
      </c>
      <c r="M99" s="5" t="s">
        <v>39</v>
      </c>
      <c r="N99" s="5">
        <v>7.0067199999999996</v>
      </c>
      <c r="O99" s="5" t="s">
        <v>39</v>
      </c>
      <c r="P99" t="s">
        <v>133</v>
      </c>
      <c r="Q99" t="s">
        <v>358</v>
      </c>
      <c r="R99" t="s">
        <v>359</v>
      </c>
      <c r="S99" t="s">
        <v>360</v>
      </c>
      <c r="T99" t="s">
        <v>43</v>
      </c>
      <c r="U99" t="s">
        <v>44</v>
      </c>
      <c r="V99">
        <v>147</v>
      </c>
      <c r="W99" t="s">
        <v>45</v>
      </c>
      <c r="X99" t="s">
        <v>53</v>
      </c>
      <c r="Y99" t="s">
        <v>361</v>
      </c>
      <c r="Z99" t="s">
        <v>37</v>
      </c>
      <c r="AA99" t="s">
        <v>48</v>
      </c>
      <c r="AB99" t="s">
        <v>37</v>
      </c>
      <c r="AC99" s="6" t="s">
        <v>37</v>
      </c>
      <c r="AD99" s="6" t="s">
        <v>37</v>
      </c>
      <c r="AE99" t="s">
        <v>37</v>
      </c>
      <c r="AF99" t="s">
        <v>37</v>
      </c>
      <c r="AG99" s="6" t="s">
        <v>37</v>
      </c>
      <c r="AH99" t="s">
        <v>37</v>
      </c>
      <c r="AI99" t="s">
        <v>37</v>
      </c>
      <c r="AJ99" t="str">
        <f t="shared" si="5"/>
        <v>36BT7GGLB00745IE1Q</v>
      </c>
    </row>
    <row r="100" spans="1:36" ht="15" customHeight="1" x14ac:dyDescent="0.25">
      <c r="A100" t="s">
        <v>76</v>
      </c>
      <c r="B100" t="s">
        <v>37</v>
      </c>
      <c r="C100" t="s">
        <v>37</v>
      </c>
      <c r="D100" t="s">
        <v>38</v>
      </c>
      <c r="E100" s="4">
        <v>8</v>
      </c>
      <c r="F100" s="5">
        <v>187.36</v>
      </c>
      <c r="G100" s="5" t="s">
        <v>39</v>
      </c>
      <c r="H100" s="5">
        <v>288.48</v>
      </c>
      <c r="I100" s="5" t="s">
        <v>39</v>
      </c>
      <c r="J100" s="5">
        <v>6.3702399999999999</v>
      </c>
      <c r="K100" s="5">
        <f t="shared" si="3"/>
        <v>0.79627999999999999</v>
      </c>
      <c r="L100" s="5">
        <f t="shared" si="4"/>
        <v>23.42</v>
      </c>
      <c r="M100" s="5" t="s">
        <v>39</v>
      </c>
      <c r="N100" s="5">
        <v>6.3702399999999999</v>
      </c>
      <c r="O100" s="5" t="s">
        <v>39</v>
      </c>
      <c r="P100" t="s">
        <v>114</v>
      </c>
      <c r="Q100" t="s">
        <v>362</v>
      </c>
      <c r="R100" t="s">
        <v>37</v>
      </c>
      <c r="S100" t="s">
        <v>363</v>
      </c>
      <c r="T100" t="s">
        <v>43</v>
      </c>
      <c r="U100" t="s">
        <v>44</v>
      </c>
      <c r="V100">
        <v>147</v>
      </c>
      <c r="W100" t="s">
        <v>45</v>
      </c>
      <c r="X100" t="s">
        <v>60</v>
      </c>
      <c r="Y100" t="s">
        <v>364</v>
      </c>
      <c r="Z100" t="s">
        <v>37</v>
      </c>
      <c r="AA100" t="s">
        <v>55</v>
      </c>
      <c r="AB100" t="s">
        <v>37</v>
      </c>
      <c r="AC100" s="6" t="s">
        <v>37</v>
      </c>
      <c r="AD100" s="6" t="s">
        <v>37</v>
      </c>
      <c r="AE100" t="s">
        <v>37</v>
      </c>
      <c r="AF100" t="s">
        <v>37</v>
      </c>
      <c r="AG100" s="6" t="s">
        <v>37</v>
      </c>
      <c r="AH100" t="s">
        <v>37</v>
      </c>
      <c r="AI100" t="s">
        <v>37</v>
      </c>
      <c r="AJ100" t="str">
        <f t="shared" si="5"/>
        <v>243WWSUAB01DKGAQNG</v>
      </c>
    </row>
    <row r="101" spans="1:36" ht="15" customHeight="1" x14ac:dyDescent="0.25">
      <c r="A101" t="s">
        <v>127</v>
      </c>
      <c r="B101" t="s">
        <v>37</v>
      </c>
      <c r="C101" t="s">
        <v>37</v>
      </c>
      <c r="D101" t="s">
        <v>38</v>
      </c>
      <c r="E101" s="4">
        <v>12</v>
      </c>
      <c r="F101" s="5">
        <v>1006.68</v>
      </c>
      <c r="G101" s="5" t="s">
        <v>39</v>
      </c>
      <c r="H101" s="5">
        <v>1662.24</v>
      </c>
      <c r="I101" s="5" t="s">
        <v>39</v>
      </c>
      <c r="J101" s="5">
        <v>34.227119999999999</v>
      </c>
      <c r="K101" s="5">
        <f t="shared" si="3"/>
        <v>2.8522599999999998</v>
      </c>
      <c r="L101" s="5">
        <f t="shared" si="4"/>
        <v>83.89</v>
      </c>
      <c r="M101" s="5" t="s">
        <v>39</v>
      </c>
      <c r="N101" s="5">
        <v>34.227119999999999</v>
      </c>
      <c r="O101" s="5" t="s">
        <v>39</v>
      </c>
      <c r="P101" t="s">
        <v>270</v>
      </c>
      <c r="Q101" t="s">
        <v>271</v>
      </c>
      <c r="R101" t="s">
        <v>37</v>
      </c>
      <c r="S101" t="s">
        <v>272</v>
      </c>
      <c r="T101" t="s">
        <v>43</v>
      </c>
      <c r="U101" t="s">
        <v>44</v>
      </c>
      <c r="V101">
        <v>147</v>
      </c>
      <c r="W101" t="s">
        <v>45</v>
      </c>
      <c r="X101" t="s">
        <v>53</v>
      </c>
      <c r="Y101" t="s">
        <v>273</v>
      </c>
      <c r="Z101" t="s">
        <v>37</v>
      </c>
      <c r="AA101" t="s">
        <v>55</v>
      </c>
      <c r="AB101" t="s">
        <v>37</v>
      </c>
      <c r="AC101" s="6" t="s">
        <v>37</v>
      </c>
      <c r="AD101" s="6" t="s">
        <v>37</v>
      </c>
      <c r="AE101" t="s">
        <v>37</v>
      </c>
      <c r="AF101" t="s">
        <v>37</v>
      </c>
      <c r="AG101" s="6" t="s">
        <v>37</v>
      </c>
      <c r="AH101" t="s">
        <v>37</v>
      </c>
      <c r="AI101" t="s">
        <v>37</v>
      </c>
      <c r="AJ101" t="str">
        <f t="shared" si="5"/>
        <v>1X4DXX4TB07SF1RCYF</v>
      </c>
    </row>
    <row r="102" spans="1:36" ht="15" customHeight="1" x14ac:dyDescent="0.25">
      <c r="A102" t="s">
        <v>36</v>
      </c>
      <c r="B102" t="s">
        <v>37</v>
      </c>
      <c r="C102" t="s">
        <v>37</v>
      </c>
      <c r="D102" t="s">
        <v>38</v>
      </c>
      <c r="E102" s="4">
        <v>60</v>
      </c>
      <c r="F102" s="5">
        <v>5033.3999999999996</v>
      </c>
      <c r="G102" s="5" t="s">
        <v>39</v>
      </c>
      <c r="H102" s="5">
        <v>8311.2000000000007</v>
      </c>
      <c r="I102" s="5" t="s">
        <v>39</v>
      </c>
      <c r="J102" s="5">
        <v>171.13560000000001</v>
      </c>
      <c r="K102" s="5">
        <f t="shared" si="3"/>
        <v>2.8522600000000002</v>
      </c>
      <c r="L102" s="5">
        <f t="shared" si="4"/>
        <v>83.89</v>
      </c>
      <c r="M102" s="5" t="s">
        <v>39</v>
      </c>
      <c r="N102" s="5">
        <v>171.13560000000001</v>
      </c>
      <c r="O102" s="5" t="s">
        <v>39</v>
      </c>
      <c r="P102" t="s">
        <v>270</v>
      </c>
      <c r="Q102" t="s">
        <v>271</v>
      </c>
      <c r="R102" t="s">
        <v>37</v>
      </c>
      <c r="S102" t="s">
        <v>272</v>
      </c>
      <c r="T102" t="s">
        <v>43</v>
      </c>
      <c r="U102" t="s">
        <v>44</v>
      </c>
      <c r="V102">
        <v>147</v>
      </c>
      <c r="W102" t="s">
        <v>45</v>
      </c>
      <c r="X102" t="s">
        <v>53</v>
      </c>
      <c r="Y102" t="s">
        <v>273</v>
      </c>
      <c r="Z102" t="s">
        <v>37</v>
      </c>
      <c r="AA102" t="s">
        <v>55</v>
      </c>
      <c r="AB102" t="s">
        <v>37</v>
      </c>
      <c r="AC102" s="6" t="s">
        <v>37</v>
      </c>
      <c r="AD102" s="6" t="s">
        <v>37</v>
      </c>
      <c r="AE102" t="s">
        <v>37</v>
      </c>
      <c r="AF102" t="s">
        <v>37</v>
      </c>
      <c r="AG102" s="6" t="s">
        <v>37</v>
      </c>
      <c r="AH102" t="s">
        <v>37</v>
      </c>
      <c r="AI102" t="s">
        <v>37</v>
      </c>
      <c r="AJ102" t="str">
        <f t="shared" si="5"/>
        <v>1X4DXX4TB07SF1RCYF</v>
      </c>
    </row>
    <row r="103" spans="1:36" ht="15" customHeight="1" x14ac:dyDescent="0.25">
      <c r="A103" t="s">
        <v>36</v>
      </c>
      <c r="B103" t="s">
        <v>37</v>
      </c>
      <c r="C103" t="s">
        <v>37</v>
      </c>
      <c r="D103" t="s">
        <v>38</v>
      </c>
      <c r="E103" s="4">
        <v>112</v>
      </c>
      <c r="F103" s="5">
        <v>1442.56</v>
      </c>
      <c r="G103" s="5" t="s">
        <v>39</v>
      </c>
      <c r="H103" s="5">
        <v>2201.92</v>
      </c>
      <c r="I103" s="5" t="s">
        <v>39</v>
      </c>
      <c r="J103" s="5">
        <v>49.047040000000003</v>
      </c>
      <c r="K103" s="5">
        <f t="shared" si="3"/>
        <v>0.43792000000000003</v>
      </c>
      <c r="L103" s="5">
        <f t="shared" si="4"/>
        <v>12.879999999999999</v>
      </c>
      <c r="M103" s="5" t="s">
        <v>39</v>
      </c>
      <c r="N103" s="5">
        <v>49.047040000000003</v>
      </c>
      <c r="O103" s="5" t="s">
        <v>39</v>
      </c>
      <c r="P103" t="s">
        <v>365</v>
      </c>
      <c r="Q103" t="s">
        <v>287</v>
      </c>
      <c r="R103" t="s">
        <v>37</v>
      </c>
      <c r="S103" t="s">
        <v>288</v>
      </c>
      <c r="T103" t="s">
        <v>43</v>
      </c>
      <c r="U103" t="s">
        <v>44</v>
      </c>
      <c r="V103">
        <v>147</v>
      </c>
      <c r="W103" t="s">
        <v>45</v>
      </c>
      <c r="X103" t="s">
        <v>239</v>
      </c>
      <c r="Y103" t="s">
        <v>289</v>
      </c>
      <c r="Z103" t="s">
        <v>37</v>
      </c>
      <c r="AA103" t="s">
        <v>95</v>
      </c>
      <c r="AB103" t="s">
        <v>37</v>
      </c>
      <c r="AC103" s="6" t="s">
        <v>37</v>
      </c>
      <c r="AD103" s="6" t="s">
        <v>37</v>
      </c>
      <c r="AE103" t="s">
        <v>37</v>
      </c>
      <c r="AF103" t="s">
        <v>37</v>
      </c>
      <c r="AG103" s="6" t="s">
        <v>37</v>
      </c>
      <c r="AH103" t="s">
        <v>37</v>
      </c>
      <c r="AI103" t="s">
        <v>37</v>
      </c>
      <c r="AJ103" t="str">
        <f t="shared" si="5"/>
        <v>3KYCEHVHB00ZOZZM4U</v>
      </c>
    </row>
    <row r="104" spans="1:36" ht="15" customHeight="1" x14ac:dyDescent="0.25">
      <c r="A104" t="s">
        <v>101</v>
      </c>
      <c r="B104" t="s">
        <v>37</v>
      </c>
      <c r="C104" t="s">
        <v>37</v>
      </c>
      <c r="D104" t="s">
        <v>38</v>
      </c>
      <c r="E104" s="4">
        <v>216</v>
      </c>
      <c r="F104" s="5">
        <v>9257.76</v>
      </c>
      <c r="G104" s="5" t="s">
        <v>39</v>
      </c>
      <c r="H104" s="5">
        <v>12746.16</v>
      </c>
      <c r="I104" s="5" t="s">
        <v>39</v>
      </c>
      <c r="J104" s="5">
        <v>314.76384000000002</v>
      </c>
      <c r="K104" s="5">
        <f t="shared" si="3"/>
        <v>1.4572400000000001</v>
      </c>
      <c r="L104" s="5">
        <f t="shared" si="4"/>
        <v>42.86</v>
      </c>
      <c r="M104" s="5" t="s">
        <v>39</v>
      </c>
      <c r="N104" s="5">
        <v>314.76384000000002</v>
      </c>
      <c r="O104" s="5" t="s">
        <v>39</v>
      </c>
      <c r="P104" t="s">
        <v>102</v>
      </c>
      <c r="Q104" t="s">
        <v>366</v>
      </c>
      <c r="R104" t="s">
        <v>37</v>
      </c>
      <c r="S104" t="s">
        <v>367</v>
      </c>
      <c r="T104" t="s">
        <v>43</v>
      </c>
      <c r="U104" t="s">
        <v>44</v>
      </c>
      <c r="V104">
        <v>147</v>
      </c>
      <c r="W104" t="s">
        <v>45</v>
      </c>
      <c r="X104" t="s">
        <v>368</v>
      </c>
      <c r="Y104" t="s">
        <v>369</v>
      </c>
      <c r="Z104" t="s">
        <v>37</v>
      </c>
      <c r="AA104" t="s">
        <v>48</v>
      </c>
      <c r="AB104" t="s">
        <v>37</v>
      </c>
      <c r="AC104" s="6" t="s">
        <v>37</v>
      </c>
      <c r="AD104" s="6" t="s">
        <v>37</v>
      </c>
      <c r="AE104" t="s">
        <v>37</v>
      </c>
      <c r="AF104" t="s">
        <v>37</v>
      </c>
      <c r="AG104" s="6" t="s">
        <v>37</v>
      </c>
      <c r="AH104" t="s">
        <v>37</v>
      </c>
      <c r="AI104" t="s">
        <v>37</v>
      </c>
      <c r="AJ104" t="str">
        <f t="shared" si="5"/>
        <v>2M7QFTCOB07H3HGVDW</v>
      </c>
    </row>
    <row r="105" spans="1:36" ht="15" customHeight="1" x14ac:dyDescent="0.25">
      <c r="A105" t="s">
        <v>96</v>
      </c>
      <c r="B105" t="s">
        <v>37</v>
      </c>
      <c r="C105" t="s">
        <v>37</v>
      </c>
      <c r="D105" t="s">
        <v>38</v>
      </c>
      <c r="E105" s="4">
        <v>24</v>
      </c>
      <c r="F105" s="5">
        <v>1113.5999999999999</v>
      </c>
      <c r="G105" s="5" t="s">
        <v>39</v>
      </c>
      <c r="H105" s="5">
        <v>1612.8</v>
      </c>
      <c r="I105" s="5" t="s">
        <v>39</v>
      </c>
      <c r="J105" s="5">
        <v>37.862400000000001</v>
      </c>
      <c r="K105" s="5">
        <f t="shared" si="3"/>
        <v>1.5776000000000001</v>
      </c>
      <c r="L105" s="5">
        <f t="shared" si="4"/>
        <v>46.4</v>
      </c>
      <c r="M105" s="5" t="s">
        <v>39</v>
      </c>
      <c r="N105" s="5">
        <v>37.862400000000001</v>
      </c>
      <c r="O105" s="5" t="s">
        <v>39</v>
      </c>
      <c r="P105" t="s">
        <v>195</v>
      </c>
      <c r="Q105" t="s">
        <v>370</v>
      </c>
      <c r="R105" t="s">
        <v>37</v>
      </c>
      <c r="S105" t="s">
        <v>371</v>
      </c>
      <c r="T105" t="s">
        <v>43</v>
      </c>
      <c r="U105" t="s">
        <v>44</v>
      </c>
      <c r="V105">
        <v>147</v>
      </c>
      <c r="W105" t="s">
        <v>45</v>
      </c>
      <c r="X105" t="s">
        <v>53</v>
      </c>
      <c r="Y105" t="s">
        <v>372</v>
      </c>
      <c r="Z105" t="s">
        <v>37</v>
      </c>
      <c r="AA105" t="s">
        <v>55</v>
      </c>
      <c r="AB105" t="s">
        <v>37</v>
      </c>
      <c r="AC105" s="6" t="s">
        <v>37</v>
      </c>
      <c r="AD105" s="6" t="s">
        <v>37</v>
      </c>
      <c r="AE105" t="s">
        <v>37</v>
      </c>
      <c r="AF105" t="s">
        <v>37</v>
      </c>
      <c r="AG105" s="6" t="s">
        <v>37</v>
      </c>
      <c r="AH105" t="s">
        <v>37</v>
      </c>
      <c r="AI105" t="s">
        <v>37</v>
      </c>
      <c r="AJ105" t="str">
        <f t="shared" si="5"/>
        <v>5X1OU9ZGB07W4DGC27</v>
      </c>
    </row>
    <row r="106" spans="1:36" ht="15" customHeight="1" x14ac:dyDescent="0.25">
      <c r="A106" t="s">
        <v>101</v>
      </c>
      <c r="B106" t="s">
        <v>37</v>
      </c>
      <c r="C106" t="s">
        <v>37</v>
      </c>
      <c r="D106" t="s">
        <v>38</v>
      </c>
      <c r="E106" s="4">
        <v>72</v>
      </c>
      <c r="F106" s="5">
        <v>2319.12</v>
      </c>
      <c r="G106" s="5" t="s">
        <v>39</v>
      </c>
      <c r="H106" s="5">
        <v>3481.2</v>
      </c>
      <c r="I106" s="5" t="s">
        <v>39</v>
      </c>
      <c r="J106" s="5">
        <v>78.850080000000005</v>
      </c>
      <c r="K106" s="5">
        <f t="shared" si="3"/>
        <v>1.09514</v>
      </c>
      <c r="L106" s="5">
        <f t="shared" si="4"/>
        <v>32.21</v>
      </c>
      <c r="M106" s="5" t="s">
        <v>39</v>
      </c>
      <c r="N106" s="5">
        <v>78.850080000000005</v>
      </c>
      <c r="O106" s="5" t="s">
        <v>39</v>
      </c>
      <c r="P106" t="s">
        <v>102</v>
      </c>
      <c r="Q106" t="s">
        <v>373</v>
      </c>
      <c r="R106" t="s">
        <v>37</v>
      </c>
      <c r="S106" t="s">
        <v>374</v>
      </c>
      <c r="T106" t="s">
        <v>43</v>
      </c>
      <c r="U106" t="s">
        <v>44</v>
      </c>
      <c r="V106">
        <v>147</v>
      </c>
      <c r="W106" t="s">
        <v>45</v>
      </c>
      <c r="X106" t="s">
        <v>60</v>
      </c>
      <c r="Y106" t="s">
        <v>375</v>
      </c>
      <c r="Z106" t="s">
        <v>37</v>
      </c>
      <c r="AA106" t="s">
        <v>55</v>
      </c>
      <c r="AB106" t="s">
        <v>37</v>
      </c>
      <c r="AC106" s="6" t="s">
        <v>37</v>
      </c>
      <c r="AD106" s="6" t="s">
        <v>37</v>
      </c>
      <c r="AE106" t="s">
        <v>37</v>
      </c>
      <c r="AF106" t="s">
        <v>37</v>
      </c>
      <c r="AG106" s="6" t="s">
        <v>37</v>
      </c>
      <c r="AH106" t="s">
        <v>37</v>
      </c>
      <c r="AI106" t="s">
        <v>37</v>
      </c>
      <c r="AJ106" t="str">
        <f t="shared" si="5"/>
        <v>2M7QFTCOB07W7L3DSX</v>
      </c>
    </row>
    <row r="107" spans="1:36" ht="15" customHeight="1" x14ac:dyDescent="0.25">
      <c r="A107" t="s">
        <v>101</v>
      </c>
      <c r="B107" t="s">
        <v>37</v>
      </c>
      <c r="C107" t="s">
        <v>37</v>
      </c>
      <c r="D107" t="s">
        <v>38</v>
      </c>
      <c r="E107" s="4">
        <v>272</v>
      </c>
      <c r="F107" s="5">
        <v>22089.119999999999</v>
      </c>
      <c r="G107" s="5" t="s">
        <v>39</v>
      </c>
      <c r="H107" s="5">
        <v>30988.959999999999</v>
      </c>
      <c r="I107" s="5" t="s">
        <v>39</v>
      </c>
      <c r="J107" s="5">
        <v>751.03008</v>
      </c>
      <c r="K107" s="5">
        <f t="shared" si="3"/>
        <v>2.7611400000000001</v>
      </c>
      <c r="L107" s="5">
        <f t="shared" si="4"/>
        <v>81.209999999999994</v>
      </c>
      <c r="M107" s="5" t="s">
        <v>39</v>
      </c>
      <c r="N107" s="5">
        <v>751.03008</v>
      </c>
      <c r="O107" s="5" t="s">
        <v>39</v>
      </c>
      <c r="P107" t="s">
        <v>102</v>
      </c>
      <c r="Q107" t="s">
        <v>376</v>
      </c>
      <c r="R107" t="s">
        <v>37</v>
      </c>
      <c r="S107" t="s">
        <v>377</v>
      </c>
      <c r="T107" t="s">
        <v>43</v>
      </c>
      <c r="U107" t="s">
        <v>44</v>
      </c>
      <c r="V107">
        <v>147</v>
      </c>
      <c r="W107" t="s">
        <v>45</v>
      </c>
      <c r="X107" t="s">
        <v>356</v>
      </c>
      <c r="Y107" t="s">
        <v>378</v>
      </c>
      <c r="Z107" t="s">
        <v>37</v>
      </c>
      <c r="AA107" t="s">
        <v>55</v>
      </c>
      <c r="AB107" t="s">
        <v>37</v>
      </c>
      <c r="AC107" s="6" t="s">
        <v>37</v>
      </c>
      <c r="AD107" s="6" t="s">
        <v>37</v>
      </c>
      <c r="AE107" t="s">
        <v>37</v>
      </c>
      <c r="AF107" t="s">
        <v>37</v>
      </c>
      <c r="AG107" s="6" t="s">
        <v>37</v>
      </c>
      <c r="AH107" t="s">
        <v>37</v>
      </c>
      <c r="AI107" t="s">
        <v>37</v>
      </c>
      <c r="AJ107" t="str">
        <f t="shared" si="5"/>
        <v>2M7QFTCOB07W6HVXXN</v>
      </c>
    </row>
    <row r="108" spans="1:36" ht="15" customHeight="1" x14ac:dyDescent="0.25">
      <c r="A108" t="s">
        <v>118</v>
      </c>
      <c r="B108" t="s">
        <v>37</v>
      </c>
      <c r="C108" t="s">
        <v>37</v>
      </c>
      <c r="D108" t="s">
        <v>38</v>
      </c>
      <c r="E108" s="4">
        <v>10</v>
      </c>
      <c r="F108" s="5">
        <v>93.6</v>
      </c>
      <c r="G108" s="5" t="s">
        <v>39</v>
      </c>
      <c r="H108" s="5">
        <v>139.30000000000001</v>
      </c>
      <c r="I108" s="5" t="s">
        <v>39</v>
      </c>
      <c r="J108" s="5">
        <v>3.1823999999999999</v>
      </c>
      <c r="K108" s="5">
        <f t="shared" si="3"/>
        <v>0.31823999999999997</v>
      </c>
      <c r="L108" s="5">
        <f t="shared" si="4"/>
        <v>9.36</v>
      </c>
      <c r="M108" s="5" t="s">
        <v>39</v>
      </c>
      <c r="N108" s="5">
        <v>3.1823999999999999</v>
      </c>
      <c r="O108" s="5" t="s">
        <v>39</v>
      </c>
      <c r="P108" t="s">
        <v>379</v>
      </c>
      <c r="Q108" t="s">
        <v>182</v>
      </c>
      <c r="R108" t="s">
        <v>183</v>
      </c>
      <c r="S108" t="s">
        <v>184</v>
      </c>
      <c r="T108" t="s">
        <v>43</v>
      </c>
      <c r="U108" t="s">
        <v>44</v>
      </c>
      <c r="V108">
        <v>147</v>
      </c>
      <c r="W108" t="s">
        <v>45</v>
      </c>
      <c r="X108" t="s">
        <v>53</v>
      </c>
      <c r="Y108" t="s">
        <v>185</v>
      </c>
      <c r="Z108" t="s">
        <v>37</v>
      </c>
      <c r="AA108" t="s">
        <v>48</v>
      </c>
      <c r="AB108" t="s">
        <v>37</v>
      </c>
      <c r="AC108" s="6" t="s">
        <v>37</v>
      </c>
      <c r="AD108" s="6" t="s">
        <v>37</v>
      </c>
      <c r="AE108" t="s">
        <v>37</v>
      </c>
      <c r="AF108" t="s">
        <v>37</v>
      </c>
      <c r="AG108" s="6" t="s">
        <v>37</v>
      </c>
      <c r="AH108" t="s">
        <v>37</v>
      </c>
      <c r="AI108" t="s">
        <v>37</v>
      </c>
      <c r="AJ108" t="str">
        <f t="shared" si="5"/>
        <v>6S7HWGDFB01A9HC69G</v>
      </c>
    </row>
    <row r="109" spans="1:36" ht="15" customHeight="1" x14ac:dyDescent="0.25">
      <c r="A109" t="s">
        <v>49</v>
      </c>
      <c r="B109" t="s">
        <v>37</v>
      </c>
      <c r="C109" t="s">
        <v>37</v>
      </c>
      <c r="D109" t="s">
        <v>38</v>
      </c>
      <c r="E109" s="4">
        <v>88</v>
      </c>
      <c r="F109" s="5">
        <v>6634.32</v>
      </c>
      <c r="G109" s="5" t="s">
        <v>39</v>
      </c>
      <c r="H109" s="5">
        <v>9737.2000000000007</v>
      </c>
      <c r="I109" s="5" t="s">
        <v>39</v>
      </c>
      <c r="J109" s="5">
        <v>225.56688</v>
      </c>
      <c r="K109" s="5">
        <f t="shared" si="3"/>
        <v>2.5632600000000001</v>
      </c>
      <c r="L109" s="5">
        <f t="shared" si="4"/>
        <v>75.39</v>
      </c>
      <c r="M109" s="5" t="s">
        <v>39</v>
      </c>
      <c r="N109" s="5">
        <v>225.56688</v>
      </c>
      <c r="O109" s="5" t="s">
        <v>39</v>
      </c>
      <c r="P109" t="s">
        <v>128</v>
      </c>
      <c r="Q109" t="s">
        <v>380</v>
      </c>
      <c r="R109" t="s">
        <v>37</v>
      </c>
      <c r="S109" t="s">
        <v>381</v>
      </c>
      <c r="T109" t="s">
        <v>43</v>
      </c>
      <c r="U109" t="s">
        <v>44</v>
      </c>
      <c r="V109">
        <v>147</v>
      </c>
      <c r="W109" t="s">
        <v>45</v>
      </c>
      <c r="X109" t="s">
        <v>60</v>
      </c>
      <c r="Y109" t="s">
        <v>382</v>
      </c>
      <c r="Z109" t="s">
        <v>37</v>
      </c>
      <c r="AA109" t="s">
        <v>55</v>
      </c>
      <c r="AB109" t="s">
        <v>37</v>
      </c>
      <c r="AC109" s="6" t="s">
        <v>37</v>
      </c>
      <c r="AD109" s="6" t="s">
        <v>37</v>
      </c>
      <c r="AE109" t="s">
        <v>37</v>
      </c>
      <c r="AF109" t="s">
        <v>37</v>
      </c>
      <c r="AG109" s="6" t="s">
        <v>37</v>
      </c>
      <c r="AH109" t="s">
        <v>37</v>
      </c>
      <c r="AI109" t="s">
        <v>37</v>
      </c>
      <c r="AJ109" t="str">
        <f t="shared" si="5"/>
        <v>7RAC5F9EB07W7LW3VS</v>
      </c>
    </row>
    <row r="110" spans="1:36" ht="15" customHeight="1" x14ac:dyDescent="0.25">
      <c r="A110" t="s">
        <v>383</v>
      </c>
      <c r="B110" t="s">
        <v>37</v>
      </c>
      <c r="C110" t="s">
        <v>37</v>
      </c>
      <c r="D110" t="s">
        <v>38</v>
      </c>
      <c r="E110" s="4">
        <v>8</v>
      </c>
      <c r="F110" s="5">
        <v>603.12</v>
      </c>
      <c r="G110" s="5" t="s">
        <v>39</v>
      </c>
      <c r="H110" s="5">
        <v>885.2</v>
      </c>
      <c r="I110" s="5" t="s">
        <v>39</v>
      </c>
      <c r="J110" s="5">
        <v>20.506080000000001</v>
      </c>
      <c r="K110" s="5">
        <f t="shared" si="3"/>
        <v>2.5632600000000001</v>
      </c>
      <c r="L110" s="5">
        <f t="shared" si="4"/>
        <v>75.39</v>
      </c>
      <c r="M110" s="5" t="s">
        <v>39</v>
      </c>
      <c r="N110" s="5">
        <v>20.506080000000001</v>
      </c>
      <c r="O110" s="5" t="s">
        <v>39</v>
      </c>
      <c r="P110" t="s">
        <v>128</v>
      </c>
      <c r="Q110" t="s">
        <v>380</v>
      </c>
      <c r="R110" t="s">
        <v>37</v>
      </c>
      <c r="S110" t="s">
        <v>381</v>
      </c>
      <c r="T110" t="s">
        <v>43</v>
      </c>
      <c r="U110" t="s">
        <v>44</v>
      </c>
      <c r="V110">
        <v>147</v>
      </c>
      <c r="W110" t="s">
        <v>45</v>
      </c>
      <c r="X110" t="s">
        <v>60</v>
      </c>
      <c r="Y110" t="s">
        <v>382</v>
      </c>
      <c r="Z110" t="s">
        <v>37</v>
      </c>
      <c r="AA110" t="s">
        <v>55</v>
      </c>
      <c r="AB110" t="s">
        <v>37</v>
      </c>
      <c r="AC110" s="6" t="s">
        <v>37</v>
      </c>
      <c r="AD110" s="6" t="s">
        <v>37</v>
      </c>
      <c r="AE110" t="s">
        <v>37</v>
      </c>
      <c r="AF110" t="s">
        <v>37</v>
      </c>
      <c r="AG110" s="6" t="s">
        <v>37</v>
      </c>
      <c r="AH110" t="s">
        <v>37</v>
      </c>
      <c r="AI110" t="s">
        <v>37</v>
      </c>
      <c r="AJ110" t="str">
        <f t="shared" si="5"/>
        <v>7RAC5F9EB07W7LW3VS</v>
      </c>
    </row>
    <row r="111" spans="1:36" ht="15" customHeight="1" x14ac:dyDescent="0.25">
      <c r="A111" t="s">
        <v>36</v>
      </c>
      <c r="B111" t="s">
        <v>37</v>
      </c>
      <c r="C111" t="s">
        <v>37</v>
      </c>
      <c r="D111" t="s">
        <v>38</v>
      </c>
      <c r="E111" s="4">
        <v>4</v>
      </c>
      <c r="F111" s="5">
        <v>304.32</v>
      </c>
      <c r="G111" s="5" t="s">
        <v>39</v>
      </c>
      <c r="H111" s="5">
        <v>360.64</v>
      </c>
      <c r="I111" s="5" t="s">
        <v>39</v>
      </c>
      <c r="J111" s="5">
        <v>10.346880000000001</v>
      </c>
      <c r="K111" s="5">
        <f t="shared" si="3"/>
        <v>2.5867200000000001</v>
      </c>
      <c r="L111" s="5">
        <f t="shared" si="4"/>
        <v>76.08</v>
      </c>
      <c r="M111" s="5" t="s">
        <v>39</v>
      </c>
      <c r="N111" s="5">
        <v>10.346880000000001</v>
      </c>
      <c r="O111" s="5" t="s">
        <v>39</v>
      </c>
      <c r="P111" t="s">
        <v>89</v>
      </c>
      <c r="Q111" t="s">
        <v>384</v>
      </c>
      <c r="R111" t="s">
        <v>37</v>
      </c>
      <c r="S111" t="s">
        <v>385</v>
      </c>
      <c r="T111" t="s">
        <v>43</v>
      </c>
      <c r="U111" t="s">
        <v>44</v>
      </c>
      <c r="V111">
        <v>267</v>
      </c>
      <c r="W111" t="s">
        <v>151</v>
      </c>
      <c r="X111" t="s">
        <v>152</v>
      </c>
      <c r="Y111" t="s">
        <v>386</v>
      </c>
      <c r="Z111" t="s">
        <v>37</v>
      </c>
      <c r="AA111" t="s">
        <v>48</v>
      </c>
      <c r="AB111" t="s">
        <v>37</v>
      </c>
      <c r="AC111" s="6" t="s">
        <v>37</v>
      </c>
      <c r="AD111" s="6" t="s">
        <v>37</v>
      </c>
      <c r="AE111" t="s">
        <v>37</v>
      </c>
      <c r="AF111" t="s">
        <v>37</v>
      </c>
      <c r="AG111" s="6" t="s">
        <v>37</v>
      </c>
      <c r="AH111" t="s">
        <v>37</v>
      </c>
      <c r="AI111" t="s">
        <v>37</v>
      </c>
      <c r="AJ111" t="str">
        <f t="shared" si="5"/>
        <v>2W68T8TOB07W6J5VYB</v>
      </c>
    </row>
    <row r="112" spans="1:36" ht="15" customHeight="1" x14ac:dyDescent="0.25">
      <c r="A112" t="s">
        <v>36</v>
      </c>
      <c r="B112" t="s">
        <v>37</v>
      </c>
      <c r="C112" t="s">
        <v>37</v>
      </c>
      <c r="D112" t="s">
        <v>38</v>
      </c>
      <c r="E112" s="4">
        <v>4</v>
      </c>
      <c r="F112" s="5">
        <v>117.12</v>
      </c>
      <c r="G112" s="5" t="s">
        <v>39</v>
      </c>
      <c r="H112" s="5">
        <v>196.68</v>
      </c>
      <c r="I112" s="5" t="s">
        <v>39</v>
      </c>
      <c r="J112" s="5">
        <v>3.9820799999999998</v>
      </c>
      <c r="K112" s="5">
        <f t="shared" si="3"/>
        <v>0.99551999999999996</v>
      </c>
      <c r="L112" s="5">
        <f t="shared" si="4"/>
        <v>29.28</v>
      </c>
      <c r="M112" s="5" t="s">
        <v>39</v>
      </c>
      <c r="N112" s="5">
        <v>3.9820799999999998</v>
      </c>
      <c r="O112" s="5" t="s">
        <v>39</v>
      </c>
      <c r="P112" t="s">
        <v>270</v>
      </c>
      <c r="Q112" t="s">
        <v>387</v>
      </c>
      <c r="R112" t="s">
        <v>37</v>
      </c>
      <c r="S112" t="s">
        <v>388</v>
      </c>
      <c r="T112" t="s">
        <v>43</v>
      </c>
      <c r="U112" t="s">
        <v>44</v>
      </c>
      <c r="V112">
        <v>147</v>
      </c>
      <c r="W112" t="s">
        <v>45</v>
      </c>
      <c r="X112" t="s">
        <v>389</v>
      </c>
      <c r="Y112" t="s">
        <v>390</v>
      </c>
      <c r="Z112" t="s">
        <v>37</v>
      </c>
      <c r="AA112" t="s">
        <v>55</v>
      </c>
      <c r="AB112" t="s">
        <v>37</v>
      </c>
      <c r="AC112" s="6" t="s">
        <v>37</v>
      </c>
      <c r="AD112" s="6" t="s">
        <v>37</v>
      </c>
      <c r="AE112" t="s">
        <v>37</v>
      </c>
      <c r="AF112" t="s">
        <v>37</v>
      </c>
      <c r="AG112" s="6" t="s">
        <v>37</v>
      </c>
      <c r="AH112" t="s">
        <v>37</v>
      </c>
      <c r="AI112" t="s">
        <v>37</v>
      </c>
      <c r="AJ112" t="str">
        <f t="shared" si="5"/>
        <v>1X4DXX4TB00FSF2OSS</v>
      </c>
    </row>
    <row r="113" spans="1:36" ht="15" customHeight="1" x14ac:dyDescent="0.25">
      <c r="A113" t="s">
        <v>101</v>
      </c>
      <c r="B113" t="s">
        <v>37</v>
      </c>
      <c r="C113" t="s">
        <v>37</v>
      </c>
      <c r="D113" t="s">
        <v>38</v>
      </c>
      <c r="E113" s="4">
        <v>8</v>
      </c>
      <c r="F113" s="5">
        <v>695.92</v>
      </c>
      <c r="G113" s="5" t="s">
        <v>39</v>
      </c>
      <c r="H113" s="5">
        <v>1016.32</v>
      </c>
      <c r="I113" s="5" t="s">
        <v>39</v>
      </c>
      <c r="J113" s="5">
        <v>23.661280000000001</v>
      </c>
      <c r="K113" s="5">
        <f t="shared" si="3"/>
        <v>2.9576600000000002</v>
      </c>
      <c r="L113" s="5">
        <f t="shared" si="4"/>
        <v>86.99</v>
      </c>
      <c r="M113" s="5" t="s">
        <v>39</v>
      </c>
      <c r="N113" s="5">
        <v>23.661280000000001</v>
      </c>
      <c r="O113" s="5" t="s">
        <v>39</v>
      </c>
      <c r="P113" t="s">
        <v>391</v>
      </c>
      <c r="Q113" t="s">
        <v>392</v>
      </c>
      <c r="R113" t="s">
        <v>37</v>
      </c>
      <c r="S113" t="s">
        <v>393</v>
      </c>
      <c r="T113" t="s">
        <v>43</v>
      </c>
      <c r="U113" t="s">
        <v>44</v>
      </c>
      <c r="V113">
        <v>147</v>
      </c>
      <c r="W113" t="s">
        <v>45</v>
      </c>
      <c r="X113" t="s">
        <v>60</v>
      </c>
      <c r="Y113" t="s">
        <v>394</v>
      </c>
      <c r="Z113" t="s">
        <v>37</v>
      </c>
      <c r="AA113" t="s">
        <v>55</v>
      </c>
      <c r="AB113" t="s">
        <v>37</v>
      </c>
      <c r="AC113" s="6" t="s">
        <v>37</v>
      </c>
      <c r="AD113" s="6" t="s">
        <v>37</v>
      </c>
      <c r="AE113" t="s">
        <v>37</v>
      </c>
      <c r="AF113" t="s">
        <v>37</v>
      </c>
      <c r="AG113" s="6" t="s">
        <v>37</v>
      </c>
      <c r="AH113" t="s">
        <v>37</v>
      </c>
      <c r="AI113" t="s">
        <v>37</v>
      </c>
      <c r="AJ113" t="str">
        <f t="shared" si="5"/>
        <v>8KIX7NYMB07W5JJP7R</v>
      </c>
    </row>
    <row r="114" spans="1:36" ht="15" customHeight="1" x14ac:dyDescent="0.25">
      <c r="A114" t="s">
        <v>62</v>
      </c>
      <c r="B114" t="s">
        <v>37</v>
      </c>
      <c r="C114" t="s">
        <v>37</v>
      </c>
      <c r="D114" t="s">
        <v>38</v>
      </c>
      <c r="E114" s="4">
        <v>48</v>
      </c>
      <c r="F114" s="5">
        <v>1546.08</v>
      </c>
      <c r="G114" s="5" t="s">
        <v>39</v>
      </c>
      <c r="H114" s="5">
        <v>2320.8000000000002</v>
      </c>
      <c r="I114" s="5" t="s">
        <v>39</v>
      </c>
      <c r="J114" s="5">
        <v>52.566719999999997</v>
      </c>
      <c r="K114" s="5">
        <f t="shared" si="3"/>
        <v>1.09514</v>
      </c>
      <c r="L114" s="5">
        <f t="shared" si="4"/>
        <v>32.21</v>
      </c>
      <c r="M114" s="5" t="s">
        <v>39</v>
      </c>
      <c r="N114" s="5">
        <v>52.566719999999997</v>
      </c>
      <c r="O114" s="5" t="s">
        <v>39</v>
      </c>
      <c r="P114" t="s">
        <v>63</v>
      </c>
      <c r="Q114" t="s">
        <v>395</v>
      </c>
      <c r="R114" t="s">
        <v>37</v>
      </c>
      <c r="S114" t="s">
        <v>396</v>
      </c>
      <c r="T114" t="s">
        <v>43</v>
      </c>
      <c r="U114" t="s">
        <v>44</v>
      </c>
      <c r="V114">
        <v>147</v>
      </c>
      <c r="W114" t="s">
        <v>45</v>
      </c>
      <c r="X114" t="s">
        <v>60</v>
      </c>
      <c r="Y114" t="s">
        <v>397</v>
      </c>
      <c r="Z114" t="s">
        <v>37</v>
      </c>
      <c r="AA114" t="s">
        <v>55</v>
      </c>
      <c r="AB114" t="s">
        <v>37</v>
      </c>
      <c r="AC114" s="6" t="s">
        <v>37</v>
      </c>
      <c r="AD114" s="6" t="s">
        <v>37</v>
      </c>
      <c r="AE114" t="s">
        <v>37</v>
      </c>
      <c r="AF114" t="s">
        <v>37</v>
      </c>
      <c r="AG114" s="6" t="s">
        <v>37</v>
      </c>
      <c r="AH114" t="s">
        <v>37</v>
      </c>
      <c r="AI114" t="s">
        <v>37</v>
      </c>
      <c r="AJ114" t="str">
        <f t="shared" si="5"/>
        <v>7H9X1Z6SB07W6JP976</v>
      </c>
    </row>
    <row r="115" spans="1:36" ht="15" customHeight="1" x14ac:dyDescent="0.25">
      <c r="A115" t="s">
        <v>36</v>
      </c>
      <c r="B115" t="s">
        <v>37</v>
      </c>
      <c r="C115" t="s">
        <v>37</v>
      </c>
      <c r="D115" t="s">
        <v>38</v>
      </c>
      <c r="E115" s="4">
        <v>16</v>
      </c>
      <c r="F115" s="5">
        <v>655.84</v>
      </c>
      <c r="G115" s="5" t="s">
        <v>39</v>
      </c>
      <c r="H115" s="5">
        <v>944.16</v>
      </c>
      <c r="I115" s="5" t="s">
        <v>39</v>
      </c>
      <c r="J115" s="5">
        <v>22.298559999999998</v>
      </c>
      <c r="K115" s="5">
        <f t="shared" si="3"/>
        <v>1.3936599999999999</v>
      </c>
      <c r="L115" s="5">
        <f t="shared" si="4"/>
        <v>40.99</v>
      </c>
      <c r="M115" s="5" t="s">
        <v>39</v>
      </c>
      <c r="N115" s="5">
        <v>22.298559999999998</v>
      </c>
      <c r="O115" s="5" t="s">
        <v>39</v>
      </c>
      <c r="P115" t="s">
        <v>270</v>
      </c>
      <c r="Q115" t="s">
        <v>398</v>
      </c>
      <c r="R115" t="s">
        <v>37</v>
      </c>
      <c r="S115" t="s">
        <v>399</v>
      </c>
      <c r="T115" t="s">
        <v>43</v>
      </c>
      <c r="U115" t="s">
        <v>44</v>
      </c>
      <c r="V115">
        <v>23</v>
      </c>
      <c r="W115" t="s">
        <v>218</v>
      </c>
      <c r="X115" t="s">
        <v>219</v>
      </c>
      <c r="Y115" t="s">
        <v>400</v>
      </c>
      <c r="Z115" t="s">
        <v>37</v>
      </c>
      <c r="AA115" t="s">
        <v>55</v>
      </c>
      <c r="AB115" t="s">
        <v>37</v>
      </c>
      <c r="AC115" s="6" t="s">
        <v>37</v>
      </c>
      <c r="AD115" s="6" t="s">
        <v>37</v>
      </c>
      <c r="AE115" t="s">
        <v>37</v>
      </c>
      <c r="AF115" t="s">
        <v>37</v>
      </c>
      <c r="AG115" s="6" t="s">
        <v>37</v>
      </c>
      <c r="AH115" t="s">
        <v>37</v>
      </c>
      <c r="AI115" t="s">
        <v>37</v>
      </c>
      <c r="AJ115" t="str">
        <f t="shared" si="5"/>
        <v>1X4DXX4TB074N3HL5Q</v>
      </c>
    </row>
    <row r="116" spans="1:36" ht="15" customHeight="1" x14ac:dyDescent="0.25">
      <c r="A116" t="s">
        <v>127</v>
      </c>
      <c r="B116" t="s">
        <v>37</v>
      </c>
      <c r="C116" t="s">
        <v>37</v>
      </c>
      <c r="D116" t="s">
        <v>38</v>
      </c>
      <c r="E116" s="4">
        <v>4</v>
      </c>
      <c r="F116" s="5">
        <v>293.36</v>
      </c>
      <c r="G116" s="5" t="s">
        <v>39</v>
      </c>
      <c r="H116" s="5">
        <v>475.4</v>
      </c>
      <c r="I116" s="5" t="s">
        <v>39</v>
      </c>
      <c r="J116" s="5">
        <v>9.97424</v>
      </c>
      <c r="K116" s="5">
        <f t="shared" si="3"/>
        <v>2.49356</v>
      </c>
      <c r="L116" s="5">
        <f t="shared" si="4"/>
        <v>73.34</v>
      </c>
      <c r="M116" s="5" t="s">
        <v>39</v>
      </c>
      <c r="N116" s="5">
        <v>9.97424</v>
      </c>
      <c r="O116" s="5" t="s">
        <v>39</v>
      </c>
      <c r="P116" t="s">
        <v>365</v>
      </c>
      <c r="Q116" t="s">
        <v>401</v>
      </c>
      <c r="R116" t="s">
        <v>37</v>
      </c>
      <c r="S116" t="s">
        <v>402</v>
      </c>
      <c r="T116" t="s">
        <v>43</v>
      </c>
      <c r="U116" t="s">
        <v>44</v>
      </c>
      <c r="V116">
        <v>147</v>
      </c>
      <c r="W116" t="s">
        <v>45</v>
      </c>
      <c r="X116" t="s">
        <v>46</v>
      </c>
      <c r="Y116" t="s">
        <v>403</v>
      </c>
      <c r="Z116" t="s">
        <v>37</v>
      </c>
      <c r="AA116" t="s">
        <v>55</v>
      </c>
      <c r="AB116" t="s">
        <v>37</v>
      </c>
      <c r="AC116" s="6" t="s">
        <v>37</v>
      </c>
      <c r="AD116" s="6" t="s">
        <v>37</v>
      </c>
      <c r="AE116" t="s">
        <v>37</v>
      </c>
      <c r="AF116" t="s">
        <v>37</v>
      </c>
      <c r="AG116" s="6" t="s">
        <v>37</v>
      </c>
      <c r="AH116" t="s">
        <v>37</v>
      </c>
      <c r="AI116" t="s">
        <v>37</v>
      </c>
      <c r="AJ116" t="str">
        <f t="shared" si="5"/>
        <v>3KYCEHVHB07G5XJLWK</v>
      </c>
    </row>
    <row r="117" spans="1:36" ht="15" customHeight="1" x14ac:dyDescent="0.25">
      <c r="A117" t="s">
        <v>101</v>
      </c>
      <c r="B117" t="s">
        <v>37</v>
      </c>
      <c r="C117" t="s">
        <v>37</v>
      </c>
      <c r="D117" t="s">
        <v>38</v>
      </c>
      <c r="E117" s="4">
        <v>230</v>
      </c>
      <c r="F117" s="5">
        <v>6060.5</v>
      </c>
      <c r="G117" s="5" t="s">
        <v>39</v>
      </c>
      <c r="H117" s="5">
        <v>9048.2000000000007</v>
      </c>
      <c r="I117" s="5" t="s">
        <v>39</v>
      </c>
      <c r="J117" s="5">
        <v>206.05699999999999</v>
      </c>
      <c r="K117" s="5">
        <f t="shared" si="3"/>
        <v>0.89589999999999992</v>
      </c>
      <c r="L117" s="5">
        <f t="shared" si="4"/>
        <v>26.35</v>
      </c>
      <c r="M117" s="5" t="s">
        <v>39</v>
      </c>
      <c r="N117" s="5">
        <v>206.05699999999999</v>
      </c>
      <c r="O117" s="5" t="s">
        <v>39</v>
      </c>
      <c r="P117" t="s">
        <v>404</v>
      </c>
      <c r="Q117" t="s">
        <v>405</v>
      </c>
      <c r="R117" t="s">
        <v>37</v>
      </c>
      <c r="S117" t="s">
        <v>406</v>
      </c>
      <c r="T117" t="s">
        <v>43</v>
      </c>
      <c r="U117" t="s">
        <v>44</v>
      </c>
      <c r="V117">
        <v>147</v>
      </c>
      <c r="W117" t="s">
        <v>45</v>
      </c>
      <c r="X117" t="s">
        <v>53</v>
      </c>
      <c r="Y117" t="s">
        <v>407</v>
      </c>
      <c r="Z117" t="s">
        <v>37</v>
      </c>
      <c r="AA117" t="s">
        <v>55</v>
      </c>
      <c r="AB117" t="s">
        <v>37</v>
      </c>
      <c r="AC117" s="6" t="s">
        <v>37</v>
      </c>
      <c r="AD117" s="6" t="s">
        <v>37</v>
      </c>
      <c r="AE117" t="s">
        <v>37</v>
      </c>
      <c r="AF117" t="s">
        <v>37</v>
      </c>
      <c r="AG117" s="6" t="s">
        <v>37</v>
      </c>
      <c r="AH117" t="s">
        <v>37</v>
      </c>
      <c r="AI117" t="s">
        <v>37</v>
      </c>
      <c r="AJ117" t="str">
        <f t="shared" si="5"/>
        <v>54JZ1ZVPB07W6J829F</v>
      </c>
    </row>
    <row r="118" spans="1:36" ht="15" customHeight="1" x14ac:dyDescent="0.25">
      <c r="A118" t="s">
        <v>101</v>
      </c>
      <c r="B118" t="s">
        <v>37</v>
      </c>
      <c r="C118" t="s">
        <v>37</v>
      </c>
      <c r="D118" t="s">
        <v>38</v>
      </c>
      <c r="E118" s="4">
        <v>80</v>
      </c>
      <c r="F118" s="5">
        <v>7379.2</v>
      </c>
      <c r="G118" s="5" t="s">
        <v>39</v>
      </c>
      <c r="H118" s="5">
        <v>10426.4</v>
      </c>
      <c r="I118" s="5" t="s">
        <v>39</v>
      </c>
      <c r="J118" s="5">
        <v>250.89279999999999</v>
      </c>
      <c r="K118" s="5">
        <f t="shared" si="3"/>
        <v>3.1361599999999998</v>
      </c>
      <c r="L118" s="5">
        <f t="shared" si="4"/>
        <v>92.24</v>
      </c>
      <c r="M118" s="5" t="s">
        <v>39</v>
      </c>
      <c r="N118" s="5">
        <v>250.89279999999999</v>
      </c>
      <c r="O118" s="5" t="s">
        <v>39</v>
      </c>
      <c r="P118" t="s">
        <v>120</v>
      </c>
      <c r="Q118" t="s">
        <v>408</v>
      </c>
      <c r="R118" t="s">
        <v>37</v>
      </c>
      <c r="S118" t="s">
        <v>409</v>
      </c>
      <c r="T118" t="s">
        <v>43</v>
      </c>
      <c r="U118" t="s">
        <v>44</v>
      </c>
      <c r="V118">
        <v>147</v>
      </c>
      <c r="W118" t="s">
        <v>45</v>
      </c>
      <c r="X118" t="s">
        <v>60</v>
      </c>
      <c r="Y118" t="s">
        <v>410</v>
      </c>
      <c r="Z118" t="s">
        <v>37</v>
      </c>
      <c r="AA118" t="s">
        <v>55</v>
      </c>
      <c r="AB118" t="s">
        <v>37</v>
      </c>
      <c r="AC118" s="6" t="s">
        <v>37</v>
      </c>
      <c r="AD118" s="6" t="s">
        <v>37</v>
      </c>
      <c r="AE118" t="s">
        <v>37</v>
      </c>
      <c r="AF118" t="s">
        <v>37</v>
      </c>
      <c r="AG118" s="6" t="s">
        <v>37</v>
      </c>
      <c r="AH118" t="s">
        <v>37</v>
      </c>
      <c r="AI118" t="s">
        <v>37</v>
      </c>
      <c r="AJ118" t="str">
        <f t="shared" si="5"/>
        <v>5MWU8WTDB07W6GVHD8</v>
      </c>
    </row>
    <row r="119" spans="1:36" ht="15" customHeight="1" x14ac:dyDescent="0.25">
      <c r="A119" t="s">
        <v>411</v>
      </c>
      <c r="B119" t="s">
        <v>37</v>
      </c>
      <c r="C119" t="s">
        <v>37</v>
      </c>
      <c r="D119" t="s">
        <v>38</v>
      </c>
      <c r="E119" s="4">
        <v>4</v>
      </c>
      <c r="F119" s="5">
        <v>293.36</v>
      </c>
      <c r="G119" s="5" t="s">
        <v>39</v>
      </c>
      <c r="H119" s="5">
        <v>475.4</v>
      </c>
      <c r="I119" s="5" t="s">
        <v>39</v>
      </c>
      <c r="J119" s="5">
        <v>9.97424</v>
      </c>
      <c r="K119" s="5">
        <f t="shared" si="3"/>
        <v>2.49356</v>
      </c>
      <c r="L119" s="5">
        <f t="shared" si="4"/>
        <v>73.34</v>
      </c>
      <c r="M119" s="5" t="s">
        <v>39</v>
      </c>
      <c r="N119" s="5">
        <v>9.97424</v>
      </c>
      <c r="O119" s="5" t="s">
        <v>39</v>
      </c>
      <c r="P119" t="s">
        <v>412</v>
      </c>
      <c r="Q119" t="s">
        <v>413</v>
      </c>
      <c r="R119" t="s">
        <v>37</v>
      </c>
      <c r="S119" t="s">
        <v>414</v>
      </c>
      <c r="T119" t="s">
        <v>43</v>
      </c>
      <c r="U119" t="s">
        <v>44</v>
      </c>
      <c r="V119">
        <v>147</v>
      </c>
      <c r="W119" t="s">
        <v>45</v>
      </c>
      <c r="X119" t="s">
        <v>60</v>
      </c>
      <c r="Y119" t="s">
        <v>415</v>
      </c>
      <c r="Z119" t="s">
        <v>37</v>
      </c>
      <c r="AA119" t="s">
        <v>55</v>
      </c>
      <c r="AB119" t="s">
        <v>37</v>
      </c>
      <c r="AC119" s="6" t="s">
        <v>37</v>
      </c>
      <c r="AD119" s="6" t="s">
        <v>37</v>
      </c>
      <c r="AE119" t="s">
        <v>37</v>
      </c>
      <c r="AF119" t="s">
        <v>37</v>
      </c>
      <c r="AG119" s="6" t="s">
        <v>37</v>
      </c>
      <c r="AH119" t="s">
        <v>37</v>
      </c>
      <c r="AI119" t="s">
        <v>37</v>
      </c>
      <c r="AJ119" t="str">
        <f t="shared" si="5"/>
        <v>6JWFV3WKB07QWTR62R</v>
      </c>
    </row>
    <row r="120" spans="1:36" ht="15" customHeight="1" x14ac:dyDescent="0.25">
      <c r="A120" t="s">
        <v>210</v>
      </c>
      <c r="B120" t="s">
        <v>37</v>
      </c>
      <c r="C120" t="s">
        <v>37</v>
      </c>
      <c r="D120" t="s">
        <v>38</v>
      </c>
      <c r="E120" s="4">
        <v>68</v>
      </c>
      <c r="F120" s="5">
        <v>5127.88</v>
      </c>
      <c r="G120" s="5" t="s">
        <v>39</v>
      </c>
      <c r="H120" s="5">
        <v>7524.2</v>
      </c>
      <c r="I120" s="5" t="s">
        <v>39</v>
      </c>
      <c r="J120" s="5">
        <v>174.34791999999999</v>
      </c>
      <c r="K120" s="5">
        <f t="shared" si="3"/>
        <v>2.5639399999999997</v>
      </c>
      <c r="L120" s="5">
        <f t="shared" si="4"/>
        <v>75.41</v>
      </c>
      <c r="M120" s="5" t="s">
        <v>39</v>
      </c>
      <c r="N120" s="5">
        <v>174.34791999999999</v>
      </c>
      <c r="O120" s="5" t="s">
        <v>39</v>
      </c>
      <c r="P120" t="s">
        <v>416</v>
      </c>
      <c r="Q120" t="s">
        <v>417</v>
      </c>
      <c r="R120" t="s">
        <v>37</v>
      </c>
      <c r="S120" t="s">
        <v>418</v>
      </c>
      <c r="T120" t="s">
        <v>43</v>
      </c>
      <c r="U120" t="s">
        <v>44</v>
      </c>
      <c r="V120">
        <v>147</v>
      </c>
      <c r="W120" t="s">
        <v>45</v>
      </c>
      <c r="X120" t="s">
        <v>60</v>
      </c>
      <c r="Y120" t="s">
        <v>419</v>
      </c>
      <c r="Z120" t="s">
        <v>37</v>
      </c>
      <c r="AA120" t="s">
        <v>48</v>
      </c>
      <c r="AB120" t="s">
        <v>37</v>
      </c>
      <c r="AC120" s="6" t="s">
        <v>37</v>
      </c>
      <c r="AD120" s="6" t="s">
        <v>37</v>
      </c>
      <c r="AE120" t="s">
        <v>37</v>
      </c>
      <c r="AF120" t="s">
        <v>37</v>
      </c>
      <c r="AG120" s="6" t="s">
        <v>37</v>
      </c>
      <c r="AH120" t="s">
        <v>37</v>
      </c>
      <c r="AI120" t="s">
        <v>37</v>
      </c>
      <c r="AJ120" t="str">
        <f t="shared" si="5"/>
        <v>69351YNLB01N6NGNQ8</v>
      </c>
    </row>
    <row r="121" spans="1:36" ht="15" customHeight="1" x14ac:dyDescent="0.25">
      <c r="A121" t="s">
        <v>101</v>
      </c>
      <c r="B121" t="s">
        <v>37</v>
      </c>
      <c r="C121" t="s">
        <v>37</v>
      </c>
      <c r="D121" t="s">
        <v>38</v>
      </c>
      <c r="E121" s="4">
        <v>12</v>
      </c>
      <c r="F121" s="5">
        <v>1006.68</v>
      </c>
      <c r="G121" s="5" t="s">
        <v>39</v>
      </c>
      <c r="H121" s="5">
        <v>1662.24</v>
      </c>
      <c r="I121" s="5" t="s">
        <v>39</v>
      </c>
      <c r="J121" s="5">
        <v>34.227119999999999</v>
      </c>
      <c r="K121" s="5">
        <f t="shared" si="3"/>
        <v>2.8522599999999998</v>
      </c>
      <c r="L121" s="5">
        <f t="shared" si="4"/>
        <v>83.89</v>
      </c>
      <c r="M121" s="5" t="s">
        <v>39</v>
      </c>
      <c r="N121" s="5">
        <v>34.227119999999999</v>
      </c>
      <c r="O121" s="5" t="s">
        <v>39</v>
      </c>
      <c r="P121" t="s">
        <v>120</v>
      </c>
      <c r="Q121" t="s">
        <v>420</v>
      </c>
      <c r="R121" t="s">
        <v>37</v>
      </c>
      <c r="S121" t="s">
        <v>421</v>
      </c>
      <c r="T121" t="s">
        <v>43</v>
      </c>
      <c r="U121" t="s">
        <v>44</v>
      </c>
      <c r="V121">
        <v>147</v>
      </c>
      <c r="W121" t="s">
        <v>45</v>
      </c>
      <c r="X121" t="s">
        <v>46</v>
      </c>
      <c r="Y121" t="s">
        <v>422</v>
      </c>
      <c r="Z121" t="s">
        <v>37</v>
      </c>
      <c r="AA121" t="s">
        <v>55</v>
      </c>
      <c r="AB121" t="s">
        <v>37</v>
      </c>
      <c r="AC121" s="6" t="s">
        <v>37</v>
      </c>
      <c r="AD121" s="6" t="s">
        <v>37</v>
      </c>
      <c r="AE121" t="s">
        <v>37</v>
      </c>
      <c r="AF121" t="s">
        <v>37</v>
      </c>
      <c r="AG121" s="6" t="s">
        <v>37</v>
      </c>
      <c r="AH121" t="s">
        <v>37</v>
      </c>
      <c r="AI121" t="s">
        <v>37</v>
      </c>
      <c r="AJ121" t="str">
        <f t="shared" si="5"/>
        <v>5MWU8WTDB07QKC4WWD</v>
      </c>
    </row>
    <row r="122" spans="1:36" ht="15" customHeight="1" x14ac:dyDescent="0.25">
      <c r="A122" t="s">
        <v>101</v>
      </c>
      <c r="B122" t="s">
        <v>37</v>
      </c>
      <c r="C122" t="s">
        <v>37</v>
      </c>
      <c r="D122" t="s">
        <v>38</v>
      </c>
      <c r="E122" s="4">
        <v>12</v>
      </c>
      <c r="F122" s="5">
        <v>421.56</v>
      </c>
      <c r="G122" s="5" t="s">
        <v>39</v>
      </c>
      <c r="H122" s="5">
        <v>609.72</v>
      </c>
      <c r="I122" s="5" t="s">
        <v>39</v>
      </c>
      <c r="J122" s="5">
        <v>14.33304</v>
      </c>
      <c r="K122" s="5">
        <f t="shared" si="3"/>
        <v>1.19442</v>
      </c>
      <c r="L122" s="5">
        <f t="shared" si="4"/>
        <v>35.130000000000003</v>
      </c>
      <c r="M122" s="5" t="s">
        <v>39</v>
      </c>
      <c r="N122" s="5">
        <v>14.33304</v>
      </c>
      <c r="O122" s="5" t="s">
        <v>39</v>
      </c>
      <c r="P122" t="s">
        <v>102</v>
      </c>
      <c r="Q122" t="s">
        <v>423</v>
      </c>
      <c r="R122" t="s">
        <v>37</v>
      </c>
      <c r="S122" t="s">
        <v>424</v>
      </c>
      <c r="T122" t="s">
        <v>43</v>
      </c>
      <c r="U122" t="s">
        <v>44</v>
      </c>
      <c r="V122">
        <v>147</v>
      </c>
      <c r="W122" t="s">
        <v>45</v>
      </c>
      <c r="X122" t="s">
        <v>60</v>
      </c>
      <c r="Y122" t="s">
        <v>425</v>
      </c>
      <c r="Z122" t="s">
        <v>37</v>
      </c>
      <c r="AA122" t="s">
        <v>55</v>
      </c>
      <c r="AB122" t="s">
        <v>37</v>
      </c>
      <c r="AC122" s="6" t="s">
        <v>37</v>
      </c>
      <c r="AD122" s="6" t="s">
        <v>37</v>
      </c>
      <c r="AE122" t="s">
        <v>37</v>
      </c>
      <c r="AF122" t="s">
        <v>37</v>
      </c>
      <c r="AG122" s="6" t="s">
        <v>37</v>
      </c>
      <c r="AH122" t="s">
        <v>37</v>
      </c>
      <c r="AI122" t="s">
        <v>37</v>
      </c>
      <c r="AJ122" t="str">
        <f t="shared" si="5"/>
        <v>2M7QFTCOB07VL9YHC9</v>
      </c>
    </row>
    <row r="123" spans="1:36" ht="15" customHeight="1" x14ac:dyDescent="0.25">
      <c r="A123" t="s">
        <v>36</v>
      </c>
      <c r="B123" t="s">
        <v>37</v>
      </c>
      <c r="C123" t="s">
        <v>37</v>
      </c>
      <c r="D123" t="s">
        <v>38</v>
      </c>
      <c r="E123" s="4">
        <v>16</v>
      </c>
      <c r="F123" s="5">
        <v>1549.28</v>
      </c>
      <c r="G123" s="5" t="s">
        <v>39</v>
      </c>
      <c r="H123" s="5">
        <v>1836</v>
      </c>
      <c r="I123" s="5" t="s">
        <v>39</v>
      </c>
      <c r="J123" s="5">
        <v>52.675519999999999</v>
      </c>
      <c r="K123" s="5">
        <f t="shared" si="3"/>
        <v>3.2922199999999999</v>
      </c>
      <c r="L123" s="5">
        <f t="shared" si="4"/>
        <v>96.83</v>
      </c>
      <c r="M123" s="5" t="s">
        <v>39</v>
      </c>
      <c r="N123" s="5">
        <v>52.675519999999999</v>
      </c>
      <c r="O123" s="5" t="s">
        <v>39</v>
      </c>
      <c r="P123" t="s">
        <v>67</v>
      </c>
      <c r="Q123" t="s">
        <v>275</v>
      </c>
      <c r="R123" t="s">
        <v>276</v>
      </c>
      <c r="S123" t="s">
        <v>277</v>
      </c>
      <c r="T123" t="s">
        <v>43</v>
      </c>
      <c r="U123" t="s">
        <v>44</v>
      </c>
      <c r="V123">
        <v>267</v>
      </c>
      <c r="W123" t="s">
        <v>151</v>
      </c>
      <c r="X123" t="s">
        <v>152</v>
      </c>
      <c r="Y123" t="s">
        <v>278</v>
      </c>
      <c r="Z123" t="s">
        <v>37</v>
      </c>
      <c r="AA123" t="s">
        <v>95</v>
      </c>
      <c r="AB123" t="s">
        <v>37</v>
      </c>
      <c r="AC123" s="6" t="s">
        <v>37</v>
      </c>
      <c r="AD123" s="6" t="s">
        <v>37</v>
      </c>
      <c r="AE123" t="s">
        <v>37</v>
      </c>
      <c r="AF123" t="s">
        <v>37</v>
      </c>
      <c r="AG123" s="6" t="s">
        <v>37</v>
      </c>
      <c r="AH123" t="s">
        <v>37</v>
      </c>
      <c r="AI123" t="s">
        <v>37</v>
      </c>
      <c r="AJ123" t="str">
        <f t="shared" si="5"/>
        <v>2TMBDXBKB002VA464S</v>
      </c>
    </row>
    <row r="124" spans="1:36" ht="15" customHeight="1" x14ac:dyDescent="0.25">
      <c r="A124" t="s">
        <v>62</v>
      </c>
      <c r="B124" t="s">
        <v>37</v>
      </c>
      <c r="C124" t="s">
        <v>37</v>
      </c>
      <c r="D124" t="s">
        <v>38</v>
      </c>
      <c r="E124" s="4">
        <v>110</v>
      </c>
      <c r="F124" s="5">
        <v>5222.8</v>
      </c>
      <c r="G124" s="5" t="s">
        <v>39</v>
      </c>
      <c r="H124" s="5">
        <v>8564.6</v>
      </c>
      <c r="I124" s="5" t="s">
        <v>39</v>
      </c>
      <c r="J124" s="5">
        <v>177.5752</v>
      </c>
      <c r="K124" s="5">
        <f t="shared" si="3"/>
        <v>1.61432</v>
      </c>
      <c r="L124" s="5">
        <f t="shared" si="4"/>
        <v>47.480000000000004</v>
      </c>
      <c r="M124" s="5" t="s">
        <v>39</v>
      </c>
      <c r="N124" s="5">
        <v>177.5752</v>
      </c>
      <c r="O124" s="5" t="s">
        <v>39</v>
      </c>
      <c r="P124" t="s">
        <v>426</v>
      </c>
      <c r="Q124" t="s">
        <v>427</v>
      </c>
      <c r="R124" t="s">
        <v>37</v>
      </c>
      <c r="S124" t="s">
        <v>428</v>
      </c>
      <c r="T124" t="s">
        <v>43</v>
      </c>
      <c r="U124" t="s">
        <v>44</v>
      </c>
      <c r="V124">
        <v>147</v>
      </c>
      <c r="W124" t="s">
        <v>45</v>
      </c>
      <c r="X124" t="s">
        <v>46</v>
      </c>
      <c r="Y124" t="s">
        <v>429</v>
      </c>
      <c r="Z124" t="s">
        <v>37</v>
      </c>
      <c r="AA124" t="s">
        <v>95</v>
      </c>
      <c r="AB124" t="s">
        <v>37</v>
      </c>
      <c r="AC124" s="6" t="s">
        <v>37</v>
      </c>
      <c r="AD124" s="6" t="s">
        <v>37</v>
      </c>
      <c r="AE124" t="s">
        <v>37</v>
      </c>
      <c r="AF124" t="s">
        <v>37</v>
      </c>
      <c r="AG124" s="6" t="s">
        <v>37</v>
      </c>
      <c r="AH124" t="s">
        <v>37</v>
      </c>
      <c r="AI124" t="s">
        <v>37</v>
      </c>
      <c r="AJ124" t="str">
        <f t="shared" si="5"/>
        <v>3IQS66UGB07MTXLFXV</v>
      </c>
    </row>
    <row r="125" spans="1:36" ht="15" customHeight="1" x14ac:dyDescent="0.25">
      <c r="A125" t="s">
        <v>76</v>
      </c>
      <c r="B125" t="s">
        <v>37</v>
      </c>
      <c r="C125" t="s">
        <v>37</v>
      </c>
      <c r="D125" t="s">
        <v>38</v>
      </c>
      <c r="E125" s="4">
        <v>4</v>
      </c>
      <c r="F125" s="5">
        <v>128.84</v>
      </c>
      <c r="G125" s="5" t="s">
        <v>39</v>
      </c>
      <c r="H125" s="5">
        <v>193.4</v>
      </c>
      <c r="I125" s="5" t="s">
        <v>39</v>
      </c>
      <c r="J125" s="5">
        <v>4.38056</v>
      </c>
      <c r="K125" s="5">
        <f t="shared" si="3"/>
        <v>1.09514</v>
      </c>
      <c r="L125" s="5">
        <f t="shared" si="4"/>
        <v>32.21</v>
      </c>
      <c r="M125" s="5" t="s">
        <v>39</v>
      </c>
      <c r="N125" s="5">
        <v>4.38056</v>
      </c>
      <c r="O125" s="5" t="s">
        <v>39</v>
      </c>
      <c r="P125" t="s">
        <v>114</v>
      </c>
      <c r="Q125" t="s">
        <v>430</v>
      </c>
      <c r="R125" t="s">
        <v>37</v>
      </c>
      <c r="S125" t="s">
        <v>431</v>
      </c>
      <c r="T125" t="s">
        <v>432</v>
      </c>
      <c r="U125" t="s">
        <v>44</v>
      </c>
      <c r="V125">
        <v>147</v>
      </c>
      <c r="W125" t="s">
        <v>92</v>
      </c>
      <c r="X125" t="s">
        <v>433</v>
      </c>
      <c r="Y125" t="s">
        <v>434</v>
      </c>
      <c r="Z125" t="s">
        <v>37</v>
      </c>
      <c r="AA125" t="s">
        <v>55</v>
      </c>
      <c r="AB125" t="s">
        <v>37</v>
      </c>
      <c r="AC125" s="6" t="s">
        <v>37</v>
      </c>
      <c r="AD125" s="6" t="s">
        <v>37</v>
      </c>
      <c r="AE125" t="s">
        <v>37</v>
      </c>
      <c r="AF125" t="s">
        <v>37</v>
      </c>
      <c r="AG125" s="6" t="s">
        <v>37</v>
      </c>
      <c r="AH125" t="s">
        <v>37</v>
      </c>
      <c r="AI125" t="s">
        <v>37</v>
      </c>
      <c r="AJ125" t="str">
        <f t="shared" si="5"/>
        <v>243WWSUAB07W4DH6FY</v>
      </c>
    </row>
    <row r="126" spans="1:36" ht="15" customHeight="1" x14ac:dyDescent="0.25">
      <c r="A126" t="s">
        <v>162</v>
      </c>
      <c r="B126" t="s">
        <v>37</v>
      </c>
      <c r="C126" t="s">
        <v>37</v>
      </c>
      <c r="D126" t="s">
        <v>38</v>
      </c>
      <c r="E126" s="4">
        <v>24</v>
      </c>
      <c r="F126" s="5">
        <v>773.04</v>
      </c>
      <c r="G126" s="5" t="s">
        <v>39</v>
      </c>
      <c r="H126" s="5">
        <v>1160.4000000000001</v>
      </c>
      <c r="I126" s="5" t="s">
        <v>39</v>
      </c>
      <c r="J126" s="5">
        <v>26.283359999999998</v>
      </c>
      <c r="K126" s="5">
        <f t="shared" si="3"/>
        <v>1.09514</v>
      </c>
      <c r="L126" s="5">
        <f t="shared" si="4"/>
        <v>32.21</v>
      </c>
      <c r="M126" s="5" t="s">
        <v>39</v>
      </c>
      <c r="N126" s="5">
        <v>26.283359999999998</v>
      </c>
      <c r="O126" s="5" t="s">
        <v>39</v>
      </c>
      <c r="P126" t="s">
        <v>435</v>
      </c>
      <c r="Q126" t="s">
        <v>436</v>
      </c>
      <c r="R126" t="s">
        <v>37</v>
      </c>
      <c r="S126" t="s">
        <v>437</v>
      </c>
      <c r="T126" t="s">
        <v>43</v>
      </c>
      <c r="U126" t="s">
        <v>44</v>
      </c>
      <c r="V126">
        <v>79</v>
      </c>
      <c r="W126" t="s">
        <v>438</v>
      </c>
      <c r="X126" t="s">
        <v>439</v>
      </c>
      <c r="Y126" t="s">
        <v>440</v>
      </c>
      <c r="Z126" t="s">
        <v>37</v>
      </c>
      <c r="AA126" t="s">
        <v>55</v>
      </c>
      <c r="AB126" t="s">
        <v>37</v>
      </c>
      <c r="AC126" s="6" t="s">
        <v>37</v>
      </c>
      <c r="AD126" s="6" t="s">
        <v>37</v>
      </c>
      <c r="AE126" t="s">
        <v>37</v>
      </c>
      <c r="AF126" t="s">
        <v>37</v>
      </c>
      <c r="AG126" s="6" t="s">
        <v>37</v>
      </c>
      <c r="AH126" t="s">
        <v>37</v>
      </c>
      <c r="AI126" t="s">
        <v>37</v>
      </c>
      <c r="AJ126" t="str">
        <f t="shared" si="5"/>
        <v>29YOVOGFB07W4DHMVC</v>
      </c>
    </row>
    <row r="127" spans="1:36" ht="15" customHeight="1" x14ac:dyDescent="0.25">
      <c r="A127" t="s">
        <v>36</v>
      </c>
      <c r="B127" t="s">
        <v>37</v>
      </c>
      <c r="C127" t="s">
        <v>37</v>
      </c>
      <c r="D127" t="s">
        <v>38</v>
      </c>
      <c r="E127" s="4">
        <v>30</v>
      </c>
      <c r="F127" s="5">
        <v>1740</v>
      </c>
      <c r="G127" s="5" t="s">
        <v>39</v>
      </c>
      <c r="H127" s="5">
        <v>2557.1999999999998</v>
      </c>
      <c r="I127" s="5" t="s">
        <v>39</v>
      </c>
      <c r="J127" s="5">
        <v>59.16</v>
      </c>
      <c r="K127" s="5">
        <f t="shared" si="3"/>
        <v>1.972</v>
      </c>
      <c r="L127" s="5">
        <f t="shared" si="4"/>
        <v>58</v>
      </c>
      <c r="M127" s="5" t="s">
        <v>39</v>
      </c>
      <c r="N127" s="5">
        <v>59.16</v>
      </c>
      <c r="O127" s="5" t="s">
        <v>39</v>
      </c>
      <c r="P127" t="s">
        <v>168</v>
      </c>
      <c r="Q127" t="s">
        <v>441</v>
      </c>
      <c r="R127" t="s">
        <v>37</v>
      </c>
      <c r="S127" t="s">
        <v>442</v>
      </c>
      <c r="T127" t="s">
        <v>43</v>
      </c>
      <c r="U127" t="s">
        <v>44</v>
      </c>
      <c r="V127">
        <v>147</v>
      </c>
      <c r="W127" t="s">
        <v>45</v>
      </c>
      <c r="X127" t="s">
        <v>53</v>
      </c>
      <c r="Y127" t="s">
        <v>443</v>
      </c>
      <c r="Z127" t="s">
        <v>37</v>
      </c>
      <c r="AA127" t="s">
        <v>55</v>
      </c>
      <c r="AB127" t="s">
        <v>37</v>
      </c>
      <c r="AC127" s="6" t="s">
        <v>37</v>
      </c>
      <c r="AD127" s="6" t="s">
        <v>37</v>
      </c>
      <c r="AE127" t="s">
        <v>37</v>
      </c>
      <c r="AF127" t="s">
        <v>37</v>
      </c>
      <c r="AG127" s="6" t="s">
        <v>37</v>
      </c>
      <c r="AH127" t="s">
        <v>37</v>
      </c>
      <c r="AI127" t="s">
        <v>37</v>
      </c>
      <c r="AJ127" t="str">
        <f t="shared" si="5"/>
        <v>2R6FMUZDB07W5JHLCB</v>
      </c>
    </row>
    <row r="128" spans="1:36" ht="15" customHeight="1" x14ac:dyDescent="0.25">
      <c r="A128" t="s">
        <v>36</v>
      </c>
      <c r="B128" t="s">
        <v>37</v>
      </c>
      <c r="C128" t="s">
        <v>37</v>
      </c>
      <c r="D128" t="s">
        <v>38</v>
      </c>
      <c r="E128" s="4">
        <v>8</v>
      </c>
      <c r="F128" s="5">
        <v>359.6</v>
      </c>
      <c r="G128" s="5" t="s">
        <v>39</v>
      </c>
      <c r="H128" s="5">
        <v>560</v>
      </c>
      <c r="I128" s="5" t="s">
        <v>39</v>
      </c>
      <c r="J128" s="5">
        <v>12.2264</v>
      </c>
      <c r="K128" s="5">
        <f t="shared" si="3"/>
        <v>1.5283</v>
      </c>
      <c r="L128" s="5">
        <f t="shared" si="4"/>
        <v>44.95</v>
      </c>
      <c r="M128" s="5" t="s">
        <v>39</v>
      </c>
      <c r="N128" s="5">
        <v>12.2264</v>
      </c>
      <c r="O128" s="5" t="s">
        <v>39</v>
      </c>
      <c r="P128" t="s">
        <v>365</v>
      </c>
      <c r="Q128" t="s">
        <v>444</v>
      </c>
      <c r="R128" t="s">
        <v>445</v>
      </c>
      <c r="S128" t="s">
        <v>446</v>
      </c>
      <c r="T128" t="s">
        <v>43</v>
      </c>
      <c r="U128" t="s">
        <v>44</v>
      </c>
      <c r="V128">
        <v>147</v>
      </c>
      <c r="W128" t="s">
        <v>45</v>
      </c>
      <c r="X128" t="s">
        <v>46</v>
      </c>
      <c r="Y128" t="s">
        <v>447</v>
      </c>
      <c r="Z128" t="s">
        <v>37</v>
      </c>
      <c r="AA128" t="s">
        <v>307</v>
      </c>
      <c r="AB128" t="s">
        <v>37</v>
      </c>
      <c r="AC128" s="6" t="s">
        <v>37</v>
      </c>
      <c r="AD128" s="6" t="s">
        <v>37</v>
      </c>
      <c r="AE128" t="s">
        <v>37</v>
      </c>
      <c r="AF128" t="s">
        <v>37</v>
      </c>
      <c r="AG128" s="6" t="s">
        <v>37</v>
      </c>
      <c r="AH128" t="s">
        <v>37</v>
      </c>
      <c r="AI128" t="s">
        <v>37</v>
      </c>
      <c r="AJ128" t="str">
        <f t="shared" si="5"/>
        <v>3KYCEHVHB01G3WBH9G</v>
      </c>
    </row>
    <row r="129" spans="1:36" ht="15" customHeight="1" x14ac:dyDescent="0.25">
      <c r="A129" t="s">
        <v>101</v>
      </c>
      <c r="B129" t="s">
        <v>37</v>
      </c>
      <c r="C129" t="s">
        <v>37</v>
      </c>
      <c r="D129" t="s">
        <v>38</v>
      </c>
      <c r="E129" s="4">
        <v>20</v>
      </c>
      <c r="F129" s="5">
        <v>1740.2</v>
      </c>
      <c r="G129" s="5" t="s">
        <v>39</v>
      </c>
      <c r="H129" s="5">
        <v>2213</v>
      </c>
      <c r="I129" s="5" t="s">
        <v>39</v>
      </c>
      <c r="J129" s="5">
        <v>59.166800000000002</v>
      </c>
      <c r="K129" s="5">
        <f t="shared" si="3"/>
        <v>2.9583400000000002</v>
      </c>
      <c r="L129" s="5">
        <f t="shared" si="4"/>
        <v>87.01</v>
      </c>
      <c r="M129" s="5" t="s">
        <v>39</v>
      </c>
      <c r="N129" s="5">
        <v>59.166800000000002</v>
      </c>
      <c r="O129" s="5" t="s">
        <v>39</v>
      </c>
      <c r="P129" t="s">
        <v>274</v>
      </c>
      <c r="Q129" t="s">
        <v>448</v>
      </c>
      <c r="R129" t="s">
        <v>37</v>
      </c>
      <c r="S129" t="s">
        <v>449</v>
      </c>
      <c r="T129" t="s">
        <v>43</v>
      </c>
      <c r="U129" t="s">
        <v>44</v>
      </c>
      <c r="V129">
        <v>147</v>
      </c>
      <c r="W129" t="s">
        <v>45</v>
      </c>
      <c r="X129" t="s">
        <v>53</v>
      </c>
      <c r="Y129" t="s">
        <v>450</v>
      </c>
      <c r="Z129" t="s">
        <v>37</v>
      </c>
      <c r="AA129" t="s">
        <v>48</v>
      </c>
      <c r="AB129" t="s">
        <v>37</v>
      </c>
      <c r="AC129" s="6" t="s">
        <v>37</v>
      </c>
      <c r="AD129" s="6" t="s">
        <v>37</v>
      </c>
      <c r="AE129" t="s">
        <v>37</v>
      </c>
      <c r="AF129" t="s">
        <v>37</v>
      </c>
      <c r="AG129" s="6" t="s">
        <v>37</v>
      </c>
      <c r="AH129" t="s">
        <v>37</v>
      </c>
      <c r="AI129" t="s">
        <v>37</v>
      </c>
      <c r="AJ129" t="str">
        <f t="shared" si="5"/>
        <v>4LYATDUXB06VTVGSDW</v>
      </c>
    </row>
    <row r="130" spans="1:36" ht="15" customHeight="1" x14ac:dyDescent="0.25">
      <c r="A130" t="s">
        <v>56</v>
      </c>
      <c r="B130" t="s">
        <v>37</v>
      </c>
      <c r="C130" t="s">
        <v>37</v>
      </c>
      <c r="D130" t="s">
        <v>38</v>
      </c>
      <c r="E130" s="4">
        <v>12</v>
      </c>
      <c r="F130" s="5">
        <v>1133.28</v>
      </c>
      <c r="G130" s="5" t="s">
        <v>39</v>
      </c>
      <c r="H130" s="5">
        <v>1859.04</v>
      </c>
      <c r="I130" s="5" t="s">
        <v>39</v>
      </c>
      <c r="J130" s="5">
        <v>38.53152</v>
      </c>
      <c r="K130" s="5">
        <f t="shared" si="3"/>
        <v>3.21096</v>
      </c>
      <c r="L130" s="5">
        <f t="shared" si="4"/>
        <v>94.44</v>
      </c>
      <c r="M130" s="5" t="s">
        <v>39</v>
      </c>
      <c r="N130" s="5">
        <v>38.53152</v>
      </c>
      <c r="O130" s="5" t="s">
        <v>39</v>
      </c>
      <c r="P130" t="s">
        <v>57</v>
      </c>
      <c r="Q130" t="s">
        <v>451</v>
      </c>
      <c r="R130" t="s">
        <v>37</v>
      </c>
      <c r="S130" t="s">
        <v>452</v>
      </c>
      <c r="T130" t="s">
        <v>43</v>
      </c>
      <c r="U130" t="s">
        <v>44</v>
      </c>
      <c r="V130">
        <v>147</v>
      </c>
      <c r="W130" t="s">
        <v>45</v>
      </c>
      <c r="X130" t="s">
        <v>60</v>
      </c>
      <c r="Y130" t="s">
        <v>453</v>
      </c>
      <c r="Z130" t="s">
        <v>37</v>
      </c>
      <c r="AA130" t="s">
        <v>454</v>
      </c>
      <c r="AB130" t="s">
        <v>37</v>
      </c>
      <c r="AC130" s="6" t="s">
        <v>37</v>
      </c>
      <c r="AD130" s="6" t="s">
        <v>37</v>
      </c>
      <c r="AE130" t="s">
        <v>37</v>
      </c>
      <c r="AF130" t="s">
        <v>37</v>
      </c>
      <c r="AG130" s="6" t="s">
        <v>37</v>
      </c>
      <c r="AH130" t="s">
        <v>37</v>
      </c>
      <c r="AI130" t="s">
        <v>37</v>
      </c>
      <c r="AJ130" t="str">
        <f t="shared" si="5"/>
        <v>3GBCH66MB07W6JMQW4</v>
      </c>
    </row>
    <row r="131" spans="1:36" ht="15" customHeight="1" x14ac:dyDescent="0.25">
      <c r="A131" t="s">
        <v>96</v>
      </c>
      <c r="B131" t="s">
        <v>37</v>
      </c>
      <c r="C131" t="s">
        <v>37</v>
      </c>
      <c r="D131" t="s">
        <v>38</v>
      </c>
      <c r="E131" s="4">
        <v>10</v>
      </c>
      <c r="F131" s="5">
        <v>860</v>
      </c>
      <c r="G131" s="5" t="s">
        <v>39</v>
      </c>
      <c r="H131" s="5">
        <v>1106.5</v>
      </c>
      <c r="I131" s="5" t="s">
        <v>39</v>
      </c>
      <c r="J131" s="5">
        <v>29.24</v>
      </c>
      <c r="K131" s="5">
        <f t="shared" ref="K131:K194" si="6">J131/E131</f>
        <v>2.9239999999999999</v>
      </c>
      <c r="L131" s="5">
        <f t="shared" ref="L131:L194" si="7">F131/E131</f>
        <v>86</v>
      </c>
      <c r="M131" s="5" t="s">
        <v>39</v>
      </c>
      <c r="N131" s="5">
        <v>29.24</v>
      </c>
      <c r="O131" s="5" t="s">
        <v>39</v>
      </c>
      <c r="P131" t="s">
        <v>195</v>
      </c>
      <c r="Q131" t="s">
        <v>455</v>
      </c>
      <c r="R131" t="s">
        <v>456</v>
      </c>
      <c r="S131" t="s">
        <v>457</v>
      </c>
      <c r="T131" t="s">
        <v>43</v>
      </c>
      <c r="U131" t="s">
        <v>44</v>
      </c>
      <c r="V131">
        <v>147</v>
      </c>
      <c r="W131" t="s">
        <v>45</v>
      </c>
      <c r="X131" t="s">
        <v>239</v>
      </c>
      <c r="Y131" t="s">
        <v>458</v>
      </c>
      <c r="Z131" t="s">
        <v>37</v>
      </c>
      <c r="AA131" t="s">
        <v>48</v>
      </c>
      <c r="AB131" t="s">
        <v>37</v>
      </c>
      <c r="AC131" s="6" t="s">
        <v>37</v>
      </c>
      <c r="AD131" s="6" t="s">
        <v>37</v>
      </c>
      <c r="AE131" t="s">
        <v>37</v>
      </c>
      <c r="AF131" t="s">
        <v>37</v>
      </c>
      <c r="AG131" s="6" t="s">
        <v>37</v>
      </c>
      <c r="AH131" t="s">
        <v>37</v>
      </c>
      <c r="AI131" t="s">
        <v>37</v>
      </c>
      <c r="AJ131" t="str">
        <f t="shared" ref="AJ131:AJ194" si="8">P131&amp;Q131</f>
        <v>5X1OU9ZGB00G2Y44ZK</v>
      </c>
    </row>
    <row r="132" spans="1:36" ht="15" customHeight="1" x14ac:dyDescent="0.25">
      <c r="A132" t="s">
        <v>88</v>
      </c>
      <c r="B132" t="s">
        <v>37</v>
      </c>
      <c r="C132" t="s">
        <v>37</v>
      </c>
      <c r="D132" t="s">
        <v>38</v>
      </c>
      <c r="E132" s="4">
        <v>4</v>
      </c>
      <c r="F132" s="5">
        <v>179.8</v>
      </c>
      <c r="G132" s="5" t="s">
        <v>39</v>
      </c>
      <c r="H132" s="5">
        <v>213.08</v>
      </c>
      <c r="I132" s="5" t="s">
        <v>39</v>
      </c>
      <c r="J132" s="5">
        <v>6.1132</v>
      </c>
      <c r="K132" s="5">
        <f t="shared" si="6"/>
        <v>1.5283</v>
      </c>
      <c r="L132" s="5">
        <f t="shared" si="7"/>
        <v>44.95</v>
      </c>
      <c r="M132" s="5" t="s">
        <v>39</v>
      </c>
      <c r="N132" s="5">
        <v>6.1132</v>
      </c>
      <c r="O132" s="5" t="s">
        <v>39</v>
      </c>
      <c r="P132" t="s">
        <v>89</v>
      </c>
      <c r="Q132" t="s">
        <v>459</v>
      </c>
      <c r="R132" t="s">
        <v>37</v>
      </c>
      <c r="S132" t="s">
        <v>460</v>
      </c>
      <c r="T132" t="s">
        <v>43</v>
      </c>
      <c r="U132" t="s">
        <v>44</v>
      </c>
      <c r="V132">
        <v>23</v>
      </c>
      <c r="W132" t="s">
        <v>45</v>
      </c>
      <c r="X132" t="s">
        <v>239</v>
      </c>
      <c r="Y132" t="s">
        <v>461</v>
      </c>
      <c r="Z132" t="s">
        <v>37</v>
      </c>
      <c r="AA132" t="s">
        <v>95</v>
      </c>
      <c r="AB132" t="s">
        <v>37</v>
      </c>
      <c r="AC132" s="6" t="s">
        <v>37</v>
      </c>
      <c r="AD132" s="6" t="s">
        <v>37</v>
      </c>
      <c r="AE132" t="s">
        <v>37</v>
      </c>
      <c r="AF132" t="s">
        <v>37</v>
      </c>
      <c r="AG132" s="6" t="s">
        <v>37</v>
      </c>
      <c r="AH132" t="s">
        <v>37</v>
      </c>
      <c r="AI132" t="s">
        <v>37</v>
      </c>
      <c r="AJ132" t="str">
        <f t="shared" si="8"/>
        <v>2W68T8TOB07W5JKLRF</v>
      </c>
    </row>
    <row r="133" spans="1:36" ht="15" customHeight="1" x14ac:dyDescent="0.25">
      <c r="A133" t="s">
        <v>118</v>
      </c>
      <c r="B133" t="s">
        <v>37</v>
      </c>
      <c r="C133" t="s">
        <v>37</v>
      </c>
      <c r="D133" t="s">
        <v>38</v>
      </c>
      <c r="E133" s="4">
        <v>56</v>
      </c>
      <c r="F133" s="5">
        <v>1803.76</v>
      </c>
      <c r="G133" s="5" t="s">
        <v>39</v>
      </c>
      <c r="H133" s="5">
        <v>2707.6</v>
      </c>
      <c r="I133" s="5" t="s">
        <v>39</v>
      </c>
      <c r="J133" s="5">
        <v>61.327840000000002</v>
      </c>
      <c r="K133" s="5">
        <f t="shared" si="6"/>
        <v>1.09514</v>
      </c>
      <c r="L133" s="5">
        <f t="shared" si="7"/>
        <v>32.21</v>
      </c>
      <c r="M133" s="5" t="s">
        <v>39</v>
      </c>
      <c r="N133" s="5">
        <v>61.327840000000002</v>
      </c>
      <c r="O133" s="5" t="s">
        <v>39</v>
      </c>
      <c r="P133" t="s">
        <v>462</v>
      </c>
      <c r="Q133" t="s">
        <v>463</v>
      </c>
      <c r="R133" t="s">
        <v>37</v>
      </c>
      <c r="S133" t="s">
        <v>464</v>
      </c>
      <c r="T133" t="s">
        <v>432</v>
      </c>
      <c r="U133" t="s">
        <v>44</v>
      </c>
      <c r="V133">
        <v>147</v>
      </c>
      <c r="W133" t="s">
        <v>92</v>
      </c>
      <c r="X133" t="s">
        <v>433</v>
      </c>
      <c r="Y133" t="s">
        <v>465</v>
      </c>
      <c r="Z133" t="s">
        <v>37</v>
      </c>
      <c r="AA133" t="s">
        <v>55</v>
      </c>
      <c r="AB133" t="s">
        <v>37</v>
      </c>
      <c r="AC133" s="6" t="s">
        <v>37</v>
      </c>
      <c r="AD133" s="6" t="s">
        <v>37</v>
      </c>
      <c r="AE133" t="s">
        <v>37</v>
      </c>
      <c r="AF133" t="s">
        <v>37</v>
      </c>
      <c r="AG133" s="6" t="s">
        <v>37</v>
      </c>
      <c r="AH133" t="s">
        <v>37</v>
      </c>
      <c r="AI133" t="s">
        <v>37</v>
      </c>
      <c r="AJ133" t="str">
        <f t="shared" si="8"/>
        <v>17D6YHERB07W4DHXFT</v>
      </c>
    </row>
    <row r="134" spans="1:36" ht="15" customHeight="1" x14ac:dyDescent="0.25">
      <c r="A134" t="s">
        <v>76</v>
      </c>
      <c r="B134" t="s">
        <v>37</v>
      </c>
      <c r="C134" t="s">
        <v>37</v>
      </c>
      <c r="D134" t="s">
        <v>38</v>
      </c>
      <c r="E134" s="4">
        <v>196</v>
      </c>
      <c r="F134" s="5">
        <v>9306.08</v>
      </c>
      <c r="G134" s="5" t="s">
        <v>39</v>
      </c>
      <c r="H134" s="5">
        <v>15260.56</v>
      </c>
      <c r="I134" s="5" t="s">
        <v>39</v>
      </c>
      <c r="J134" s="5">
        <v>316.40672000000001</v>
      </c>
      <c r="K134" s="5">
        <f t="shared" si="6"/>
        <v>1.61432</v>
      </c>
      <c r="L134" s="5">
        <f t="shared" si="7"/>
        <v>47.48</v>
      </c>
      <c r="M134" s="5" t="s">
        <v>39</v>
      </c>
      <c r="N134" s="5">
        <v>316.40672000000001</v>
      </c>
      <c r="O134" s="5" t="s">
        <v>39</v>
      </c>
      <c r="P134" t="s">
        <v>426</v>
      </c>
      <c r="Q134" t="s">
        <v>427</v>
      </c>
      <c r="R134" t="s">
        <v>37</v>
      </c>
      <c r="S134" t="s">
        <v>428</v>
      </c>
      <c r="T134" t="s">
        <v>43</v>
      </c>
      <c r="U134" t="s">
        <v>44</v>
      </c>
      <c r="V134">
        <v>147</v>
      </c>
      <c r="W134" t="s">
        <v>45</v>
      </c>
      <c r="X134" t="s">
        <v>46</v>
      </c>
      <c r="Y134" t="s">
        <v>429</v>
      </c>
      <c r="Z134" t="s">
        <v>37</v>
      </c>
      <c r="AA134" t="s">
        <v>95</v>
      </c>
      <c r="AB134" t="s">
        <v>37</v>
      </c>
      <c r="AC134" s="6" t="s">
        <v>37</v>
      </c>
      <c r="AD134" s="6" t="s">
        <v>37</v>
      </c>
      <c r="AE134" t="s">
        <v>37</v>
      </c>
      <c r="AF134" t="s">
        <v>37</v>
      </c>
      <c r="AG134" s="6" t="s">
        <v>37</v>
      </c>
      <c r="AH134" t="s">
        <v>37</v>
      </c>
      <c r="AI134" t="s">
        <v>37</v>
      </c>
      <c r="AJ134" t="str">
        <f t="shared" si="8"/>
        <v>3IQS66UGB07MTXLFXV</v>
      </c>
    </row>
    <row r="135" spans="1:36" ht="15" customHeight="1" x14ac:dyDescent="0.25">
      <c r="A135" t="s">
        <v>36</v>
      </c>
      <c r="B135" t="s">
        <v>37</v>
      </c>
      <c r="C135" t="s">
        <v>37</v>
      </c>
      <c r="D135" t="s">
        <v>38</v>
      </c>
      <c r="E135" s="4">
        <v>56</v>
      </c>
      <c r="F135" s="5">
        <v>1803.76</v>
      </c>
      <c r="G135" s="5" t="s">
        <v>39</v>
      </c>
      <c r="H135" s="5">
        <v>1803.76</v>
      </c>
      <c r="I135" s="5" t="s">
        <v>39</v>
      </c>
      <c r="J135" s="5">
        <v>61.327840000000002</v>
      </c>
      <c r="K135" s="5">
        <f t="shared" si="6"/>
        <v>1.09514</v>
      </c>
      <c r="L135" s="5">
        <f t="shared" si="7"/>
        <v>32.21</v>
      </c>
      <c r="M135" s="5" t="s">
        <v>39</v>
      </c>
      <c r="N135" s="5">
        <v>61.327840000000002</v>
      </c>
      <c r="O135" s="5" t="s">
        <v>39</v>
      </c>
      <c r="P135" t="s">
        <v>270</v>
      </c>
      <c r="Q135" t="s">
        <v>466</v>
      </c>
      <c r="R135" t="s">
        <v>37</v>
      </c>
      <c r="S135" t="s">
        <v>467</v>
      </c>
      <c r="T135" t="s">
        <v>348</v>
      </c>
      <c r="U135" t="s">
        <v>44</v>
      </c>
      <c r="V135">
        <v>147</v>
      </c>
      <c r="W135" t="s">
        <v>45</v>
      </c>
      <c r="X135" t="s">
        <v>46</v>
      </c>
      <c r="Y135" t="s">
        <v>468</v>
      </c>
      <c r="Z135" t="s">
        <v>37</v>
      </c>
      <c r="AA135" t="s">
        <v>55</v>
      </c>
      <c r="AB135" t="s">
        <v>37</v>
      </c>
      <c r="AC135" s="6" t="s">
        <v>37</v>
      </c>
      <c r="AD135" s="6" t="s">
        <v>37</v>
      </c>
      <c r="AE135" t="s">
        <v>37</v>
      </c>
      <c r="AF135" t="s">
        <v>37</v>
      </c>
      <c r="AG135" s="6" t="s">
        <v>37</v>
      </c>
      <c r="AH135" t="s">
        <v>37</v>
      </c>
      <c r="AI135" t="s">
        <v>37</v>
      </c>
      <c r="AJ135" t="str">
        <f t="shared" si="8"/>
        <v>1X4DXX4TB07W5JJTG3</v>
      </c>
    </row>
    <row r="136" spans="1:36" ht="15" customHeight="1" x14ac:dyDescent="0.25">
      <c r="A136" t="s">
        <v>36</v>
      </c>
      <c r="B136" t="s">
        <v>37</v>
      </c>
      <c r="C136" t="s">
        <v>37</v>
      </c>
      <c r="D136" t="s">
        <v>38</v>
      </c>
      <c r="E136" s="4">
        <v>92</v>
      </c>
      <c r="F136" s="5">
        <v>2693.76</v>
      </c>
      <c r="G136" s="5" t="s">
        <v>39</v>
      </c>
      <c r="H136" s="5">
        <v>2693.76</v>
      </c>
      <c r="I136" s="5" t="s">
        <v>39</v>
      </c>
      <c r="J136" s="5">
        <v>91.58784</v>
      </c>
      <c r="K136" s="5">
        <f t="shared" si="6"/>
        <v>0.99551999999999996</v>
      </c>
      <c r="L136" s="5">
        <f t="shared" si="7"/>
        <v>29.28</v>
      </c>
      <c r="M136" s="5" t="s">
        <v>39</v>
      </c>
      <c r="N136" s="5">
        <v>91.58784</v>
      </c>
      <c r="O136" s="5" t="s">
        <v>39</v>
      </c>
      <c r="P136" t="s">
        <v>119</v>
      </c>
      <c r="Q136" t="s">
        <v>469</v>
      </c>
      <c r="R136" t="s">
        <v>37</v>
      </c>
      <c r="S136" t="s">
        <v>470</v>
      </c>
      <c r="T136" t="s">
        <v>43</v>
      </c>
      <c r="U136" t="s">
        <v>44</v>
      </c>
      <c r="V136">
        <v>147</v>
      </c>
      <c r="W136" t="s">
        <v>45</v>
      </c>
      <c r="X136" t="s">
        <v>389</v>
      </c>
      <c r="Y136" t="s">
        <v>471</v>
      </c>
      <c r="Z136" t="s">
        <v>37</v>
      </c>
      <c r="AA136" t="s">
        <v>95</v>
      </c>
      <c r="AB136" t="s">
        <v>37</v>
      </c>
      <c r="AC136" s="6" t="s">
        <v>37</v>
      </c>
      <c r="AD136" s="6" t="s">
        <v>37</v>
      </c>
      <c r="AE136" t="s">
        <v>37</v>
      </c>
      <c r="AF136" t="s">
        <v>37</v>
      </c>
      <c r="AG136" s="6" t="s">
        <v>37</v>
      </c>
      <c r="AH136" t="s">
        <v>37</v>
      </c>
      <c r="AI136" t="s">
        <v>37</v>
      </c>
      <c r="AJ136" t="str">
        <f t="shared" si="8"/>
        <v>31DJDC7QB00EUUXBDE</v>
      </c>
    </row>
    <row r="137" spans="1:36" ht="15" customHeight="1" x14ac:dyDescent="0.25">
      <c r="A137" t="s">
        <v>36</v>
      </c>
      <c r="B137" t="s">
        <v>37</v>
      </c>
      <c r="C137" t="s">
        <v>37</v>
      </c>
      <c r="D137" t="s">
        <v>38</v>
      </c>
      <c r="E137" s="4">
        <v>1920</v>
      </c>
      <c r="F137" s="5">
        <v>61843.199999999997</v>
      </c>
      <c r="G137" s="5" t="s">
        <v>39</v>
      </c>
      <c r="H137" s="5">
        <v>92832</v>
      </c>
      <c r="I137" s="5" t="s">
        <v>39</v>
      </c>
      <c r="J137" s="5">
        <v>2102.6687999999999</v>
      </c>
      <c r="K137" s="5">
        <f t="shared" si="6"/>
        <v>1.09514</v>
      </c>
      <c r="L137" s="5">
        <f t="shared" si="7"/>
        <v>32.21</v>
      </c>
      <c r="M137" s="5" t="s">
        <v>39</v>
      </c>
      <c r="N137" s="5">
        <v>2102.6687999999999</v>
      </c>
      <c r="O137" s="5" t="s">
        <v>39</v>
      </c>
      <c r="P137" t="s">
        <v>435</v>
      </c>
      <c r="Q137" t="s">
        <v>436</v>
      </c>
      <c r="R137" t="s">
        <v>37</v>
      </c>
      <c r="S137" t="s">
        <v>437</v>
      </c>
      <c r="T137" t="s">
        <v>43</v>
      </c>
      <c r="U137" t="s">
        <v>44</v>
      </c>
      <c r="V137">
        <v>79</v>
      </c>
      <c r="W137" t="s">
        <v>438</v>
      </c>
      <c r="X137" t="s">
        <v>439</v>
      </c>
      <c r="Y137" t="s">
        <v>440</v>
      </c>
      <c r="Z137" t="s">
        <v>37</v>
      </c>
      <c r="AA137" t="s">
        <v>55</v>
      </c>
      <c r="AB137" t="s">
        <v>37</v>
      </c>
      <c r="AC137" s="6" t="s">
        <v>37</v>
      </c>
      <c r="AD137" s="6" t="s">
        <v>37</v>
      </c>
      <c r="AE137" t="s">
        <v>37</v>
      </c>
      <c r="AF137" t="s">
        <v>37</v>
      </c>
      <c r="AG137" s="6" t="s">
        <v>37</v>
      </c>
      <c r="AH137" t="s">
        <v>37</v>
      </c>
      <c r="AI137" t="s">
        <v>37</v>
      </c>
      <c r="AJ137" t="str">
        <f t="shared" si="8"/>
        <v>29YOVOGFB07W4DHMVC</v>
      </c>
    </row>
    <row r="138" spans="1:36" ht="15" customHeight="1" x14ac:dyDescent="0.25">
      <c r="A138" t="s">
        <v>127</v>
      </c>
      <c r="B138" t="s">
        <v>37</v>
      </c>
      <c r="C138" t="s">
        <v>37</v>
      </c>
      <c r="D138" t="s">
        <v>38</v>
      </c>
      <c r="E138" s="4">
        <v>12</v>
      </c>
      <c r="F138" s="5">
        <v>351.36</v>
      </c>
      <c r="G138" s="5" t="s">
        <v>39</v>
      </c>
      <c r="H138" s="5">
        <v>351.36</v>
      </c>
      <c r="I138" s="5" t="s">
        <v>39</v>
      </c>
      <c r="J138" s="5">
        <v>11.94624</v>
      </c>
      <c r="K138" s="5">
        <f t="shared" si="6"/>
        <v>0.99551999999999996</v>
      </c>
      <c r="L138" s="5">
        <f t="shared" si="7"/>
        <v>29.28</v>
      </c>
      <c r="M138" s="5" t="s">
        <v>39</v>
      </c>
      <c r="N138" s="5">
        <v>11.94624</v>
      </c>
      <c r="O138" s="5" t="s">
        <v>39</v>
      </c>
      <c r="P138" t="s">
        <v>119</v>
      </c>
      <c r="Q138" t="s">
        <v>469</v>
      </c>
      <c r="R138" t="s">
        <v>37</v>
      </c>
      <c r="S138" t="s">
        <v>470</v>
      </c>
      <c r="T138" t="s">
        <v>43</v>
      </c>
      <c r="U138" t="s">
        <v>44</v>
      </c>
      <c r="V138">
        <v>147</v>
      </c>
      <c r="W138" t="s">
        <v>45</v>
      </c>
      <c r="X138" t="s">
        <v>389</v>
      </c>
      <c r="Y138" t="s">
        <v>471</v>
      </c>
      <c r="Z138" t="s">
        <v>37</v>
      </c>
      <c r="AA138" t="s">
        <v>95</v>
      </c>
      <c r="AB138" t="s">
        <v>37</v>
      </c>
      <c r="AC138" s="6" t="s">
        <v>37</v>
      </c>
      <c r="AD138" s="6" t="s">
        <v>37</v>
      </c>
      <c r="AE138" t="s">
        <v>37</v>
      </c>
      <c r="AF138" t="s">
        <v>37</v>
      </c>
      <c r="AG138" s="6" t="s">
        <v>37</v>
      </c>
      <c r="AH138" t="s">
        <v>37</v>
      </c>
      <c r="AI138" t="s">
        <v>37</v>
      </c>
      <c r="AJ138" t="str">
        <f t="shared" si="8"/>
        <v>31DJDC7QB00EUUXBDE</v>
      </c>
    </row>
    <row r="139" spans="1:36" ht="15" customHeight="1" x14ac:dyDescent="0.25">
      <c r="A139" t="s">
        <v>127</v>
      </c>
      <c r="B139" t="s">
        <v>37</v>
      </c>
      <c r="C139" t="s">
        <v>37</v>
      </c>
      <c r="D139" t="s">
        <v>38</v>
      </c>
      <c r="E139" s="4">
        <v>8</v>
      </c>
      <c r="F139" s="5">
        <v>257.68</v>
      </c>
      <c r="G139" s="5" t="s">
        <v>39</v>
      </c>
      <c r="H139" s="5">
        <v>386.8</v>
      </c>
      <c r="I139" s="5" t="s">
        <v>39</v>
      </c>
      <c r="J139" s="5">
        <v>8.76112</v>
      </c>
      <c r="K139" s="5">
        <f t="shared" si="6"/>
        <v>1.09514</v>
      </c>
      <c r="L139" s="5">
        <f t="shared" si="7"/>
        <v>32.21</v>
      </c>
      <c r="M139" s="5" t="s">
        <v>39</v>
      </c>
      <c r="N139" s="5">
        <v>8.76112</v>
      </c>
      <c r="O139" s="5" t="s">
        <v>39</v>
      </c>
      <c r="P139" t="s">
        <v>435</v>
      </c>
      <c r="Q139" t="s">
        <v>436</v>
      </c>
      <c r="R139" t="s">
        <v>37</v>
      </c>
      <c r="S139" t="s">
        <v>437</v>
      </c>
      <c r="T139" t="s">
        <v>43</v>
      </c>
      <c r="U139" t="s">
        <v>44</v>
      </c>
      <c r="V139">
        <v>79</v>
      </c>
      <c r="W139" t="s">
        <v>438</v>
      </c>
      <c r="X139" t="s">
        <v>439</v>
      </c>
      <c r="Y139" t="s">
        <v>440</v>
      </c>
      <c r="Z139" t="s">
        <v>37</v>
      </c>
      <c r="AA139" t="s">
        <v>55</v>
      </c>
      <c r="AB139" t="s">
        <v>37</v>
      </c>
      <c r="AC139" s="6" t="s">
        <v>37</v>
      </c>
      <c r="AD139" s="6" t="s">
        <v>37</v>
      </c>
      <c r="AE139" t="s">
        <v>37</v>
      </c>
      <c r="AF139" t="s">
        <v>37</v>
      </c>
      <c r="AG139" s="6" t="s">
        <v>37</v>
      </c>
      <c r="AH139" t="s">
        <v>37</v>
      </c>
      <c r="AI139" t="s">
        <v>37</v>
      </c>
      <c r="AJ139" t="str">
        <f t="shared" si="8"/>
        <v>29YOVOGFB07W4DHMVC</v>
      </c>
    </row>
    <row r="140" spans="1:36" ht="15" customHeight="1" x14ac:dyDescent="0.25">
      <c r="A140" t="s">
        <v>96</v>
      </c>
      <c r="B140" t="s">
        <v>37</v>
      </c>
      <c r="C140" t="s">
        <v>37</v>
      </c>
      <c r="D140" t="s">
        <v>38</v>
      </c>
      <c r="E140" s="4">
        <v>0</v>
      </c>
      <c r="F140" s="5">
        <v>0</v>
      </c>
      <c r="G140" s="5" t="s">
        <v>39</v>
      </c>
      <c r="H140" s="5">
        <v>0</v>
      </c>
      <c r="I140" s="5" t="s">
        <v>39</v>
      </c>
      <c r="J140" s="5">
        <v>0</v>
      </c>
      <c r="K140" s="5" t="e">
        <f t="shared" si="6"/>
        <v>#DIV/0!</v>
      </c>
      <c r="L140" s="5" t="e">
        <f t="shared" si="7"/>
        <v>#DIV/0!</v>
      </c>
      <c r="M140" s="5" t="s">
        <v>39</v>
      </c>
      <c r="N140" s="5">
        <v>0</v>
      </c>
      <c r="O140" s="5" t="s">
        <v>39</v>
      </c>
      <c r="P140" t="s">
        <v>412</v>
      </c>
      <c r="Q140" t="s">
        <v>413</v>
      </c>
      <c r="R140" t="s">
        <v>37</v>
      </c>
      <c r="S140" t="s">
        <v>414</v>
      </c>
      <c r="T140" t="s">
        <v>43</v>
      </c>
      <c r="U140" t="s">
        <v>44</v>
      </c>
      <c r="V140">
        <v>147</v>
      </c>
      <c r="W140" t="s">
        <v>45</v>
      </c>
      <c r="X140" t="s">
        <v>60</v>
      </c>
      <c r="Y140" t="s">
        <v>415</v>
      </c>
      <c r="Z140" t="s">
        <v>37</v>
      </c>
      <c r="AA140" t="s">
        <v>55</v>
      </c>
      <c r="AB140" t="s">
        <v>37</v>
      </c>
      <c r="AC140" s="6" t="s">
        <v>37</v>
      </c>
      <c r="AD140" s="6" t="s">
        <v>37</v>
      </c>
      <c r="AE140" t="s">
        <v>37</v>
      </c>
      <c r="AF140" t="s">
        <v>37</v>
      </c>
      <c r="AG140" s="6" t="s">
        <v>37</v>
      </c>
      <c r="AH140" t="s">
        <v>37</v>
      </c>
      <c r="AI140" t="s">
        <v>37</v>
      </c>
      <c r="AJ140" t="str">
        <f t="shared" si="8"/>
        <v>6JWFV3WKB07QWTR62R</v>
      </c>
    </row>
    <row r="141" spans="1:36" ht="15" customHeight="1" x14ac:dyDescent="0.25">
      <c r="A141" t="s">
        <v>76</v>
      </c>
      <c r="B141" t="s">
        <v>37</v>
      </c>
      <c r="C141" t="s">
        <v>37</v>
      </c>
      <c r="D141" t="s">
        <v>38</v>
      </c>
      <c r="E141" s="4">
        <v>12</v>
      </c>
      <c r="F141" s="5">
        <v>898.08</v>
      </c>
      <c r="G141" s="5" t="s">
        <v>39</v>
      </c>
      <c r="H141" s="5">
        <v>1367.16</v>
      </c>
      <c r="I141" s="5" t="s">
        <v>39</v>
      </c>
      <c r="J141" s="5">
        <v>30.53472</v>
      </c>
      <c r="K141" s="5">
        <f t="shared" si="6"/>
        <v>2.5445600000000002</v>
      </c>
      <c r="L141" s="5">
        <f t="shared" si="7"/>
        <v>74.84</v>
      </c>
      <c r="M141" s="5" t="s">
        <v>39</v>
      </c>
      <c r="N141" s="5">
        <v>30.53472</v>
      </c>
      <c r="O141" s="5" t="s">
        <v>39</v>
      </c>
      <c r="P141" t="s">
        <v>114</v>
      </c>
      <c r="Q141" t="s">
        <v>472</v>
      </c>
      <c r="R141" t="s">
        <v>37</v>
      </c>
      <c r="S141" t="s">
        <v>473</v>
      </c>
      <c r="T141" t="s">
        <v>43</v>
      </c>
      <c r="U141" t="s">
        <v>44</v>
      </c>
      <c r="V141">
        <v>147</v>
      </c>
      <c r="W141" t="s">
        <v>92</v>
      </c>
      <c r="X141" t="s">
        <v>433</v>
      </c>
      <c r="Y141" t="s">
        <v>474</v>
      </c>
      <c r="Z141" t="s">
        <v>37</v>
      </c>
      <c r="AA141" t="s">
        <v>55</v>
      </c>
      <c r="AB141" t="s">
        <v>37</v>
      </c>
      <c r="AC141" s="6" t="s">
        <v>37</v>
      </c>
      <c r="AD141" s="6" t="s">
        <v>37</v>
      </c>
      <c r="AE141" t="s">
        <v>37</v>
      </c>
      <c r="AF141" t="s">
        <v>37</v>
      </c>
      <c r="AG141" s="6" t="s">
        <v>37</v>
      </c>
      <c r="AH141" t="s">
        <v>37</v>
      </c>
      <c r="AI141" t="s">
        <v>37</v>
      </c>
      <c r="AJ141" t="str">
        <f t="shared" si="8"/>
        <v>243WWSUAB07W6JLQCY</v>
      </c>
    </row>
    <row r="142" spans="1:36" ht="15" customHeight="1" x14ac:dyDescent="0.25">
      <c r="A142" t="s">
        <v>118</v>
      </c>
      <c r="B142" t="s">
        <v>37</v>
      </c>
      <c r="C142" t="s">
        <v>37</v>
      </c>
      <c r="D142" t="s">
        <v>38</v>
      </c>
      <c r="E142" s="4">
        <v>8</v>
      </c>
      <c r="F142" s="5">
        <v>324.8</v>
      </c>
      <c r="G142" s="5" t="s">
        <v>39</v>
      </c>
      <c r="H142" s="5">
        <v>472.08</v>
      </c>
      <c r="I142" s="5" t="s">
        <v>39</v>
      </c>
      <c r="J142" s="5">
        <v>11.043200000000001</v>
      </c>
      <c r="K142" s="5">
        <f t="shared" si="6"/>
        <v>1.3804000000000001</v>
      </c>
      <c r="L142" s="5">
        <f t="shared" si="7"/>
        <v>40.6</v>
      </c>
      <c r="M142" s="5" t="s">
        <v>39</v>
      </c>
      <c r="N142" s="5">
        <v>11.043200000000001</v>
      </c>
      <c r="O142" s="5" t="s">
        <v>39</v>
      </c>
      <c r="P142" t="s">
        <v>202</v>
      </c>
      <c r="Q142" t="s">
        <v>475</v>
      </c>
      <c r="R142" t="s">
        <v>37</v>
      </c>
      <c r="S142" t="s">
        <v>476</v>
      </c>
      <c r="T142" t="s">
        <v>43</v>
      </c>
      <c r="U142" t="s">
        <v>44</v>
      </c>
      <c r="V142">
        <v>147</v>
      </c>
      <c r="W142" t="s">
        <v>45</v>
      </c>
      <c r="X142" t="s">
        <v>477</v>
      </c>
      <c r="Y142" t="s">
        <v>478</v>
      </c>
      <c r="Z142" t="s">
        <v>37</v>
      </c>
      <c r="AA142" t="s">
        <v>48</v>
      </c>
      <c r="AB142" t="s">
        <v>37</v>
      </c>
      <c r="AC142" s="6" t="s">
        <v>37</v>
      </c>
      <c r="AD142" s="6" t="s">
        <v>37</v>
      </c>
      <c r="AE142" t="s">
        <v>37</v>
      </c>
      <c r="AF142" t="s">
        <v>37</v>
      </c>
      <c r="AG142" s="6" t="s">
        <v>37</v>
      </c>
      <c r="AH142" t="s">
        <v>37</v>
      </c>
      <c r="AI142" t="s">
        <v>37</v>
      </c>
      <c r="AJ142" t="str">
        <f t="shared" si="8"/>
        <v>39TAD6PCB06XZZJ65H</v>
      </c>
    </row>
    <row r="143" spans="1:36" ht="15" customHeight="1" x14ac:dyDescent="0.25">
      <c r="A143" t="s">
        <v>96</v>
      </c>
      <c r="B143" t="s">
        <v>37</v>
      </c>
      <c r="C143" t="s">
        <v>37</v>
      </c>
      <c r="D143" t="s">
        <v>38</v>
      </c>
      <c r="E143" s="4">
        <v>5</v>
      </c>
      <c r="F143" s="5">
        <v>577.20000000000005</v>
      </c>
      <c r="G143" s="5" t="s">
        <v>39</v>
      </c>
      <c r="H143" s="5">
        <v>733.6</v>
      </c>
      <c r="I143" s="5" t="s">
        <v>39</v>
      </c>
      <c r="J143" s="5">
        <v>19.6248</v>
      </c>
      <c r="K143" s="5">
        <f t="shared" si="6"/>
        <v>3.92496</v>
      </c>
      <c r="L143" s="5">
        <f t="shared" si="7"/>
        <v>115.44000000000001</v>
      </c>
      <c r="M143" s="5" t="s">
        <v>39</v>
      </c>
      <c r="N143" s="5">
        <v>19.6248</v>
      </c>
      <c r="O143" s="5" t="s">
        <v>39</v>
      </c>
      <c r="P143" t="s">
        <v>479</v>
      </c>
      <c r="Q143" t="s">
        <v>480</v>
      </c>
      <c r="R143" t="s">
        <v>481</v>
      </c>
      <c r="S143" t="s">
        <v>482</v>
      </c>
      <c r="T143" t="s">
        <v>43</v>
      </c>
      <c r="U143" t="s">
        <v>44</v>
      </c>
      <c r="V143">
        <v>147</v>
      </c>
      <c r="W143" t="s">
        <v>45</v>
      </c>
      <c r="X143" t="s">
        <v>389</v>
      </c>
      <c r="Y143" t="s">
        <v>483</v>
      </c>
      <c r="Z143" t="s">
        <v>37</v>
      </c>
      <c r="AA143" t="s">
        <v>95</v>
      </c>
      <c r="AB143" t="s">
        <v>37</v>
      </c>
      <c r="AC143" s="6" t="s">
        <v>37</v>
      </c>
      <c r="AD143" s="6" t="s">
        <v>37</v>
      </c>
      <c r="AE143" t="s">
        <v>37</v>
      </c>
      <c r="AF143" t="s">
        <v>37</v>
      </c>
      <c r="AG143" s="6" t="s">
        <v>37</v>
      </c>
      <c r="AH143" t="s">
        <v>37</v>
      </c>
      <c r="AI143" t="s">
        <v>37</v>
      </c>
      <c r="AJ143" t="str">
        <f t="shared" si="8"/>
        <v>7SCVG2OTB003UPJXIC</v>
      </c>
    </row>
    <row r="144" spans="1:36" ht="15" customHeight="1" x14ac:dyDescent="0.25">
      <c r="A144" t="s">
        <v>96</v>
      </c>
      <c r="B144" t="s">
        <v>37</v>
      </c>
      <c r="C144" t="s">
        <v>37</v>
      </c>
      <c r="D144" t="s">
        <v>38</v>
      </c>
      <c r="E144" s="4">
        <v>32</v>
      </c>
      <c r="F144" s="5">
        <v>1181.76</v>
      </c>
      <c r="G144" s="5" t="s">
        <v>39</v>
      </c>
      <c r="H144" s="5">
        <v>1967.04</v>
      </c>
      <c r="I144" s="5" t="s">
        <v>39</v>
      </c>
      <c r="J144" s="5">
        <v>40.179839999999999</v>
      </c>
      <c r="K144" s="5">
        <f t="shared" si="6"/>
        <v>1.25562</v>
      </c>
      <c r="L144" s="5">
        <f t="shared" si="7"/>
        <v>36.93</v>
      </c>
      <c r="M144" s="5" t="s">
        <v>39</v>
      </c>
      <c r="N144" s="5">
        <v>40.179839999999999</v>
      </c>
      <c r="O144" s="5" t="s">
        <v>39</v>
      </c>
      <c r="P144" t="s">
        <v>195</v>
      </c>
      <c r="Q144" t="s">
        <v>484</v>
      </c>
      <c r="R144" t="s">
        <v>37</v>
      </c>
      <c r="S144" t="s">
        <v>485</v>
      </c>
      <c r="T144" t="s">
        <v>43</v>
      </c>
      <c r="U144" t="s">
        <v>44</v>
      </c>
      <c r="V144">
        <v>147</v>
      </c>
      <c r="W144" t="s">
        <v>45</v>
      </c>
      <c r="X144" t="s">
        <v>53</v>
      </c>
      <c r="Y144" t="s">
        <v>486</v>
      </c>
      <c r="Z144" t="s">
        <v>37</v>
      </c>
      <c r="AA144" t="s">
        <v>55</v>
      </c>
      <c r="AB144" t="s">
        <v>37</v>
      </c>
      <c r="AC144" s="6" t="s">
        <v>37</v>
      </c>
      <c r="AD144" s="6" t="s">
        <v>37</v>
      </c>
      <c r="AE144" t="s">
        <v>37</v>
      </c>
      <c r="AF144" t="s">
        <v>37</v>
      </c>
      <c r="AG144" s="6" t="s">
        <v>37</v>
      </c>
      <c r="AH144" t="s">
        <v>37</v>
      </c>
      <c r="AI144" t="s">
        <v>37</v>
      </c>
      <c r="AJ144" t="str">
        <f t="shared" si="8"/>
        <v>5X1OU9ZGB07W6GW9BJ</v>
      </c>
    </row>
    <row r="145" spans="1:36" ht="15" customHeight="1" x14ac:dyDescent="0.25">
      <c r="A145" t="s">
        <v>101</v>
      </c>
      <c r="B145" t="s">
        <v>37</v>
      </c>
      <c r="C145" t="s">
        <v>37</v>
      </c>
      <c r="D145" t="s">
        <v>38</v>
      </c>
      <c r="E145" s="4">
        <v>12</v>
      </c>
      <c r="F145" s="5">
        <v>904.92</v>
      </c>
      <c r="G145" s="5" t="s">
        <v>39</v>
      </c>
      <c r="H145" s="5">
        <v>1327.8</v>
      </c>
      <c r="I145" s="5" t="s">
        <v>39</v>
      </c>
      <c r="J145" s="5">
        <v>30.76728</v>
      </c>
      <c r="K145" s="5">
        <f t="shared" si="6"/>
        <v>2.5639400000000001</v>
      </c>
      <c r="L145" s="5">
        <f t="shared" si="7"/>
        <v>75.41</v>
      </c>
      <c r="M145" s="5" t="s">
        <v>39</v>
      </c>
      <c r="N145" s="5">
        <v>30.76728</v>
      </c>
      <c r="O145" s="5" t="s">
        <v>39</v>
      </c>
      <c r="P145" t="s">
        <v>72</v>
      </c>
      <c r="Q145" t="s">
        <v>487</v>
      </c>
      <c r="R145" t="s">
        <v>37</v>
      </c>
      <c r="S145" t="s">
        <v>488</v>
      </c>
      <c r="T145" t="s">
        <v>43</v>
      </c>
      <c r="U145" t="s">
        <v>44</v>
      </c>
      <c r="V145">
        <v>147</v>
      </c>
      <c r="W145" t="s">
        <v>45</v>
      </c>
      <c r="X145" t="s">
        <v>60</v>
      </c>
      <c r="Y145" t="s">
        <v>489</v>
      </c>
      <c r="Z145" t="s">
        <v>490</v>
      </c>
      <c r="AA145" t="s">
        <v>55</v>
      </c>
      <c r="AB145" t="s">
        <v>37</v>
      </c>
      <c r="AC145" s="6" t="s">
        <v>37</v>
      </c>
      <c r="AD145" s="6" t="s">
        <v>37</v>
      </c>
      <c r="AE145" t="s">
        <v>37</v>
      </c>
      <c r="AF145" t="s">
        <v>37</v>
      </c>
      <c r="AG145" s="6" t="s">
        <v>37</v>
      </c>
      <c r="AH145" t="s">
        <v>37</v>
      </c>
      <c r="AI145" t="s">
        <v>37</v>
      </c>
      <c r="AJ145" t="str">
        <f t="shared" si="8"/>
        <v>4GF112AEB07W6JNG11</v>
      </c>
    </row>
    <row r="146" spans="1:36" ht="15" customHeight="1" x14ac:dyDescent="0.25">
      <c r="A146" t="s">
        <v>36</v>
      </c>
      <c r="B146" t="s">
        <v>37</v>
      </c>
      <c r="C146" t="s">
        <v>37</v>
      </c>
      <c r="D146" t="s">
        <v>38</v>
      </c>
      <c r="E146" s="4">
        <v>4</v>
      </c>
      <c r="F146" s="5">
        <v>301.64</v>
      </c>
      <c r="G146" s="5" t="s">
        <v>39</v>
      </c>
      <c r="H146" s="5">
        <v>442.6</v>
      </c>
      <c r="I146" s="5" t="s">
        <v>39</v>
      </c>
      <c r="J146" s="5">
        <v>10.25576</v>
      </c>
      <c r="K146" s="5">
        <f t="shared" si="6"/>
        <v>2.5639400000000001</v>
      </c>
      <c r="L146" s="5">
        <f t="shared" si="7"/>
        <v>75.41</v>
      </c>
      <c r="M146" s="5" t="s">
        <v>39</v>
      </c>
      <c r="N146" s="5">
        <v>10.25576</v>
      </c>
      <c r="O146" s="5" t="s">
        <v>39</v>
      </c>
      <c r="P146" t="s">
        <v>491</v>
      </c>
      <c r="Q146" t="s">
        <v>492</v>
      </c>
      <c r="R146" t="s">
        <v>37</v>
      </c>
      <c r="S146" t="s">
        <v>493</v>
      </c>
      <c r="T146" t="s">
        <v>43</v>
      </c>
      <c r="U146" t="s">
        <v>44</v>
      </c>
      <c r="V146">
        <v>147</v>
      </c>
      <c r="W146" t="s">
        <v>45</v>
      </c>
      <c r="X146" t="s">
        <v>60</v>
      </c>
      <c r="Y146" t="s">
        <v>494</v>
      </c>
      <c r="Z146" t="s">
        <v>37</v>
      </c>
      <c r="AA146" t="s">
        <v>55</v>
      </c>
      <c r="AB146" t="s">
        <v>37</v>
      </c>
      <c r="AC146" s="6" t="s">
        <v>37</v>
      </c>
      <c r="AD146" s="6" t="s">
        <v>37</v>
      </c>
      <c r="AE146" t="s">
        <v>37</v>
      </c>
      <c r="AF146" t="s">
        <v>37</v>
      </c>
      <c r="AG146" s="6" t="s">
        <v>37</v>
      </c>
      <c r="AH146" t="s">
        <v>37</v>
      </c>
      <c r="AI146" t="s">
        <v>37</v>
      </c>
      <c r="AJ146" t="str">
        <f t="shared" si="8"/>
        <v>38RKRRMYB07W7LMCF9</v>
      </c>
    </row>
    <row r="147" spans="1:36" ht="15" customHeight="1" x14ac:dyDescent="0.25">
      <c r="A147" t="s">
        <v>36</v>
      </c>
      <c r="B147" t="s">
        <v>37</v>
      </c>
      <c r="C147" t="s">
        <v>37</v>
      </c>
      <c r="D147" t="s">
        <v>38</v>
      </c>
      <c r="E147" s="4">
        <v>36</v>
      </c>
      <c r="F147" s="5">
        <v>948.6</v>
      </c>
      <c r="G147" s="5" t="s">
        <v>39</v>
      </c>
      <c r="H147" s="5">
        <v>1416.24</v>
      </c>
      <c r="I147" s="5" t="s">
        <v>39</v>
      </c>
      <c r="J147" s="5">
        <v>32.252400000000002</v>
      </c>
      <c r="K147" s="5">
        <f t="shared" si="6"/>
        <v>0.89590000000000003</v>
      </c>
      <c r="L147" s="5">
        <f t="shared" si="7"/>
        <v>26.35</v>
      </c>
      <c r="M147" s="5" t="s">
        <v>39</v>
      </c>
      <c r="N147" s="5">
        <v>32.252400000000002</v>
      </c>
      <c r="O147" s="5" t="s">
        <v>39</v>
      </c>
      <c r="P147" t="s">
        <v>40</v>
      </c>
      <c r="Q147" t="s">
        <v>495</v>
      </c>
      <c r="R147" t="s">
        <v>37</v>
      </c>
      <c r="S147" t="s">
        <v>496</v>
      </c>
      <c r="T147" t="s">
        <v>43</v>
      </c>
      <c r="U147" t="s">
        <v>44</v>
      </c>
      <c r="V147">
        <v>147</v>
      </c>
      <c r="W147" t="s">
        <v>45</v>
      </c>
      <c r="X147" t="s">
        <v>60</v>
      </c>
      <c r="Y147" t="s">
        <v>497</v>
      </c>
      <c r="Z147" t="s">
        <v>37</v>
      </c>
      <c r="AA147" t="s">
        <v>55</v>
      </c>
      <c r="AB147" t="s">
        <v>37</v>
      </c>
      <c r="AC147" s="6" t="s">
        <v>37</v>
      </c>
      <c r="AD147" s="6" t="s">
        <v>37</v>
      </c>
      <c r="AE147" t="s">
        <v>37</v>
      </c>
      <c r="AF147" t="s">
        <v>37</v>
      </c>
      <c r="AG147" s="6" t="s">
        <v>37</v>
      </c>
      <c r="AH147" t="s">
        <v>37</v>
      </c>
      <c r="AI147" t="s">
        <v>37</v>
      </c>
      <c r="AJ147" t="str">
        <f t="shared" si="8"/>
        <v>4A3KDTEZB00BCE30RS</v>
      </c>
    </row>
    <row r="148" spans="1:36" ht="15" customHeight="1" x14ac:dyDescent="0.25">
      <c r="A148" t="s">
        <v>88</v>
      </c>
      <c r="B148" t="s">
        <v>37</v>
      </c>
      <c r="C148" t="s">
        <v>37</v>
      </c>
      <c r="D148" t="s">
        <v>38</v>
      </c>
      <c r="E148" s="4">
        <v>6</v>
      </c>
      <c r="F148" s="5">
        <v>158.1</v>
      </c>
      <c r="G148" s="5" t="s">
        <v>39</v>
      </c>
      <c r="H148" s="5">
        <v>236.04</v>
      </c>
      <c r="I148" s="5" t="s">
        <v>39</v>
      </c>
      <c r="J148" s="5">
        <v>5.3754</v>
      </c>
      <c r="K148" s="5">
        <f t="shared" si="6"/>
        <v>0.89590000000000003</v>
      </c>
      <c r="L148" s="5">
        <f t="shared" si="7"/>
        <v>26.349999999999998</v>
      </c>
      <c r="M148" s="5" t="s">
        <v>39</v>
      </c>
      <c r="N148" s="5">
        <v>5.3754</v>
      </c>
      <c r="O148" s="5" t="s">
        <v>39</v>
      </c>
      <c r="P148" t="s">
        <v>40</v>
      </c>
      <c r="Q148" t="s">
        <v>495</v>
      </c>
      <c r="R148" t="s">
        <v>37</v>
      </c>
      <c r="S148" t="s">
        <v>496</v>
      </c>
      <c r="T148" t="s">
        <v>43</v>
      </c>
      <c r="U148" t="s">
        <v>44</v>
      </c>
      <c r="V148">
        <v>147</v>
      </c>
      <c r="W148" t="s">
        <v>45</v>
      </c>
      <c r="X148" t="s">
        <v>60</v>
      </c>
      <c r="Y148" t="s">
        <v>497</v>
      </c>
      <c r="Z148" t="s">
        <v>37</v>
      </c>
      <c r="AA148" t="s">
        <v>55</v>
      </c>
      <c r="AB148" t="s">
        <v>37</v>
      </c>
      <c r="AC148" s="6" t="s">
        <v>37</v>
      </c>
      <c r="AD148" s="6" t="s">
        <v>37</v>
      </c>
      <c r="AE148" t="s">
        <v>37</v>
      </c>
      <c r="AF148" t="s">
        <v>37</v>
      </c>
      <c r="AG148" s="6" t="s">
        <v>37</v>
      </c>
      <c r="AH148" t="s">
        <v>37</v>
      </c>
      <c r="AI148" t="s">
        <v>37</v>
      </c>
      <c r="AJ148" t="str">
        <f t="shared" si="8"/>
        <v>4A3KDTEZB00BCE30RS</v>
      </c>
    </row>
    <row r="149" spans="1:36" ht="15" customHeight="1" x14ac:dyDescent="0.25">
      <c r="A149" t="s">
        <v>110</v>
      </c>
      <c r="B149" t="s">
        <v>37</v>
      </c>
      <c r="C149" t="s">
        <v>37</v>
      </c>
      <c r="D149" t="s">
        <v>38</v>
      </c>
      <c r="E149" s="4">
        <v>60</v>
      </c>
      <c r="F149" s="5">
        <v>2215.8000000000002</v>
      </c>
      <c r="G149" s="5" t="s">
        <v>39</v>
      </c>
      <c r="H149" s="5">
        <v>3688.2</v>
      </c>
      <c r="I149" s="5" t="s">
        <v>39</v>
      </c>
      <c r="J149" s="5">
        <v>75.337199999999996</v>
      </c>
      <c r="K149" s="5">
        <f t="shared" si="6"/>
        <v>1.25562</v>
      </c>
      <c r="L149" s="5">
        <f t="shared" si="7"/>
        <v>36.93</v>
      </c>
      <c r="M149" s="5" t="s">
        <v>39</v>
      </c>
      <c r="N149" s="5">
        <v>75.337199999999996</v>
      </c>
      <c r="O149" s="5" t="s">
        <v>39</v>
      </c>
      <c r="P149" t="s">
        <v>102</v>
      </c>
      <c r="Q149" t="s">
        <v>266</v>
      </c>
      <c r="R149" t="s">
        <v>37</v>
      </c>
      <c r="S149" t="s">
        <v>267</v>
      </c>
      <c r="T149" t="s">
        <v>43</v>
      </c>
      <c r="U149" t="s">
        <v>44</v>
      </c>
      <c r="V149">
        <v>147</v>
      </c>
      <c r="W149" t="s">
        <v>45</v>
      </c>
      <c r="X149" t="s">
        <v>53</v>
      </c>
      <c r="Y149" t="s">
        <v>268</v>
      </c>
      <c r="Z149" t="s">
        <v>37</v>
      </c>
      <c r="AA149" t="s">
        <v>48</v>
      </c>
      <c r="AB149" t="s">
        <v>37</v>
      </c>
      <c r="AC149" s="6" t="s">
        <v>37</v>
      </c>
      <c r="AD149" s="6" t="s">
        <v>37</v>
      </c>
      <c r="AE149" t="s">
        <v>37</v>
      </c>
      <c r="AF149" t="s">
        <v>37</v>
      </c>
      <c r="AG149" s="6" t="s">
        <v>37</v>
      </c>
      <c r="AH149" t="s">
        <v>37</v>
      </c>
      <c r="AI149" t="s">
        <v>37</v>
      </c>
      <c r="AJ149" t="str">
        <f t="shared" si="8"/>
        <v>2M7QFTCOB07CGNDZR3</v>
      </c>
    </row>
    <row r="150" spans="1:36" ht="15" customHeight="1" x14ac:dyDescent="0.25">
      <c r="A150" t="s">
        <v>101</v>
      </c>
      <c r="B150" t="s">
        <v>37</v>
      </c>
      <c r="C150" t="s">
        <v>37</v>
      </c>
      <c r="D150" t="s">
        <v>38</v>
      </c>
      <c r="E150" s="4">
        <v>920</v>
      </c>
      <c r="F150" s="5">
        <v>33975.599999999999</v>
      </c>
      <c r="G150" s="5" t="s">
        <v>39</v>
      </c>
      <c r="H150" s="5">
        <v>56552.4</v>
      </c>
      <c r="I150" s="5" t="s">
        <v>39</v>
      </c>
      <c r="J150" s="5">
        <v>1155.1704</v>
      </c>
      <c r="K150" s="5">
        <f t="shared" si="6"/>
        <v>1.25562</v>
      </c>
      <c r="L150" s="5">
        <f t="shared" si="7"/>
        <v>36.93</v>
      </c>
      <c r="M150" s="5" t="s">
        <v>39</v>
      </c>
      <c r="N150" s="5">
        <v>1155.1704</v>
      </c>
      <c r="O150" s="5" t="s">
        <v>39</v>
      </c>
      <c r="P150" t="s">
        <v>102</v>
      </c>
      <c r="Q150" t="s">
        <v>266</v>
      </c>
      <c r="R150" t="s">
        <v>37</v>
      </c>
      <c r="S150" t="s">
        <v>267</v>
      </c>
      <c r="T150" t="s">
        <v>43</v>
      </c>
      <c r="U150" t="s">
        <v>44</v>
      </c>
      <c r="V150">
        <v>147</v>
      </c>
      <c r="W150" t="s">
        <v>45</v>
      </c>
      <c r="X150" t="s">
        <v>53</v>
      </c>
      <c r="Y150" t="s">
        <v>268</v>
      </c>
      <c r="Z150" t="s">
        <v>37</v>
      </c>
      <c r="AA150" t="s">
        <v>48</v>
      </c>
      <c r="AB150" t="s">
        <v>37</v>
      </c>
      <c r="AC150" s="6" t="s">
        <v>37</v>
      </c>
      <c r="AD150" s="6" t="s">
        <v>37</v>
      </c>
      <c r="AE150" t="s">
        <v>37</v>
      </c>
      <c r="AF150" t="s">
        <v>37</v>
      </c>
      <c r="AG150" s="6" t="s">
        <v>37</v>
      </c>
      <c r="AH150" t="s">
        <v>37</v>
      </c>
      <c r="AI150" t="s">
        <v>37</v>
      </c>
      <c r="AJ150" t="str">
        <f t="shared" si="8"/>
        <v>2M7QFTCOB07CGNDZR3</v>
      </c>
    </row>
    <row r="151" spans="1:36" ht="15" customHeight="1" x14ac:dyDescent="0.25">
      <c r="A151" t="s">
        <v>101</v>
      </c>
      <c r="B151" t="s">
        <v>37</v>
      </c>
      <c r="C151" t="s">
        <v>37</v>
      </c>
      <c r="D151" t="s">
        <v>38</v>
      </c>
      <c r="E151" s="4">
        <v>8</v>
      </c>
      <c r="F151" s="5">
        <v>316.48</v>
      </c>
      <c r="G151" s="5" t="s">
        <v>39</v>
      </c>
      <c r="H151" s="5">
        <v>524.55999999999995</v>
      </c>
      <c r="I151" s="5" t="s">
        <v>39</v>
      </c>
      <c r="J151" s="5">
        <v>10.76032</v>
      </c>
      <c r="K151" s="5">
        <f t="shared" si="6"/>
        <v>1.34504</v>
      </c>
      <c r="L151" s="5">
        <f t="shared" si="7"/>
        <v>39.56</v>
      </c>
      <c r="M151" s="5" t="s">
        <v>39</v>
      </c>
      <c r="N151" s="5">
        <v>10.76032</v>
      </c>
      <c r="O151" s="5" t="s">
        <v>39</v>
      </c>
      <c r="P151" t="s">
        <v>320</v>
      </c>
      <c r="Q151" t="s">
        <v>498</v>
      </c>
      <c r="R151" t="s">
        <v>37</v>
      </c>
      <c r="S151" t="s">
        <v>499</v>
      </c>
      <c r="T151" t="s">
        <v>43</v>
      </c>
      <c r="U151" t="s">
        <v>44</v>
      </c>
      <c r="V151">
        <v>147</v>
      </c>
      <c r="W151" t="s">
        <v>45</v>
      </c>
      <c r="X151" t="s">
        <v>46</v>
      </c>
      <c r="Y151" t="s">
        <v>500</v>
      </c>
      <c r="Z151" t="s">
        <v>37</v>
      </c>
      <c r="AA151" t="s">
        <v>95</v>
      </c>
      <c r="AB151" t="s">
        <v>37</v>
      </c>
      <c r="AC151" s="6" t="s">
        <v>37</v>
      </c>
      <c r="AD151" s="6" t="s">
        <v>37</v>
      </c>
      <c r="AE151" t="s">
        <v>37</v>
      </c>
      <c r="AF151" t="s">
        <v>37</v>
      </c>
      <c r="AG151" s="6" t="s">
        <v>37</v>
      </c>
      <c r="AH151" t="s">
        <v>37</v>
      </c>
      <c r="AI151" t="s">
        <v>37</v>
      </c>
      <c r="AJ151" t="str">
        <f t="shared" si="8"/>
        <v>8BG295LIB07W6HLSFF</v>
      </c>
    </row>
    <row r="152" spans="1:36" ht="15" customHeight="1" x14ac:dyDescent="0.25">
      <c r="A152" t="s">
        <v>62</v>
      </c>
      <c r="B152" t="s">
        <v>37</v>
      </c>
      <c r="C152" t="s">
        <v>37</v>
      </c>
      <c r="D152" t="s">
        <v>38</v>
      </c>
      <c r="E152" s="4">
        <v>12</v>
      </c>
      <c r="F152" s="5">
        <v>1006.68</v>
      </c>
      <c r="G152" s="5" t="s">
        <v>39</v>
      </c>
      <c r="H152" s="5">
        <v>1622.88</v>
      </c>
      <c r="I152" s="5" t="s">
        <v>39</v>
      </c>
      <c r="J152" s="5">
        <v>34.227119999999999</v>
      </c>
      <c r="K152" s="5">
        <f t="shared" si="6"/>
        <v>2.8522599999999998</v>
      </c>
      <c r="L152" s="5">
        <f t="shared" si="7"/>
        <v>83.89</v>
      </c>
      <c r="M152" s="5" t="s">
        <v>39</v>
      </c>
      <c r="N152" s="5">
        <v>34.227119999999999</v>
      </c>
      <c r="O152" s="5" t="s">
        <v>39</v>
      </c>
      <c r="P152" t="s">
        <v>63</v>
      </c>
      <c r="Q152" t="s">
        <v>501</v>
      </c>
      <c r="R152" t="s">
        <v>37</v>
      </c>
      <c r="S152" t="s">
        <v>502</v>
      </c>
      <c r="T152" t="s">
        <v>43</v>
      </c>
      <c r="U152" t="s">
        <v>44</v>
      </c>
      <c r="V152">
        <v>147</v>
      </c>
      <c r="W152" t="s">
        <v>45</v>
      </c>
      <c r="X152" t="s">
        <v>53</v>
      </c>
      <c r="Y152" t="s">
        <v>503</v>
      </c>
      <c r="Z152" t="s">
        <v>37</v>
      </c>
      <c r="AA152" t="s">
        <v>55</v>
      </c>
      <c r="AB152" t="s">
        <v>37</v>
      </c>
      <c r="AC152" s="6" t="s">
        <v>37</v>
      </c>
      <c r="AD152" s="6" t="s">
        <v>37</v>
      </c>
      <c r="AE152" t="s">
        <v>37</v>
      </c>
      <c r="AF152" t="s">
        <v>37</v>
      </c>
      <c r="AG152" s="6" t="s">
        <v>37</v>
      </c>
      <c r="AH152" t="s">
        <v>37</v>
      </c>
      <c r="AI152" t="s">
        <v>37</v>
      </c>
      <c r="AJ152" t="str">
        <f t="shared" si="8"/>
        <v>7H9X1Z6SB07W6J51XR</v>
      </c>
    </row>
    <row r="153" spans="1:36" ht="15" customHeight="1" x14ac:dyDescent="0.25">
      <c r="A153" t="s">
        <v>118</v>
      </c>
      <c r="B153" t="s">
        <v>37</v>
      </c>
      <c r="C153" t="s">
        <v>37</v>
      </c>
      <c r="D153" t="s">
        <v>38</v>
      </c>
      <c r="E153" s="4">
        <v>24</v>
      </c>
      <c r="F153" s="5">
        <v>1028.6400000000001</v>
      </c>
      <c r="G153" s="5" t="s">
        <v>39</v>
      </c>
      <c r="H153" s="5">
        <v>1416.24</v>
      </c>
      <c r="I153" s="5" t="s">
        <v>39</v>
      </c>
      <c r="J153" s="5">
        <v>34.973759999999999</v>
      </c>
      <c r="K153" s="5">
        <f t="shared" si="6"/>
        <v>1.4572399999999999</v>
      </c>
      <c r="L153" s="5">
        <f t="shared" si="7"/>
        <v>42.860000000000007</v>
      </c>
      <c r="M153" s="5" t="s">
        <v>39</v>
      </c>
      <c r="N153" s="5">
        <v>34.973759999999999</v>
      </c>
      <c r="O153" s="5" t="s">
        <v>39</v>
      </c>
      <c r="P153" t="s">
        <v>128</v>
      </c>
      <c r="Q153" t="s">
        <v>366</v>
      </c>
      <c r="R153" t="s">
        <v>37</v>
      </c>
      <c r="S153" t="s">
        <v>367</v>
      </c>
      <c r="T153" t="s">
        <v>43</v>
      </c>
      <c r="U153" t="s">
        <v>44</v>
      </c>
      <c r="V153">
        <v>147</v>
      </c>
      <c r="W153" t="s">
        <v>45</v>
      </c>
      <c r="X153" t="s">
        <v>368</v>
      </c>
      <c r="Y153" t="s">
        <v>369</v>
      </c>
      <c r="Z153" t="s">
        <v>37</v>
      </c>
      <c r="AA153" t="s">
        <v>48</v>
      </c>
      <c r="AB153" t="s">
        <v>37</v>
      </c>
      <c r="AC153" s="6" t="s">
        <v>37</v>
      </c>
      <c r="AD153" s="6" t="s">
        <v>37</v>
      </c>
      <c r="AE153" t="s">
        <v>37</v>
      </c>
      <c r="AF153" t="s">
        <v>37</v>
      </c>
      <c r="AG153" s="6" t="s">
        <v>37</v>
      </c>
      <c r="AH153" t="s">
        <v>37</v>
      </c>
      <c r="AI153" t="s">
        <v>37</v>
      </c>
      <c r="AJ153" t="str">
        <f t="shared" si="8"/>
        <v>7RAC5F9EB07H3HGVDW</v>
      </c>
    </row>
    <row r="154" spans="1:36" ht="15" customHeight="1" x14ac:dyDescent="0.25">
      <c r="A154" t="s">
        <v>504</v>
      </c>
      <c r="B154" t="s">
        <v>37</v>
      </c>
      <c r="C154" t="s">
        <v>37</v>
      </c>
      <c r="D154" t="s">
        <v>38</v>
      </c>
      <c r="E154" s="4">
        <v>984</v>
      </c>
      <c r="F154" s="5">
        <v>72166.559999999998</v>
      </c>
      <c r="G154" s="5" t="s">
        <v>39</v>
      </c>
      <c r="H154" s="5">
        <v>108879.6</v>
      </c>
      <c r="I154" s="5" t="s">
        <v>39</v>
      </c>
      <c r="J154" s="5">
        <v>2453.6630399999999</v>
      </c>
      <c r="K154" s="5">
        <f t="shared" si="6"/>
        <v>2.49356</v>
      </c>
      <c r="L154" s="5">
        <f t="shared" si="7"/>
        <v>73.34</v>
      </c>
      <c r="M154" s="5" t="s">
        <v>39</v>
      </c>
      <c r="N154" s="5">
        <v>2453.6630399999999</v>
      </c>
      <c r="O154" s="5" t="s">
        <v>39</v>
      </c>
      <c r="P154" t="s">
        <v>505</v>
      </c>
      <c r="Q154" t="s">
        <v>260</v>
      </c>
      <c r="R154" t="s">
        <v>37</v>
      </c>
      <c r="S154" t="s">
        <v>261</v>
      </c>
      <c r="T154" t="s">
        <v>43</v>
      </c>
      <c r="U154" t="s">
        <v>44</v>
      </c>
      <c r="V154">
        <v>147</v>
      </c>
      <c r="W154" t="s">
        <v>45</v>
      </c>
      <c r="X154" t="s">
        <v>46</v>
      </c>
      <c r="Y154" t="s">
        <v>262</v>
      </c>
      <c r="Z154" t="s">
        <v>37</v>
      </c>
      <c r="AA154" t="s">
        <v>55</v>
      </c>
      <c r="AB154" t="s">
        <v>37</v>
      </c>
      <c r="AC154" s="6" t="s">
        <v>37</v>
      </c>
      <c r="AD154" s="6" t="s">
        <v>37</v>
      </c>
      <c r="AE154" t="s">
        <v>37</v>
      </c>
      <c r="AF154" t="s">
        <v>37</v>
      </c>
      <c r="AG154" s="6" t="s">
        <v>37</v>
      </c>
      <c r="AH154" t="s">
        <v>37</v>
      </c>
      <c r="AI154" t="s">
        <v>37</v>
      </c>
      <c r="AJ154" t="str">
        <f t="shared" si="8"/>
        <v>6UZZHR2WB07TLX61W7</v>
      </c>
    </row>
    <row r="155" spans="1:36" ht="15" customHeight="1" x14ac:dyDescent="0.25">
      <c r="A155" t="s">
        <v>49</v>
      </c>
      <c r="B155" t="s">
        <v>37</v>
      </c>
      <c r="C155" t="s">
        <v>37</v>
      </c>
      <c r="D155" t="s">
        <v>38</v>
      </c>
      <c r="E155" s="4">
        <v>4</v>
      </c>
      <c r="F155" s="5">
        <v>179.36</v>
      </c>
      <c r="G155" s="5" t="s">
        <v>39</v>
      </c>
      <c r="H155" s="5">
        <v>288.48</v>
      </c>
      <c r="I155" s="5" t="s">
        <v>39</v>
      </c>
      <c r="J155" s="5">
        <v>6.0982399999999997</v>
      </c>
      <c r="K155" s="5">
        <f t="shared" si="6"/>
        <v>1.5245599999999999</v>
      </c>
      <c r="L155" s="5">
        <f t="shared" si="7"/>
        <v>44.84</v>
      </c>
      <c r="M155" s="5" t="s">
        <v>39</v>
      </c>
      <c r="N155" s="5">
        <v>6.0982399999999997</v>
      </c>
      <c r="O155" s="5" t="s">
        <v>39</v>
      </c>
      <c r="P155" t="s">
        <v>106</v>
      </c>
      <c r="Q155" t="s">
        <v>506</v>
      </c>
      <c r="R155" t="s">
        <v>37</v>
      </c>
      <c r="S155" t="s">
        <v>507</v>
      </c>
      <c r="T155" t="s">
        <v>43</v>
      </c>
      <c r="U155" t="s">
        <v>44</v>
      </c>
      <c r="V155">
        <v>147</v>
      </c>
      <c r="W155" t="s">
        <v>45</v>
      </c>
      <c r="X155" t="s">
        <v>46</v>
      </c>
      <c r="Y155" t="s">
        <v>508</v>
      </c>
      <c r="Z155" t="s">
        <v>37</v>
      </c>
      <c r="AA155" t="s">
        <v>48</v>
      </c>
      <c r="AB155" t="s">
        <v>37</v>
      </c>
      <c r="AC155" s="6" t="s">
        <v>37</v>
      </c>
      <c r="AD155" s="6" t="s">
        <v>37</v>
      </c>
      <c r="AE155" t="s">
        <v>37</v>
      </c>
      <c r="AF155" t="s">
        <v>37</v>
      </c>
      <c r="AG155" s="6" t="s">
        <v>37</v>
      </c>
      <c r="AH155" t="s">
        <v>37</v>
      </c>
      <c r="AI155" t="s">
        <v>37</v>
      </c>
      <c r="AJ155" t="str">
        <f t="shared" si="8"/>
        <v>2CLMXQWQB01MQ0GFUH</v>
      </c>
    </row>
    <row r="156" spans="1:36" ht="15" customHeight="1" x14ac:dyDescent="0.25">
      <c r="A156" t="s">
        <v>101</v>
      </c>
      <c r="B156" t="s">
        <v>37</v>
      </c>
      <c r="C156" t="s">
        <v>37</v>
      </c>
      <c r="D156" t="s">
        <v>38</v>
      </c>
      <c r="E156" s="4">
        <v>8</v>
      </c>
      <c r="F156" s="5">
        <v>928.16</v>
      </c>
      <c r="G156" s="5" t="s">
        <v>39</v>
      </c>
      <c r="H156" s="5">
        <v>1311.44</v>
      </c>
      <c r="I156" s="5" t="s">
        <v>39</v>
      </c>
      <c r="J156" s="5">
        <v>31.55744</v>
      </c>
      <c r="K156" s="5">
        <f t="shared" si="6"/>
        <v>3.94468</v>
      </c>
      <c r="L156" s="5">
        <f t="shared" si="7"/>
        <v>116.02</v>
      </c>
      <c r="M156" s="5" t="s">
        <v>39</v>
      </c>
      <c r="N156" s="5">
        <v>31.55744</v>
      </c>
      <c r="O156" s="5" t="s">
        <v>39</v>
      </c>
      <c r="P156" t="s">
        <v>509</v>
      </c>
      <c r="Q156" t="s">
        <v>510</v>
      </c>
      <c r="R156" t="s">
        <v>37</v>
      </c>
      <c r="S156" t="s">
        <v>511</v>
      </c>
      <c r="T156" t="s">
        <v>43</v>
      </c>
      <c r="U156" t="s">
        <v>44</v>
      </c>
      <c r="V156">
        <v>147</v>
      </c>
      <c r="W156" t="s">
        <v>45</v>
      </c>
      <c r="X156" t="s">
        <v>60</v>
      </c>
      <c r="Y156" t="s">
        <v>512</v>
      </c>
      <c r="Z156" t="s">
        <v>37</v>
      </c>
      <c r="AA156" t="s">
        <v>55</v>
      </c>
      <c r="AB156" t="s">
        <v>37</v>
      </c>
      <c r="AC156" s="6" t="s">
        <v>37</v>
      </c>
      <c r="AD156" s="6" t="s">
        <v>37</v>
      </c>
      <c r="AE156" t="s">
        <v>37</v>
      </c>
      <c r="AF156" t="s">
        <v>37</v>
      </c>
      <c r="AG156" s="6" t="s">
        <v>37</v>
      </c>
      <c r="AH156" t="s">
        <v>37</v>
      </c>
      <c r="AI156" t="s">
        <v>37</v>
      </c>
      <c r="AJ156" t="str">
        <f t="shared" si="8"/>
        <v>1VRJRIPAB07W7M4MZP</v>
      </c>
    </row>
    <row r="157" spans="1:36" ht="15" customHeight="1" x14ac:dyDescent="0.25">
      <c r="A157" t="s">
        <v>101</v>
      </c>
      <c r="B157" t="s">
        <v>37</v>
      </c>
      <c r="C157" t="s">
        <v>37</v>
      </c>
      <c r="D157" t="s">
        <v>38</v>
      </c>
      <c r="E157" s="4">
        <v>620</v>
      </c>
      <c r="F157" s="5">
        <v>10161.799999999999</v>
      </c>
      <c r="G157" s="5" t="s">
        <v>39</v>
      </c>
      <c r="H157" s="5">
        <v>15239.6</v>
      </c>
      <c r="I157" s="5" t="s">
        <v>39</v>
      </c>
      <c r="J157" s="5">
        <v>345.50119999999998</v>
      </c>
      <c r="K157" s="5">
        <f t="shared" si="6"/>
        <v>0.55725999999999998</v>
      </c>
      <c r="L157" s="5">
        <f t="shared" si="7"/>
        <v>16.39</v>
      </c>
      <c r="M157" s="5" t="s">
        <v>39</v>
      </c>
      <c r="N157" s="5">
        <v>345.50119999999998</v>
      </c>
      <c r="O157" s="5" t="s">
        <v>39</v>
      </c>
      <c r="P157" t="s">
        <v>72</v>
      </c>
      <c r="Q157" t="s">
        <v>163</v>
      </c>
      <c r="R157" t="s">
        <v>164</v>
      </c>
      <c r="S157" t="s">
        <v>165</v>
      </c>
      <c r="T157" t="s">
        <v>43</v>
      </c>
      <c r="U157" t="s">
        <v>44</v>
      </c>
      <c r="V157">
        <v>147</v>
      </c>
      <c r="W157" t="s">
        <v>45</v>
      </c>
      <c r="X157" t="s">
        <v>53</v>
      </c>
      <c r="Y157" t="s">
        <v>166</v>
      </c>
      <c r="Z157" t="s">
        <v>37</v>
      </c>
      <c r="AA157" t="s">
        <v>48</v>
      </c>
      <c r="AB157" t="s">
        <v>37</v>
      </c>
      <c r="AC157" s="6" t="s">
        <v>37</v>
      </c>
      <c r="AD157" s="6" t="s">
        <v>37</v>
      </c>
      <c r="AE157" t="s">
        <v>37</v>
      </c>
      <c r="AF157" t="s">
        <v>37</v>
      </c>
      <c r="AG157" s="6" t="s">
        <v>37</v>
      </c>
      <c r="AH157" t="s">
        <v>37</v>
      </c>
      <c r="AI157" t="s">
        <v>37</v>
      </c>
      <c r="AJ157" t="str">
        <f t="shared" si="8"/>
        <v>4GF112AEB01K7GEG9W</v>
      </c>
    </row>
    <row r="158" spans="1:36" ht="15" customHeight="1" x14ac:dyDescent="0.25">
      <c r="A158" t="s">
        <v>96</v>
      </c>
      <c r="B158" t="s">
        <v>37</v>
      </c>
      <c r="C158" t="s">
        <v>37</v>
      </c>
      <c r="D158" t="s">
        <v>38</v>
      </c>
      <c r="E158" s="4">
        <v>4</v>
      </c>
      <c r="F158" s="5">
        <v>278.44</v>
      </c>
      <c r="G158" s="5" t="s">
        <v>39</v>
      </c>
      <c r="H158" s="5">
        <v>409.8</v>
      </c>
      <c r="I158" s="5" t="s">
        <v>39</v>
      </c>
      <c r="J158" s="5">
        <v>9.4669600000000003</v>
      </c>
      <c r="K158" s="5">
        <f t="shared" si="6"/>
        <v>2.3667400000000001</v>
      </c>
      <c r="L158" s="5">
        <f t="shared" si="7"/>
        <v>69.61</v>
      </c>
      <c r="M158" s="5" t="s">
        <v>39</v>
      </c>
      <c r="N158" s="5">
        <v>9.4669600000000003</v>
      </c>
      <c r="O158" s="5" t="s">
        <v>39</v>
      </c>
      <c r="P158" t="s">
        <v>222</v>
      </c>
      <c r="Q158" t="s">
        <v>513</v>
      </c>
      <c r="R158" t="s">
        <v>37</v>
      </c>
      <c r="S158" t="s">
        <v>514</v>
      </c>
      <c r="T158" t="s">
        <v>43</v>
      </c>
      <c r="U158" t="s">
        <v>44</v>
      </c>
      <c r="V158">
        <v>147</v>
      </c>
      <c r="W158" t="s">
        <v>45</v>
      </c>
      <c r="X158" t="s">
        <v>53</v>
      </c>
      <c r="Y158" t="s">
        <v>515</v>
      </c>
      <c r="Z158" t="s">
        <v>37</v>
      </c>
      <c r="AA158" t="s">
        <v>55</v>
      </c>
      <c r="AB158" t="s">
        <v>37</v>
      </c>
      <c r="AC158" s="6" t="s">
        <v>37</v>
      </c>
      <c r="AD158" s="6" t="s">
        <v>37</v>
      </c>
      <c r="AE158" t="s">
        <v>37</v>
      </c>
      <c r="AF158" t="s">
        <v>37</v>
      </c>
      <c r="AG158" s="6" t="s">
        <v>37</v>
      </c>
      <c r="AH158" t="s">
        <v>37</v>
      </c>
      <c r="AI158" t="s">
        <v>37</v>
      </c>
      <c r="AJ158" t="str">
        <f t="shared" si="8"/>
        <v>2F7Y5WIXB074W227RK</v>
      </c>
    </row>
    <row r="159" spans="1:36" ht="15" customHeight="1" x14ac:dyDescent="0.25">
      <c r="A159" t="s">
        <v>36</v>
      </c>
      <c r="B159" t="s">
        <v>37</v>
      </c>
      <c r="C159" t="s">
        <v>37</v>
      </c>
      <c r="D159" t="s">
        <v>38</v>
      </c>
      <c r="E159" s="4">
        <v>12</v>
      </c>
      <c r="F159" s="5">
        <v>443.16</v>
      </c>
      <c r="G159" s="5" t="s">
        <v>39</v>
      </c>
      <c r="H159" s="5">
        <v>737.64</v>
      </c>
      <c r="I159" s="5" t="s">
        <v>39</v>
      </c>
      <c r="J159" s="5">
        <v>15.06744</v>
      </c>
      <c r="K159" s="5">
        <f t="shared" si="6"/>
        <v>1.25562</v>
      </c>
      <c r="L159" s="5">
        <f t="shared" si="7"/>
        <v>36.93</v>
      </c>
      <c r="M159" s="5" t="s">
        <v>39</v>
      </c>
      <c r="N159" s="5">
        <v>15.06744</v>
      </c>
      <c r="O159" s="5" t="s">
        <v>39</v>
      </c>
      <c r="P159" t="s">
        <v>168</v>
      </c>
      <c r="Q159" t="s">
        <v>516</v>
      </c>
      <c r="R159" t="s">
        <v>37</v>
      </c>
      <c r="S159" t="s">
        <v>517</v>
      </c>
      <c r="T159" t="s">
        <v>43</v>
      </c>
      <c r="U159" t="s">
        <v>44</v>
      </c>
      <c r="V159">
        <v>147</v>
      </c>
      <c r="W159" t="s">
        <v>45</v>
      </c>
      <c r="X159" t="s">
        <v>53</v>
      </c>
      <c r="Y159" t="s">
        <v>518</v>
      </c>
      <c r="Z159" t="s">
        <v>37</v>
      </c>
      <c r="AA159" t="s">
        <v>55</v>
      </c>
      <c r="AB159" t="s">
        <v>37</v>
      </c>
      <c r="AC159" s="6" t="s">
        <v>37</v>
      </c>
      <c r="AD159" s="6" t="s">
        <v>37</v>
      </c>
      <c r="AE159" t="s">
        <v>37</v>
      </c>
      <c r="AF159" t="s">
        <v>37</v>
      </c>
      <c r="AG159" s="6" t="s">
        <v>37</v>
      </c>
      <c r="AH159" t="s">
        <v>37</v>
      </c>
      <c r="AI159" t="s">
        <v>37</v>
      </c>
      <c r="AJ159" t="str">
        <f t="shared" si="8"/>
        <v>2R6FMUZDB07CGNP3RH</v>
      </c>
    </row>
    <row r="160" spans="1:36" ht="15" customHeight="1" x14ac:dyDescent="0.25">
      <c r="A160" t="s">
        <v>36</v>
      </c>
      <c r="B160" t="s">
        <v>37</v>
      </c>
      <c r="C160" t="s">
        <v>37</v>
      </c>
      <c r="D160" t="s">
        <v>38</v>
      </c>
      <c r="E160" s="4">
        <v>8</v>
      </c>
      <c r="F160" s="5">
        <v>257.68</v>
      </c>
      <c r="G160" s="5" t="s">
        <v>39</v>
      </c>
      <c r="H160" s="5">
        <v>386.8</v>
      </c>
      <c r="I160" s="5" t="s">
        <v>39</v>
      </c>
      <c r="J160" s="5">
        <v>8.76112</v>
      </c>
      <c r="K160" s="5">
        <f t="shared" si="6"/>
        <v>1.09514</v>
      </c>
      <c r="L160" s="5">
        <f t="shared" si="7"/>
        <v>32.21</v>
      </c>
      <c r="M160" s="5" t="s">
        <v>39</v>
      </c>
      <c r="N160" s="5">
        <v>8.76112</v>
      </c>
      <c r="O160" s="5" t="s">
        <v>39</v>
      </c>
      <c r="P160" t="s">
        <v>270</v>
      </c>
      <c r="Q160" t="s">
        <v>519</v>
      </c>
      <c r="R160" t="s">
        <v>37</v>
      </c>
      <c r="S160" t="s">
        <v>520</v>
      </c>
      <c r="T160" t="s">
        <v>43</v>
      </c>
      <c r="U160" t="s">
        <v>44</v>
      </c>
      <c r="V160">
        <v>147</v>
      </c>
      <c r="W160" t="s">
        <v>45</v>
      </c>
      <c r="X160" t="s">
        <v>60</v>
      </c>
      <c r="Y160" t="s">
        <v>521</v>
      </c>
      <c r="Z160" t="s">
        <v>37</v>
      </c>
      <c r="AA160" t="s">
        <v>48</v>
      </c>
      <c r="AB160" t="s">
        <v>37</v>
      </c>
      <c r="AC160" s="6" t="s">
        <v>37</v>
      </c>
      <c r="AD160" s="6" t="s">
        <v>37</v>
      </c>
      <c r="AE160" t="s">
        <v>37</v>
      </c>
      <c r="AF160" t="s">
        <v>37</v>
      </c>
      <c r="AG160" s="6" t="s">
        <v>37</v>
      </c>
      <c r="AH160" t="s">
        <v>37</v>
      </c>
      <c r="AI160" t="s">
        <v>37</v>
      </c>
      <c r="AJ160" t="str">
        <f t="shared" si="8"/>
        <v>1X4DXX4TB013SL1ZU6</v>
      </c>
    </row>
    <row r="161" spans="1:36" ht="15" customHeight="1" x14ac:dyDescent="0.25">
      <c r="A161" t="s">
        <v>411</v>
      </c>
      <c r="B161" t="s">
        <v>37</v>
      </c>
      <c r="C161" t="s">
        <v>37</v>
      </c>
      <c r="D161" t="s">
        <v>38</v>
      </c>
      <c r="E161" s="4">
        <v>4</v>
      </c>
      <c r="F161" s="5">
        <v>299.36</v>
      </c>
      <c r="G161" s="5" t="s">
        <v>39</v>
      </c>
      <c r="H161" s="5">
        <v>455.72</v>
      </c>
      <c r="I161" s="5" t="s">
        <v>39</v>
      </c>
      <c r="J161" s="5">
        <v>10.178240000000001</v>
      </c>
      <c r="K161" s="5">
        <f t="shared" si="6"/>
        <v>2.5445600000000002</v>
      </c>
      <c r="L161" s="5">
        <f t="shared" si="7"/>
        <v>74.84</v>
      </c>
      <c r="M161" s="5" t="s">
        <v>39</v>
      </c>
      <c r="N161" s="5">
        <v>10.178240000000001</v>
      </c>
      <c r="O161" s="5" t="s">
        <v>39</v>
      </c>
      <c r="P161" t="s">
        <v>522</v>
      </c>
      <c r="Q161" t="s">
        <v>472</v>
      </c>
      <c r="R161" t="s">
        <v>37</v>
      </c>
      <c r="S161" t="s">
        <v>473</v>
      </c>
      <c r="T161" t="s">
        <v>43</v>
      </c>
      <c r="U161" t="s">
        <v>44</v>
      </c>
      <c r="V161">
        <v>147</v>
      </c>
      <c r="W161" t="s">
        <v>92</v>
      </c>
      <c r="X161" t="s">
        <v>433</v>
      </c>
      <c r="Y161" t="s">
        <v>474</v>
      </c>
      <c r="Z161" t="s">
        <v>37</v>
      </c>
      <c r="AA161" t="s">
        <v>55</v>
      </c>
      <c r="AB161" t="s">
        <v>37</v>
      </c>
      <c r="AC161" s="6" t="s">
        <v>37</v>
      </c>
      <c r="AD161" s="6" t="s">
        <v>37</v>
      </c>
      <c r="AE161" t="s">
        <v>37</v>
      </c>
      <c r="AF161" t="s">
        <v>37</v>
      </c>
      <c r="AG161" s="6" t="s">
        <v>37</v>
      </c>
      <c r="AH161" t="s">
        <v>37</v>
      </c>
      <c r="AI161" t="s">
        <v>37</v>
      </c>
      <c r="AJ161" t="str">
        <f t="shared" si="8"/>
        <v>24EUBTHXB07W6JLQCY</v>
      </c>
    </row>
    <row r="162" spans="1:36" ht="15" customHeight="1" x14ac:dyDescent="0.25">
      <c r="A162" t="s">
        <v>36</v>
      </c>
      <c r="B162" t="s">
        <v>37</v>
      </c>
      <c r="C162" t="s">
        <v>37</v>
      </c>
      <c r="D162" t="s">
        <v>38</v>
      </c>
      <c r="E162" s="4">
        <v>44</v>
      </c>
      <c r="F162" s="5">
        <v>1508.76</v>
      </c>
      <c r="G162" s="5" t="s">
        <v>39</v>
      </c>
      <c r="H162" s="5">
        <v>2524.2800000000002</v>
      </c>
      <c r="I162" s="5" t="s">
        <v>39</v>
      </c>
      <c r="J162" s="5">
        <v>51.297840000000001</v>
      </c>
      <c r="K162" s="5">
        <f t="shared" si="6"/>
        <v>1.1658600000000001</v>
      </c>
      <c r="L162" s="5">
        <f t="shared" si="7"/>
        <v>34.29</v>
      </c>
      <c r="M162" s="5" t="s">
        <v>39</v>
      </c>
      <c r="N162" s="5">
        <v>51.297840000000001</v>
      </c>
      <c r="O162" s="5" t="s">
        <v>39</v>
      </c>
      <c r="P162" t="s">
        <v>119</v>
      </c>
      <c r="Q162" t="s">
        <v>523</v>
      </c>
      <c r="R162" t="s">
        <v>37</v>
      </c>
      <c r="S162" t="s">
        <v>524</v>
      </c>
      <c r="T162" t="s">
        <v>43</v>
      </c>
      <c r="U162" t="s">
        <v>44</v>
      </c>
      <c r="V162">
        <v>147</v>
      </c>
      <c r="W162" t="s">
        <v>45</v>
      </c>
      <c r="X162" t="s">
        <v>46</v>
      </c>
      <c r="Y162" t="s">
        <v>525</v>
      </c>
      <c r="Z162" t="s">
        <v>37</v>
      </c>
      <c r="AA162" t="s">
        <v>48</v>
      </c>
      <c r="AB162" t="s">
        <v>37</v>
      </c>
      <c r="AC162" s="6" t="s">
        <v>37</v>
      </c>
      <c r="AD162" s="6" t="s">
        <v>37</v>
      </c>
      <c r="AE162" t="s">
        <v>37</v>
      </c>
      <c r="AF162" t="s">
        <v>37</v>
      </c>
      <c r="AG162" s="6" t="s">
        <v>37</v>
      </c>
      <c r="AH162" t="s">
        <v>37</v>
      </c>
      <c r="AI162" t="s">
        <v>37</v>
      </c>
      <c r="AJ162" t="str">
        <f t="shared" si="8"/>
        <v>31DJDC7QB00CJ5FPTA</v>
      </c>
    </row>
    <row r="163" spans="1:36" ht="15" customHeight="1" x14ac:dyDescent="0.25">
      <c r="A163" t="s">
        <v>269</v>
      </c>
      <c r="B163" t="s">
        <v>37</v>
      </c>
      <c r="C163" t="s">
        <v>37</v>
      </c>
      <c r="D163" t="s">
        <v>38</v>
      </c>
      <c r="E163" s="4">
        <v>0</v>
      </c>
      <c r="F163" s="5">
        <v>0</v>
      </c>
      <c r="G163" s="5" t="s">
        <v>39</v>
      </c>
      <c r="H163" s="5">
        <v>0</v>
      </c>
      <c r="I163" s="5" t="s">
        <v>39</v>
      </c>
      <c r="J163" s="5">
        <v>0</v>
      </c>
      <c r="K163" s="5" t="e">
        <f t="shared" si="6"/>
        <v>#DIV/0!</v>
      </c>
      <c r="L163" s="5" t="e">
        <f t="shared" si="7"/>
        <v>#DIV/0!</v>
      </c>
      <c r="M163" s="5" t="s">
        <v>39</v>
      </c>
      <c r="N163" s="5">
        <v>0</v>
      </c>
      <c r="O163" s="5" t="s">
        <v>39</v>
      </c>
      <c r="P163" t="s">
        <v>119</v>
      </c>
      <c r="Q163" t="s">
        <v>469</v>
      </c>
      <c r="R163" t="s">
        <v>37</v>
      </c>
      <c r="S163" t="s">
        <v>470</v>
      </c>
      <c r="T163" t="s">
        <v>43</v>
      </c>
      <c r="U163" t="s">
        <v>44</v>
      </c>
      <c r="V163">
        <v>147</v>
      </c>
      <c r="W163" t="s">
        <v>45</v>
      </c>
      <c r="X163" t="s">
        <v>389</v>
      </c>
      <c r="Y163" t="s">
        <v>471</v>
      </c>
      <c r="Z163" t="s">
        <v>37</v>
      </c>
      <c r="AA163" t="s">
        <v>95</v>
      </c>
      <c r="AB163" t="s">
        <v>37</v>
      </c>
      <c r="AC163" s="6" t="s">
        <v>37</v>
      </c>
      <c r="AD163" s="6" t="s">
        <v>37</v>
      </c>
      <c r="AE163" t="s">
        <v>37</v>
      </c>
      <c r="AF163" t="s">
        <v>37</v>
      </c>
      <c r="AG163" s="6" t="s">
        <v>37</v>
      </c>
      <c r="AH163" t="s">
        <v>37</v>
      </c>
      <c r="AI163" t="s">
        <v>37</v>
      </c>
      <c r="AJ163" t="str">
        <f t="shared" si="8"/>
        <v>31DJDC7QB00EUUXBDE</v>
      </c>
    </row>
    <row r="164" spans="1:36" ht="15" customHeight="1" x14ac:dyDescent="0.25">
      <c r="A164" t="s">
        <v>526</v>
      </c>
      <c r="B164" t="s">
        <v>37</v>
      </c>
      <c r="C164" t="s">
        <v>37</v>
      </c>
      <c r="D164" t="s">
        <v>38</v>
      </c>
      <c r="E164" s="4">
        <v>4</v>
      </c>
      <c r="F164" s="5">
        <v>314.48</v>
      </c>
      <c r="G164" s="5" t="s">
        <v>39</v>
      </c>
      <c r="H164" s="5">
        <v>508.16</v>
      </c>
      <c r="I164" s="5" t="s">
        <v>39</v>
      </c>
      <c r="J164" s="5">
        <v>10.69232</v>
      </c>
      <c r="K164" s="5">
        <f t="shared" si="6"/>
        <v>2.6730800000000001</v>
      </c>
      <c r="L164" s="5">
        <f t="shared" si="7"/>
        <v>78.62</v>
      </c>
      <c r="M164" s="5" t="s">
        <v>39</v>
      </c>
      <c r="N164" s="5">
        <v>10.69232</v>
      </c>
      <c r="O164" s="5" t="s">
        <v>39</v>
      </c>
      <c r="P164" t="s">
        <v>527</v>
      </c>
      <c r="Q164" t="s">
        <v>528</v>
      </c>
      <c r="R164" t="s">
        <v>37</v>
      </c>
      <c r="S164" t="s">
        <v>529</v>
      </c>
      <c r="T164" t="s">
        <v>43</v>
      </c>
      <c r="U164" t="s">
        <v>44</v>
      </c>
      <c r="V164">
        <v>147</v>
      </c>
      <c r="W164" t="s">
        <v>45</v>
      </c>
      <c r="X164" t="s">
        <v>46</v>
      </c>
      <c r="Y164" t="s">
        <v>530</v>
      </c>
      <c r="Z164" t="s">
        <v>37</v>
      </c>
      <c r="AA164" t="s">
        <v>48</v>
      </c>
      <c r="AB164" t="s">
        <v>37</v>
      </c>
      <c r="AC164" s="6" t="s">
        <v>37</v>
      </c>
      <c r="AD164" s="6" t="s">
        <v>37</v>
      </c>
      <c r="AE164" t="s">
        <v>37</v>
      </c>
      <c r="AF164" t="s">
        <v>37</v>
      </c>
      <c r="AG164" s="6" t="s">
        <v>37</v>
      </c>
      <c r="AH164" t="s">
        <v>37</v>
      </c>
      <c r="AI164" t="s">
        <v>37</v>
      </c>
      <c r="AJ164" t="str">
        <f t="shared" si="8"/>
        <v>3G77YEPLB01MYW8COY</v>
      </c>
    </row>
    <row r="165" spans="1:36" ht="15" customHeight="1" x14ac:dyDescent="0.25">
      <c r="A165" t="s">
        <v>118</v>
      </c>
      <c r="B165" t="s">
        <v>37</v>
      </c>
      <c r="C165" t="s">
        <v>37</v>
      </c>
      <c r="D165" t="s">
        <v>38</v>
      </c>
      <c r="E165" s="4">
        <v>48</v>
      </c>
      <c r="F165" s="5">
        <v>4427.5200000000004</v>
      </c>
      <c r="G165" s="5" t="s">
        <v>39</v>
      </c>
      <c r="H165" s="5">
        <v>6491.52</v>
      </c>
      <c r="I165" s="5" t="s">
        <v>39</v>
      </c>
      <c r="J165" s="5">
        <v>150.53568000000001</v>
      </c>
      <c r="K165" s="5">
        <f t="shared" si="6"/>
        <v>3.1361600000000003</v>
      </c>
      <c r="L165" s="5">
        <f t="shared" si="7"/>
        <v>92.240000000000009</v>
      </c>
      <c r="M165" s="5" t="s">
        <v>39</v>
      </c>
      <c r="N165" s="5">
        <v>150.53568000000001</v>
      </c>
      <c r="O165" s="5" t="s">
        <v>39</v>
      </c>
      <c r="P165" t="s">
        <v>128</v>
      </c>
      <c r="Q165" t="s">
        <v>531</v>
      </c>
      <c r="R165" t="s">
        <v>37</v>
      </c>
      <c r="S165" t="s">
        <v>532</v>
      </c>
      <c r="T165" t="s">
        <v>43</v>
      </c>
      <c r="U165" t="s">
        <v>44</v>
      </c>
      <c r="V165">
        <v>147</v>
      </c>
      <c r="W165" t="s">
        <v>45</v>
      </c>
      <c r="X165" t="s">
        <v>239</v>
      </c>
      <c r="Y165" t="s">
        <v>533</v>
      </c>
      <c r="Z165" t="s">
        <v>37</v>
      </c>
      <c r="AA165" t="s">
        <v>55</v>
      </c>
      <c r="AB165" t="s">
        <v>37</v>
      </c>
      <c r="AC165" s="6" t="s">
        <v>37</v>
      </c>
      <c r="AD165" s="6" t="s">
        <v>37</v>
      </c>
      <c r="AE165" t="s">
        <v>37</v>
      </c>
      <c r="AF165" t="s">
        <v>37</v>
      </c>
      <c r="AG165" s="6" t="s">
        <v>37</v>
      </c>
      <c r="AH165" t="s">
        <v>37</v>
      </c>
      <c r="AI165" t="s">
        <v>37</v>
      </c>
      <c r="AJ165" t="str">
        <f t="shared" si="8"/>
        <v>7RAC5F9EB07W4DHNBF</v>
      </c>
    </row>
    <row r="166" spans="1:36" ht="15" customHeight="1" x14ac:dyDescent="0.25">
      <c r="A166" t="s">
        <v>96</v>
      </c>
      <c r="B166" t="s">
        <v>37</v>
      </c>
      <c r="C166" t="s">
        <v>37</v>
      </c>
      <c r="D166" t="s">
        <v>38</v>
      </c>
      <c r="E166" s="4">
        <v>190</v>
      </c>
      <c r="F166" s="5">
        <v>3114.1</v>
      </c>
      <c r="G166" s="5" t="s">
        <v>39</v>
      </c>
      <c r="H166" s="5">
        <v>4670.2</v>
      </c>
      <c r="I166" s="5" t="s">
        <v>39</v>
      </c>
      <c r="J166" s="5">
        <v>105.8794</v>
      </c>
      <c r="K166" s="5">
        <f t="shared" si="6"/>
        <v>0.55725999999999998</v>
      </c>
      <c r="L166" s="5">
        <f t="shared" si="7"/>
        <v>16.39</v>
      </c>
      <c r="M166" s="5" t="s">
        <v>39</v>
      </c>
      <c r="N166" s="5">
        <v>105.8794</v>
      </c>
      <c r="O166" s="5" t="s">
        <v>39</v>
      </c>
      <c r="P166" t="s">
        <v>222</v>
      </c>
      <c r="Q166" t="s">
        <v>534</v>
      </c>
      <c r="R166" t="s">
        <v>37</v>
      </c>
      <c r="S166" t="s">
        <v>535</v>
      </c>
      <c r="T166" t="s">
        <v>43</v>
      </c>
      <c r="U166" t="s">
        <v>44</v>
      </c>
      <c r="V166">
        <v>147</v>
      </c>
      <c r="W166" t="s">
        <v>45</v>
      </c>
      <c r="X166" t="s">
        <v>53</v>
      </c>
      <c r="Y166" t="s">
        <v>536</v>
      </c>
      <c r="Z166" t="s">
        <v>37</v>
      </c>
      <c r="AA166" t="s">
        <v>55</v>
      </c>
      <c r="AB166" t="s">
        <v>37</v>
      </c>
      <c r="AC166" s="6" t="s">
        <v>37</v>
      </c>
      <c r="AD166" s="6" t="s">
        <v>37</v>
      </c>
      <c r="AE166" t="s">
        <v>37</v>
      </c>
      <c r="AF166" t="s">
        <v>37</v>
      </c>
      <c r="AG166" s="6" t="s">
        <v>37</v>
      </c>
      <c r="AH166" t="s">
        <v>37</v>
      </c>
      <c r="AI166" t="s">
        <v>37</v>
      </c>
      <c r="AJ166" t="str">
        <f t="shared" si="8"/>
        <v>2F7Y5WIXB07W7LHVBL</v>
      </c>
    </row>
    <row r="167" spans="1:36" ht="15" customHeight="1" x14ac:dyDescent="0.25">
      <c r="A167" t="s">
        <v>118</v>
      </c>
      <c r="B167" t="s">
        <v>37</v>
      </c>
      <c r="C167" t="s">
        <v>37</v>
      </c>
      <c r="D167" t="s">
        <v>38</v>
      </c>
      <c r="E167" s="4">
        <v>8</v>
      </c>
      <c r="F167" s="5">
        <v>556.88</v>
      </c>
      <c r="G167" s="5" t="s">
        <v>39</v>
      </c>
      <c r="H167" s="5">
        <v>845.92</v>
      </c>
      <c r="I167" s="5" t="s">
        <v>39</v>
      </c>
      <c r="J167" s="5">
        <v>18.933920000000001</v>
      </c>
      <c r="K167" s="5">
        <f t="shared" si="6"/>
        <v>2.3667400000000001</v>
      </c>
      <c r="L167" s="5">
        <f t="shared" si="7"/>
        <v>69.61</v>
      </c>
      <c r="M167" s="5" t="s">
        <v>39</v>
      </c>
      <c r="N167" s="5">
        <v>18.933920000000001</v>
      </c>
      <c r="O167" s="5" t="s">
        <v>39</v>
      </c>
      <c r="P167" t="s">
        <v>537</v>
      </c>
      <c r="Q167" t="s">
        <v>538</v>
      </c>
      <c r="R167" t="s">
        <v>37</v>
      </c>
      <c r="S167" t="s">
        <v>539</v>
      </c>
      <c r="T167" t="s">
        <v>43</v>
      </c>
      <c r="U167" t="s">
        <v>44</v>
      </c>
      <c r="V167">
        <v>147</v>
      </c>
      <c r="W167" t="s">
        <v>45</v>
      </c>
      <c r="X167" t="s">
        <v>60</v>
      </c>
      <c r="Y167" t="s">
        <v>540</v>
      </c>
      <c r="Z167" t="s">
        <v>37</v>
      </c>
      <c r="AA167" t="s">
        <v>55</v>
      </c>
      <c r="AB167" t="s">
        <v>37</v>
      </c>
      <c r="AC167" s="6" t="s">
        <v>37</v>
      </c>
      <c r="AD167" s="6" t="s">
        <v>37</v>
      </c>
      <c r="AE167" t="s">
        <v>37</v>
      </c>
      <c r="AF167" t="s">
        <v>37</v>
      </c>
      <c r="AG167" s="6" t="s">
        <v>37</v>
      </c>
      <c r="AH167" t="s">
        <v>37</v>
      </c>
      <c r="AI167" t="s">
        <v>37</v>
      </c>
      <c r="AJ167" t="str">
        <f t="shared" si="8"/>
        <v>1LQM129ZB07W6HQCNX</v>
      </c>
    </row>
    <row r="168" spans="1:36" ht="15" customHeight="1" x14ac:dyDescent="0.25">
      <c r="A168" t="s">
        <v>118</v>
      </c>
      <c r="B168" t="s">
        <v>37</v>
      </c>
      <c r="C168" t="s">
        <v>37</v>
      </c>
      <c r="D168" t="s">
        <v>38</v>
      </c>
      <c r="E168" s="4">
        <v>24</v>
      </c>
      <c r="F168" s="5">
        <v>696</v>
      </c>
      <c r="G168" s="5" t="s">
        <v>39</v>
      </c>
      <c r="H168" s="5">
        <v>1062</v>
      </c>
      <c r="I168" s="5" t="s">
        <v>39</v>
      </c>
      <c r="J168" s="5">
        <v>23.664000000000001</v>
      </c>
      <c r="K168" s="5">
        <f t="shared" si="6"/>
        <v>0.9860000000000001</v>
      </c>
      <c r="L168" s="5">
        <f t="shared" si="7"/>
        <v>29</v>
      </c>
      <c r="M168" s="5" t="s">
        <v>39</v>
      </c>
      <c r="N168" s="5">
        <v>23.664000000000001</v>
      </c>
      <c r="O168" s="5" t="s">
        <v>39</v>
      </c>
      <c r="P168" t="s">
        <v>154</v>
      </c>
      <c r="Q168" t="s">
        <v>541</v>
      </c>
      <c r="R168" t="s">
        <v>37</v>
      </c>
      <c r="S168" t="s">
        <v>542</v>
      </c>
      <c r="T168" t="s">
        <v>43</v>
      </c>
      <c r="U168" t="s">
        <v>44</v>
      </c>
      <c r="V168">
        <v>147</v>
      </c>
      <c r="W168" t="s">
        <v>92</v>
      </c>
      <c r="X168" t="s">
        <v>543</v>
      </c>
      <c r="Y168" t="s">
        <v>544</v>
      </c>
      <c r="Z168" t="s">
        <v>37</v>
      </c>
      <c r="AA168" t="s">
        <v>55</v>
      </c>
      <c r="AB168" t="s">
        <v>37</v>
      </c>
      <c r="AC168" s="6" t="s">
        <v>37</v>
      </c>
      <c r="AD168" s="6" t="s">
        <v>37</v>
      </c>
      <c r="AE168" t="s">
        <v>37</v>
      </c>
      <c r="AF168" t="s">
        <v>37</v>
      </c>
      <c r="AG168" s="6" t="s">
        <v>37</v>
      </c>
      <c r="AH168" t="s">
        <v>37</v>
      </c>
      <c r="AI168" t="s">
        <v>37</v>
      </c>
      <c r="AJ168" t="str">
        <f t="shared" si="8"/>
        <v>1KW92RHQB07W7LF6F1</v>
      </c>
    </row>
    <row r="169" spans="1:36" ht="15" customHeight="1" x14ac:dyDescent="0.25">
      <c r="A169" t="s">
        <v>96</v>
      </c>
      <c r="B169" t="s">
        <v>37</v>
      </c>
      <c r="C169" t="s">
        <v>37</v>
      </c>
      <c r="D169" t="s">
        <v>38</v>
      </c>
      <c r="E169" s="4">
        <v>12</v>
      </c>
      <c r="F169" s="5">
        <v>816.72</v>
      </c>
      <c r="G169" s="5" t="s">
        <v>39</v>
      </c>
      <c r="H169" s="5">
        <v>1367.16</v>
      </c>
      <c r="I169" s="5" t="s">
        <v>39</v>
      </c>
      <c r="J169" s="5">
        <v>27.76848</v>
      </c>
      <c r="K169" s="5">
        <f t="shared" si="6"/>
        <v>2.3140399999999999</v>
      </c>
      <c r="L169" s="5">
        <f t="shared" si="7"/>
        <v>68.06</v>
      </c>
      <c r="M169" s="5" t="s">
        <v>39</v>
      </c>
      <c r="N169" s="5">
        <v>27.76848</v>
      </c>
      <c r="O169" s="5" t="s">
        <v>39</v>
      </c>
      <c r="P169" t="s">
        <v>253</v>
      </c>
      <c r="Q169" t="s">
        <v>545</v>
      </c>
      <c r="R169" t="s">
        <v>37</v>
      </c>
      <c r="S169" t="s">
        <v>546</v>
      </c>
      <c r="T169" t="s">
        <v>43</v>
      </c>
      <c r="U169" t="s">
        <v>44</v>
      </c>
      <c r="V169">
        <v>147</v>
      </c>
      <c r="W169" t="s">
        <v>45</v>
      </c>
      <c r="X169" t="s">
        <v>60</v>
      </c>
      <c r="Y169" t="s">
        <v>547</v>
      </c>
      <c r="Z169" t="s">
        <v>37</v>
      </c>
      <c r="AA169" t="s">
        <v>55</v>
      </c>
      <c r="AB169" t="s">
        <v>37</v>
      </c>
      <c r="AC169" s="6" t="s">
        <v>37</v>
      </c>
      <c r="AD169" s="6" t="s">
        <v>37</v>
      </c>
      <c r="AE169" t="s">
        <v>37</v>
      </c>
      <c r="AF169" t="s">
        <v>37</v>
      </c>
      <c r="AG169" s="6" t="s">
        <v>37</v>
      </c>
      <c r="AH169" t="s">
        <v>37</v>
      </c>
      <c r="AI169" t="s">
        <v>37</v>
      </c>
      <c r="AJ169" t="str">
        <f t="shared" si="8"/>
        <v>7BEDNOMIB07W5JJP7D</v>
      </c>
    </row>
    <row r="170" spans="1:36" ht="15" customHeight="1" x14ac:dyDescent="0.25">
      <c r="A170" t="s">
        <v>76</v>
      </c>
      <c r="B170" t="s">
        <v>37</v>
      </c>
      <c r="C170" t="s">
        <v>37</v>
      </c>
      <c r="D170" t="s">
        <v>38</v>
      </c>
      <c r="E170" s="4">
        <v>24</v>
      </c>
      <c r="F170" s="5">
        <v>773.04</v>
      </c>
      <c r="G170" s="5" t="s">
        <v>39</v>
      </c>
      <c r="H170" s="5">
        <v>1160.4000000000001</v>
      </c>
      <c r="I170" s="5" t="s">
        <v>39</v>
      </c>
      <c r="J170" s="5">
        <v>26.283359999999998</v>
      </c>
      <c r="K170" s="5">
        <f t="shared" si="6"/>
        <v>1.09514</v>
      </c>
      <c r="L170" s="5">
        <f t="shared" si="7"/>
        <v>32.21</v>
      </c>
      <c r="M170" s="5" t="s">
        <v>39</v>
      </c>
      <c r="N170" s="5">
        <v>26.283359999999998</v>
      </c>
      <c r="O170" s="5" t="s">
        <v>39</v>
      </c>
      <c r="P170" t="s">
        <v>114</v>
      </c>
      <c r="Q170" t="s">
        <v>463</v>
      </c>
      <c r="R170" t="s">
        <v>37</v>
      </c>
      <c r="S170" t="s">
        <v>464</v>
      </c>
      <c r="T170" t="s">
        <v>432</v>
      </c>
      <c r="U170" t="s">
        <v>44</v>
      </c>
      <c r="V170">
        <v>147</v>
      </c>
      <c r="W170" t="s">
        <v>92</v>
      </c>
      <c r="X170" t="s">
        <v>433</v>
      </c>
      <c r="Y170" t="s">
        <v>465</v>
      </c>
      <c r="Z170" t="s">
        <v>37</v>
      </c>
      <c r="AA170" t="s">
        <v>55</v>
      </c>
      <c r="AB170" t="s">
        <v>37</v>
      </c>
      <c r="AC170" s="6" t="s">
        <v>37</v>
      </c>
      <c r="AD170" s="6" t="s">
        <v>37</v>
      </c>
      <c r="AE170" t="s">
        <v>37</v>
      </c>
      <c r="AF170" t="s">
        <v>37</v>
      </c>
      <c r="AG170" s="6" t="s">
        <v>37</v>
      </c>
      <c r="AH170" t="s">
        <v>37</v>
      </c>
      <c r="AI170" t="s">
        <v>37</v>
      </c>
      <c r="AJ170" t="str">
        <f t="shared" si="8"/>
        <v>243WWSUAB07W4DHXFT</v>
      </c>
    </row>
    <row r="171" spans="1:36" ht="15" customHeight="1" x14ac:dyDescent="0.25">
      <c r="A171" t="s">
        <v>62</v>
      </c>
      <c r="B171" t="s">
        <v>37</v>
      </c>
      <c r="C171" t="s">
        <v>37</v>
      </c>
      <c r="D171" t="s">
        <v>38</v>
      </c>
      <c r="E171" s="4">
        <v>24</v>
      </c>
      <c r="F171" s="5">
        <v>2013.36</v>
      </c>
      <c r="G171" s="5" t="s">
        <v>39</v>
      </c>
      <c r="H171" s="5">
        <v>3324.48</v>
      </c>
      <c r="I171" s="5" t="s">
        <v>39</v>
      </c>
      <c r="J171" s="5">
        <v>68.454239999999999</v>
      </c>
      <c r="K171" s="5">
        <f t="shared" si="6"/>
        <v>2.8522599999999998</v>
      </c>
      <c r="L171" s="5">
        <f t="shared" si="7"/>
        <v>83.89</v>
      </c>
      <c r="M171" s="5" t="s">
        <v>39</v>
      </c>
      <c r="N171" s="5">
        <v>68.454239999999999</v>
      </c>
      <c r="O171" s="5" t="s">
        <v>39</v>
      </c>
      <c r="P171" t="s">
        <v>177</v>
      </c>
      <c r="Q171" t="s">
        <v>548</v>
      </c>
      <c r="R171" t="s">
        <v>37</v>
      </c>
      <c r="S171" t="s">
        <v>549</v>
      </c>
      <c r="T171" t="s">
        <v>43</v>
      </c>
      <c r="U171" t="s">
        <v>44</v>
      </c>
      <c r="V171">
        <v>147</v>
      </c>
      <c r="W171" t="s">
        <v>45</v>
      </c>
      <c r="X171" t="s">
        <v>46</v>
      </c>
      <c r="Y171" t="s">
        <v>550</v>
      </c>
      <c r="Z171" t="s">
        <v>37</v>
      </c>
      <c r="AA171" t="s">
        <v>55</v>
      </c>
      <c r="AB171" t="s">
        <v>37</v>
      </c>
      <c r="AC171" s="6" t="s">
        <v>37</v>
      </c>
      <c r="AD171" s="6" t="s">
        <v>37</v>
      </c>
      <c r="AE171" t="s">
        <v>37</v>
      </c>
      <c r="AF171" t="s">
        <v>37</v>
      </c>
      <c r="AG171" s="6" t="s">
        <v>37</v>
      </c>
      <c r="AH171" t="s">
        <v>37</v>
      </c>
      <c r="AI171" t="s">
        <v>37</v>
      </c>
      <c r="AJ171" t="str">
        <f t="shared" si="8"/>
        <v>4F3XMHTVB07QNYCLBJ</v>
      </c>
    </row>
    <row r="172" spans="1:36" ht="15" customHeight="1" x14ac:dyDescent="0.25">
      <c r="A172" t="s">
        <v>118</v>
      </c>
      <c r="B172" t="s">
        <v>37</v>
      </c>
      <c r="C172" t="s">
        <v>37</v>
      </c>
      <c r="D172" t="s">
        <v>38</v>
      </c>
      <c r="E172" s="4">
        <v>2</v>
      </c>
      <c r="F172" s="5">
        <v>70.260000000000005</v>
      </c>
      <c r="G172" s="5" t="s">
        <v>39</v>
      </c>
      <c r="H172" s="5">
        <v>101.62</v>
      </c>
      <c r="I172" s="5" t="s">
        <v>39</v>
      </c>
      <c r="J172" s="5">
        <v>2.3888400000000001</v>
      </c>
      <c r="K172" s="5">
        <f t="shared" si="6"/>
        <v>1.19442</v>
      </c>
      <c r="L172" s="5">
        <f t="shared" si="7"/>
        <v>35.130000000000003</v>
      </c>
      <c r="M172" s="5" t="s">
        <v>39</v>
      </c>
      <c r="N172" s="5">
        <v>2.3888400000000001</v>
      </c>
      <c r="O172" s="5" t="s">
        <v>39</v>
      </c>
      <c r="P172" t="s">
        <v>379</v>
      </c>
      <c r="Q172" t="s">
        <v>551</v>
      </c>
      <c r="R172" t="s">
        <v>37</v>
      </c>
      <c r="S172" t="s">
        <v>552</v>
      </c>
      <c r="T172" t="s">
        <v>43</v>
      </c>
      <c r="U172" t="s">
        <v>44</v>
      </c>
      <c r="V172">
        <v>147</v>
      </c>
      <c r="W172" t="s">
        <v>45</v>
      </c>
      <c r="X172" t="s">
        <v>389</v>
      </c>
      <c r="Y172" t="s">
        <v>553</v>
      </c>
      <c r="Z172" t="s">
        <v>37</v>
      </c>
      <c r="AA172" t="s">
        <v>55</v>
      </c>
      <c r="AB172" t="s">
        <v>37</v>
      </c>
      <c r="AC172" s="6" t="s">
        <v>37</v>
      </c>
      <c r="AD172" s="6" t="s">
        <v>37</v>
      </c>
      <c r="AE172" t="s">
        <v>37</v>
      </c>
      <c r="AF172" t="s">
        <v>37</v>
      </c>
      <c r="AG172" s="6" t="s">
        <v>37</v>
      </c>
      <c r="AH172" t="s">
        <v>37</v>
      </c>
      <c r="AI172" t="s">
        <v>37</v>
      </c>
      <c r="AJ172" t="str">
        <f t="shared" si="8"/>
        <v>6S7HWGDFB003L92O5Q</v>
      </c>
    </row>
    <row r="173" spans="1:36" ht="15" customHeight="1" x14ac:dyDescent="0.25">
      <c r="A173" t="s">
        <v>36</v>
      </c>
      <c r="B173" t="s">
        <v>37</v>
      </c>
      <c r="C173" t="s">
        <v>37</v>
      </c>
      <c r="D173" t="s">
        <v>38</v>
      </c>
      <c r="E173" s="4">
        <v>32</v>
      </c>
      <c r="F173" s="5">
        <v>412.16</v>
      </c>
      <c r="G173" s="5" t="s">
        <v>39</v>
      </c>
      <c r="H173" s="5">
        <v>575.67999999999995</v>
      </c>
      <c r="I173" s="5" t="s">
        <v>39</v>
      </c>
      <c r="J173" s="5">
        <v>14.013439999999999</v>
      </c>
      <c r="K173" s="5">
        <f t="shared" si="6"/>
        <v>0.43791999999999998</v>
      </c>
      <c r="L173" s="5">
        <f t="shared" si="7"/>
        <v>12.88</v>
      </c>
      <c r="M173" s="5" t="s">
        <v>39</v>
      </c>
      <c r="N173" s="5">
        <v>14.013439999999999</v>
      </c>
      <c r="O173" s="5" t="s">
        <v>39</v>
      </c>
      <c r="P173" t="s">
        <v>554</v>
      </c>
      <c r="Q173" t="s">
        <v>555</v>
      </c>
      <c r="R173" t="s">
        <v>556</v>
      </c>
      <c r="S173" t="s">
        <v>557</v>
      </c>
      <c r="T173" t="s">
        <v>43</v>
      </c>
      <c r="U173" t="s">
        <v>44</v>
      </c>
      <c r="V173">
        <v>147</v>
      </c>
      <c r="W173" t="s">
        <v>45</v>
      </c>
      <c r="X173" t="s">
        <v>239</v>
      </c>
      <c r="Y173" t="s">
        <v>558</v>
      </c>
      <c r="Z173" t="s">
        <v>37</v>
      </c>
      <c r="AA173" t="s">
        <v>55</v>
      </c>
      <c r="AB173" t="s">
        <v>37</v>
      </c>
      <c r="AC173" s="6" t="s">
        <v>37</v>
      </c>
      <c r="AD173" s="6" t="s">
        <v>37</v>
      </c>
      <c r="AE173" t="s">
        <v>37</v>
      </c>
      <c r="AF173" t="s">
        <v>37</v>
      </c>
      <c r="AG173" s="6" t="s">
        <v>37</v>
      </c>
      <c r="AH173" t="s">
        <v>37</v>
      </c>
      <c r="AI173" t="s">
        <v>37</v>
      </c>
      <c r="AJ173" t="str">
        <f t="shared" si="8"/>
        <v>2467WIRPB003FRXFW0</v>
      </c>
    </row>
    <row r="174" spans="1:36" ht="15" customHeight="1" x14ac:dyDescent="0.25">
      <c r="A174" t="s">
        <v>127</v>
      </c>
      <c r="B174" t="s">
        <v>37</v>
      </c>
      <c r="C174" t="s">
        <v>37</v>
      </c>
      <c r="D174" t="s">
        <v>38</v>
      </c>
      <c r="E174" s="4">
        <v>0</v>
      </c>
      <c r="F174" s="5">
        <v>0</v>
      </c>
      <c r="G174" s="5" t="s">
        <v>39</v>
      </c>
      <c r="H174" s="5">
        <v>0</v>
      </c>
      <c r="I174" s="5" t="s">
        <v>39</v>
      </c>
      <c r="J174" s="5">
        <v>0</v>
      </c>
      <c r="K174" s="5" t="e">
        <f t="shared" si="6"/>
        <v>#DIV/0!</v>
      </c>
      <c r="L174" s="5" t="e">
        <f t="shared" si="7"/>
        <v>#DIV/0!</v>
      </c>
      <c r="M174" s="5" t="s">
        <v>39</v>
      </c>
      <c r="N174" s="5">
        <v>0</v>
      </c>
      <c r="O174" s="5" t="s">
        <v>39</v>
      </c>
      <c r="P174" t="s">
        <v>554</v>
      </c>
      <c r="Q174" t="s">
        <v>555</v>
      </c>
      <c r="R174" t="s">
        <v>556</v>
      </c>
      <c r="S174" t="s">
        <v>557</v>
      </c>
      <c r="T174" t="s">
        <v>43</v>
      </c>
      <c r="U174" t="s">
        <v>44</v>
      </c>
      <c r="V174">
        <v>147</v>
      </c>
      <c r="W174" t="s">
        <v>45</v>
      </c>
      <c r="X174" t="s">
        <v>239</v>
      </c>
      <c r="Y174" t="s">
        <v>558</v>
      </c>
      <c r="Z174" t="s">
        <v>37</v>
      </c>
      <c r="AA174" t="s">
        <v>55</v>
      </c>
      <c r="AB174" t="s">
        <v>37</v>
      </c>
      <c r="AC174" s="6" t="s">
        <v>37</v>
      </c>
      <c r="AD174" s="6" t="s">
        <v>37</v>
      </c>
      <c r="AE174" t="s">
        <v>37</v>
      </c>
      <c r="AF174" t="s">
        <v>37</v>
      </c>
      <c r="AG174" s="6" t="s">
        <v>37</v>
      </c>
      <c r="AH174" t="s">
        <v>37</v>
      </c>
      <c r="AI174" t="s">
        <v>37</v>
      </c>
      <c r="AJ174" t="str">
        <f t="shared" si="8"/>
        <v>2467WIRPB003FRXFW0</v>
      </c>
    </row>
    <row r="175" spans="1:36" ht="15" customHeight="1" x14ac:dyDescent="0.25">
      <c r="A175" t="s">
        <v>118</v>
      </c>
      <c r="B175" t="s">
        <v>37</v>
      </c>
      <c r="C175" t="s">
        <v>37</v>
      </c>
      <c r="D175" t="s">
        <v>38</v>
      </c>
      <c r="E175" s="4">
        <v>4</v>
      </c>
      <c r="F175" s="5">
        <v>175.68</v>
      </c>
      <c r="G175" s="5" t="s">
        <v>39</v>
      </c>
      <c r="H175" s="5">
        <v>262.27999999999997</v>
      </c>
      <c r="I175" s="5" t="s">
        <v>39</v>
      </c>
      <c r="J175" s="5">
        <v>5.9731199999999998</v>
      </c>
      <c r="K175" s="5">
        <f t="shared" si="6"/>
        <v>1.4932799999999999</v>
      </c>
      <c r="L175" s="5">
        <f t="shared" si="7"/>
        <v>43.92</v>
      </c>
      <c r="M175" s="5" t="s">
        <v>39</v>
      </c>
      <c r="N175" s="5">
        <v>5.9731199999999998</v>
      </c>
      <c r="O175" s="5" t="s">
        <v>39</v>
      </c>
      <c r="P175" t="s">
        <v>559</v>
      </c>
      <c r="Q175" t="s">
        <v>560</v>
      </c>
      <c r="R175" t="s">
        <v>37</v>
      </c>
      <c r="S175" t="s">
        <v>561</v>
      </c>
      <c r="T175" t="s">
        <v>43</v>
      </c>
      <c r="U175" t="s">
        <v>44</v>
      </c>
      <c r="V175">
        <v>147</v>
      </c>
      <c r="W175" t="s">
        <v>45</v>
      </c>
      <c r="X175" t="s">
        <v>60</v>
      </c>
      <c r="Y175" t="s">
        <v>562</v>
      </c>
      <c r="Z175" t="s">
        <v>37</v>
      </c>
      <c r="AA175" t="s">
        <v>48</v>
      </c>
      <c r="AB175" t="s">
        <v>37</v>
      </c>
      <c r="AC175" s="6" t="s">
        <v>37</v>
      </c>
      <c r="AD175" s="6" t="s">
        <v>37</v>
      </c>
      <c r="AE175" t="s">
        <v>37</v>
      </c>
      <c r="AF175" t="s">
        <v>37</v>
      </c>
      <c r="AG175" s="6" t="s">
        <v>37</v>
      </c>
      <c r="AH175" t="s">
        <v>37</v>
      </c>
      <c r="AI175" t="s">
        <v>37</v>
      </c>
      <c r="AJ175" t="str">
        <f t="shared" si="8"/>
        <v>3BEWVQCYB0797G6W5K</v>
      </c>
    </row>
    <row r="176" spans="1:36" ht="15" customHeight="1" x14ac:dyDescent="0.25">
      <c r="A176" t="s">
        <v>101</v>
      </c>
      <c r="B176" t="s">
        <v>37</v>
      </c>
      <c r="C176" t="s">
        <v>37</v>
      </c>
      <c r="D176" t="s">
        <v>38</v>
      </c>
      <c r="E176" s="4">
        <v>224</v>
      </c>
      <c r="F176" s="5">
        <v>2596.16</v>
      </c>
      <c r="G176" s="5" t="s">
        <v>39</v>
      </c>
      <c r="H176" s="5">
        <v>4036.48</v>
      </c>
      <c r="I176" s="5" t="s">
        <v>39</v>
      </c>
      <c r="J176" s="5">
        <v>88.269440000000003</v>
      </c>
      <c r="K176" s="5">
        <f t="shared" si="6"/>
        <v>0.39406000000000002</v>
      </c>
      <c r="L176" s="5">
        <f t="shared" si="7"/>
        <v>11.59</v>
      </c>
      <c r="M176" s="5" t="s">
        <v>39</v>
      </c>
      <c r="N176" s="5">
        <v>88.269440000000003</v>
      </c>
      <c r="O176" s="5" t="s">
        <v>39</v>
      </c>
      <c r="P176" t="s">
        <v>320</v>
      </c>
      <c r="Q176" t="s">
        <v>563</v>
      </c>
      <c r="R176" t="s">
        <v>37</v>
      </c>
      <c r="S176" t="s">
        <v>564</v>
      </c>
      <c r="T176" t="s">
        <v>43</v>
      </c>
      <c r="U176" t="s">
        <v>44</v>
      </c>
      <c r="V176">
        <v>147</v>
      </c>
      <c r="W176" t="s">
        <v>45</v>
      </c>
      <c r="X176" t="s">
        <v>60</v>
      </c>
      <c r="Y176" t="s">
        <v>565</v>
      </c>
      <c r="Z176" t="s">
        <v>37</v>
      </c>
      <c r="AA176" t="s">
        <v>55</v>
      </c>
      <c r="AB176" t="s">
        <v>37</v>
      </c>
      <c r="AC176" s="6" t="s">
        <v>37</v>
      </c>
      <c r="AD176" s="6" t="s">
        <v>37</v>
      </c>
      <c r="AE176" t="s">
        <v>37</v>
      </c>
      <c r="AF176" t="s">
        <v>37</v>
      </c>
      <c r="AG176" s="6" t="s">
        <v>37</v>
      </c>
      <c r="AH176" t="s">
        <v>37</v>
      </c>
      <c r="AI176" t="s">
        <v>37</v>
      </c>
      <c r="AJ176" t="str">
        <f t="shared" si="8"/>
        <v>8BG295LIB07VWZHCNX</v>
      </c>
    </row>
    <row r="177" spans="1:36" ht="15" customHeight="1" x14ac:dyDescent="0.25">
      <c r="A177" t="s">
        <v>118</v>
      </c>
      <c r="B177" t="s">
        <v>37</v>
      </c>
      <c r="C177" t="s">
        <v>37</v>
      </c>
      <c r="D177" t="s">
        <v>38</v>
      </c>
      <c r="E177" s="4">
        <v>40</v>
      </c>
      <c r="F177" s="5">
        <v>3689.6</v>
      </c>
      <c r="G177" s="5" t="s">
        <v>39</v>
      </c>
      <c r="H177" s="5">
        <v>5213.2</v>
      </c>
      <c r="I177" s="5" t="s">
        <v>39</v>
      </c>
      <c r="J177" s="5">
        <v>125.4464</v>
      </c>
      <c r="K177" s="5">
        <f t="shared" si="6"/>
        <v>3.1361599999999998</v>
      </c>
      <c r="L177" s="5">
        <f t="shared" si="7"/>
        <v>92.24</v>
      </c>
      <c r="M177" s="5" t="s">
        <v>39</v>
      </c>
      <c r="N177" s="5">
        <v>125.4464</v>
      </c>
      <c r="O177" s="5" t="s">
        <v>39</v>
      </c>
      <c r="P177" t="s">
        <v>537</v>
      </c>
      <c r="Q177" t="s">
        <v>408</v>
      </c>
      <c r="R177" t="s">
        <v>37</v>
      </c>
      <c r="S177" t="s">
        <v>409</v>
      </c>
      <c r="T177" t="s">
        <v>43</v>
      </c>
      <c r="U177" t="s">
        <v>44</v>
      </c>
      <c r="V177">
        <v>147</v>
      </c>
      <c r="W177" t="s">
        <v>45</v>
      </c>
      <c r="X177" t="s">
        <v>60</v>
      </c>
      <c r="Y177" t="s">
        <v>410</v>
      </c>
      <c r="Z177" t="s">
        <v>37</v>
      </c>
      <c r="AA177" t="s">
        <v>55</v>
      </c>
      <c r="AB177" t="s">
        <v>37</v>
      </c>
      <c r="AC177" s="6" t="s">
        <v>37</v>
      </c>
      <c r="AD177" s="6" t="s">
        <v>37</v>
      </c>
      <c r="AE177" t="s">
        <v>37</v>
      </c>
      <c r="AF177" t="s">
        <v>37</v>
      </c>
      <c r="AG177" s="6" t="s">
        <v>37</v>
      </c>
      <c r="AH177" t="s">
        <v>37</v>
      </c>
      <c r="AI177" t="s">
        <v>37</v>
      </c>
      <c r="AJ177" t="str">
        <f t="shared" si="8"/>
        <v>1LQM129ZB07W6GVHD8</v>
      </c>
    </row>
    <row r="178" spans="1:36" ht="15" customHeight="1" x14ac:dyDescent="0.25">
      <c r="A178" t="s">
        <v>76</v>
      </c>
      <c r="B178" t="s">
        <v>37</v>
      </c>
      <c r="C178" t="s">
        <v>37</v>
      </c>
      <c r="D178" t="s">
        <v>38</v>
      </c>
      <c r="E178" s="4">
        <v>180</v>
      </c>
      <c r="F178" s="5">
        <v>15100.2</v>
      </c>
      <c r="G178" s="5" t="s">
        <v>39</v>
      </c>
      <c r="H178" s="5">
        <v>24933.599999999999</v>
      </c>
      <c r="I178" s="5" t="s">
        <v>39</v>
      </c>
      <c r="J178" s="5">
        <v>513.40679999999998</v>
      </c>
      <c r="K178" s="5">
        <f t="shared" si="6"/>
        <v>2.8522599999999998</v>
      </c>
      <c r="L178" s="5">
        <f t="shared" si="7"/>
        <v>83.89</v>
      </c>
      <c r="M178" s="5" t="s">
        <v>39</v>
      </c>
      <c r="N178" s="5">
        <v>513.40679999999998</v>
      </c>
      <c r="O178" s="5" t="s">
        <v>39</v>
      </c>
      <c r="P178" t="s">
        <v>177</v>
      </c>
      <c r="Q178" t="s">
        <v>420</v>
      </c>
      <c r="R178" t="s">
        <v>37</v>
      </c>
      <c r="S178" t="s">
        <v>421</v>
      </c>
      <c r="T178" t="s">
        <v>43</v>
      </c>
      <c r="U178" t="s">
        <v>44</v>
      </c>
      <c r="V178">
        <v>147</v>
      </c>
      <c r="W178" t="s">
        <v>45</v>
      </c>
      <c r="X178" t="s">
        <v>46</v>
      </c>
      <c r="Y178" t="s">
        <v>422</v>
      </c>
      <c r="Z178" t="s">
        <v>37</v>
      </c>
      <c r="AA178" t="s">
        <v>55</v>
      </c>
      <c r="AB178" t="s">
        <v>37</v>
      </c>
      <c r="AC178" s="6" t="s">
        <v>37</v>
      </c>
      <c r="AD178" s="6" t="s">
        <v>37</v>
      </c>
      <c r="AE178" t="s">
        <v>37</v>
      </c>
      <c r="AF178" t="s">
        <v>37</v>
      </c>
      <c r="AG178" s="6" t="s">
        <v>37</v>
      </c>
      <c r="AH178" t="s">
        <v>37</v>
      </c>
      <c r="AI178" t="s">
        <v>37</v>
      </c>
      <c r="AJ178" t="str">
        <f t="shared" si="8"/>
        <v>4F3XMHTVB07QKC4WWD</v>
      </c>
    </row>
    <row r="179" spans="1:36" ht="15" customHeight="1" x14ac:dyDescent="0.25">
      <c r="A179" t="s">
        <v>504</v>
      </c>
      <c r="B179" t="s">
        <v>37</v>
      </c>
      <c r="C179" t="s">
        <v>37</v>
      </c>
      <c r="D179" t="s">
        <v>38</v>
      </c>
      <c r="E179" s="4">
        <v>0</v>
      </c>
      <c r="F179" s="5">
        <v>0</v>
      </c>
      <c r="G179" s="5" t="s">
        <v>39</v>
      </c>
      <c r="H179" s="5">
        <v>0</v>
      </c>
      <c r="I179" s="5" t="s">
        <v>39</v>
      </c>
      <c r="J179" s="5">
        <v>0</v>
      </c>
      <c r="K179" s="5" t="e">
        <f t="shared" si="6"/>
        <v>#DIV/0!</v>
      </c>
      <c r="L179" s="5" t="e">
        <f t="shared" si="7"/>
        <v>#DIV/0!</v>
      </c>
      <c r="M179" s="5" t="s">
        <v>39</v>
      </c>
      <c r="N179" s="5">
        <v>0</v>
      </c>
      <c r="O179" s="5" t="s">
        <v>39</v>
      </c>
      <c r="P179" t="s">
        <v>566</v>
      </c>
      <c r="Q179" t="s">
        <v>567</v>
      </c>
      <c r="R179" t="s">
        <v>37</v>
      </c>
      <c r="S179" t="s">
        <v>568</v>
      </c>
      <c r="T179" t="s">
        <v>43</v>
      </c>
      <c r="U179" t="s">
        <v>44</v>
      </c>
      <c r="V179">
        <v>147</v>
      </c>
      <c r="W179" t="s">
        <v>45</v>
      </c>
      <c r="X179" t="s">
        <v>60</v>
      </c>
      <c r="Y179" t="s">
        <v>569</v>
      </c>
      <c r="Z179" t="s">
        <v>37</v>
      </c>
      <c r="AA179" t="s">
        <v>95</v>
      </c>
      <c r="AB179" t="s">
        <v>37</v>
      </c>
      <c r="AC179" s="6" t="s">
        <v>37</v>
      </c>
      <c r="AD179" s="6" t="s">
        <v>37</v>
      </c>
      <c r="AE179" t="s">
        <v>37</v>
      </c>
      <c r="AF179" t="s">
        <v>37</v>
      </c>
      <c r="AG179" s="6" t="s">
        <v>37</v>
      </c>
      <c r="AH179" t="s">
        <v>37</v>
      </c>
      <c r="AI179" t="s">
        <v>37</v>
      </c>
      <c r="AJ179" t="str">
        <f t="shared" si="8"/>
        <v>44DTI43XB006ZLK9SQ</v>
      </c>
    </row>
    <row r="180" spans="1:36" ht="15" customHeight="1" x14ac:dyDescent="0.25">
      <c r="A180" t="s">
        <v>101</v>
      </c>
      <c r="B180" t="s">
        <v>37</v>
      </c>
      <c r="C180" t="s">
        <v>37</v>
      </c>
      <c r="D180" t="s">
        <v>38</v>
      </c>
      <c r="E180" s="4">
        <v>4</v>
      </c>
      <c r="F180" s="5">
        <v>1194.3599999999999</v>
      </c>
      <c r="G180" s="5" t="s">
        <v>39</v>
      </c>
      <c r="H180" s="5">
        <v>1472.12</v>
      </c>
      <c r="I180" s="5" t="s">
        <v>39</v>
      </c>
      <c r="J180" s="5">
        <v>40.608240000000002</v>
      </c>
      <c r="K180" s="5">
        <f t="shared" si="6"/>
        <v>10.152060000000001</v>
      </c>
      <c r="L180" s="5">
        <f t="shared" si="7"/>
        <v>298.58999999999997</v>
      </c>
      <c r="M180" s="5" t="s">
        <v>39</v>
      </c>
      <c r="N180" s="5">
        <v>40.608240000000002</v>
      </c>
      <c r="O180" s="5" t="s">
        <v>39</v>
      </c>
      <c r="P180" t="s">
        <v>274</v>
      </c>
      <c r="Q180" t="s">
        <v>570</v>
      </c>
      <c r="R180" t="s">
        <v>571</v>
      </c>
      <c r="S180" t="s">
        <v>572</v>
      </c>
      <c r="T180" t="s">
        <v>43</v>
      </c>
      <c r="U180" t="s">
        <v>44</v>
      </c>
      <c r="V180">
        <v>147</v>
      </c>
      <c r="W180" t="s">
        <v>45</v>
      </c>
      <c r="X180" t="s">
        <v>239</v>
      </c>
      <c r="Y180" t="s">
        <v>573</v>
      </c>
      <c r="Z180" t="s">
        <v>37</v>
      </c>
      <c r="AA180" t="s">
        <v>55</v>
      </c>
      <c r="AB180" t="s">
        <v>37</v>
      </c>
      <c r="AC180" s="6" t="s">
        <v>37</v>
      </c>
      <c r="AD180" s="6" t="s">
        <v>37</v>
      </c>
      <c r="AE180" t="s">
        <v>37</v>
      </c>
      <c r="AF180" t="s">
        <v>37</v>
      </c>
      <c r="AG180" s="6" t="s">
        <v>37</v>
      </c>
      <c r="AH180" t="s">
        <v>37</v>
      </c>
      <c r="AI180" t="s">
        <v>37</v>
      </c>
      <c r="AJ180" t="str">
        <f t="shared" si="8"/>
        <v>4LYATDUXB0866PZN76</v>
      </c>
    </row>
    <row r="181" spans="1:36" ht="15" customHeight="1" x14ac:dyDescent="0.25">
      <c r="A181" t="s">
        <v>76</v>
      </c>
      <c r="B181" t="s">
        <v>37</v>
      </c>
      <c r="C181" t="s">
        <v>37</v>
      </c>
      <c r="D181" t="s">
        <v>38</v>
      </c>
      <c r="E181" s="4">
        <v>50</v>
      </c>
      <c r="F181" s="5">
        <v>2900</v>
      </c>
      <c r="G181" s="5" t="s">
        <v>39</v>
      </c>
      <c r="H181" s="5">
        <v>4262</v>
      </c>
      <c r="I181" s="5" t="s">
        <v>39</v>
      </c>
      <c r="J181" s="5">
        <v>98.6</v>
      </c>
      <c r="K181" s="5">
        <f t="shared" si="6"/>
        <v>1.972</v>
      </c>
      <c r="L181" s="5">
        <f t="shared" si="7"/>
        <v>58</v>
      </c>
      <c r="M181" s="5" t="s">
        <v>39</v>
      </c>
      <c r="N181" s="5">
        <v>98.6</v>
      </c>
      <c r="O181" s="5" t="s">
        <v>39</v>
      </c>
      <c r="P181" t="s">
        <v>574</v>
      </c>
      <c r="Q181" t="s">
        <v>575</v>
      </c>
      <c r="R181" t="s">
        <v>37</v>
      </c>
      <c r="S181" t="s">
        <v>576</v>
      </c>
      <c r="T181" t="s">
        <v>43</v>
      </c>
      <c r="U181" t="s">
        <v>44</v>
      </c>
      <c r="V181">
        <v>147</v>
      </c>
      <c r="W181" t="s">
        <v>45</v>
      </c>
      <c r="X181" t="s">
        <v>53</v>
      </c>
      <c r="Y181" t="s">
        <v>577</v>
      </c>
      <c r="Z181" t="s">
        <v>37</v>
      </c>
      <c r="AA181" t="s">
        <v>55</v>
      </c>
      <c r="AB181" t="s">
        <v>37</v>
      </c>
      <c r="AC181" s="6" t="s">
        <v>37</v>
      </c>
      <c r="AD181" s="6" t="s">
        <v>37</v>
      </c>
      <c r="AE181" t="s">
        <v>37</v>
      </c>
      <c r="AF181" t="s">
        <v>37</v>
      </c>
      <c r="AG181" s="6" t="s">
        <v>37</v>
      </c>
      <c r="AH181" t="s">
        <v>37</v>
      </c>
      <c r="AI181" t="s">
        <v>37</v>
      </c>
      <c r="AJ181" t="str">
        <f t="shared" si="8"/>
        <v>5P193OUGB07W7KCF3W</v>
      </c>
    </row>
    <row r="182" spans="1:36" ht="15" customHeight="1" x14ac:dyDescent="0.25">
      <c r="A182" t="s">
        <v>36</v>
      </c>
      <c r="B182" t="s">
        <v>37</v>
      </c>
      <c r="C182" t="s">
        <v>37</v>
      </c>
      <c r="D182" t="s">
        <v>38</v>
      </c>
      <c r="E182" s="4">
        <v>160</v>
      </c>
      <c r="F182" s="5">
        <v>11044.8</v>
      </c>
      <c r="G182" s="5" t="s">
        <v>39</v>
      </c>
      <c r="H182" s="5">
        <v>16918.400000000001</v>
      </c>
      <c r="I182" s="5" t="s">
        <v>39</v>
      </c>
      <c r="J182" s="5">
        <v>375.52319999999997</v>
      </c>
      <c r="K182" s="5">
        <f t="shared" si="6"/>
        <v>2.3470199999999997</v>
      </c>
      <c r="L182" s="5">
        <f t="shared" si="7"/>
        <v>69.03</v>
      </c>
      <c r="M182" s="5" t="s">
        <v>39</v>
      </c>
      <c r="N182" s="5">
        <v>375.52319999999997</v>
      </c>
      <c r="O182" s="5" t="s">
        <v>39</v>
      </c>
      <c r="P182" t="s">
        <v>168</v>
      </c>
      <c r="Q182" t="s">
        <v>328</v>
      </c>
      <c r="R182" t="s">
        <v>37</v>
      </c>
      <c r="S182" t="s">
        <v>329</v>
      </c>
      <c r="T182" t="s">
        <v>43</v>
      </c>
      <c r="U182" t="s">
        <v>44</v>
      </c>
      <c r="V182">
        <v>147</v>
      </c>
      <c r="W182" t="s">
        <v>45</v>
      </c>
      <c r="X182" t="s">
        <v>239</v>
      </c>
      <c r="Y182" t="s">
        <v>330</v>
      </c>
      <c r="Z182" t="s">
        <v>37</v>
      </c>
      <c r="AA182" t="s">
        <v>55</v>
      </c>
      <c r="AB182" t="s">
        <v>37</v>
      </c>
      <c r="AC182" s="6" t="s">
        <v>37</v>
      </c>
      <c r="AD182" s="6" t="s">
        <v>37</v>
      </c>
      <c r="AE182" t="s">
        <v>37</v>
      </c>
      <c r="AF182" t="s">
        <v>37</v>
      </c>
      <c r="AG182" s="6" t="s">
        <v>37</v>
      </c>
      <c r="AH182" t="s">
        <v>37</v>
      </c>
      <c r="AI182" t="s">
        <v>37</v>
      </c>
      <c r="AJ182" t="str">
        <f t="shared" si="8"/>
        <v>2R6FMUZDB07MM4V7NR</v>
      </c>
    </row>
    <row r="183" spans="1:36" ht="15" customHeight="1" x14ac:dyDescent="0.25">
      <c r="A183" t="s">
        <v>36</v>
      </c>
      <c r="B183" t="s">
        <v>37</v>
      </c>
      <c r="C183" t="s">
        <v>37</v>
      </c>
      <c r="D183" t="s">
        <v>38</v>
      </c>
      <c r="E183" s="4">
        <v>16</v>
      </c>
      <c r="F183" s="5">
        <v>515.36</v>
      </c>
      <c r="G183" s="5" t="s">
        <v>39</v>
      </c>
      <c r="H183" s="5">
        <v>515.36</v>
      </c>
      <c r="I183" s="5" t="s">
        <v>39</v>
      </c>
      <c r="J183" s="5">
        <v>17.52224</v>
      </c>
      <c r="K183" s="5">
        <f t="shared" si="6"/>
        <v>1.09514</v>
      </c>
      <c r="L183" s="5">
        <f t="shared" si="7"/>
        <v>32.21</v>
      </c>
      <c r="M183" s="5" t="s">
        <v>39</v>
      </c>
      <c r="N183" s="5">
        <v>17.52224</v>
      </c>
      <c r="O183" s="5" t="s">
        <v>39</v>
      </c>
      <c r="P183" t="s">
        <v>67</v>
      </c>
      <c r="Q183" t="s">
        <v>578</v>
      </c>
      <c r="R183" t="s">
        <v>37</v>
      </c>
      <c r="S183" t="s">
        <v>579</v>
      </c>
      <c r="T183" t="s">
        <v>580</v>
      </c>
      <c r="U183" t="s">
        <v>44</v>
      </c>
      <c r="V183">
        <v>147</v>
      </c>
      <c r="W183" t="s">
        <v>37</v>
      </c>
      <c r="X183" t="s">
        <v>37</v>
      </c>
      <c r="Y183" t="s">
        <v>581</v>
      </c>
      <c r="Z183" t="s">
        <v>37</v>
      </c>
      <c r="AA183" t="s">
        <v>55</v>
      </c>
      <c r="AB183" t="s">
        <v>37</v>
      </c>
      <c r="AC183" s="6" t="s">
        <v>37</v>
      </c>
      <c r="AD183" s="6" t="s">
        <v>37</v>
      </c>
      <c r="AE183" t="s">
        <v>37</v>
      </c>
      <c r="AF183" t="s">
        <v>37</v>
      </c>
      <c r="AG183" s="6" t="s">
        <v>37</v>
      </c>
      <c r="AH183" t="s">
        <v>37</v>
      </c>
      <c r="AI183" t="s">
        <v>37</v>
      </c>
      <c r="AJ183" t="str">
        <f t="shared" si="8"/>
        <v>2TMBDXBKB07W5JHV5C</v>
      </c>
    </row>
    <row r="184" spans="1:36" ht="15" customHeight="1" x14ac:dyDescent="0.25">
      <c r="A184" t="s">
        <v>36</v>
      </c>
      <c r="B184" t="s">
        <v>37</v>
      </c>
      <c r="C184" t="s">
        <v>37</v>
      </c>
      <c r="D184" t="s">
        <v>38</v>
      </c>
      <c r="E184" s="4">
        <v>10</v>
      </c>
      <c r="F184" s="5">
        <v>322.10000000000002</v>
      </c>
      <c r="G184" s="5" t="s">
        <v>39</v>
      </c>
      <c r="H184" s="5">
        <v>483.5</v>
      </c>
      <c r="I184" s="5" t="s">
        <v>39</v>
      </c>
      <c r="J184" s="5">
        <v>10.9514</v>
      </c>
      <c r="K184" s="5">
        <f t="shared" si="6"/>
        <v>1.09514</v>
      </c>
      <c r="L184" s="5">
        <f t="shared" si="7"/>
        <v>32.21</v>
      </c>
      <c r="M184" s="5" t="s">
        <v>39</v>
      </c>
      <c r="N184" s="5">
        <v>10.9514</v>
      </c>
      <c r="O184" s="5" t="s">
        <v>39</v>
      </c>
      <c r="P184" t="s">
        <v>133</v>
      </c>
      <c r="Q184" t="s">
        <v>582</v>
      </c>
      <c r="R184" t="s">
        <v>37</v>
      </c>
      <c r="S184" t="s">
        <v>583</v>
      </c>
      <c r="T184" t="s">
        <v>43</v>
      </c>
      <c r="U184" t="s">
        <v>44</v>
      </c>
      <c r="V184">
        <v>147</v>
      </c>
      <c r="W184" t="s">
        <v>45</v>
      </c>
      <c r="X184" t="s">
        <v>60</v>
      </c>
      <c r="Y184" t="s">
        <v>584</v>
      </c>
      <c r="Z184" t="s">
        <v>37</v>
      </c>
      <c r="AA184" t="s">
        <v>48</v>
      </c>
      <c r="AB184" t="s">
        <v>37</v>
      </c>
      <c r="AC184" s="6" t="s">
        <v>37</v>
      </c>
      <c r="AD184" s="6" t="s">
        <v>37</v>
      </c>
      <c r="AE184" t="s">
        <v>37</v>
      </c>
      <c r="AF184" t="s">
        <v>37</v>
      </c>
      <c r="AG184" s="6" t="s">
        <v>37</v>
      </c>
      <c r="AH184" t="s">
        <v>37</v>
      </c>
      <c r="AI184" t="s">
        <v>37</v>
      </c>
      <c r="AJ184" t="str">
        <f t="shared" si="8"/>
        <v>36BT7GGLB00VHHWNMI</v>
      </c>
    </row>
    <row r="185" spans="1:36" ht="15" customHeight="1" x14ac:dyDescent="0.25">
      <c r="A185" t="s">
        <v>96</v>
      </c>
      <c r="B185" t="s">
        <v>37</v>
      </c>
      <c r="C185" t="s">
        <v>37</v>
      </c>
      <c r="D185" t="s">
        <v>38</v>
      </c>
      <c r="E185" s="4">
        <v>20</v>
      </c>
      <c r="F185" s="5">
        <v>1160</v>
      </c>
      <c r="G185" s="5" t="s">
        <v>39</v>
      </c>
      <c r="H185" s="5">
        <v>1704.8</v>
      </c>
      <c r="I185" s="5" t="s">
        <v>39</v>
      </c>
      <c r="J185" s="5">
        <v>39.44</v>
      </c>
      <c r="K185" s="5">
        <f t="shared" si="6"/>
        <v>1.972</v>
      </c>
      <c r="L185" s="5">
        <f t="shared" si="7"/>
        <v>58</v>
      </c>
      <c r="M185" s="5" t="s">
        <v>39</v>
      </c>
      <c r="N185" s="5">
        <v>39.44</v>
      </c>
      <c r="O185" s="5" t="s">
        <v>39</v>
      </c>
      <c r="P185" t="s">
        <v>195</v>
      </c>
      <c r="Q185" t="s">
        <v>585</v>
      </c>
      <c r="R185" t="s">
        <v>37</v>
      </c>
      <c r="S185" t="s">
        <v>586</v>
      </c>
      <c r="T185" t="s">
        <v>43</v>
      </c>
      <c r="U185" t="s">
        <v>44</v>
      </c>
      <c r="V185">
        <v>147</v>
      </c>
      <c r="W185" t="s">
        <v>45</v>
      </c>
      <c r="X185" t="s">
        <v>53</v>
      </c>
      <c r="Y185" t="s">
        <v>587</v>
      </c>
      <c r="Z185" t="s">
        <v>37</v>
      </c>
      <c r="AA185" t="s">
        <v>55</v>
      </c>
      <c r="AB185" t="s">
        <v>37</v>
      </c>
      <c r="AC185" s="6" t="s">
        <v>37</v>
      </c>
      <c r="AD185" s="6" t="s">
        <v>37</v>
      </c>
      <c r="AE185" t="s">
        <v>37</v>
      </c>
      <c r="AF185" t="s">
        <v>37</v>
      </c>
      <c r="AG185" s="6" t="s">
        <v>37</v>
      </c>
      <c r="AH185" t="s">
        <v>37</v>
      </c>
      <c r="AI185" t="s">
        <v>37</v>
      </c>
      <c r="AJ185" t="str">
        <f t="shared" si="8"/>
        <v>5X1OU9ZGB07W4DHJ91</v>
      </c>
    </row>
    <row r="186" spans="1:36" ht="15" customHeight="1" x14ac:dyDescent="0.25">
      <c r="A186" t="s">
        <v>118</v>
      </c>
      <c r="B186" t="s">
        <v>37</v>
      </c>
      <c r="C186" t="s">
        <v>37</v>
      </c>
      <c r="D186" t="s">
        <v>38</v>
      </c>
      <c r="E186" s="4">
        <v>4</v>
      </c>
      <c r="F186" s="5">
        <v>105.48</v>
      </c>
      <c r="G186" s="5" t="s">
        <v>39</v>
      </c>
      <c r="H186" s="5">
        <v>170.44</v>
      </c>
      <c r="I186" s="5" t="s">
        <v>39</v>
      </c>
      <c r="J186" s="5">
        <v>3.5863200000000002</v>
      </c>
      <c r="K186" s="5">
        <f t="shared" si="6"/>
        <v>0.89658000000000004</v>
      </c>
      <c r="L186" s="5">
        <f t="shared" si="7"/>
        <v>26.37</v>
      </c>
      <c r="M186" s="5" t="s">
        <v>39</v>
      </c>
      <c r="N186" s="5">
        <v>3.5863200000000002</v>
      </c>
      <c r="O186" s="5" t="s">
        <v>39</v>
      </c>
      <c r="P186" t="s">
        <v>202</v>
      </c>
      <c r="Q186" t="s">
        <v>588</v>
      </c>
      <c r="R186" t="s">
        <v>37</v>
      </c>
      <c r="S186" t="s">
        <v>589</v>
      </c>
      <c r="T186" t="s">
        <v>43</v>
      </c>
      <c r="U186" t="s">
        <v>44</v>
      </c>
      <c r="V186">
        <v>147</v>
      </c>
      <c r="W186" t="s">
        <v>45</v>
      </c>
      <c r="X186" t="s">
        <v>590</v>
      </c>
      <c r="Y186" t="s">
        <v>591</v>
      </c>
      <c r="Z186" t="s">
        <v>37</v>
      </c>
      <c r="AA186" t="s">
        <v>55</v>
      </c>
      <c r="AB186" t="s">
        <v>37</v>
      </c>
      <c r="AC186" s="6" t="s">
        <v>37</v>
      </c>
      <c r="AD186" s="6" t="s">
        <v>37</v>
      </c>
      <c r="AE186" t="s">
        <v>37</v>
      </c>
      <c r="AF186" t="s">
        <v>37</v>
      </c>
      <c r="AG186" s="6" t="s">
        <v>37</v>
      </c>
      <c r="AH186" t="s">
        <v>37</v>
      </c>
      <c r="AI186" t="s">
        <v>37</v>
      </c>
      <c r="AJ186" t="str">
        <f t="shared" si="8"/>
        <v>39TAD6PCB07W6HFDR8</v>
      </c>
    </row>
    <row r="187" spans="1:36" ht="15" customHeight="1" x14ac:dyDescent="0.25">
      <c r="A187" t="s">
        <v>285</v>
      </c>
      <c r="B187" t="s">
        <v>37</v>
      </c>
      <c r="C187" t="s">
        <v>37</v>
      </c>
      <c r="D187" t="s">
        <v>38</v>
      </c>
      <c r="E187" s="4">
        <v>2</v>
      </c>
      <c r="F187" s="5">
        <v>146.68</v>
      </c>
      <c r="G187" s="5" t="s">
        <v>39</v>
      </c>
      <c r="H187" s="5">
        <v>237.7</v>
      </c>
      <c r="I187" s="5" t="s">
        <v>39</v>
      </c>
      <c r="J187" s="5">
        <v>4.98712</v>
      </c>
      <c r="K187" s="5">
        <f t="shared" si="6"/>
        <v>2.49356</v>
      </c>
      <c r="L187" s="5">
        <f t="shared" si="7"/>
        <v>73.34</v>
      </c>
      <c r="M187" s="5" t="s">
        <v>39</v>
      </c>
      <c r="N187" s="5">
        <v>4.98712</v>
      </c>
      <c r="O187" s="5" t="s">
        <v>39</v>
      </c>
      <c r="P187" t="s">
        <v>97</v>
      </c>
      <c r="Q187" t="s">
        <v>413</v>
      </c>
      <c r="R187" t="s">
        <v>37</v>
      </c>
      <c r="S187" t="s">
        <v>414</v>
      </c>
      <c r="T187" t="s">
        <v>43</v>
      </c>
      <c r="U187" t="s">
        <v>44</v>
      </c>
      <c r="V187">
        <v>147</v>
      </c>
      <c r="W187" t="s">
        <v>45</v>
      </c>
      <c r="X187" t="s">
        <v>60</v>
      </c>
      <c r="Y187" t="s">
        <v>415</v>
      </c>
      <c r="Z187" t="s">
        <v>37</v>
      </c>
      <c r="AA187" t="s">
        <v>55</v>
      </c>
      <c r="AB187" t="s">
        <v>37</v>
      </c>
      <c r="AC187" s="6" t="s">
        <v>37</v>
      </c>
      <c r="AD187" s="6" t="s">
        <v>37</v>
      </c>
      <c r="AE187" t="s">
        <v>37</v>
      </c>
      <c r="AF187" t="s">
        <v>37</v>
      </c>
      <c r="AG187" s="6" t="s">
        <v>37</v>
      </c>
      <c r="AH187" t="s">
        <v>37</v>
      </c>
      <c r="AI187" t="s">
        <v>37</v>
      </c>
      <c r="AJ187" t="str">
        <f t="shared" si="8"/>
        <v>7EMS2FPGB07QWTR62R</v>
      </c>
    </row>
    <row r="188" spans="1:36" ht="15" customHeight="1" x14ac:dyDescent="0.25">
      <c r="A188" t="s">
        <v>71</v>
      </c>
      <c r="B188" t="s">
        <v>37</v>
      </c>
      <c r="C188" t="s">
        <v>37</v>
      </c>
      <c r="D188" t="s">
        <v>38</v>
      </c>
      <c r="E188" s="4">
        <v>10</v>
      </c>
      <c r="F188" s="5">
        <v>163.9</v>
      </c>
      <c r="G188" s="5" t="s">
        <v>39</v>
      </c>
      <c r="H188" s="5">
        <v>245.8</v>
      </c>
      <c r="I188" s="5" t="s">
        <v>39</v>
      </c>
      <c r="J188" s="5">
        <v>5.5726000000000004</v>
      </c>
      <c r="K188" s="5">
        <f t="shared" si="6"/>
        <v>0.55726000000000009</v>
      </c>
      <c r="L188" s="5">
        <f t="shared" si="7"/>
        <v>16.39</v>
      </c>
      <c r="M188" s="5" t="s">
        <v>39</v>
      </c>
      <c r="N188" s="5">
        <v>5.5726000000000004</v>
      </c>
      <c r="O188" s="5" t="s">
        <v>39</v>
      </c>
      <c r="P188" t="s">
        <v>72</v>
      </c>
      <c r="Q188" t="s">
        <v>163</v>
      </c>
      <c r="R188" t="s">
        <v>164</v>
      </c>
      <c r="S188" t="s">
        <v>165</v>
      </c>
      <c r="T188" t="s">
        <v>43</v>
      </c>
      <c r="U188" t="s">
        <v>44</v>
      </c>
      <c r="V188">
        <v>147</v>
      </c>
      <c r="W188" t="s">
        <v>45</v>
      </c>
      <c r="X188" t="s">
        <v>53</v>
      </c>
      <c r="Y188" t="s">
        <v>166</v>
      </c>
      <c r="Z188" t="s">
        <v>37</v>
      </c>
      <c r="AA188" t="s">
        <v>48</v>
      </c>
      <c r="AB188" t="s">
        <v>37</v>
      </c>
      <c r="AC188" s="6" t="s">
        <v>37</v>
      </c>
      <c r="AD188" s="6" t="s">
        <v>37</v>
      </c>
      <c r="AE188" t="s">
        <v>37</v>
      </c>
      <c r="AF188" t="s">
        <v>37</v>
      </c>
      <c r="AG188" s="6" t="s">
        <v>37</v>
      </c>
      <c r="AH188" t="s">
        <v>37</v>
      </c>
      <c r="AI188" t="s">
        <v>37</v>
      </c>
      <c r="AJ188" t="str">
        <f t="shared" si="8"/>
        <v>4GF112AEB01K7GEG9W</v>
      </c>
    </row>
    <row r="189" spans="1:36" ht="15" customHeight="1" x14ac:dyDescent="0.25">
      <c r="A189" t="s">
        <v>96</v>
      </c>
      <c r="B189" t="s">
        <v>37</v>
      </c>
      <c r="C189" t="s">
        <v>37</v>
      </c>
      <c r="D189" t="s">
        <v>38</v>
      </c>
      <c r="E189" s="4">
        <v>4</v>
      </c>
      <c r="F189" s="5">
        <v>293.36</v>
      </c>
      <c r="G189" s="5" t="s">
        <v>39</v>
      </c>
      <c r="H189" s="5">
        <v>475.4</v>
      </c>
      <c r="I189" s="5" t="s">
        <v>39</v>
      </c>
      <c r="J189" s="5">
        <v>9.97424</v>
      </c>
      <c r="K189" s="5">
        <f t="shared" si="6"/>
        <v>2.49356</v>
      </c>
      <c r="L189" s="5">
        <f t="shared" si="7"/>
        <v>73.34</v>
      </c>
      <c r="M189" s="5" t="s">
        <v>39</v>
      </c>
      <c r="N189" s="5">
        <v>9.97424</v>
      </c>
      <c r="O189" s="5" t="s">
        <v>39</v>
      </c>
      <c r="P189" t="s">
        <v>97</v>
      </c>
      <c r="Q189" t="s">
        <v>413</v>
      </c>
      <c r="R189" t="s">
        <v>37</v>
      </c>
      <c r="S189" t="s">
        <v>414</v>
      </c>
      <c r="T189" t="s">
        <v>43</v>
      </c>
      <c r="U189" t="s">
        <v>44</v>
      </c>
      <c r="V189">
        <v>147</v>
      </c>
      <c r="W189" t="s">
        <v>45</v>
      </c>
      <c r="X189" t="s">
        <v>60</v>
      </c>
      <c r="Y189" t="s">
        <v>415</v>
      </c>
      <c r="Z189" t="s">
        <v>37</v>
      </c>
      <c r="AA189" t="s">
        <v>55</v>
      </c>
      <c r="AB189" t="s">
        <v>37</v>
      </c>
      <c r="AC189" s="6" t="s">
        <v>37</v>
      </c>
      <c r="AD189" s="6" t="s">
        <v>37</v>
      </c>
      <c r="AE189" t="s">
        <v>37</v>
      </c>
      <c r="AF189" t="s">
        <v>37</v>
      </c>
      <c r="AG189" s="6" t="s">
        <v>37</v>
      </c>
      <c r="AH189" t="s">
        <v>37</v>
      </c>
      <c r="AI189" t="s">
        <v>37</v>
      </c>
      <c r="AJ189" t="str">
        <f t="shared" si="8"/>
        <v>7EMS2FPGB07QWTR62R</v>
      </c>
    </row>
    <row r="190" spans="1:36" ht="15" customHeight="1" x14ac:dyDescent="0.25">
      <c r="A190" t="s">
        <v>36</v>
      </c>
      <c r="B190" t="s">
        <v>37</v>
      </c>
      <c r="C190" t="s">
        <v>37</v>
      </c>
      <c r="D190" t="s">
        <v>38</v>
      </c>
      <c r="E190" s="4">
        <v>104</v>
      </c>
      <c r="F190" s="5">
        <v>6114.16</v>
      </c>
      <c r="G190" s="5" t="s">
        <v>39</v>
      </c>
      <c r="H190" s="5">
        <v>7244.64</v>
      </c>
      <c r="I190" s="5" t="s">
        <v>39</v>
      </c>
      <c r="J190" s="5">
        <v>207.88144</v>
      </c>
      <c r="K190" s="5">
        <f t="shared" si="6"/>
        <v>1.9988600000000001</v>
      </c>
      <c r="L190" s="5">
        <f t="shared" si="7"/>
        <v>58.79</v>
      </c>
      <c r="M190" s="5" t="s">
        <v>39</v>
      </c>
      <c r="N190" s="5">
        <v>207.88144</v>
      </c>
      <c r="O190" s="5" t="s">
        <v>39</v>
      </c>
      <c r="P190" t="s">
        <v>435</v>
      </c>
      <c r="Q190" t="s">
        <v>592</v>
      </c>
      <c r="R190" t="s">
        <v>593</v>
      </c>
      <c r="S190" t="s">
        <v>594</v>
      </c>
      <c r="T190" t="s">
        <v>43</v>
      </c>
      <c r="U190" t="s">
        <v>44</v>
      </c>
      <c r="V190">
        <v>267</v>
      </c>
      <c r="W190" t="s">
        <v>151</v>
      </c>
      <c r="X190" t="s">
        <v>152</v>
      </c>
      <c r="Y190" t="s">
        <v>595</v>
      </c>
      <c r="Z190" t="s">
        <v>37</v>
      </c>
      <c r="AA190" t="s">
        <v>95</v>
      </c>
      <c r="AB190" t="s">
        <v>37</v>
      </c>
      <c r="AC190" s="6" t="s">
        <v>37</v>
      </c>
      <c r="AD190" s="6" t="s">
        <v>37</v>
      </c>
      <c r="AE190" t="s">
        <v>37</v>
      </c>
      <c r="AF190" t="s">
        <v>37</v>
      </c>
      <c r="AG190" s="6" t="s">
        <v>37</v>
      </c>
      <c r="AH190" t="s">
        <v>37</v>
      </c>
      <c r="AI190" t="s">
        <v>37</v>
      </c>
      <c r="AJ190" t="str">
        <f t="shared" si="8"/>
        <v>29YOVOGFB000EOPQ7E</v>
      </c>
    </row>
    <row r="191" spans="1:36" ht="15" customHeight="1" x14ac:dyDescent="0.25">
      <c r="A191" t="s">
        <v>36</v>
      </c>
      <c r="B191" t="s">
        <v>37</v>
      </c>
      <c r="C191" t="s">
        <v>37</v>
      </c>
      <c r="D191" t="s">
        <v>38</v>
      </c>
      <c r="E191" s="4">
        <v>120</v>
      </c>
      <c r="F191" s="5">
        <v>5380.8</v>
      </c>
      <c r="G191" s="5" t="s">
        <v>39</v>
      </c>
      <c r="H191" s="5">
        <v>8654.4</v>
      </c>
      <c r="I191" s="5" t="s">
        <v>39</v>
      </c>
      <c r="J191" s="5">
        <v>182.94720000000001</v>
      </c>
      <c r="K191" s="5">
        <f t="shared" si="6"/>
        <v>1.5245600000000001</v>
      </c>
      <c r="L191" s="5">
        <f t="shared" si="7"/>
        <v>44.84</v>
      </c>
      <c r="M191" s="5" t="s">
        <v>39</v>
      </c>
      <c r="N191" s="5">
        <v>182.94720000000001</v>
      </c>
      <c r="O191" s="5" t="s">
        <v>39</v>
      </c>
      <c r="P191" t="s">
        <v>119</v>
      </c>
      <c r="Q191" t="s">
        <v>596</v>
      </c>
      <c r="R191" t="s">
        <v>37</v>
      </c>
      <c r="S191" t="s">
        <v>597</v>
      </c>
      <c r="T191" t="s">
        <v>43</v>
      </c>
      <c r="U191" t="s">
        <v>44</v>
      </c>
      <c r="V191">
        <v>147</v>
      </c>
      <c r="W191" t="s">
        <v>45</v>
      </c>
      <c r="X191" t="s">
        <v>46</v>
      </c>
      <c r="Y191" t="s">
        <v>598</v>
      </c>
      <c r="Z191" t="s">
        <v>37</v>
      </c>
      <c r="AA191" t="s">
        <v>95</v>
      </c>
      <c r="AB191" t="s">
        <v>37</v>
      </c>
      <c r="AC191" s="6" t="s">
        <v>37</v>
      </c>
      <c r="AD191" s="6" t="s">
        <v>37</v>
      </c>
      <c r="AE191" t="s">
        <v>37</v>
      </c>
      <c r="AF191" t="s">
        <v>37</v>
      </c>
      <c r="AG191" s="6" t="s">
        <v>37</v>
      </c>
      <c r="AH191" t="s">
        <v>37</v>
      </c>
      <c r="AI191" t="s">
        <v>37</v>
      </c>
      <c r="AJ191" t="str">
        <f t="shared" si="8"/>
        <v>31DJDC7QB07W4DHMVB</v>
      </c>
    </row>
    <row r="192" spans="1:36" ht="15" customHeight="1" x14ac:dyDescent="0.25">
      <c r="A192" t="s">
        <v>411</v>
      </c>
      <c r="B192" t="s">
        <v>37</v>
      </c>
      <c r="C192" t="s">
        <v>37</v>
      </c>
      <c r="D192" t="s">
        <v>38</v>
      </c>
      <c r="E192" s="4">
        <v>120</v>
      </c>
      <c r="F192" s="5">
        <v>8283.6</v>
      </c>
      <c r="G192" s="5" t="s">
        <v>39</v>
      </c>
      <c r="H192" s="5">
        <v>12688.8</v>
      </c>
      <c r="I192" s="5" t="s">
        <v>39</v>
      </c>
      <c r="J192" s="5">
        <v>281.64240000000001</v>
      </c>
      <c r="K192" s="5">
        <f t="shared" si="6"/>
        <v>2.3470200000000001</v>
      </c>
      <c r="L192" s="5">
        <f t="shared" si="7"/>
        <v>69.03</v>
      </c>
      <c r="M192" s="5" t="s">
        <v>39</v>
      </c>
      <c r="N192" s="5">
        <v>281.64240000000001</v>
      </c>
      <c r="O192" s="5" t="s">
        <v>39</v>
      </c>
      <c r="P192" t="s">
        <v>416</v>
      </c>
      <c r="Q192" t="s">
        <v>599</v>
      </c>
      <c r="R192" t="s">
        <v>37</v>
      </c>
      <c r="S192" t="s">
        <v>600</v>
      </c>
      <c r="T192" t="s">
        <v>43</v>
      </c>
      <c r="U192" t="s">
        <v>44</v>
      </c>
      <c r="V192">
        <v>147</v>
      </c>
      <c r="W192" t="s">
        <v>45</v>
      </c>
      <c r="X192" t="s">
        <v>60</v>
      </c>
      <c r="Y192" t="s">
        <v>601</v>
      </c>
      <c r="Z192" t="s">
        <v>37</v>
      </c>
      <c r="AA192" t="s">
        <v>55</v>
      </c>
      <c r="AB192" t="s">
        <v>37</v>
      </c>
      <c r="AC192" s="6" t="s">
        <v>37</v>
      </c>
      <c r="AD192" s="6" t="s">
        <v>37</v>
      </c>
      <c r="AE192" t="s">
        <v>37</v>
      </c>
      <c r="AF192" t="s">
        <v>37</v>
      </c>
      <c r="AG192" s="6" t="s">
        <v>37</v>
      </c>
      <c r="AH192" t="s">
        <v>37</v>
      </c>
      <c r="AI192" t="s">
        <v>37</v>
      </c>
      <c r="AJ192" t="str">
        <f t="shared" si="8"/>
        <v>69351YNLB07W7KMK4Y</v>
      </c>
    </row>
    <row r="193" spans="1:36" ht="15" customHeight="1" x14ac:dyDescent="0.25">
      <c r="A193" t="s">
        <v>62</v>
      </c>
      <c r="B193" t="s">
        <v>37</v>
      </c>
      <c r="C193" t="s">
        <v>37</v>
      </c>
      <c r="D193" t="s">
        <v>38</v>
      </c>
      <c r="E193" s="4">
        <v>8</v>
      </c>
      <c r="F193" s="5">
        <v>253.2</v>
      </c>
      <c r="G193" s="5" t="s">
        <v>39</v>
      </c>
      <c r="H193" s="5">
        <v>406.48</v>
      </c>
      <c r="I193" s="5" t="s">
        <v>39</v>
      </c>
      <c r="J193" s="5">
        <v>8.6088000000000005</v>
      </c>
      <c r="K193" s="5">
        <f t="shared" si="6"/>
        <v>1.0761000000000001</v>
      </c>
      <c r="L193" s="5">
        <f t="shared" si="7"/>
        <v>31.65</v>
      </c>
      <c r="M193" s="5" t="s">
        <v>39</v>
      </c>
      <c r="N193" s="5">
        <v>8.6088000000000005</v>
      </c>
      <c r="O193" s="5" t="s">
        <v>39</v>
      </c>
      <c r="P193" t="s">
        <v>274</v>
      </c>
      <c r="Q193" t="s">
        <v>602</v>
      </c>
      <c r="R193" t="s">
        <v>37</v>
      </c>
      <c r="S193" t="s">
        <v>603</v>
      </c>
      <c r="T193" t="s">
        <v>43</v>
      </c>
      <c r="U193" t="s">
        <v>44</v>
      </c>
      <c r="V193">
        <v>147</v>
      </c>
      <c r="W193" t="s">
        <v>45</v>
      </c>
      <c r="X193" t="s">
        <v>53</v>
      </c>
      <c r="Y193" t="s">
        <v>604</v>
      </c>
      <c r="Z193" t="s">
        <v>37</v>
      </c>
      <c r="AA193" t="s">
        <v>55</v>
      </c>
      <c r="AB193" t="s">
        <v>37</v>
      </c>
      <c r="AC193" s="6" t="s">
        <v>37</v>
      </c>
      <c r="AD193" s="6" t="s">
        <v>37</v>
      </c>
      <c r="AE193" t="s">
        <v>37</v>
      </c>
      <c r="AF193" t="s">
        <v>37</v>
      </c>
      <c r="AG193" s="6" t="s">
        <v>37</v>
      </c>
      <c r="AH193" t="s">
        <v>37</v>
      </c>
      <c r="AI193" t="s">
        <v>37</v>
      </c>
      <c r="AJ193" t="str">
        <f t="shared" si="8"/>
        <v>4LYATDUXB07W7LM8SS</v>
      </c>
    </row>
    <row r="194" spans="1:36" ht="15" customHeight="1" x14ac:dyDescent="0.25">
      <c r="A194" t="s">
        <v>526</v>
      </c>
      <c r="B194" t="s">
        <v>37</v>
      </c>
      <c r="C194" t="s">
        <v>37</v>
      </c>
      <c r="D194" t="s">
        <v>38</v>
      </c>
      <c r="E194" s="4">
        <v>0</v>
      </c>
      <c r="F194" s="5">
        <v>0</v>
      </c>
      <c r="G194" s="5" t="s">
        <v>39</v>
      </c>
      <c r="H194" s="5">
        <v>0</v>
      </c>
      <c r="I194" s="5" t="s">
        <v>39</v>
      </c>
      <c r="J194" s="5">
        <v>0</v>
      </c>
      <c r="K194" s="5" t="e">
        <f t="shared" si="6"/>
        <v>#DIV/0!</v>
      </c>
      <c r="L194" s="5" t="e">
        <f t="shared" si="7"/>
        <v>#DIV/0!</v>
      </c>
      <c r="M194" s="5" t="s">
        <v>39</v>
      </c>
      <c r="N194" s="5">
        <v>0</v>
      </c>
      <c r="O194" s="5" t="s">
        <v>39</v>
      </c>
      <c r="P194" t="s">
        <v>605</v>
      </c>
      <c r="Q194" t="s">
        <v>606</v>
      </c>
      <c r="R194" t="s">
        <v>37</v>
      </c>
      <c r="S194" t="s">
        <v>607</v>
      </c>
      <c r="T194" t="s">
        <v>43</v>
      </c>
      <c r="U194" t="s">
        <v>44</v>
      </c>
      <c r="V194">
        <v>147</v>
      </c>
      <c r="W194" t="s">
        <v>45</v>
      </c>
      <c r="X194" t="s">
        <v>60</v>
      </c>
      <c r="Y194" t="s">
        <v>608</v>
      </c>
      <c r="Z194" t="s">
        <v>37</v>
      </c>
      <c r="AA194" t="s">
        <v>55</v>
      </c>
      <c r="AB194" t="s">
        <v>37</v>
      </c>
      <c r="AC194" s="6" t="s">
        <v>37</v>
      </c>
      <c r="AD194" s="6" t="s">
        <v>37</v>
      </c>
      <c r="AE194" t="s">
        <v>37</v>
      </c>
      <c r="AF194" t="s">
        <v>37</v>
      </c>
      <c r="AG194" s="6" t="s">
        <v>37</v>
      </c>
      <c r="AH194" t="s">
        <v>37</v>
      </c>
      <c r="AI194" t="s">
        <v>37</v>
      </c>
      <c r="AJ194" t="str">
        <f t="shared" si="8"/>
        <v>5AWKJCHNB07W7KRXDW</v>
      </c>
    </row>
    <row r="195" spans="1:36" ht="15" customHeight="1" x14ac:dyDescent="0.25">
      <c r="A195" t="s">
        <v>118</v>
      </c>
      <c r="B195" t="s">
        <v>37</v>
      </c>
      <c r="C195" t="s">
        <v>37</v>
      </c>
      <c r="D195" t="s">
        <v>38</v>
      </c>
      <c r="E195" s="4">
        <v>160</v>
      </c>
      <c r="F195" s="5">
        <v>3280</v>
      </c>
      <c r="G195" s="5" t="s">
        <v>39</v>
      </c>
      <c r="H195" s="5">
        <v>4982.3999999999996</v>
      </c>
      <c r="I195" s="5" t="s">
        <v>39</v>
      </c>
      <c r="J195" s="5">
        <v>111.52</v>
      </c>
      <c r="K195" s="5">
        <f t="shared" ref="K195:K258" si="9">J195/E195</f>
        <v>0.69699999999999995</v>
      </c>
      <c r="L195" s="5">
        <f t="shared" ref="L195:L258" si="10">F195/E195</f>
        <v>20.5</v>
      </c>
      <c r="M195" s="5" t="s">
        <v>39</v>
      </c>
      <c r="N195" s="5">
        <v>111.52</v>
      </c>
      <c r="O195" s="5" t="s">
        <v>39</v>
      </c>
      <c r="P195" t="s">
        <v>128</v>
      </c>
      <c r="Q195" t="s">
        <v>567</v>
      </c>
      <c r="R195" t="s">
        <v>37</v>
      </c>
      <c r="S195" t="s">
        <v>568</v>
      </c>
      <c r="T195" t="s">
        <v>43</v>
      </c>
      <c r="U195" t="s">
        <v>44</v>
      </c>
      <c r="V195">
        <v>147</v>
      </c>
      <c r="W195" t="s">
        <v>45</v>
      </c>
      <c r="X195" t="s">
        <v>60</v>
      </c>
      <c r="Y195" t="s">
        <v>569</v>
      </c>
      <c r="Z195" t="s">
        <v>37</v>
      </c>
      <c r="AA195" t="s">
        <v>95</v>
      </c>
      <c r="AB195" t="s">
        <v>37</v>
      </c>
      <c r="AC195" s="6" t="s">
        <v>37</v>
      </c>
      <c r="AD195" s="6" t="s">
        <v>37</v>
      </c>
      <c r="AE195" t="s">
        <v>37</v>
      </c>
      <c r="AF195" t="s">
        <v>37</v>
      </c>
      <c r="AG195" s="6" t="s">
        <v>37</v>
      </c>
      <c r="AH195" t="s">
        <v>37</v>
      </c>
      <c r="AI195" t="s">
        <v>37</v>
      </c>
      <c r="AJ195" t="str">
        <f t="shared" ref="AJ195:AJ258" si="11">P195&amp;Q195</f>
        <v>7RAC5F9EB006ZLK9SQ</v>
      </c>
    </row>
    <row r="196" spans="1:36" ht="15" customHeight="1" x14ac:dyDescent="0.25">
      <c r="A196" t="s">
        <v>101</v>
      </c>
      <c r="B196" t="s">
        <v>37</v>
      </c>
      <c r="C196" t="s">
        <v>37</v>
      </c>
      <c r="D196" t="s">
        <v>38</v>
      </c>
      <c r="E196" s="4">
        <v>8</v>
      </c>
      <c r="F196" s="5">
        <v>737.92</v>
      </c>
      <c r="G196" s="5" t="s">
        <v>39</v>
      </c>
      <c r="H196" s="5">
        <v>1081.92</v>
      </c>
      <c r="I196" s="5" t="s">
        <v>39</v>
      </c>
      <c r="J196" s="5">
        <v>25.089279999999999</v>
      </c>
      <c r="K196" s="5">
        <f t="shared" si="9"/>
        <v>3.1361599999999998</v>
      </c>
      <c r="L196" s="5">
        <f t="shared" si="10"/>
        <v>92.24</v>
      </c>
      <c r="M196" s="5" t="s">
        <v>39</v>
      </c>
      <c r="N196" s="5">
        <v>25.089279999999999</v>
      </c>
      <c r="O196" s="5" t="s">
        <v>39</v>
      </c>
      <c r="P196" t="s">
        <v>72</v>
      </c>
      <c r="Q196" t="s">
        <v>531</v>
      </c>
      <c r="R196" t="s">
        <v>37</v>
      </c>
      <c r="S196" t="s">
        <v>532</v>
      </c>
      <c r="T196" t="s">
        <v>43</v>
      </c>
      <c r="U196" t="s">
        <v>44</v>
      </c>
      <c r="V196">
        <v>147</v>
      </c>
      <c r="W196" t="s">
        <v>45</v>
      </c>
      <c r="X196" t="s">
        <v>239</v>
      </c>
      <c r="Y196" t="s">
        <v>533</v>
      </c>
      <c r="Z196" t="s">
        <v>37</v>
      </c>
      <c r="AA196" t="s">
        <v>55</v>
      </c>
      <c r="AB196" t="s">
        <v>37</v>
      </c>
      <c r="AC196" s="6" t="s">
        <v>37</v>
      </c>
      <c r="AD196" s="6" t="s">
        <v>37</v>
      </c>
      <c r="AE196" t="s">
        <v>37</v>
      </c>
      <c r="AF196" t="s">
        <v>37</v>
      </c>
      <c r="AG196" s="6" t="s">
        <v>37</v>
      </c>
      <c r="AH196" t="s">
        <v>37</v>
      </c>
      <c r="AI196" t="s">
        <v>37</v>
      </c>
      <c r="AJ196" t="str">
        <f t="shared" si="11"/>
        <v>4GF112AEB07W4DHNBF</v>
      </c>
    </row>
    <row r="197" spans="1:36" ht="15" customHeight="1" x14ac:dyDescent="0.25">
      <c r="A197" t="s">
        <v>118</v>
      </c>
      <c r="B197" t="s">
        <v>37</v>
      </c>
      <c r="C197" t="s">
        <v>37</v>
      </c>
      <c r="D197" t="s">
        <v>38</v>
      </c>
      <c r="E197" s="4">
        <v>40</v>
      </c>
      <c r="F197" s="5">
        <v>4980</v>
      </c>
      <c r="G197" s="5" t="s">
        <v>39</v>
      </c>
      <c r="H197" s="5">
        <v>5901.2</v>
      </c>
      <c r="I197" s="5" t="s">
        <v>39</v>
      </c>
      <c r="J197" s="5">
        <v>169.32</v>
      </c>
      <c r="K197" s="5">
        <f t="shared" si="9"/>
        <v>4.2329999999999997</v>
      </c>
      <c r="L197" s="5">
        <f t="shared" si="10"/>
        <v>124.5</v>
      </c>
      <c r="M197" s="5" t="s">
        <v>39</v>
      </c>
      <c r="N197" s="5">
        <v>169.32</v>
      </c>
      <c r="O197" s="5" t="s">
        <v>39</v>
      </c>
      <c r="P197" t="s">
        <v>128</v>
      </c>
      <c r="Q197" t="s">
        <v>609</v>
      </c>
      <c r="R197" t="s">
        <v>610</v>
      </c>
      <c r="S197" t="s">
        <v>611</v>
      </c>
      <c r="T197" t="s">
        <v>43</v>
      </c>
      <c r="U197" t="s">
        <v>44</v>
      </c>
      <c r="V197">
        <v>267</v>
      </c>
      <c r="W197" t="s">
        <v>151</v>
      </c>
      <c r="X197" t="s">
        <v>152</v>
      </c>
      <c r="Y197" t="s">
        <v>612</v>
      </c>
      <c r="Z197" t="s">
        <v>37</v>
      </c>
      <c r="AA197" t="s">
        <v>95</v>
      </c>
      <c r="AB197" t="s">
        <v>37</v>
      </c>
      <c r="AC197" s="6" t="s">
        <v>37</v>
      </c>
      <c r="AD197" s="6" t="s">
        <v>37</v>
      </c>
      <c r="AE197" t="s">
        <v>37</v>
      </c>
      <c r="AF197" t="s">
        <v>37</v>
      </c>
      <c r="AG197" s="6" t="s">
        <v>37</v>
      </c>
      <c r="AH197" t="s">
        <v>37</v>
      </c>
      <c r="AI197" t="s">
        <v>37</v>
      </c>
      <c r="AJ197" t="str">
        <f t="shared" si="11"/>
        <v>7RAC5F9EB07W7KHQLR</v>
      </c>
    </row>
    <row r="198" spans="1:36" ht="15" customHeight="1" x14ac:dyDescent="0.25">
      <c r="A198" t="s">
        <v>613</v>
      </c>
      <c r="B198" t="s">
        <v>37</v>
      </c>
      <c r="C198" t="s">
        <v>37</v>
      </c>
      <c r="D198" t="s">
        <v>38</v>
      </c>
      <c r="E198" s="4">
        <v>23</v>
      </c>
      <c r="F198" s="5">
        <v>4841.96</v>
      </c>
      <c r="G198" s="5" t="s">
        <v>39</v>
      </c>
      <c r="H198" s="5">
        <v>7729.38</v>
      </c>
      <c r="I198" s="5" t="s">
        <v>39</v>
      </c>
      <c r="J198" s="5">
        <v>164.62664000000001</v>
      </c>
      <c r="K198" s="5">
        <f t="shared" si="9"/>
        <v>7.15768</v>
      </c>
      <c r="L198" s="5">
        <f t="shared" si="10"/>
        <v>210.52</v>
      </c>
      <c r="M198" s="5" t="s">
        <v>39</v>
      </c>
      <c r="N198" s="5">
        <v>164.62664000000001</v>
      </c>
      <c r="O198" s="5" t="s">
        <v>39</v>
      </c>
      <c r="P198" t="s">
        <v>614</v>
      </c>
      <c r="Q198" t="s">
        <v>81</v>
      </c>
      <c r="R198" t="s">
        <v>37</v>
      </c>
      <c r="S198" t="s">
        <v>82</v>
      </c>
      <c r="T198" t="s">
        <v>43</v>
      </c>
      <c r="U198" t="s">
        <v>44</v>
      </c>
      <c r="V198">
        <v>147</v>
      </c>
      <c r="W198" t="s">
        <v>45</v>
      </c>
      <c r="X198" t="s">
        <v>46</v>
      </c>
      <c r="Y198" t="s">
        <v>83</v>
      </c>
      <c r="Z198" t="s">
        <v>37</v>
      </c>
      <c r="AA198" t="s">
        <v>55</v>
      </c>
      <c r="AB198" t="s">
        <v>37</v>
      </c>
      <c r="AC198" s="6" t="s">
        <v>37</v>
      </c>
      <c r="AD198" s="6" t="s">
        <v>37</v>
      </c>
      <c r="AE198" t="s">
        <v>37</v>
      </c>
      <c r="AF198" t="s">
        <v>37</v>
      </c>
      <c r="AG198" s="6" t="s">
        <v>37</v>
      </c>
      <c r="AH198" t="s">
        <v>37</v>
      </c>
      <c r="AI198" t="s">
        <v>37</v>
      </c>
      <c r="AJ198" t="str">
        <f t="shared" si="11"/>
        <v>5ACDL3WJB07W6JB7N7</v>
      </c>
    </row>
    <row r="199" spans="1:36" ht="15" customHeight="1" x14ac:dyDescent="0.25">
      <c r="A199" t="s">
        <v>411</v>
      </c>
      <c r="B199" t="s">
        <v>37</v>
      </c>
      <c r="C199" t="s">
        <v>37</v>
      </c>
      <c r="D199" t="s">
        <v>38</v>
      </c>
      <c r="E199" s="4">
        <v>0</v>
      </c>
      <c r="F199" s="5">
        <v>0</v>
      </c>
      <c r="G199" s="5" t="s">
        <v>39</v>
      </c>
      <c r="H199" s="5">
        <v>0</v>
      </c>
      <c r="I199" s="5" t="s">
        <v>39</v>
      </c>
      <c r="J199" s="5">
        <v>0</v>
      </c>
      <c r="K199" s="5" t="e">
        <f t="shared" si="9"/>
        <v>#DIV/0!</v>
      </c>
      <c r="L199" s="5" t="e">
        <f t="shared" si="10"/>
        <v>#DIV/0!</v>
      </c>
      <c r="M199" s="5" t="s">
        <v>39</v>
      </c>
      <c r="N199" s="5">
        <v>0</v>
      </c>
      <c r="O199" s="5" t="s">
        <v>39</v>
      </c>
      <c r="P199" t="s">
        <v>615</v>
      </c>
      <c r="Q199" t="s">
        <v>616</v>
      </c>
      <c r="R199" t="s">
        <v>37</v>
      </c>
      <c r="S199" t="s">
        <v>617</v>
      </c>
      <c r="T199" t="s">
        <v>43</v>
      </c>
      <c r="U199" t="s">
        <v>44</v>
      </c>
      <c r="V199">
        <v>147</v>
      </c>
      <c r="W199" t="s">
        <v>45</v>
      </c>
      <c r="X199" t="s">
        <v>60</v>
      </c>
      <c r="Y199" t="s">
        <v>618</v>
      </c>
      <c r="Z199" t="s">
        <v>37</v>
      </c>
      <c r="AA199" t="s">
        <v>48</v>
      </c>
      <c r="AB199" t="s">
        <v>37</v>
      </c>
      <c r="AC199" s="6" t="s">
        <v>37</v>
      </c>
      <c r="AD199" s="6" t="s">
        <v>37</v>
      </c>
      <c r="AE199" t="s">
        <v>37</v>
      </c>
      <c r="AF199" t="s">
        <v>37</v>
      </c>
      <c r="AG199" s="6" t="s">
        <v>37</v>
      </c>
      <c r="AH199" t="s">
        <v>37</v>
      </c>
      <c r="AI199" t="s">
        <v>37</v>
      </c>
      <c r="AJ199" t="str">
        <f t="shared" si="11"/>
        <v>3HKQYMTXB00XJ3LVPI</v>
      </c>
    </row>
    <row r="200" spans="1:36" ht="15" customHeight="1" x14ac:dyDescent="0.25">
      <c r="A200" t="s">
        <v>36</v>
      </c>
      <c r="B200" t="s">
        <v>37</v>
      </c>
      <c r="C200" t="s">
        <v>37</v>
      </c>
      <c r="D200" t="s">
        <v>38</v>
      </c>
      <c r="E200" s="4">
        <v>16</v>
      </c>
      <c r="F200" s="5">
        <v>590.88</v>
      </c>
      <c r="G200" s="5" t="s">
        <v>39</v>
      </c>
      <c r="H200" s="5">
        <v>983.52</v>
      </c>
      <c r="I200" s="5" t="s">
        <v>39</v>
      </c>
      <c r="J200" s="5">
        <v>20.089919999999999</v>
      </c>
      <c r="K200" s="5">
        <f t="shared" si="9"/>
        <v>1.25562</v>
      </c>
      <c r="L200" s="5">
        <f t="shared" si="10"/>
        <v>36.93</v>
      </c>
      <c r="M200" s="5" t="s">
        <v>39</v>
      </c>
      <c r="N200" s="5">
        <v>20.089919999999999</v>
      </c>
      <c r="O200" s="5" t="s">
        <v>39</v>
      </c>
      <c r="P200" t="s">
        <v>67</v>
      </c>
      <c r="Q200" t="s">
        <v>484</v>
      </c>
      <c r="R200" t="s">
        <v>37</v>
      </c>
      <c r="S200" t="s">
        <v>485</v>
      </c>
      <c r="T200" t="s">
        <v>43</v>
      </c>
      <c r="U200" t="s">
        <v>44</v>
      </c>
      <c r="V200">
        <v>147</v>
      </c>
      <c r="W200" t="s">
        <v>45</v>
      </c>
      <c r="X200" t="s">
        <v>53</v>
      </c>
      <c r="Y200" t="s">
        <v>486</v>
      </c>
      <c r="Z200" t="s">
        <v>37</v>
      </c>
      <c r="AA200" t="s">
        <v>55</v>
      </c>
      <c r="AB200" t="s">
        <v>37</v>
      </c>
      <c r="AC200" s="6" t="s">
        <v>37</v>
      </c>
      <c r="AD200" s="6" t="s">
        <v>37</v>
      </c>
      <c r="AE200" t="s">
        <v>37</v>
      </c>
      <c r="AF200" t="s">
        <v>37</v>
      </c>
      <c r="AG200" s="6" t="s">
        <v>37</v>
      </c>
      <c r="AH200" t="s">
        <v>37</v>
      </c>
      <c r="AI200" t="s">
        <v>37</v>
      </c>
      <c r="AJ200" t="str">
        <f t="shared" si="11"/>
        <v>2TMBDXBKB07W6GW9BJ</v>
      </c>
    </row>
    <row r="201" spans="1:36" ht="15" customHeight="1" x14ac:dyDescent="0.25">
      <c r="A201" t="s">
        <v>36</v>
      </c>
      <c r="B201" t="s">
        <v>37</v>
      </c>
      <c r="C201" t="s">
        <v>37</v>
      </c>
      <c r="D201" t="s">
        <v>38</v>
      </c>
      <c r="E201" s="4">
        <v>196</v>
      </c>
      <c r="F201" s="5">
        <v>9094.4</v>
      </c>
      <c r="G201" s="5" t="s">
        <v>39</v>
      </c>
      <c r="H201" s="5">
        <v>13171.2</v>
      </c>
      <c r="I201" s="5" t="s">
        <v>39</v>
      </c>
      <c r="J201" s="5">
        <v>309.20960000000002</v>
      </c>
      <c r="K201" s="5">
        <f t="shared" si="9"/>
        <v>1.5776000000000001</v>
      </c>
      <c r="L201" s="5">
        <f t="shared" si="10"/>
        <v>46.4</v>
      </c>
      <c r="M201" s="5" t="s">
        <v>39</v>
      </c>
      <c r="N201" s="5">
        <v>309.20960000000002</v>
      </c>
      <c r="O201" s="5" t="s">
        <v>39</v>
      </c>
      <c r="P201" t="s">
        <v>67</v>
      </c>
      <c r="Q201" t="s">
        <v>370</v>
      </c>
      <c r="R201" t="s">
        <v>37</v>
      </c>
      <c r="S201" t="s">
        <v>371</v>
      </c>
      <c r="T201" t="s">
        <v>43</v>
      </c>
      <c r="U201" t="s">
        <v>44</v>
      </c>
      <c r="V201">
        <v>147</v>
      </c>
      <c r="W201" t="s">
        <v>45</v>
      </c>
      <c r="X201" t="s">
        <v>53</v>
      </c>
      <c r="Y201" t="s">
        <v>372</v>
      </c>
      <c r="Z201" t="s">
        <v>37</v>
      </c>
      <c r="AA201" t="s">
        <v>55</v>
      </c>
      <c r="AB201" t="s">
        <v>37</v>
      </c>
      <c r="AC201" s="6" t="s">
        <v>37</v>
      </c>
      <c r="AD201" s="6" t="s">
        <v>37</v>
      </c>
      <c r="AE201" t="s">
        <v>37</v>
      </c>
      <c r="AF201" t="s">
        <v>37</v>
      </c>
      <c r="AG201" s="6" t="s">
        <v>37</v>
      </c>
      <c r="AH201" t="s">
        <v>37</v>
      </c>
      <c r="AI201" t="s">
        <v>37</v>
      </c>
      <c r="AJ201" t="str">
        <f t="shared" si="11"/>
        <v>2TMBDXBKB07W4DGC27</v>
      </c>
    </row>
    <row r="202" spans="1:36" ht="15" customHeight="1" x14ac:dyDescent="0.25">
      <c r="A202" t="s">
        <v>215</v>
      </c>
      <c r="B202" t="s">
        <v>37</v>
      </c>
      <c r="C202" t="s">
        <v>37</v>
      </c>
      <c r="D202" t="s">
        <v>38</v>
      </c>
      <c r="E202" s="4">
        <v>4</v>
      </c>
      <c r="F202" s="5">
        <v>185.6</v>
      </c>
      <c r="G202" s="5" t="s">
        <v>39</v>
      </c>
      <c r="H202" s="5">
        <v>268.8</v>
      </c>
      <c r="I202" s="5" t="s">
        <v>39</v>
      </c>
      <c r="J202" s="5">
        <v>6.3103999999999996</v>
      </c>
      <c r="K202" s="5">
        <f t="shared" si="9"/>
        <v>1.5775999999999999</v>
      </c>
      <c r="L202" s="5">
        <f t="shared" si="10"/>
        <v>46.4</v>
      </c>
      <c r="M202" s="5" t="s">
        <v>39</v>
      </c>
      <c r="N202" s="5">
        <v>6.3103999999999996</v>
      </c>
      <c r="O202" s="5" t="s">
        <v>39</v>
      </c>
      <c r="P202" t="s">
        <v>67</v>
      </c>
      <c r="Q202" t="s">
        <v>370</v>
      </c>
      <c r="R202" t="s">
        <v>37</v>
      </c>
      <c r="S202" t="s">
        <v>371</v>
      </c>
      <c r="T202" t="s">
        <v>43</v>
      </c>
      <c r="U202" t="s">
        <v>44</v>
      </c>
      <c r="V202">
        <v>147</v>
      </c>
      <c r="W202" t="s">
        <v>45</v>
      </c>
      <c r="X202" t="s">
        <v>53</v>
      </c>
      <c r="Y202" t="s">
        <v>372</v>
      </c>
      <c r="Z202" t="s">
        <v>37</v>
      </c>
      <c r="AA202" t="s">
        <v>55</v>
      </c>
      <c r="AB202" t="s">
        <v>37</v>
      </c>
      <c r="AC202" s="6" t="s">
        <v>37</v>
      </c>
      <c r="AD202" s="6" t="s">
        <v>37</v>
      </c>
      <c r="AE202" t="s">
        <v>37</v>
      </c>
      <c r="AF202" t="s">
        <v>37</v>
      </c>
      <c r="AG202" s="6" t="s">
        <v>37</v>
      </c>
      <c r="AH202" t="s">
        <v>37</v>
      </c>
      <c r="AI202" t="s">
        <v>37</v>
      </c>
      <c r="AJ202" t="str">
        <f t="shared" si="11"/>
        <v>2TMBDXBKB07W4DGC27</v>
      </c>
    </row>
    <row r="203" spans="1:36" ht="15" customHeight="1" x14ac:dyDescent="0.25">
      <c r="A203" t="s">
        <v>96</v>
      </c>
      <c r="B203" t="s">
        <v>37</v>
      </c>
      <c r="C203" t="s">
        <v>37</v>
      </c>
      <c r="D203" t="s">
        <v>38</v>
      </c>
      <c r="E203" s="4">
        <v>16</v>
      </c>
      <c r="F203" s="5">
        <v>1648.96</v>
      </c>
      <c r="G203" s="5" t="s">
        <v>39</v>
      </c>
      <c r="H203" s="5">
        <v>2164</v>
      </c>
      <c r="I203" s="5" t="s">
        <v>39</v>
      </c>
      <c r="J203" s="5">
        <v>56.064639999999997</v>
      </c>
      <c r="K203" s="5">
        <f t="shared" si="9"/>
        <v>3.5040399999999998</v>
      </c>
      <c r="L203" s="5">
        <f t="shared" si="10"/>
        <v>103.06</v>
      </c>
      <c r="M203" s="5" t="s">
        <v>39</v>
      </c>
      <c r="N203" s="5">
        <v>56.064639999999997</v>
      </c>
      <c r="O203" s="5" t="s">
        <v>39</v>
      </c>
      <c r="P203" t="s">
        <v>195</v>
      </c>
      <c r="Q203" t="s">
        <v>142</v>
      </c>
      <c r="R203" t="s">
        <v>37</v>
      </c>
      <c r="S203" t="s">
        <v>143</v>
      </c>
      <c r="T203" t="s">
        <v>43</v>
      </c>
      <c r="U203" t="s">
        <v>44</v>
      </c>
      <c r="V203">
        <v>147</v>
      </c>
      <c r="W203" t="s">
        <v>45</v>
      </c>
      <c r="X203" t="s">
        <v>46</v>
      </c>
      <c r="Y203" t="s">
        <v>144</v>
      </c>
      <c r="Z203" t="s">
        <v>37</v>
      </c>
      <c r="AA203" t="s">
        <v>55</v>
      </c>
      <c r="AB203" t="s">
        <v>37</v>
      </c>
      <c r="AC203" s="6" t="s">
        <v>37</v>
      </c>
      <c r="AD203" s="6" t="s">
        <v>37</v>
      </c>
      <c r="AE203" t="s">
        <v>37</v>
      </c>
      <c r="AF203" t="s">
        <v>37</v>
      </c>
      <c r="AG203" s="6" t="s">
        <v>37</v>
      </c>
      <c r="AH203" t="s">
        <v>37</v>
      </c>
      <c r="AI203" t="s">
        <v>37</v>
      </c>
      <c r="AJ203" t="str">
        <f t="shared" si="11"/>
        <v>5X1OU9ZGB07PPNT9B2</v>
      </c>
    </row>
    <row r="204" spans="1:36" ht="15" customHeight="1" x14ac:dyDescent="0.25">
      <c r="A204" t="s">
        <v>118</v>
      </c>
      <c r="B204" t="s">
        <v>37</v>
      </c>
      <c r="C204" t="s">
        <v>37</v>
      </c>
      <c r="D204" t="s">
        <v>38</v>
      </c>
      <c r="E204" s="4">
        <v>4</v>
      </c>
      <c r="F204" s="5">
        <v>175.68</v>
      </c>
      <c r="G204" s="5" t="s">
        <v>39</v>
      </c>
      <c r="H204" s="5">
        <v>262.27999999999997</v>
      </c>
      <c r="I204" s="5" t="s">
        <v>39</v>
      </c>
      <c r="J204" s="5">
        <v>5.9731199999999998</v>
      </c>
      <c r="K204" s="5">
        <f t="shared" si="9"/>
        <v>1.4932799999999999</v>
      </c>
      <c r="L204" s="5">
        <f t="shared" si="10"/>
        <v>43.92</v>
      </c>
      <c r="M204" s="5" t="s">
        <v>39</v>
      </c>
      <c r="N204" s="5">
        <v>5.9731199999999998</v>
      </c>
      <c r="O204" s="5" t="s">
        <v>39</v>
      </c>
      <c r="P204" t="s">
        <v>619</v>
      </c>
      <c r="Q204" t="s">
        <v>620</v>
      </c>
      <c r="R204" t="s">
        <v>37</v>
      </c>
      <c r="S204" t="s">
        <v>621</v>
      </c>
      <c r="T204" t="s">
        <v>43</v>
      </c>
      <c r="U204" t="s">
        <v>44</v>
      </c>
      <c r="V204">
        <v>147</v>
      </c>
      <c r="W204" t="s">
        <v>45</v>
      </c>
      <c r="X204" t="s">
        <v>60</v>
      </c>
      <c r="Y204" t="s">
        <v>622</v>
      </c>
      <c r="Z204" t="s">
        <v>37</v>
      </c>
      <c r="AA204" t="s">
        <v>55</v>
      </c>
      <c r="AB204" t="s">
        <v>37</v>
      </c>
      <c r="AC204" s="6" t="s">
        <v>37</v>
      </c>
      <c r="AD204" s="6" t="s">
        <v>37</v>
      </c>
      <c r="AE204" t="s">
        <v>37</v>
      </c>
      <c r="AF204" t="s">
        <v>37</v>
      </c>
      <c r="AG204" s="6" t="s">
        <v>37</v>
      </c>
      <c r="AH204" t="s">
        <v>37</v>
      </c>
      <c r="AI204" t="s">
        <v>37</v>
      </c>
      <c r="AJ204" t="str">
        <f t="shared" si="11"/>
        <v>4DNB5NLZB079YHHPF2</v>
      </c>
    </row>
    <row r="205" spans="1:36" ht="15" customHeight="1" x14ac:dyDescent="0.25">
      <c r="A205" t="s">
        <v>118</v>
      </c>
      <c r="B205" t="s">
        <v>37</v>
      </c>
      <c r="C205" t="s">
        <v>37</v>
      </c>
      <c r="D205" t="s">
        <v>38</v>
      </c>
      <c r="E205" s="4">
        <v>32</v>
      </c>
      <c r="F205" s="5">
        <v>1405.44</v>
      </c>
      <c r="G205" s="5" t="s">
        <v>39</v>
      </c>
      <c r="H205" s="5">
        <v>2098.2399999999998</v>
      </c>
      <c r="I205" s="5" t="s">
        <v>39</v>
      </c>
      <c r="J205" s="5">
        <v>47.784959999999998</v>
      </c>
      <c r="K205" s="5">
        <f t="shared" si="9"/>
        <v>1.4932799999999999</v>
      </c>
      <c r="L205" s="5">
        <f t="shared" si="10"/>
        <v>43.92</v>
      </c>
      <c r="M205" s="5" t="s">
        <v>39</v>
      </c>
      <c r="N205" s="5">
        <v>47.784959999999998</v>
      </c>
      <c r="O205" s="5" t="s">
        <v>39</v>
      </c>
      <c r="P205" t="s">
        <v>462</v>
      </c>
      <c r="Q205" t="s">
        <v>623</v>
      </c>
      <c r="R205" t="s">
        <v>624</v>
      </c>
      <c r="S205" t="s">
        <v>625</v>
      </c>
      <c r="T205" t="s">
        <v>43</v>
      </c>
      <c r="U205" t="s">
        <v>44</v>
      </c>
      <c r="V205">
        <v>147</v>
      </c>
      <c r="W205" t="s">
        <v>45</v>
      </c>
      <c r="X205" t="s">
        <v>60</v>
      </c>
      <c r="Y205" t="s">
        <v>626</v>
      </c>
      <c r="Z205" t="s">
        <v>37</v>
      </c>
      <c r="AA205" t="s">
        <v>48</v>
      </c>
      <c r="AB205" t="s">
        <v>37</v>
      </c>
      <c r="AC205" s="6" t="s">
        <v>37</v>
      </c>
      <c r="AD205" s="6" t="s">
        <v>37</v>
      </c>
      <c r="AE205" t="s">
        <v>37</v>
      </c>
      <c r="AF205" t="s">
        <v>37</v>
      </c>
      <c r="AG205" s="6" t="s">
        <v>37</v>
      </c>
      <c r="AH205" t="s">
        <v>37</v>
      </c>
      <c r="AI205" t="s">
        <v>37</v>
      </c>
      <c r="AJ205" t="str">
        <f t="shared" si="11"/>
        <v>17D6YHERB0797JRLQC</v>
      </c>
    </row>
    <row r="206" spans="1:36" ht="15" customHeight="1" x14ac:dyDescent="0.25">
      <c r="A206" t="s">
        <v>56</v>
      </c>
      <c r="B206" t="s">
        <v>37</v>
      </c>
      <c r="C206" t="s">
        <v>37</v>
      </c>
      <c r="D206" t="s">
        <v>38</v>
      </c>
      <c r="E206" s="4">
        <v>0</v>
      </c>
      <c r="F206" s="5">
        <v>0</v>
      </c>
      <c r="G206" s="5" t="s">
        <v>39</v>
      </c>
      <c r="H206" s="5">
        <v>0</v>
      </c>
      <c r="I206" s="5" t="s">
        <v>39</v>
      </c>
      <c r="J206" s="5">
        <v>0</v>
      </c>
      <c r="K206" s="5" t="e">
        <f t="shared" si="9"/>
        <v>#DIV/0!</v>
      </c>
      <c r="L206" s="5" t="e">
        <f t="shared" si="10"/>
        <v>#DIV/0!</v>
      </c>
      <c r="M206" s="5" t="s">
        <v>39</v>
      </c>
      <c r="N206" s="5">
        <v>0</v>
      </c>
      <c r="O206" s="5" t="s">
        <v>39</v>
      </c>
      <c r="P206" t="s">
        <v>67</v>
      </c>
      <c r="Q206" t="s">
        <v>370</v>
      </c>
      <c r="R206" t="s">
        <v>37</v>
      </c>
      <c r="S206" t="s">
        <v>371</v>
      </c>
      <c r="T206" t="s">
        <v>43</v>
      </c>
      <c r="U206" t="s">
        <v>44</v>
      </c>
      <c r="V206">
        <v>147</v>
      </c>
      <c r="W206" t="s">
        <v>45</v>
      </c>
      <c r="X206" t="s">
        <v>53</v>
      </c>
      <c r="Y206" t="s">
        <v>372</v>
      </c>
      <c r="Z206" t="s">
        <v>37</v>
      </c>
      <c r="AA206" t="s">
        <v>55</v>
      </c>
      <c r="AB206" t="s">
        <v>37</v>
      </c>
      <c r="AC206" s="6" t="s">
        <v>37</v>
      </c>
      <c r="AD206" s="6" t="s">
        <v>37</v>
      </c>
      <c r="AE206" t="s">
        <v>37</v>
      </c>
      <c r="AF206" t="s">
        <v>37</v>
      </c>
      <c r="AG206" s="6" t="s">
        <v>37</v>
      </c>
      <c r="AH206" t="s">
        <v>37</v>
      </c>
      <c r="AI206" t="s">
        <v>37</v>
      </c>
      <c r="AJ206" t="str">
        <f t="shared" si="11"/>
        <v>2TMBDXBKB07W4DGC27</v>
      </c>
    </row>
    <row r="207" spans="1:36" ht="15" customHeight="1" x14ac:dyDescent="0.25">
      <c r="A207" t="s">
        <v>76</v>
      </c>
      <c r="B207" t="s">
        <v>37</v>
      </c>
      <c r="C207" t="s">
        <v>37</v>
      </c>
      <c r="D207" t="s">
        <v>38</v>
      </c>
      <c r="E207" s="4">
        <v>30</v>
      </c>
      <c r="F207" s="5">
        <v>1399.8</v>
      </c>
      <c r="G207" s="5" t="s">
        <v>39</v>
      </c>
      <c r="H207" s="5">
        <v>1844.1</v>
      </c>
      <c r="I207" s="5" t="s">
        <v>39</v>
      </c>
      <c r="J207" s="5">
        <v>47.593200000000003</v>
      </c>
      <c r="K207" s="5">
        <f t="shared" si="9"/>
        <v>1.5864400000000001</v>
      </c>
      <c r="L207" s="5">
        <f t="shared" si="10"/>
        <v>46.66</v>
      </c>
      <c r="M207" s="5" t="s">
        <v>39</v>
      </c>
      <c r="N207" s="5">
        <v>47.593200000000003</v>
      </c>
      <c r="O207" s="5" t="s">
        <v>39</v>
      </c>
      <c r="P207" t="s">
        <v>63</v>
      </c>
      <c r="Q207" t="s">
        <v>627</v>
      </c>
      <c r="R207" t="s">
        <v>37</v>
      </c>
      <c r="S207" t="s">
        <v>628</v>
      </c>
      <c r="T207" t="s">
        <v>43</v>
      </c>
      <c r="U207" t="s">
        <v>44</v>
      </c>
      <c r="V207">
        <v>147</v>
      </c>
      <c r="W207" t="s">
        <v>45</v>
      </c>
      <c r="X207" t="s">
        <v>219</v>
      </c>
      <c r="Y207" t="s">
        <v>629</v>
      </c>
      <c r="Z207" t="s">
        <v>37</v>
      </c>
      <c r="AA207" t="s">
        <v>48</v>
      </c>
      <c r="AB207" t="s">
        <v>37</v>
      </c>
      <c r="AC207" s="6" t="s">
        <v>37</v>
      </c>
      <c r="AD207" s="6" t="s">
        <v>37</v>
      </c>
      <c r="AE207" t="s">
        <v>37</v>
      </c>
      <c r="AF207" t="s">
        <v>37</v>
      </c>
      <c r="AG207" s="6" t="s">
        <v>37</v>
      </c>
      <c r="AH207" t="s">
        <v>37</v>
      </c>
      <c r="AI207" t="s">
        <v>37</v>
      </c>
      <c r="AJ207" t="str">
        <f t="shared" si="11"/>
        <v>7H9X1Z6SB00C7INSWU</v>
      </c>
    </row>
    <row r="208" spans="1:36" ht="15" customHeight="1" x14ac:dyDescent="0.25">
      <c r="A208" t="s">
        <v>36</v>
      </c>
      <c r="B208" t="s">
        <v>37</v>
      </c>
      <c r="C208" t="s">
        <v>37</v>
      </c>
      <c r="D208" t="s">
        <v>38</v>
      </c>
      <c r="E208" s="4">
        <v>8</v>
      </c>
      <c r="F208" s="5">
        <v>187.36</v>
      </c>
      <c r="G208" s="5" t="s">
        <v>39</v>
      </c>
      <c r="H208" s="5">
        <v>288.48</v>
      </c>
      <c r="I208" s="5" t="s">
        <v>39</v>
      </c>
      <c r="J208" s="5">
        <v>6.3702399999999999</v>
      </c>
      <c r="K208" s="5">
        <f t="shared" si="9"/>
        <v>0.79627999999999999</v>
      </c>
      <c r="L208" s="5">
        <f t="shared" si="10"/>
        <v>23.42</v>
      </c>
      <c r="M208" s="5" t="s">
        <v>39</v>
      </c>
      <c r="N208" s="5">
        <v>6.3702399999999999</v>
      </c>
      <c r="O208" s="5" t="s">
        <v>39</v>
      </c>
      <c r="P208" t="s">
        <v>246</v>
      </c>
      <c r="Q208" t="s">
        <v>362</v>
      </c>
      <c r="R208" t="s">
        <v>37</v>
      </c>
      <c r="S208" t="s">
        <v>363</v>
      </c>
      <c r="T208" t="s">
        <v>43</v>
      </c>
      <c r="U208" t="s">
        <v>44</v>
      </c>
      <c r="V208">
        <v>147</v>
      </c>
      <c r="W208" t="s">
        <v>45</v>
      </c>
      <c r="X208" t="s">
        <v>60</v>
      </c>
      <c r="Y208" t="s">
        <v>364</v>
      </c>
      <c r="Z208" t="s">
        <v>37</v>
      </c>
      <c r="AA208" t="s">
        <v>55</v>
      </c>
      <c r="AB208" t="s">
        <v>37</v>
      </c>
      <c r="AC208" s="6" t="s">
        <v>37</v>
      </c>
      <c r="AD208" s="6" t="s">
        <v>37</v>
      </c>
      <c r="AE208" t="s">
        <v>37</v>
      </c>
      <c r="AF208" t="s">
        <v>37</v>
      </c>
      <c r="AG208" s="6" t="s">
        <v>37</v>
      </c>
      <c r="AH208" t="s">
        <v>37</v>
      </c>
      <c r="AI208" t="s">
        <v>37</v>
      </c>
      <c r="AJ208" t="str">
        <f t="shared" si="11"/>
        <v>1PSIXGLTB01DKGAQNG</v>
      </c>
    </row>
    <row r="209" spans="1:36" ht="15" customHeight="1" x14ac:dyDescent="0.25">
      <c r="A209" t="s">
        <v>36</v>
      </c>
      <c r="B209" t="s">
        <v>37</v>
      </c>
      <c r="C209" t="s">
        <v>37</v>
      </c>
      <c r="D209" t="s">
        <v>38</v>
      </c>
      <c r="E209" s="4">
        <v>9</v>
      </c>
      <c r="F209" s="5">
        <v>1194.03</v>
      </c>
      <c r="G209" s="5" t="s">
        <v>39</v>
      </c>
      <c r="H209" s="5">
        <v>1194.03</v>
      </c>
      <c r="I209" s="5" t="s">
        <v>39</v>
      </c>
      <c r="J209" s="5">
        <v>40.597020000000001</v>
      </c>
      <c r="K209" s="5">
        <f t="shared" si="9"/>
        <v>4.5107800000000005</v>
      </c>
      <c r="L209" s="5">
        <f t="shared" si="10"/>
        <v>132.66999999999999</v>
      </c>
      <c r="M209" s="5" t="s">
        <v>39</v>
      </c>
      <c r="N209" s="5">
        <v>40.597020000000001</v>
      </c>
      <c r="O209" s="5" t="s">
        <v>39</v>
      </c>
      <c r="P209" t="s">
        <v>168</v>
      </c>
      <c r="Q209" t="s">
        <v>630</v>
      </c>
      <c r="R209" t="s">
        <v>631</v>
      </c>
      <c r="S209" t="s">
        <v>632</v>
      </c>
      <c r="T209" t="s">
        <v>43</v>
      </c>
      <c r="U209" t="s">
        <v>44</v>
      </c>
      <c r="V209">
        <v>147</v>
      </c>
      <c r="W209" t="s">
        <v>45</v>
      </c>
      <c r="X209" t="s">
        <v>60</v>
      </c>
      <c r="Y209" t="s">
        <v>633</v>
      </c>
      <c r="Z209" t="s">
        <v>37</v>
      </c>
      <c r="AA209" t="s">
        <v>634</v>
      </c>
      <c r="AB209" t="s">
        <v>37</v>
      </c>
      <c r="AC209" s="6" t="s">
        <v>37</v>
      </c>
      <c r="AD209" s="6" t="s">
        <v>37</v>
      </c>
      <c r="AE209" t="s">
        <v>37</v>
      </c>
      <c r="AF209" t="s">
        <v>37</v>
      </c>
      <c r="AG209" s="6" t="s">
        <v>37</v>
      </c>
      <c r="AH209" t="s">
        <v>37</v>
      </c>
      <c r="AI209" t="s">
        <v>37</v>
      </c>
      <c r="AJ209" t="str">
        <f t="shared" si="11"/>
        <v>2R6FMUZDB071W18JHM</v>
      </c>
    </row>
    <row r="210" spans="1:36" ht="15" customHeight="1" x14ac:dyDescent="0.25">
      <c r="A210" t="s">
        <v>36</v>
      </c>
      <c r="B210" t="s">
        <v>37</v>
      </c>
      <c r="C210" t="s">
        <v>37</v>
      </c>
      <c r="D210" t="s">
        <v>38</v>
      </c>
      <c r="E210" s="4">
        <v>8</v>
      </c>
      <c r="F210" s="5">
        <v>164</v>
      </c>
      <c r="G210" s="5" t="s">
        <v>39</v>
      </c>
      <c r="H210" s="5">
        <v>249.12</v>
      </c>
      <c r="I210" s="5" t="s">
        <v>39</v>
      </c>
      <c r="J210" s="5">
        <v>5.5759999999999996</v>
      </c>
      <c r="K210" s="5">
        <f t="shared" si="9"/>
        <v>0.69699999999999995</v>
      </c>
      <c r="L210" s="5">
        <f t="shared" si="10"/>
        <v>20.5</v>
      </c>
      <c r="M210" s="5" t="s">
        <v>39</v>
      </c>
      <c r="N210" s="5">
        <v>5.5759999999999996</v>
      </c>
      <c r="O210" s="5" t="s">
        <v>39</v>
      </c>
      <c r="P210" t="s">
        <v>128</v>
      </c>
      <c r="Q210" t="s">
        <v>567</v>
      </c>
      <c r="R210" t="s">
        <v>37</v>
      </c>
      <c r="S210" t="s">
        <v>568</v>
      </c>
      <c r="T210" t="s">
        <v>43</v>
      </c>
      <c r="U210" t="s">
        <v>44</v>
      </c>
      <c r="V210">
        <v>147</v>
      </c>
      <c r="W210" t="s">
        <v>45</v>
      </c>
      <c r="X210" t="s">
        <v>60</v>
      </c>
      <c r="Y210" t="s">
        <v>569</v>
      </c>
      <c r="Z210" t="s">
        <v>37</v>
      </c>
      <c r="AA210" t="s">
        <v>95</v>
      </c>
      <c r="AB210" t="s">
        <v>37</v>
      </c>
      <c r="AC210" s="6" t="s">
        <v>37</v>
      </c>
      <c r="AD210" s="6" t="s">
        <v>37</v>
      </c>
      <c r="AE210" t="s">
        <v>37</v>
      </c>
      <c r="AF210" t="s">
        <v>37</v>
      </c>
      <c r="AG210" s="6" t="s">
        <v>37</v>
      </c>
      <c r="AH210" t="s">
        <v>37</v>
      </c>
      <c r="AI210" t="s">
        <v>37</v>
      </c>
      <c r="AJ210" t="str">
        <f t="shared" si="11"/>
        <v>7RAC5F9EB006ZLK9SQ</v>
      </c>
    </row>
    <row r="211" spans="1:36" ht="15" customHeight="1" x14ac:dyDescent="0.25">
      <c r="A211" t="s">
        <v>71</v>
      </c>
      <c r="B211" t="s">
        <v>37</v>
      </c>
      <c r="C211" t="s">
        <v>37</v>
      </c>
      <c r="D211" t="s">
        <v>38</v>
      </c>
      <c r="E211" s="4">
        <v>4</v>
      </c>
      <c r="F211" s="5">
        <v>147.72</v>
      </c>
      <c r="G211" s="5" t="s">
        <v>39</v>
      </c>
      <c r="H211" s="5">
        <v>245.88</v>
      </c>
      <c r="I211" s="5" t="s">
        <v>39</v>
      </c>
      <c r="J211" s="5">
        <v>5.0224799999999998</v>
      </c>
      <c r="K211" s="5">
        <f t="shared" si="9"/>
        <v>1.25562</v>
      </c>
      <c r="L211" s="5">
        <f t="shared" si="10"/>
        <v>36.93</v>
      </c>
      <c r="M211" s="5" t="s">
        <v>39</v>
      </c>
      <c r="N211" s="5">
        <v>5.0224799999999998</v>
      </c>
      <c r="O211" s="5" t="s">
        <v>39</v>
      </c>
      <c r="P211" t="s">
        <v>274</v>
      </c>
      <c r="Q211" t="s">
        <v>635</v>
      </c>
      <c r="R211" t="s">
        <v>37</v>
      </c>
      <c r="S211" t="s">
        <v>636</v>
      </c>
      <c r="T211" t="s">
        <v>43</v>
      </c>
      <c r="U211" t="s">
        <v>44</v>
      </c>
      <c r="V211">
        <v>147</v>
      </c>
      <c r="W211" t="s">
        <v>45</v>
      </c>
      <c r="X211" t="s">
        <v>53</v>
      </c>
      <c r="Y211" t="s">
        <v>637</v>
      </c>
      <c r="Z211" t="s">
        <v>37</v>
      </c>
      <c r="AA211" t="s">
        <v>55</v>
      </c>
      <c r="AB211" t="s">
        <v>37</v>
      </c>
      <c r="AC211" s="6" t="s">
        <v>37</v>
      </c>
      <c r="AD211" s="6" t="s">
        <v>37</v>
      </c>
      <c r="AE211" t="s">
        <v>37</v>
      </c>
      <c r="AF211" t="s">
        <v>37</v>
      </c>
      <c r="AG211" s="6" t="s">
        <v>37</v>
      </c>
      <c r="AH211" t="s">
        <v>37</v>
      </c>
      <c r="AI211" t="s">
        <v>37</v>
      </c>
      <c r="AJ211" t="str">
        <f t="shared" si="11"/>
        <v>4LYATDUXB07CGVGMLD</v>
      </c>
    </row>
    <row r="212" spans="1:36" ht="15" customHeight="1" x14ac:dyDescent="0.25">
      <c r="A212" t="s">
        <v>526</v>
      </c>
      <c r="B212" t="s">
        <v>37</v>
      </c>
      <c r="C212" t="s">
        <v>37</v>
      </c>
      <c r="D212" t="s">
        <v>38</v>
      </c>
      <c r="E212" s="4">
        <v>4</v>
      </c>
      <c r="F212" s="5">
        <v>278.44</v>
      </c>
      <c r="G212" s="5" t="s">
        <v>39</v>
      </c>
      <c r="H212" s="5">
        <v>409.8</v>
      </c>
      <c r="I212" s="5" t="s">
        <v>39</v>
      </c>
      <c r="J212" s="5">
        <v>9.4669600000000003</v>
      </c>
      <c r="K212" s="5">
        <f t="shared" si="9"/>
        <v>2.3667400000000001</v>
      </c>
      <c r="L212" s="5">
        <f t="shared" si="10"/>
        <v>69.61</v>
      </c>
      <c r="M212" s="5" t="s">
        <v>39</v>
      </c>
      <c r="N212" s="5">
        <v>9.4669600000000003</v>
      </c>
      <c r="O212" s="5" t="s">
        <v>39</v>
      </c>
      <c r="P212" t="s">
        <v>638</v>
      </c>
      <c r="Q212" t="s">
        <v>639</v>
      </c>
      <c r="R212" t="s">
        <v>37</v>
      </c>
      <c r="S212" t="s">
        <v>640</v>
      </c>
      <c r="T212" t="s">
        <v>43</v>
      </c>
      <c r="U212" t="s">
        <v>44</v>
      </c>
      <c r="V212">
        <v>147</v>
      </c>
      <c r="W212" t="s">
        <v>45</v>
      </c>
      <c r="X212" t="s">
        <v>53</v>
      </c>
      <c r="Y212" t="s">
        <v>641</v>
      </c>
      <c r="Z212" t="s">
        <v>37</v>
      </c>
      <c r="AA212" t="s">
        <v>55</v>
      </c>
      <c r="AB212" t="s">
        <v>37</v>
      </c>
      <c r="AC212" s="6" t="s">
        <v>37</v>
      </c>
      <c r="AD212" s="6" t="s">
        <v>37</v>
      </c>
      <c r="AE212" t="s">
        <v>37</v>
      </c>
      <c r="AF212" t="s">
        <v>37</v>
      </c>
      <c r="AG212" s="6" t="s">
        <v>37</v>
      </c>
      <c r="AH212" t="s">
        <v>37</v>
      </c>
      <c r="AI212" t="s">
        <v>37</v>
      </c>
      <c r="AJ212" t="str">
        <f t="shared" si="11"/>
        <v>7CQW3EPPB07FNHV4MW</v>
      </c>
    </row>
    <row r="213" spans="1:36" ht="15" customHeight="1" x14ac:dyDescent="0.25">
      <c r="A213" t="s">
        <v>36</v>
      </c>
      <c r="B213" t="s">
        <v>37</v>
      </c>
      <c r="C213" t="s">
        <v>37</v>
      </c>
      <c r="D213" t="s">
        <v>38</v>
      </c>
      <c r="E213" s="4">
        <v>16</v>
      </c>
      <c r="F213" s="5">
        <v>1549.28</v>
      </c>
      <c r="G213" s="5" t="s">
        <v>39</v>
      </c>
      <c r="H213" s="5">
        <v>1836</v>
      </c>
      <c r="I213" s="5" t="s">
        <v>39</v>
      </c>
      <c r="J213" s="5">
        <v>52.675519999999999</v>
      </c>
      <c r="K213" s="5">
        <f t="shared" si="9"/>
        <v>3.2922199999999999</v>
      </c>
      <c r="L213" s="5">
        <f t="shared" si="10"/>
        <v>96.83</v>
      </c>
      <c r="M213" s="5" t="s">
        <v>39</v>
      </c>
      <c r="N213" s="5">
        <v>52.675519999999999</v>
      </c>
      <c r="O213" s="5" t="s">
        <v>39</v>
      </c>
      <c r="P213" t="s">
        <v>642</v>
      </c>
      <c r="Q213" t="s">
        <v>643</v>
      </c>
      <c r="R213" t="s">
        <v>644</v>
      </c>
      <c r="S213" t="s">
        <v>645</v>
      </c>
      <c r="T213" t="s">
        <v>43</v>
      </c>
      <c r="U213" t="s">
        <v>44</v>
      </c>
      <c r="V213">
        <v>267</v>
      </c>
      <c r="W213" t="s">
        <v>151</v>
      </c>
      <c r="X213" t="s">
        <v>152</v>
      </c>
      <c r="Y213" t="s">
        <v>646</v>
      </c>
      <c r="Z213" t="s">
        <v>37</v>
      </c>
      <c r="AA213" t="s">
        <v>95</v>
      </c>
      <c r="AB213" t="s">
        <v>37</v>
      </c>
      <c r="AC213" s="6" t="s">
        <v>37</v>
      </c>
      <c r="AD213" s="6" t="s">
        <v>37</v>
      </c>
      <c r="AE213" t="s">
        <v>37</v>
      </c>
      <c r="AF213" t="s">
        <v>37</v>
      </c>
      <c r="AG213" s="6" t="s">
        <v>37</v>
      </c>
      <c r="AH213" t="s">
        <v>37</v>
      </c>
      <c r="AI213" t="s">
        <v>37</v>
      </c>
      <c r="AJ213" t="str">
        <f t="shared" si="11"/>
        <v>7OQHRVQMB014PYGYRE</v>
      </c>
    </row>
    <row r="214" spans="1:36" ht="15" customHeight="1" x14ac:dyDescent="0.25">
      <c r="A214" t="s">
        <v>647</v>
      </c>
      <c r="B214" t="s">
        <v>37</v>
      </c>
      <c r="C214" t="s">
        <v>37</v>
      </c>
      <c r="D214" t="s">
        <v>38</v>
      </c>
      <c r="E214" s="4">
        <v>0</v>
      </c>
      <c r="F214" s="5">
        <v>0</v>
      </c>
      <c r="G214" s="5" t="s">
        <v>39</v>
      </c>
      <c r="H214" s="5">
        <v>0</v>
      </c>
      <c r="I214" s="5" t="s">
        <v>39</v>
      </c>
      <c r="J214" s="5">
        <v>0</v>
      </c>
      <c r="K214" s="5" t="e">
        <f t="shared" si="9"/>
        <v>#DIV/0!</v>
      </c>
      <c r="L214" s="5" t="e">
        <f t="shared" si="10"/>
        <v>#DIV/0!</v>
      </c>
      <c r="M214" s="5" t="s">
        <v>39</v>
      </c>
      <c r="N214" s="5">
        <v>0</v>
      </c>
      <c r="O214" s="5" t="s">
        <v>39</v>
      </c>
      <c r="P214" t="s">
        <v>274</v>
      </c>
      <c r="Q214" t="s">
        <v>635</v>
      </c>
      <c r="R214" t="s">
        <v>37</v>
      </c>
      <c r="S214" t="s">
        <v>636</v>
      </c>
      <c r="T214" t="s">
        <v>43</v>
      </c>
      <c r="U214" t="s">
        <v>44</v>
      </c>
      <c r="V214">
        <v>147</v>
      </c>
      <c r="W214" t="s">
        <v>45</v>
      </c>
      <c r="X214" t="s">
        <v>53</v>
      </c>
      <c r="Y214" t="s">
        <v>637</v>
      </c>
      <c r="Z214" t="s">
        <v>37</v>
      </c>
      <c r="AA214" t="s">
        <v>55</v>
      </c>
      <c r="AB214" t="s">
        <v>37</v>
      </c>
      <c r="AC214" s="6" t="s">
        <v>37</v>
      </c>
      <c r="AD214" s="6" t="s">
        <v>37</v>
      </c>
      <c r="AE214" t="s">
        <v>37</v>
      </c>
      <c r="AF214" t="s">
        <v>37</v>
      </c>
      <c r="AG214" s="6" t="s">
        <v>37</v>
      </c>
      <c r="AH214" t="s">
        <v>37</v>
      </c>
      <c r="AI214" t="s">
        <v>37</v>
      </c>
      <c r="AJ214" t="str">
        <f t="shared" si="11"/>
        <v>4LYATDUXB07CGVGMLD</v>
      </c>
    </row>
    <row r="215" spans="1:36" ht="15" customHeight="1" x14ac:dyDescent="0.25">
      <c r="A215" t="s">
        <v>62</v>
      </c>
      <c r="B215" t="s">
        <v>37</v>
      </c>
      <c r="C215" t="s">
        <v>37</v>
      </c>
      <c r="D215" t="s">
        <v>38</v>
      </c>
      <c r="E215" s="4">
        <v>30</v>
      </c>
      <c r="F215" s="5">
        <v>702.6</v>
      </c>
      <c r="G215" s="5" t="s">
        <v>39</v>
      </c>
      <c r="H215" s="5">
        <v>1008</v>
      </c>
      <c r="I215" s="5" t="s">
        <v>39</v>
      </c>
      <c r="J215" s="5">
        <v>23.888400000000001</v>
      </c>
      <c r="K215" s="5">
        <f t="shared" si="9"/>
        <v>0.79627999999999999</v>
      </c>
      <c r="L215" s="5">
        <f t="shared" si="10"/>
        <v>23.42</v>
      </c>
      <c r="M215" s="5" t="s">
        <v>39</v>
      </c>
      <c r="N215" s="5">
        <v>23.888400000000001</v>
      </c>
      <c r="O215" s="5" t="s">
        <v>39</v>
      </c>
      <c r="P215" t="s">
        <v>63</v>
      </c>
      <c r="Q215" t="s">
        <v>648</v>
      </c>
      <c r="R215" t="s">
        <v>37</v>
      </c>
      <c r="S215" t="s">
        <v>649</v>
      </c>
      <c r="T215" t="s">
        <v>43</v>
      </c>
      <c r="U215" t="s">
        <v>44</v>
      </c>
      <c r="V215">
        <v>147</v>
      </c>
      <c r="W215" t="s">
        <v>45</v>
      </c>
      <c r="X215" t="s">
        <v>60</v>
      </c>
      <c r="Y215" t="s">
        <v>650</v>
      </c>
      <c r="Z215" t="s">
        <v>37</v>
      </c>
      <c r="AA215" t="s">
        <v>55</v>
      </c>
      <c r="AB215" t="s">
        <v>37</v>
      </c>
      <c r="AC215" s="6" t="s">
        <v>37</v>
      </c>
      <c r="AD215" s="6" t="s">
        <v>37</v>
      </c>
      <c r="AE215" t="s">
        <v>37</v>
      </c>
      <c r="AF215" t="s">
        <v>37</v>
      </c>
      <c r="AG215" s="6" t="s">
        <v>37</v>
      </c>
      <c r="AH215" t="s">
        <v>37</v>
      </c>
      <c r="AI215" t="s">
        <v>37</v>
      </c>
      <c r="AJ215" t="str">
        <f t="shared" si="11"/>
        <v>7H9X1Z6SB07W6GY66B</v>
      </c>
    </row>
    <row r="216" spans="1:36" ht="15" customHeight="1" x14ac:dyDescent="0.25">
      <c r="A216" t="s">
        <v>101</v>
      </c>
      <c r="B216" t="s">
        <v>37</v>
      </c>
      <c r="C216" t="s">
        <v>37</v>
      </c>
      <c r="D216" t="s">
        <v>38</v>
      </c>
      <c r="E216" s="4">
        <v>20</v>
      </c>
      <c r="F216" s="5">
        <v>738.6</v>
      </c>
      <c r="G216" s="5" t="s">
        <v>39</v>
      </c>
      <c r="H216" s="5">
        <v>1229.4000000000001</v>
      </c>
      <c r="I216" s="5" t="s">
        <v>39</v>
      </c>
      <c r="J216" s="5">
        <v>25.112400000000001</v>
      </c>
      <c r="K216" s="5">
        <f t="shared" si="9"/>
        <v>1.25562</v>
      </c>
      <c r="L216" s="5">
        <f t="shared" si="10"/>
        <v>36.93</v>
      </c>
      <c r="M216" s="5" t="s">
        <v>39</v>
      </c>
      <c r="N216" s="5">
        <v>25.112400000000001</v>
      </c>
      <c r="O216" s="5" t="s">
        <v>39</v>
      </c>
      <c r="P216" t="s">
        <v>274</v>
      </c>
      <c r="Q216" t="s">
        <v>651</v>
      </c>
      <c r="R216" t="s">
        <v>37</v>
      </c>
      <c r="S216" t="s">
        <v>652</v>
      </c>
      <c r="T216" t="s">
        <v>43</v>
      </c>
      <c r="U216" t="s">
        <v>44</v>
      </c>
      <c r="V216">
        <v>147</v>
      </c>
      <c r="W216" t="s">
        <v>45</v>
      </c>
      <c r="X216" t="s">
        <v>53</v>
      </c>
      <c r="Y216" t="s">
        <v>486</v>
      </c>
      <c r="Z216" t="s">
        <v>37</v>
      </c>
      <c r="AA216" t="s">
        <v>55</v>
      </c>
      <c r="AB216" t="s">
        <v>37</v>
      </c>
      <c r="AC216" s="6" t="s">
        <v>37</v>
      </c>
      <c r="AD216" s="6" t="s">
        <v>37</v>
      </c>
      <c r="AE216" t="s">
        <v>37</v>
      </c>
      <c r="AF216" t="s">
        <v>37</v>
      </c>
      <c r="AG216" s="6" t="s">
        <v>37</v>
      </c>
      <c r="AH216" t="s">
        <v>37</v>
      </c>
      <c r="AI216" t="s">
        <v>37</v>
      </c>
      <c r="AJ216" t="str">
        <f t="shared" si="11"/>
        <v>4LYATDUXB07W5JHX84</v>
      </c>
    </row>
    <row r="217" spans="1:36" ht="15" customHeight="1" x14ac:dyDescent="0.25">
      <c r="A217" t="s">
        <v>62</v>
      </c>
      <c r="B217" t="s">
        <v>37</v>
      </c>
      <c r="C217" t="s">
        <v>37</v>
      </c>
      <c r="D217" t="s">
        <v>38</v>
      </c>
      <c r="E217" s="4">
        <v>10</v>
      </c>
      <c r="F217" s="5">
        <v>322.10000000000002</v>
      </c>
      <c r="G217" s="5" t="s">
        <v>39</v>
      </c>
      <c r="H217" s="5">
        <v>483.5</v>
      </c>
      <c r="I217" s="5" t="s">
        <v>39</v>
      </c>
      <c r="J217" s="5">
        <v>10.9514</v>
      </c>
      <c r="K217" s="5">
        <f t="shared" si="9"/>
        <v>1.09514</v>
      </c>
      <c r="L217" s="5">
        <f t="shared" si="10"/>
        <v>32.21</v>
      </c>
      <c r="M217" s="5" t="s">
        <v>39</v>
      </c>
      <c r="N217" s="5">
        <v>10.9514</v>
      </c>
      <c r="O217" s="5" t="s">
        <v>39</v>
      </c>
      <c r="P217" t="s">
        <v>653</v>
      </c>
      <c r="Q217" t="s">
        <v>654</v>
      </c>
      <c r="R217" t="s">
        <v>37</v>
      </c>
      <c r="S217" t="s">
        <v>655</v>
      </c>
      <c r="T217" t="s">
        <v>43</v>
      </c>
      <c r="U217" t="s">
        <v>44</v>
      </c>
      <c r="V217">
        <v>147</v>
      </c>
      <c r="W217" t="s">
        <v>45</v>
      </c>
      <c r="X217" t="s">
        <v>60</v>
      </c>
      <c r="Y217" t="s">
        <v>656</v>
      </c>
      <c r="Z217" t="s">
        <v>37</v>
      </c>
      <c r="AA217" t="s">
        <v>55</v>
      </c>
      <c r="AB217" t="s">
        <v>37</v>
      </c>
      <c r="AC217" s="6" t="s">
        <v>37</v>
      </c>
      <c r="AD217" s="6" t="s">
        <v>37</v>
      </c>
      <c r="AE217" t="s">
        <v>37</v>
      </c>
      <c r="AF217" t="s">
        <v>37</v>
      </c>
      <c r="AG217" s="6" t="s">
        <v>37</v>
      </c>
      <c r="AH217" t="s">
        <v>37</v>
      </c>
      <c r="AI217" t="s">
        <v>37</v>
      </c>
      <c r="AJ217" t="str">
        <f t="shared" si="11"/>
        <v>1JF8DBHDB010X0ZQ7S</v>
      </c>
    </row>
    <row r="218" spans="1:36" ht="15" customHeight="1" x14ac:dyDescent="0.25">
      <c r="A218" t="s">
        <v>49</v>
      </c>
      <c r="B218" t="s">
        <v>37</v>
      </c>
      <c r="C218" t="s">
        <v>37</v>
      </c>
      <c r="D218" t="s">
        <v>38</v>
      </c>
      <c r="E218" s="4">
        <v>400</v>
      </c>
      <c r="F218" s="5">
        <v>5152</v>
      </c>
      <c r="G218" s="5" t="s">
        <v>39</v>
      </c>
      <c r="H218" s="5">
        <v>7864</v>
      </c>
      <c r="I218" s="5" t="s">
        <v>39</v>
      </c>
      <c r="J218" s="5">
        <v>175.16800000000001</v>
      </c>
      <c r="K218" s="5">
        <f t="shared" si="9"/>
        <v>0.43792000000000003</v>
      </c>
      <c r="L218" s="5">
        <f t="shared" si="10"/>
        <v>12.88</v>
      </c>
      <c r="M218" s="5" t="s">
        <v>39</v>
      </c>
      <c r="N218" s="5">
        <v>175.16800000000001</v>
      </c>
      <c r="O218" s="5" t="s">
        <v>39</v>
      </c>
      <c r="P218" t="s">
        <v>537</v>
      </c>
      <c r="Q218" t="s">
        <v>287</v>
      </c>
      <c r="R218" t="s">
        <v>37</v>
      </c>
      <c r="S218" t="s">
        <v>288</v>
      </c>
      <c r="T218" t="s">
        <v>43</v>
      </c>
      <c r="U218" t="s">
        <v>44</v>
      </c>
      <c r="V218">
        <v>147</v>
      </c>
      <c r="W218" t="s">
        <v>45</v>
      </c>
      <c r="X218" t="s">
        <v>239</v>
      </c>
      <c r="Y218" t="s">
        <v>289</v>
      </c>
      <c r="Z218" t="s">
        <v>37</v>
      </c>
      <c r="AA218" t="s">
        <v>95</v>
      </c>
      <c r="AB218" t="s">
        <v>37</v>
      </c>
      <c r="AC218" s="6" t="s">
        <v>37</v>
      </c>
      <c r="AD218" s="6" t="s">
        <v>37</v>
      </c>
      <c r="AE218" t="s">
        <v>37</v>
      </c>
      <c r="AF218" t="s">
        <v>37</v>
      </c>
      <c r="AG218" s="6" t="s">
        <v>37</v>
      </c>
      <c r="AH218" t="s">
        <v>37</v>
      </c>
      <c r="AI218" t="s">
        <v>37</v>
      </c>
      <c r="AJ218" t="str">
        <f t="shared" si="11"/>
        <v>1LQM129ZB00ZOZZM4U</v>
      </c>
    </row>
    <row r="219" spans="1:36" ht="15" customHeight="1" x14ac:dyDescent="0.25">
      <c r="A219" t="s">
        <v>71</v>
      </c>
      <c r="B219" t="s">
        <v>37</v>
      </c>
      <c r="C219" t="s">
        <v>37</v>
      </c>
      <c r="D219" t="s">
        <v>38</v>
      </c>
      <c r="E219" s="4">
        <v>4</v>
      </c>
      <c r="F219" s="5">
        <v>293.36</v>
      </c>
      <c r="G219" s="5" t="s">
        <v>39</v>
      </c>
      <c r="H219" s="5">
        <v>475.4</v>
      </c>
      <c r="I219" s="5" t="s">
        <v>39</v>
      </c>
      <c r="J219" s="5">
        <v>9.97424</v>
      </c>
      <c r="K219" s="5">
        <f t="shared" si="9"/>
        <v>2.49356</v>
      </c>
      <c r="L219" s="5">
        <f t="shared" si="10"/>
        <v>73.34</v>
      </c>
      <c r="M219" s="5" t="s">
        <v>39</v>
      </c>
      <c r="N219" s="5">
        <v>9.97424</v>
      </c>
      <c r="O219" s="5" t="s">
        <v>39</v>
      </c>
      <c r="P219" t="s">
        <v>320</v>
      </c>
      <c r="Q219" t="s">
        <v>401</v>
      </c>
      <c r="R219" t="s">
        <v>37</v>
      </c>
      <c r="S219" t="s">
        <v>402</v>
      </c>
      <c r="T219" t="s">
        <v>43</v>
      </c>
      <c r="U219" t="s">
        <v>44</v>
      </c>
      <c r="V219">
        <v>147</v>
      </c>
      <c r="W219" t="s">
        <v>45</v>
      </c>
      <c r="X219" t="s">
        <v>46</v>
      </c>
      <c r="Y219" t="s">
        <v>403</v>
      </c>
      <c r="Z219" t="s">
        <v>37</v>
      </c>
      <c r="AA219" t="s">
        <v>55</v>
      </c>
      <c r="AB219" t="s">
        <v>37</v>
      </c>
      <c r="AC219" s="6" t="s">
        <v>37</v>
      </c>
      <c r="AD219" s="6" t="s">
        <v>37</v>
      </c>
      <c r="AE219" t="s">
        <v>37</v>
      </c>
      <c r="AF219" t="s">
        <v>37</v>
      </c>
      <c r="AG219" s="6" t="s">
        <v>37</v>
      </c>
      <c r="AH219" t="s">
        <v>37</v>
      </c>
      <c r="AI219" t="s">
        <v>37</v>
      </c>
      <c r="AJ219" t="str">
        <f t="shared" si="11"/>
        <v>8BG295LIB07G5XJLWK</v>
      </c>
    </row>
    <row r="220" spans="1:36" ht="15" customHeight="1" x14ac:dyDescent="0.25">
      <c r="A220" t="s">
        <v>36</v>
      </c>
      <c r="B220" t="s">
        <v>37</v>
      </c>
      <c r="C220" t="s">
        <v>37</v>
      </c>
      <c r="D220" t="s">
        <v>38</v>
      </c>
      <c r="E220" s="4">
        <v>40</v>
      </c>
      <c r="F220" s="5">
        <v>1371.6</v>
      </c>
      <c r="G220" s="5" t="s">
        <v>39</v>
      </c>
      <c r="H220" s="5">
        <v>2294.8000000000002</v>
      </c>
      <c r="I220" s="5" t="s">
        <v>39</v>
      </c>
      <c r="J220" s="5">
        <v>46.634399999999999</v>
      </c>
      <c r="K220" s="5">
        <f t="shared" si="9"/>
        <v>1.1658599999999999</v>
      </c>
      <c r="L220" s="5">
        <f t="shared" si="10"/>
        <v>34.29</v>
      </c>
      <c r="M220" s="5" t="s">
        <v>39</v>
      </c>
      <c r="N220" s="5">
        <v>46.634399999999999</v>
      </c>
      <c r="O220" s="5" t="s">
        <v>39</v>
      </c>
      <c r="P220" t="s">
        <v>67</v>
      </c>
      <c r="Q220" t="s">
        <v>523</v>
      </c>
      <c r="R220" t="s">
        <v>37</v>
      </c>
      <c r="S220" t="s">
        <v>524</v>
      </c>
      <c r="T220" t="s">
        <v>43</v>
      </c>
      <c r="U220" t="s">
        <v>44</v>
      </c>
      <c r="V220">
        <v>147</v>
      </c>
      <c r="W220" t="s">
        <v>45</v>
      </c>
      <c r="X220" t="s">
        <v>46</v>
      </c>
      <c r="Y220" t="s">
        <v>525</v>
      </c>
      <c r="Z220" t="s">
        <v>37</v>
      </c>
      <c r="AA220" t="s">
        <v>48</v>
      </c>
      <c r="AB220" t="s">
        <v>37</v>
      </c>
      <c r="AC220" s="6" t="s">
        <v>37</v>
      </c>
      <c r="AD220" s="6" t="s">
        <v>37</v>
      </c>
      <c r="AE220" t="s">
        <v>37</v>
      </c>
      <c r="AF220" t="s">
        <v>37</v>
      </c>
      <c r="AG220" s="6" t="s">
        <v>37</v>
      </c>
      <c r="AH220" t="s">
        <v>37</v>
      </c>
      <c r="AI220" t="s">
        <v>37</v>
      </c>
      <c r="AJ220" t="str">
        <f t="shared" si="11"/>
        <v>2TMBDXBKB00CJ5FPTA</v>
      </c>
    </row>
    <row r="221" spans="1:36" ht="15" customHeight="1" x14ac:dyDescent="0.25">
      <c r="A221" t="s">
        <v>76</v>
      </c>
      <c r="B221" t="s">
        <v>37</v>
      </c>
      <c r="C221" t="s">
        <v>37</v>
      </c>
      <c r="D221" t="s">
        <v>38</v>
      </c>
      <c r="E221" s="4">
        <v>60</v>
      </c>
      <c r="F221" s="5">
        <v>983.4</v>
      </c>
      <c r="G221" s="5" t="s">
        <v>39</v>
      </c>
      <c r="H221" s="5">
        <v>1474.8</v>
      </c>
      <c r="I221" s="5" t="s">
        <v>39</v>
      </c>
      <c r="J221" s="5">
        <v>33.435600000000001</v>
      </c>
      <c r="K221" s="5">
        <f t="shared" si="9"/>
        <v>0.55725999999999998</v>
      </c>
      <c r="L221" s="5">
        <f t="shared" si="10"/>
        <v>16.39</v>
      </c>
      <c r="M221" s="5" t="s">
        <v>39</v>
      </c>
      <c r="N221" s="5">
        <v>33.435600000000001</v>
      </c>
      <c r="O221" s="5" t="s">
        <v>39</v>
      </c>
      <c r="P221" t="s">
        <v>114</v>
      </c>
      <c r="Q221" t="s">
        <v>173</v>
      </c>
      <c r="R221" t="s">
        <v>37</v>
      </c>
      <c r="S221" t="s">
        <v>174</v>
      </c>
      <c r="T221" t="s">
        <v>43</v>
      </c>
      <c r="U221" t="s">
        <v>44</v>
      </c>
      <c r="V221">
        <v>147</v>
      </c>
      <c r="W221" t="s">
        <v>45</v>
      </c>
      <c r="X221" t="s">
        <v>60</v>
      </c>
      <c r="Y221" t="s">
        <v>175</v>
      </c>
      <c r="Z221" t="s">
        <v>37</v>
      </c>
      <c r="AA221" t="s">
        <v>55</v>
      </c>
      <c r="AB221" t="s">
        <v>37</v>
      </c>
      <c r="AC221" s="6" t="s">
        <v>37</v>
      </c>
      <c r="AD221" s="6" t="s">
        <v>37</v>
      </c>
      <c r="AE221" t="s">
        <v>37</v>
      </c>
      <c r="AF221" t="s">
        <v>37</v>
      </c>
      <c r="AG221" s="6" t="s">
        <v>37</v>
      </c>
      <c r="AH221" t="s">
        <v>37</v>
      </c>
      <c r="AI221" t="s">
        <v>37</v>
      </c>
      <c r="AJ221" t="str">
        <f t="shared" si="11"/>
        <v>243WWSUAB077BT728N</v>
      </c>
    </row>
    <row r="222" spans="1:36" ht="15" customHeight="1" x14ac:dyDescent="0.25">
      <c r="A222" t="s">
        <v>647</v>
      </c>
      <c r="B222" t="s">
        <v>37</v>
      </c>
      <c r="C222" t="s">
        <v>37</v>
      </c>
      <c r="D222" t="s">
        <v>38</v>
      </c>
      <c r="E222" s="4">
        <v>0</v>
      </c>
      <c r="F222" s="5">
        <v>0</v>
      </c>
      <c r="G222" s="5" t="s">
        <v>39</v>
      </c>
      <c r="H222" s="5">
        <v>0</v>
      </c>
      <c r="I222" s="5" t="s">
        <v>39</v>
      </c>
      <c r="J222" s="5">
        <v>0</v>
      </c>
      <c r="K222" s="5" t="e">
        <f t="shared" si="9"/>
        <v>#DIV/0!</v>
      </c>
      <c r="L222" s="5" t="e">
        <f t="shared" si="10"/>
        <v>#DIV/0!</v>
      </c>
      <c r="M222" s="5" t="s">
        <v>39</v>
      </c>
      <c r="N222" s="5">
        <v>0</v>
      </c>
      <c r="O222" s="5" t="s">
        <v>39</v>
      </c>
      <c r="P222" t="s">
        <v>320</v>
      </c>
      <c r="Q222" t="s">
        <v>657</v>
      </c>
      <c r="R222" t="s">
        <v>37</v>
      </c>
      <c r="S222" t="s">
        <v>658</v>
      </c>
      <c r="T222" t="s">
        <v>43</v>
      </c>
      <c r="U222" t="s">
        <v>44</v>
      </c>
      <c r="V222">
        <v>147</v>
      </c>
      <c r="W222" t="s">
        <v>45</v>
      </c>
      <c r="X222" t="s">
        <v>53</v>
      </c>
      <c r="Y222" t="s">
        <v>659</v>
      </c>
      <c r="Z222" t="s">
        <v>37</v>
      </c>
      <c r="AA222" t="s">
        <v>55</v>
      </c>
      <c r="AB222" t="s">
        <v>37</v>
      </c>
      <c r="AC222" s="6" t="s">
        <v>37</v>
      </c>
      <c r="AD222" s="6" t="s">
        <v>37</v>
      </c>
      <c r="AE222" t="s">
        <v>37</v>
      </c>
      <c r="AF222" t="s">
        <v>37</v>
      </c>
      <c r="AG222" s="6" t="s">
        <v>37</v>
      </c>
      <c r="AH222" t="s">
        <v>37</v>
      </c>
      <c r="AI222" t="s">
        <v>37</v>
      </c>
      <c r="AJ222" t="str">
        <f t="shared" si="11"/>
        <v>8BG295LIB07W5JKFQC</v>
      </c>
    </row>
    <row r="223" spans="1:36" ht="15" customHeight="1" x14ac:dyDescent="0.25">
      <c r="A223" t="s">
        <v>221</v>
      </c>
      <c r="B223" t="s">
        <v>37</v>
      </c>
      <c r="C223" t="s">
        <v>37</v>
      </c>
      <c r="D223" t="s">
        <v>38</v>
      </c>
      <c r="E223" s="4">
        <v>4</v>
      </c>
      <c r="F223" s="5">
        <v>94.96</v>
      </c>
      <c r="G223" s="5" t="s">
        <v>39</v>
      </c>
      <c r="H223" s="5">
        <v>134.4</v>
      </c>
      <c r="I223" s="5" t="s">
        <v>39</v>
      </c>
      <c r="J223" s="5">
        <v>3.22864</v>
      </c>
      <c r="K223" s="5">
        <f t="shared" si="9"/>
        <v>0.80715999999999999</v>
      </c>
      <c r="L223" s="5">
        <f t="shared" si="10"/>
        <v>23.74</v>
      </c>
      <c r="M223" s="5" t="s">
        <v>39</v>
      </c>
      <c r="N223" s="5">
        <v>3.22864</v>
      </c>
      <c r="O223" s="5" t="s">
        <v>39</v>
      </c>
      <c r="P223" t="s">
        <v>320</v>
      </c>
      <c r="Q223" t="s">
        <v>657</v>
      </c>
      <c r="R223" t="s">
        <v>37</v>
      </c>
      <c r="S223" t="s">
        <v>658</v>
      </c>
      <c r="T223" t="s">
        <v>43</v>
      </c>
      <c r="U223" t="s">
        <v>44</v>
      </c>
      <c r="V223">
        <v>147</v>
      </c>
      <c r="W223" t="s">
        <v>45</v>
      </c>
      <c r="X223" t="s">
        <v>53</v>
      </c>
      <c r="Y223" t="s">
        <v>659</v>
      </c>
      <c r="Z223" t="s">
        <v>37</v>
      </c>
      <c r="AA223" t="s">
        <v>55</v>
      </c>
      <c r="AB223" t="s">
        <v>37</v>
      </c>
      <c r="AC223" s="6" t="s">
        <v>37</v>
      </c>
      <c r="AD223" s="6" t="s">
        <v>37</v>
      </c>
      <c r="AE223" t="s">
        <v>37</v>
      </c>
      <c r="AF223" t="s">
        <v>37</v>
      </c>
      <c r="AG223" s="6" t="s">
        <v>37</v>
      </c>
      <c r="AH223" t="s">
        <v>37</v>
      </c>
      <c r="AI223" t="s">
        <v>37</v>
      </c>
      <c r="AJ223" t="str">
        <f t="shared" si="11"/>
        <v>8BG295LIB07W5JKFQC</v>
      </c>
    </row>
    <row r="224" spans="1:36" ht="15" customHeight="1" x14ac:dyDescent="0.25">
      <c r="A224" t="s">
        <v>36</v>
      </c>
      <c r="B224" t="s">
        <v>37</v>
      </c>
      <c r="C224" t="s">
        <v>37</v>
      </c>
      <c r="D224" t="s">
        <v>38</v>
      </c>
      <c r="E224" s="4">
        <v>4</v>
      </c>
      <c r="F224" s="5">
        <v>335.56</v>
      </c>
      <c r="G224" s="5" t="s">
        <v>39</v>
      </c>
      <c r="H224" s="5">
        <v>554.08000000000004</v>
      </c>
      <c r="I224" s="5" t="s">
        <v>39</v>
      </c>
      <c r="J224" s="5">
        <v>11.409039999999999</v>
      </c>
      <c r="K224" s="5">
        <f t="shared" si="9"/>
        <v>2.8522599999999998</v>
      </c>
      <c r="L224" s="5">
        <f t="shared" si="10"/>
        <v>83.89</v>
      </c>
      <c r="M224" s="5" t="s">
        <v>39</v>
      </c>
      <c r="N224" s="5">
        <v>11.409039999999999</v>
      </c>
      <c r="O224" s="5" t="s">
        <v>39</v>
      </c>
      <c r="P224" t="s">
        <v>168</v>
      </c>
      <c r="Q224" t="s">
        <v>660</v>
      </c>
      <c r="R224" t="s">
        <v>37</v>
      </c>
      <c r="S224" t="s">
        <v>661</v>
      </c>
      <c r="T224" t="s">
        <v>43</v>
      </c>
      <c r="U224" t="s">
        <v>44</v>
      </c>
      <c r="V224">
        <v>147</v>
      </c>
      <c r="W224" t="s">
        <v>45</v>
      </c>
      <c r="X224" t="s">
        <v>46</v>
      </c>
      <c r="Y224" t="s">
        <v>662</v>
      </c>
      <c r="Z224" t="s">
        <v>37</v>
      </c>
      <c r="AA224" t="s">
        <v>48</v>
      </c>
      <c r="AB224" t="s">
        <v>37</v>
      </c>
      <c r="AC224" s="6" t="s">
        <v>37</v>
      </c>
      <c r="AD224" s="6" t="s">
        <v>37</v>
      </c>
      <c r="AE224" t="s">
        <v>37</v>
      </c>
      <c r="AF224" t="s">
        <v>37</v>
      </c>
      <c r="AG224" s="6" t="s">
        <v>37</v>
      </c>
      <c r="AH224" t="s">
        <v>37</v>
      </c>
      <c r="AI224" t="s">
        <v>37</v>
      </c>
      <c r="AJ224" t="str">
        <f t="shared" si="11"/>
        <v>2R6FMUZDB01M3TTXMY</v>
      </c>
    </row>
    <row r="225" spans="1:36" ht="15" customHeight="1" x14ac:dyDescent="0.25">
      <c r="A225" t="s">
        <v>96</v>
      </c>
      <c r="B225" t="s">
        <v>37</v>
      </c>
      <c r="C225" t="s">
        <v>37</v>
      </c>
      <c r="D225" t="s">
        <v>38</v>
      </c>
      <c r="E225" s="4">
        <v>8</v>
      </c>
      <c r="F225" s="5">
        <v>1051.04</v>
      </c>
      <c r="G225" s="5" t="s">
        <v>39</v>
      </c>
      <c r="H225" s="5">
        <v>1763.92</v>
      </c>
      <c r="I225" s="5" t="s">
        <v>39</v>
      </c>
      <c r="J225" s="5">
        <v>35.73536</v>
      </c>
      <c r="K225" s="5">
        <f t="shared" si="9"/>
        <v>4.46692</v>
      </c>
      <c r="L225" s="5">
        <f t="shared" si="10"/>
        <v>131.38</v>
      </c>
      <c r="M225" s="5" t="s">
        <v>39</v>
      </c>
      <c r="N225" s="5">
        <v>35.73536</v>
      </c>
      <c r="O225" s="5" t="s">
        <v>39</v>
      </c>
      <c r="P225" t="s">
        <v>195</v>
      </c>
      <c r="Q225" t="s">
        <v>316</v>
      </c>
      <c r="R225" t="s">
        <v>37</v>
      </c>
      <c r="S225" t="s">
        <v>317</v>
      </c>
      <c r="T225" t="s">
        <v>318</v>
      </c>
      <c r="U225" t="s">
        <v>44</v>
      </c>
      <c r="V225">
        <v>147</v>
      </c>
      <c r="W225" t="s">
        <v>45</v>
      </c>
      <c r="X225" t="s">
        <v>60</v>
      </c>
      <c r="Y225" t="s">
        <v>319</v>
      </c>
      <c r="Z225" t="s">
        <v>37</v>
      </c>
      <c r="AA225" t="s">
        <v>95</v>
      </c>
      <c r="AB225" t="s">
        <v>37</v>
      </c>
      <c r="AC225" s="6" t="s">
        <v>37</v>
      </c>
      <c r="AD225" s="6" t="s">
        <v>37</v>
      </c>
      <c r="AE225" t="s">
        <v>37</v>
      </c>
      <c r="AF225" t="s">
        <v>37</v>
      </c>
      <c r="AG225" s="6" t="s">
        <v>37</v>
      </c>
      <c r="AH225" t="s">
        <v>37</v>
      </c>
      <c r="AI225" t="s">
        <v>37</v>
      </c>
      <c r="AJ225" t="str">
        <f t="shared" si="11"/>
        <v>5X1OU9ZGB07W7LQDX7</v>
      </c>
    </row>
    <row r="226" spans="1:36" ht="15" customHeight="1" x14ac:dyDescent="0.25">
      <c r="A226" t="s">
        <v>76</v>
      </c>
      <c r="B226" t="s">
        <v>37</v>
      </c>
      <c r="C226" t="s">
        <v>37</v>
      </c>
      <c r="D226" t="s">
        <v>38</v>
      </c>
      <c r="E226" s="4">
        <v>2</v>
      </c>
      <c r="F226" s="5">
        <v>188.88</v>
      </c>
      <c r="G226" s="5" t="s">
        <v>39</v>
      </c>
      <c r="H226" s="5">
        <v>303.26</v>
      </c>
      <c r="I226" s="5" t="s">
        <v>39</v>
      </c>
      <c r="J226" s="5">
        <v>6.4219200000000001</v>
      </c>
      <c r="K226" s="5">
        <f t="shared" si="9"/>
        <v>3.21096</v>
      </c>
      <c r="L226" s="5">
        <f t="shared" si="10"/>
        <v>94.44</v>
      </c>
      <c r="M226" s="5" t="s">
        <v>39</v>
      </c>
      <c r="N226" s="5">
        <v>6.4219200000000001</v>
      </c>
      <c r="O226" s="5" t="s">
        <v>39</v>
      </c>
      <c r="P226" t="s">
        <v>63</v>
      </c>
      <c r="Q226" t="s">
        <v>663</v>
      </c>
      <c r="R226" t="s">
        <v>37</v>
      </c>
      <c r="S226" t="s">
        <v>664</v>
      </c>
      <c r="T226" t="s">
        <v>43</v>
      </c>
      <c r="U226" t="s">
        <v>44</v>
      </c>
      <c r="V226">
        <v>147</v>
      </c>
      <c r="W226" t="s">
        <v>45</v>
      </c>
      <c r="X226" t="s">
        <v>46</v>
      </c>
      <c r="Y226" t="s">
        <v>665</v>
      </c>
      <c r="Z226" t="s">
        <v>37</v>
      </c>
      <c r="AA226" t="s">
        <v>48</v>
      </c>
      <c r="AB226" t="s">
        <v>37</v>
      </c>
      <c r="AC226" s="6" t="s">
        <v>37</v>
      </c>
      <c r="AD226" s="6" t="s">
        <v>37</v>
      </c>
      <c r="AE226" t="s">
        <v>37</v>
      </c>
      <c r="AF226" t="s">
        <v>37</v>
      </c>
      <c r="AG226" s="6" t="s">
        <v>37</v>
      </c>
      <c r="AH226" t="s">
        <v>37</v>
      </c>
      <c r="AI226" t="s">
        <v>37</v>
      </c>
      <c r="AJ226" t="str">
        <f t="shared" si="11"/>
        <v>7H9X1Z6SB01M9EWQ2W</v>
      </c>
    </row>
    <row r="227" spans="1:36" ht="15" customHeight="1" x14ac:dyDescent="0.25">
      <c r="A227" t="s">
        <v>96</v>
      </c>
      <c r="B227" t="s">
        <v>37</v>
      </c>
      <c r="C227" t="s">
        <v>37</v>
      </c>
      <c r="D227" t="s">
        <v>38</v>
      </c>
      <c r="E227" s="4">
        <v>4</v>
      </c>
      <c r="F227" s="5">
        <v>485</v>
      </c>
      <c r="G227" s="5" t="s">
        <v>39</v>
      </c>
      <c r="H227" s="5">
        <v>750.8</v>
      </c>
      <c r="I227" s="5" t="s">
        <v>39</v>
      </c>
      <c r="J227" s="5">
        <v>16.489999999999998</v>
      </c>
      <c r="K227" s="5">
        <f t="shared" si="9"/>
        <v>4.1224999999999996</v>
      </c>
      <c r="L227" s="5">
        <f t="shared" si="10"/>
        <v>121.25</v>
      </c>
      <c r="M227" s="5" t="s">
        <v>39</v>
      </c>
      <c r="N227" s="5">
        <v>16.489999999999998</v>
      </c>
      <c r="O227" s="5" t="s">
        <v>39</v>
      </c>
      <c r="P227" t="s">
        <v>666</v>
      </c>
      <c r="Q227" t="s">
        <v>667</v>
      </c>
      <c r="R227" t="s">
        <v>37</v>
      </c>
      <c r="S227" t="s">
        <v>668</v>
      </c>
      <c r="T227" t="s">
        <v>43</v>
      </c>
      <c r="U227" t="s">
        <v>44</v>
      </c>
      <c r="V227">
        <v>147</v>
      </c>
      <c r="W227" t="s">
        <v>45</v>
      </c>
      <c r="X227" t="s">
        <v>60</v>
      </c>
      <c r="Y227" t="s">
        <v>669</v>
      </c>
      <c r="Z227" t="s">
        <v>37</v>
      </c>
      <c r="AA227" t="s">
        <v>48</v>
      </c>
      <c r="AB227" t="s">
        <v>37</v>
      </c>
      <c r="AC227" s="6" t="s">
        <v>37</v>
      </c>
      <c r="AD227" s="6" t="s">
        <v>37</v>
      </c>
      <c r="AE227" t="s">
        <v>37</v>
      </c>
      <c r="AF227" t="s">
        <v>37</v>
      </c>
      <c r="AG227" s="6" t="s">
        <v>37</v>
      </c>
      <c r="AH227" t="s">
        <v>37</v>
      </c>
      <c r="AI227" t="s">
        <v>37</v>
      </c>
      <c r="AJ227" t="str">
        <f t="shared" si="11"/>
        <v>4KGCSU5VB074KMD92K</v>
      </c>
    </row>
    <row r="228" spans="1:36" ht="15" customHeight="1" x14ac:dyDescent="0.25">
      <c r="A228" t="s">
        <v>36</v>
      </c>
      <c r="B228" t="s">
        <v>37</v>
      </c>
      <c r="C228" t="s">
        <v>37</v>
      </c>
      <c r="D228" t="s">
        <v>38</v>
      </c>
      <c r="E228" s="4">
        <v>4</v>
      </c>
      <c r="F228" s="5">
        <v>335.56</v>
      </c>
      <c r="G228" s="5" t="s">
        <v>39</v>
      </c>
      <c r="H228" s="5">
        <v>540.96</v>
      </c>
      <c r="I228" s="5" t="s">
        <v>39</v>
      </c>
      <c r="J228" s="5">
        <v>11.409039999999999</v>
      </c>
      <c r="K228" s="5">
        <f t="shared" si="9"/>
        <v>2.8522599999999998</v>
      </c>
      <c r="L228" s="5">
        <f t="shared" si="10"/>
        <v>83.89</v>
      </c>
      <c r="M228" s="5" t="s">
        <v>39</v>
      </c>
      <c r="N228" s="5">
        <v>11.409039999999999</v>
      </c>
      <c r="O228" s="5" t="s">
        <v>39</v>
      </c>
      <c r="P228" t="s">
        <v>133</v>
      </c>
      <c r="Q228" t="s">
        <v>501</v>
      </c>
      <c r="R228" t="s">
        <v>37</v>
      </c>
      <c r="S228" t="s">
        <v>502</v>
      </c>
      <c r="T228" t="s">
        <v>43</v>
      </c>
      <c r="U228" t="s">
        <v>44</v>
      </c>
      <c r="V228">
        <v>147</v>
      </c>
      <c r="W228" t="s">
        <v>45</v>
      </c>
      <c r="X228" t="s">
        <v>53</v>
      </c>
      <c r="Y228" t="s">
        <v>503</v>
      </c>
      <c r="Z228" t="s">
        <v>37</v>
      </c>
      <c r="AA228" t="s">
        <v>55</v>
      </c>
      <c r="AB228" t="s">
        <v>37</v>
      </c>
      <c r="AC228" s="6" t="s">
        <v>37</v>
      </c>
      <c r="AD228" s="6" t="s">
        <v>37</v>
      </c>
      <c r="AE228" t="s">
        <v>37</v>
      </c>
      <c r="AF228" t="s">
        <v>37</v>
      </c>
      <c r="AG228" s="6" t="s">
        <v>37</v>
      </c>
      <c r="AH228" t="s">
        <v>37</v>
      </c>
      <c r="AI228" t="s">
        <v>37</v>
      </c>
      <c r="AJ228" t="str">
        <f t="shared" si="11"/>
        <v>36BT7GGLB07W6J51XR</v>
      </c>
    </row>
    <row r="229" spans="1:36" ht="15" customHeight="1" x14ac:dyDescent="0.25">
      <c r="A229" t="s">
        <v>411</v>
      </c>
      <c r="B229" t="s">
        <v>37</v>
      </c>
      <c r="C229" t="s">
        <v>37</v>
      </c>
      <c r="D229" t="s">
        <v>38</v>
      </c>
      <c r="E229" s="4">
        <v>66</v>
      </c>
      <c r="F229" s="5">
        <v>14590.62</v>
      </c>
      <c r="G229" s="5" t="s">
        <v>39</v>
      </c>
      <c r="H229" s="5">
        <v>22126.5</v>
      </c>
      <c r="I229" s="5" t="s">
        <v>39</v>
      </c>
      <c r="J229" s="5">
        <v>496.08107999999999</v>
      </c>
      <c r="K229" s="5">
        <f t="shared" si="9"/>
        <v>7.5163799999999998</v>
      </c>
      <c r="L229" s="5">
        <f t="shared" si="10"/>
        <v>221.07000000000002</v>
      </c>
      <c r="M229" s="5" t="s">
        <v>39</v>
      </c>
      <c r="N229" s="5">
        <v>496.08107999999999</v>
      </c>
      <c r="O229" s="5" t="s">
        <v>39</v>
      </c>
      <c r="P229" t="s">
        <v>670</v>
      </c>
      <c r="Q229" t="s">
        <v>671</v>
      </c>
      <c r="R229" t="s">
        <v>672</v>
      </c>
      <c r="S229" t="s">
        <v>673</v>
      </c>
      <c r="T229" t="s">
        <v>43</v>
      </c>
      <c r="U229" t="s">
        <v>44</v>
      </c>
      <c r="V229">
        <v>147</v>
      </c>
      <c r="W229" t="s">
        <v>45</v>
      </c>
      <c r="X229" t="s">
        <v>46</v>
      </c>
      <c r="Y229" t="s">
        <v>674</v>
      </c>
      <c r="Z229" t="s">
        <v>37</v>
      </c>
      <c r="AA229" t="s">
        <v>55</v>
      </c>
      <c r="AB229" t="s">
        <v>37</v>
      </c>
      <c r="AC229" s="6" t="s">
        <v>37</v>
      </c>
      <c r="AD229" s="6" t="s">
        <v>37</v>
      </c>
      <c r="AE229" t="s">
        <v>37</v>
      </c>
      <c r="AF229" t="s">
        <v>37</v>
      </c>
      <c r="AG229" s="6" t="s">
        <v>37</v>
      </c>
      <c r="AH229" t="s">
        <v>37</v>
      </c>
      <c r="AI229" t="s">
        <v>37</v>
      </c>
      <c r="AJ229" t="str">
        <f t="shared" si="11"/>
        <v>7TFUVBKWB011N78DMA</v>
      </c>
    </row>
    <row r="230" spans="1:36" ht="15" customHeight="1" x14ac:dyDescent="0.25">
      <c r="A230" t="s">
        <v>210</v>
      </c>
      <c r="B230" t="s">
        <v>37</v>
      </c>
      <c r="C230" t="s">
        <v>37</v>
      </c>
      <c r="D230" t="s">
        <v>38</v>
      </c>
      <c r="E230" s="4">
        <v>8</v>
      </c>
      <c r="F230" s="5">
        <v>1810.8</v>
      </c>
      <c r="G230" s="5" t="s">
        <v>39</v>
      </c>
      <c r="H230" s="5">
        <v>2878.72</v>
      </c>
      <c r="I230" s="5" t="s">
        <v>39</v>
      </c>
      <c r="J230" s="5">
        <v>61.5672</v>
      </c>
      <c r="K230" s="5">
        <f t="shared" si="9"/>
        <v>7.6959</v>
      </c>
      <c r="L230" s="5">
        <f t="shared" si="10"/>
        <v>226.35</v>
      </c>
      <c r="M230" s="5" t="s">
        <v>39</v>
      </c>
      <c r="N230" s="5">
        <v>61.5672</v>
      </c>
      <c r="O230" s="5" t="s">
        <v>39</v>
      </c>
      <c r="P230" t="s">
        <v>670</v>
      </c>
      <c r="Q230" t="s">
        <v>675</v>
      </c>
      <c r="R230" t="s">
        <v>37</v>
      </c>
      <c r="S230" t="s">
        <v>676</v>
      </c>
      <c r="T230" t="s">
        <v>43</v>
      </c>
      <c r="U230" t="s">
        <v>44</v>
      </c>
      <c r="V230">
        <v>147</v>
      </c>
      <c r="W230" t="s">
        <v>45</v>
      </c>
      <c r="X230" t="s">
        <v>46</v>
      </c>
      <c r="Y230" t="s">
        <v>677</v>
      </c>
      <c r="Z230" t="s">
        <v>37</v>
      </c>
      <c r="AA230" t="s">
        <v>55</v>
      </c>
      <c r="AB230" t="s">
        <v>37</v>
      </c>
      <c r="AC230" s="6" t="s">
        <v>37</v>
      </c>
      <c r="AD230" s="6" t="s">
        <v>37</v>
      </c>
      <c r="AE230" t="s">
        <v>37</v>
      </c>
      <c r="AF230" t="s">
        <v>37</v>
      </c>
      <c r="AG230" s="6" t="s">
        <v>37</v>
      </c>
      <c r="AH230" t="s">
        <v>37</v>
      </c>
      <c r="AI230" t="s">
        <v>37</v>
      </c>
      <c r="AJ230" t="str">
        <f t="shared" si="11"/>
        <v>7TFUVBKWB07W7KFFFF</v>
      </c>
    </row>
    <row r="231" spans="1:36" ht="15" customHeight="1" x14ac:dyDescent="0.25">
      <c r="A231" t="s">
        <v>36</v>
      </c>
      <c r="B231" t="s">
        <v>37</v>
      </c>
      <c r="C231" t="s">
        <v>37</v>
      </c>
      <c r="D231" t="s">
        <v>38</v>
      </c>
      <c r="E231" s="4">
        <v>4</v>
      </c>
      <c r="F231" s="5">
        <v>105.48</v>
      </c>
      <c r="G231" s="5" t="s">
        <v>39</v>
      </c>
      <c r="H231" s="5">
        <v>170.44</v>
      </c>
      <c r="I231" s="5" t="s">
        <v>39</v>
      </c>
      <c r="J231" s="5">
        <v>3.5863200000000002</v>
      </c>
      <c r="K231" s="5">
        <f t="shared" si="9"/>
        <v>0.89658000000000004</v>
      </c>
      <c r="L231" s="5">
        <f t="shared" si="10"/>
        <v>26.37</v>
      </c>
      <c r="M231" s="5" t="s">
        <v>39</v>
      </c>
      <c r="N231" s="5">
        <v>3.5863200000000002</v>
      </c>
      <c r="O231" s="5" t="s">
        <v>39</v>
      </c>
      <c r="P231" t="s">
        <v>365</v>
      </c>
      <c r="Q231" t="s">
        <v>678</v>
      </c>
      <c r="R231" t="s">
        <v>37</v>
      </c>
      <c r="S231" t="s">
        <v>679</v>
      </c>
      <c r="T231" t="s">
        <v>43</v>
      </c>
      <c r="U231" t="s">
        <v>44</v>
      </c>
      <c r="V231">
        <v>147</v>
      </c>
      <c r="W231" t="s">
        <v>45</v>
      </c>
      <c r="X231" t="s">
        <v>590</v>
      </c>
      <c r="Y231" t="s">
        <v>591</v>
      </c>
      <c r="Z231" t="s">
        <v>37</v>
      </c>
      <c r="AA231" t="s">
        <v>55</v>
      </c>
      <c r="AB231" t="s">
        <v>37</v>
      </c>
      <c r="AC231" s="6" t="s">
        <v>37</v>
      </c>
      <c r="AD231" s="6" t="s">
        <v>37</v>
      </c>
      <c r="AE231" t="s">
        <v>37</v>
      </c>
      <c r="AF231" t="s">
        <v>37</v>
      </c>
      <c r="AG231" s="6" t="s">
        <v>37</v>
      </c>
      <c r="AH231" t="s">
        <v>37</v>
      </c>
      <c r="AI231" t="s">
        <v>37</v>
      </c>
      <c r="AJ231" t="str">
        <f t="shared" si="11"/>
        <v>3KYCEHVHB07W5JKT4S</v>
      </c>
    </row>
    <row r="232" spans="1:36" ht="15" customHeight="1" x14ac:dyDescent="0.25">
      <c r="A232" t="s">
        <v>49</v>
      </c>
      <c r="B232" t="s">
        <v>37</v>
      </c>
      <c r="C232" t="s">
        <v>37</v>
      </c>
      <c r="D232" t="s">
        <v>38</v>
      </c>
      <c r="E232" s="4">
        <v>220</v>
      </c>
      <c r="F232" s="5">
        <v>49797</v>
      </c>
      <c r="G232" s="5" t="s">
        <v>39</v>
      </c>
      <c r="H232" s="5">
        <v>79164.800000000003</v>
      </c>
      <c r="I232" s="5" t="s">
        <v>39</v>
      </c>
      <c r="J232" s="5">
        <v>1693.098</v>
      </c>
      <c r="K232" s="5">
        <f t="shared" si="9"/>
        <v>7.6959</v>
      </c>
      <c r="L232" s="5">
        <f t="shared" si="10"/>
        <v>226.35</v>
      </c>
      <c r="M232" s="5" t="s">
        <v>39</v>
      </c>
      <c r="N232" s="5">
        <v>1693.098</v>
      </c>
      <c r="O232" s="5" t="s">
        <v>39</v>
      </c>
      <c r="P232" t="s">
        <v>670</v>
      </c>
      <c r="Q232" t="s">
        <v>675</v>
      </c>
      <c r="R232" t="s">
        <v>37</v>
      </c>
      <c r="S232" t="s">
        <v>676</v>
      </c>
      <c r="T232" t="s">
        <v>43</v>
      </c>
      <c r="U232" t="s">
        <v>44</v>
      </c>
      <c r="V232">
        <v>147</v>
      </c>
      <c r="W232" t="s">
        <v>45</v>
      </c>
      <c r="X232" t="s">
        <v>46</v>
      </c>
      <c r="Y232" t="s">
        <v>677</v>
      </c>
      <c r="Z232" t="s">
        <v>37</v>
      </c>
      <c r="AA232" t="s">
        <v>55</v>
      </c>
      <c r="AB232" t="s">
        <v>37</v>
      </c>
      <c r="AC232" s="6" t="s">
        <v>37</v>
      </c>
      <c r="AD232" s="6" t="s">
        <v>37</v>
      </c>
      <c r="AE232" t="s">
        <v>37</v>
      </c>
      <c r="AF232" t="s">
        <v>37</v>
      </c>
      <c r="AG232" s="6" t="s">
        <v>37</v>
      </c>
      <c r="AH232" t="s">
        <v>37</v>
      </c>
      <c r="AI232" t="s">
        <v>37</v>
      </c>
      <c r="AJ232" t="str">
        <f t="shared" si="11"/>
        <v>7TFUVBKWB07W7KFFFF</v>
      </c>
    </row>
    <row r="233" spans="1:36" ht="15" customHeight="1" x14ac:dyDescent="0.25">
      <c r="A233" t="s">
        <v>36</v>
      </c>
      <c r="B233" t="s">
        <v>37</v>
      </c>
      <c r="C233" t="s">
        <v>37</v>
      </c>
      <c r="D233" t="s">
        <v>38</v>
      </c>
      <c r="E233" s="4">
        <v>4</v>
      </c>
      <c r="F233" s="5">
        <v>94.96</v>
      </c>
      <c r="G233" s="5" t="s">
        <v>39</v>
      </c>
      <c r="H233" s="5">
        <v>134.4</v>
      </c>
      <c r="I233" s="5" t="s">
        <v>39</v>
      </c>
      <c r="J233" s="5">
        <v>3.22864</v>
      </c>
      <c r="K233" s="5">
        <f t="shared" si="9"/>
        <v>0.80715999999999999</v>
      </c>
      <c r="L233" s="5">
        <f t="shared" si="10"/>
        <v>23.74</v>
      </c>
      <c r="M233" s="5" t="s">
        <v>39</v>
      </c>
      <c r="N233" s="5">
        <v>3.22864</v>
      </c>
      <c r="O233" s="5" t="s">
        <v>39</v>
      </c>
      <c r="P233" t="s">
        <v>320</v>
      </c>
      <c r="Q233" t="s">
        <v>657</v>
      </c>
      <c r="R233" t="s">
        <v>37</v>
      </c>
      <c r="S233" t="s">
        <v>658</v>
      </c>
      <c r="T233" t="s">
        <v>43</v>
      </c>
      <c r="U233" t="s">
        <v>44</v>
      </c>
      <c r="V233">
        <v>147</v>
      </c>
      <c r="W233" t="s">
        <v>45</v>
      </c>
      <c r="X233" t="s">
        <v>53</v>
      </c>
      <c r="Y233" t="s">
        <v>659</v>
      </c>
      <c r="Z233" t="s">
        <v>37</v>
      </c>
      <c r="AA233" t="s">
        <v>55</v>
      </c>
      <c r="AB233" t="s">
        <v>37</v>
      </c>
      <c r="AC233" s="6" t="s">
        <v>37</v>
      </c>
      <c r="AD233" s="6" t="s">
        <v>37</v>
      </c>
      <c r="AE233" t="s">
        <v>37</v>
      </c>
      <c r="AF233" t="s">
        <v>37</v>
      </c>
      <c r="AG233" s="6" t="s">
        <v>37</v>
      </c>
      <c r="AH233" t="s">
        <v>37</v>
      </c>
      <c r="AI233" t="s">
        <v>37</v>
      </c>
      <c r="AJ233" t="str">
        <f t="shared" si="11"/>
        <v>8BG295LIB07W5JKFQC</v>
      </c>
    </row>
    <row r="234" spans="1:36" ht="15" customHeight="1" x14ac:dyDescent="0.25">
      <c r="A234" t="s">
        <v>76</v>
      </c>
      <c r="B234" t="s">
        <v>37</v>
      </c>
      <c r="C234" t="s">
        <v>37</v>
      </c>
      <c r="D234" t="s">
        <v>38</v>
      </c>
      <c r="E234" s="4">
        <v>16</v>
      </c>
      <c r="F234" s="5">
        <v>374.72</v>
      </c>
      <c r="G234" s="5" t="s">
        <v>39</v>
      </c>
      <c r="H234" s="5">
        <v>576.96</v>
      </c>
      <c r="I234" s="5" t="s">
        <v>39</v>
      </c>
      <c r="J234" s="5">
        <v>12.74048</v>
      </c>
      <c r="K234" s="5">
        <f t="shared" si="9"/>
        <v>0.79627999999999999</v>
      </c>
      <c r="L234" s="5">
        <f t="shared" si="10"/>
        <v>23.42</v>
      </c>
      <c r="M234" s="5" t="s">
        <v>39</v>
      </c>
      <c r="N234" s="5">
        <v>12.74048</v>
      </c>
      <c r="O234" s="5" t="s">
        <v>39</v>
      </c>
      <c r="P234" t="s">
        <v>114</v>
      </c>
      <c r="Q234" t="s">
        <v>680</v>
      </c>
      <c r="R234" t="s">
        <v>37</v>
      </c>
      <c r="S234" t="s">
        <v>681</v>
      </c>
      <c r="T234" t="s">
        <v>43</v>
      </c>
      <c r="U234" t="s">
        <v>44</v>
      </c>
      <c r="V234">
        <v>147</v>
      </c>
      <c r="W234" t="s">
        <v>45</v>
      </c>
      <c r="X234" t="s">
        <v>60</v>
      </c>
      <c r="Y234" t="s">
        <v>682</v>
      </c>
      <c r="Z234" t="s">
        <v>37</v>
      </c>
      <c r="AA234" t="s">
        <v>48</v>
      </c>
      <c r="AB234" t="s">
        <v>37</v>
      </c>
      <c r="AC234" s="6" t="s">
        <v>37</v>
      </c>
      <c r="AD234" s="6" t="s">
        <v>37</v>
      </c>
      <c r="AE234" t="s">
        <v>37</v>
      </c>
      <c r="AF234" t="s">
        <v>37</v>
      </c>
      <c r="AG234" s="6" t="s">
        <v>37</v>
      </c>
      <c r="AH234" t="s">
        <v>37</v>
      </c>
      <c r="AI234" t="s">
        <v>37</v>
      </c>
      <c r="AJ234" t="str">
        <f t="shared" si="11"/>
        <v>243WWSUAB01C47ZFLK</v>
      </c>
    </row>
    <row r="235" spans="1:36" ht="15" customHeight="1" x14ac:dyDescent="0.25">
      <c r="A235" t="s">
        <v>88</v>
      </c>
      <c r="B235" t="s">
        <v>37</v>
      </c>
      <c r="C235" t="s">
        <v>37</v>
      </c>
      <c r="D235" t="s">
        <v>38</v>
      </c>
      <c r="E235" s="4">
        <v>32</v>
      </c>
      <c r="F235" s="5">
        <v>1438.4</v>
      </c>
      <c r="G235" s="5" t="s">
        <v>39</v>
      </c>
      <c r="H235" s="5">
        <v>1704.64</v>
      </c>
      <c r="I235" s="5" t="s">
        <v>39</v>
      </c>
      <c r="J235" s="5">
        <v>48.9056</v>
      </c>
      <c r="K235" s="5">
        <f t="shared" si="9"/>
        <v>1.5283</v>
      </c>
      <c r="L235" s="5">
        <f t="shared" si="10"/>
        <v>44.95</v>
      </c>
      <c r="M235" s="5" t="s">
        <v>39</v>
      </c>
      <c r="N235" s="5">
        <v>48.9056</v>
      </c>
      <c r="O235" s="5" t="s">
        <v>39</v>
      </c>
      <c r="P235" t="s">
        <v>133</v>
      </c>
      <c r="Q235" t="s">
        <v>683</v>
      </c>
      <c r="R235" t="s">
        <v>684</v>
      </c>
      <c r="S235" t="s">
        <v>685</v>
      </c>
      <c r="T235" t="s">
        <v>43</v>
      </c>
      <c r="U235" t="s">
        <v>44</v>
      </c>
      <c r="V235">
        <v>267</v>
      </c>
      <c r="W235" t="s">
        <v>151</v>
      </c>
      <c r="X235" t="s">
        <v>152</v>
      </c>
      <c r="Y235" t="s">
        <v>686</v>
      </c>
      <c r="Z235" t="s">
        <v>37</v>
      </c>
      <c r="AA235" t="s">
        <v>95</v>
      </c>
      <c r="AB235" t="s">
        <v>37</v>
      </c>
      <c r="AC235" s="6" t="s">
        <v>37</v>
      </c>
      <c r="AD235" s="6" t="s">
        <v>37</v>
      </c>
      <c r="AE235" t="s">
        <v>37</v>
      </c>
      <c r="AF235" t="s">
        <v>37</v>
      </c>
      <c r="AG235" s="6" t="s">
        <v>37</v>
      </c>
      <c r="AH235" t="s">
        <v>37</v>
      </c>
      <c r="AI235" t="s">
        <v>37</v>
      </c>
      <c r="AJ235" t="str">
        <f t="shared" si="11"/>
        <v>36BT7GGLB014PYGTUQ</v>
      </c>
    </row>
    <row r="236" spans="1:36" ht="15" customHeight="1" x14ac:dyDescent="0.25">
      <c r="A236" t="s">
        <v>62</v>
      </c>
      <c r="B236" t="s">
        <v>37</v>
      </c>
      <c r="C236" t="s">
        <v>37</v>
      </c>
      <c r="D236" t="s">
        <v>38</v>
      </c>
      <c r="E236" s="4">
        <v>10</v>
      </c>
      <c r="F236" s="5">
        <v>263.5</v>
      </c>
      <c r="G236" s="5" t="s">
        <v>39</v>
      </c>
      <c r="H236" s="5">
        <v>393.4</v>
      </c>
      <c r="I236" s="5" t="s">
        <v>39</v>
      </c>
      <c r="J236" s="5">
        <v>8.9589999999999996</v>
      </c>
      <c r="K236" s="5">
        <f t="shared" si="9"/>
        <v>0.89589999999999992</v>
      </c>
      <c r="L236" s="5">
        <f t="shared" si="10"/>
        <v>26.35</v>
      </c>
      <c r="M236" s="5" t="s">
        <v>39</v>
      </c>
      <c r="N236" s="5">
        <v>8.9589999999999996</v>
      </c>
      <c r="O236" s="5" t="s">
        <v>39</v>
      </c>
      <c r="P236" t="s">
        <v>63</v>
      </c>
      <c r="Q236" t="s">
        <v>687</v>
      </c>
      <c r="R236" t="s">
        <v>37</v>
      </c>
      <c r="S236" t="s">
        <v>688</v>
      </c>
      <c r="T236" t="s">
        <v>43</v>
      </c>
      <c r="U236" t="s">
        <v>44</v>
      </c>
      <c r="V236">
        <v>147</v>
      </c>
      <c r="W236" t="s">
        <v>45</v>
      </c>
      <c r="X236" t="s">
        <v>53</v>
      </c>
      <c r="Y236" t="s">
        <v>689</v>
      </c>
      <c r="Z236" t="s">
        <v>37</v>
      </c>
      <c r="AA236" t="s">
        <v>48</v>
      </c>
      <c r="AB236" t="s">
        <v>37</v>
      </c>
      <c r="AC236" s="6" t="s">
        <v>37</v>
      </c>
      <c r="AD236" s="6" t="s">
        <v>37</v>
      </c>
      <c r="AE236" t="s">
        <v>37</v>
      </c>
      <c r="AF236" t="s">
        <v>37</v>
      </c>
      <c r="AG236" s="6" t="s">
        <v>37</v>
      </c>
      <c r="AH236" t="s">
        <v>37</v>
      </c>
      <c r="AI236" t="s">
        <v>37</v>
      </c>
      <c r="AJ236" t="str">
        <f t="shared" si="11"/>
        <v>7H9X1Z6SB01K7GEAEI</v>
      </c>
    </row>
    <row r="237" spans="1:36" ht="15" customHeight="1" x14ac:dyDescent="0.25">
      <c r="A237" t="s">
        <v>62</v>
      </c>
      <c r="B237" t="s">
        <v>37</v>
      </c>
      <c r="C237" t="s">
        <v>37</v>
      </c>
      <c r="D237" t="s">
        <v>38</v>
      </c>
      <c r="E237" s="4">
        <v>40</v>
      </c>
      <c r="F237" s="5">
        <v>355.6</v>
      </c>
      <c r="G237" s="5" t="s">
        <v>39</v>
      </c>
      <c r="H237" s="5">
        <v>786.4</v>
      </c>
      <c r="I237" s="5" t="s">
        <v>39</v>
      </c>
      <c r="J237" s="5">
        <v>12.090400000000001</v>
      </c>
      <c r="K237" s="5">
        <f t="shared" si="9"/>
        <v>0.30226000000000003</v>
      </c>
      <c r="L237" s="5">
        <f t="shared" si="10"/>
        <v>8.89</v>
      </c>
      <c r="M237" s="5" t="s">
        <v>39</v>
      </c>
      <c r="N237" s="5">
        <v>12.090400000000001</v>
      </c>
      <c r="O237" s="5" t="s">
        <v>39</v>
      </c>
      <c r="P237" t="s">
        <v>177</v>
      </c>
      <c r="Q237" t="s">
        <v>690</v>
      </c>
      <c r="R237" t="s">
        <v>37</v>
      </c>
      <c r="S237" t="s">
        <v>691</v>
      </c>
      <c r="T237" t="s">
        <v>43</v>
      </c>
      <c r="U237" t="s">
        <v>44</v>
      </c>
      <c r="V237">
        <v>147</v>
      </c>
      <c r="W237" t="s">
        <v>45</v>
      </c>
      <c r="X237" t="s">
        <v>46</v>
      </c>
      <c r="Y237" t="s">
        <v>692</v>
      </c>
      <c r="Z237" t="s">
        <v>37</v>
      </c>
      <c r="AA237" t="s">
        <v>95</v>
      </c>
      <c r="AB237" t="s">
        <v>37</v>
      </c>
      <c r="AC237" s="6" t="s">
        <v>37</v>
      </c>
      <c r="AD237" s="6" t="s">
        <v>37</v>
      </c>
      <c r="AE237" t="s">
        <v>37</v>
      </c>
      <c r="AF237" t="s">
        <v>37</v>
      </c>
      <c r="AG237" s="6" t="s">
        <v>37</v>
      </c>
      <c r="AH237" t="s">
        <v>37</v>
      </c>
      <c r="AI237" t="s">
        <v>37</v>
      </c>
      <c r="AJ237" t="str">
        <f t="shared" si="11"/>
        <v>4F3XMHTVB07W5JJVFM</v>
      </c>
    </row>
    <row r="238" spans="1:36" ht="15" customHeight="1" x14ac:dyDescent="0.25">
      <c r="A238" t="s">
        <v>76</v>
      </c>
      <c r="B238" t="s">
        <v>37</v>
      </c>
      <c r="C238" t="s">
        <v>37</v>
      </c>
      <c r="D238" t="s">
        <v>38</v>
      </c>
      <c r="E238" s="4">
        <v>32</v>
      </c>
      <c r="F238" s="5">
        <v>1030.72</v>
      </c>
      <c r="G238" s="5" t="s">
        <v>39</v>
      </c>
      <c r="H238" s="5">
        <v>1547.2</v>
      </c>
      <c r="I238" s="5" t="s">
        <v>39</v>
      </c>
      <c r="J238" s="5">
        <v>35.04448</v>
      </c>
      <c r="K238" s="5">
        <f t="shared" si="9"/>
        <v>1.09514</v>
      </c>
      <c r="L238" s="5">
        <f t="shared" si="10"/>
        <v>32.21</v>
      </c>
      <c r="M238" s="5" t="s">
        <v>39</v>
      </c>
      <c r="N238" s="5">
        <v>35.04448</v>
      </c>
      <c r="O238" s="5" t="s">
        <v>39</v>
      </c>
      <c r="P238" t="s">
        <v>72</v>
      </c>
      <c r="Q238" t="s">
        <v>693</v>
      </c>
      <c r="R238" t="s">
        <v>37</v>
      </c>
      <c r="S238" t="s">
        <v>694</v>
      </c>
      <c r="T238" t="s">
        <v>43</v>
      </c>
      <c r="U238" t="s">
        <v>44</v>
      </c>
      <c r="V238">
        <v>147</v>
      </c>
      <c r="W238" t="s">
        <v>45</v>
      </c>
      <c r="X238" t="s">
        <v>60</v>
      </c>
      <c r="Y238" t="s">
        <v>695</v>
      </c>
      <c r="Z238" t="s">
        <v>37</v>
      </c>
      <c r="AA238" t="s">
        <v>55</v>
      </c>
      <c r="AB238" t="s">
        <v>37</v>
      </c>
      <c r="AC238" s="6" t="s">
        <v>37</v>
      </c>
      <c r="AD238" s="6" t="s">
        <v>37</v>
      </c>
      <c r="AE238" t="s">
        <v>37</v>
      </c>
      <c r="AF238" t="s">
        <v>37</v>
      </c>
      <c r="AG238" s="6" t="s">
        <v>37</v>
      </c>
      <c r="AH238" t="s">
        <v>37</v>
      </c>
      <c r="AI238" t="s">
        <v>37</v>
      </c>
      <c r="AJ238" t="str">
        <f t="shared" si="11"/>
        <v>4GF112AEB00MWNDUDM</v>
      </c>
    </row>
    <row r="239" spans="1:36" ht="15" customHeight="1" x14ac:dyDescent="0.25">
      <c r="A239" t="s">
        <v>118</v>
      </c>
      <c r="B239" t="s">
        <v>37</v>
      </c>
      <c r="C239" t="s">
        <v>37</v>
      </c>
      <c r="D239" t="s">
        <v>38</v>
      </c>
      <c r="E239" s="4">
        <v>8</v>
      </c>
      <c r="F239" s="5">
        <v>556.88</v>
      </c>
      <c r="G239" s="5" t="s">
        <v>39</v>
      </c>
      <c r="H239" s="5">
        <v>819.6</v>
      </c>
      <c r="I239" s="5" t="s">
        <v>39</v>
      </c>
      <c r="J239" s="5">
        <v>18.933920000000001</v>
      </c>
      <c r="K239" s="5">
        <f t="shared" si="9"/>
        <v>2.3667400000000001</v>
      </c>
      <c r="L239" s="5">
        <f t="shared" si="10"/>
        <v>69.61</v>
      </c>
      <c r="M239" s="5" t="s">
        <v>39</v>
      </c>
      <c r="N239" s="5">
        <v>18.933920000000001</v>
      </c>
      <c r="O239" s="5" t="s">
        <v>39</v>
      </c>
      <c r="P239" t="s">
        <v>154</v>
      </c>
      <c r="Q239" t="s">
        <v>696</v>
      </c>
      <c r="R239" t="s">
        <v>37</v>
      </c>
      <c r="S239" t="s">
        <v>697</v>
      </c>
      <c r="T239" t="s">
        <v>43</v>
      </c>
      <c r="U239" t="s">
        <v>44</v>
      </c>
      <c r="V239">
        <v>147</v>
      </c>
      <c r="W239" t="s">
        <v>45</v>
      </c>
      <c r="X239" t="s">
        <v>60</v>
      </c>
      <c r="Y239" t="s">
        <v>698</v>
      </c>
      <c r="Z239" t="s">
        <v>37</v>
      </c>
      <c r="AA239" t="s">
        <v>55</v>
      </c>
      <c r="AB239" t="s">
        <v>37</v>
      </c>
      <c r="AC239" s="6" t="s">
        <v>37</v>
      </c>
      <c r="AD239" s="6" t="s">
        <v>37</v>
      </c>
      <c r="AE239" t="s">
        <v>37</v>
      </c>
      <c r="AF239" t="s">
        <v>37</v>
      </c>
      <c r="AG239" s="6" t="s">
        <v>37</v>
      </c>
      <c r="AH239" t="s">
        <v>37</v>
      </c>
      <c r="AI239" t="s">
        <v>37</v>
      </c>
      <c r="AJ239" t="str">
        <f t="shared" si="11"/>
        <v>1KW92RHQB005IDE064</v>
      </c>
    </row>
    <row r="240" spans="1:36" ht="15" customHeight="1" x14ac:dyDescent="0.25">
      <c r="A240" t="s">
        <v>118</v>
      </c>
      <c r="B240" t="s">
        <v>37</v>
      </c>
      <c r="C240" t="s">
        <v>37</v>
      </c>
      <c r="D240" t="s">
        <v>38</v>
      </c>
      <c r="E240" s="4">
        <v>24</v>
      </c>
      <c r="F240" s="5">
        <v>1809.84</v>
      </c>
      <c r="G240" s="5" t="s">
        <v>39</v>
      </c>
      <c r="H240" s="5">
        <v>2655.6</v>
      </c>
      <c r="I240" s="5" t="s">
        <v>39</v>
      </c>
      <c r="J240" s="5">
        <v>61.534559999999999</v>
      </c>
      <c r="K240" s="5">
        <f t="shared" si="9"/>
        <v>2.5639400000000001</v>
      </c>
      <c r="L240" s="5">
        <f t="shared" si="10"/>
        <v>75.41</v>
      </c>
      <c r="M240" s="5" t="s">
        <v>39</v>
      </c>
      <c r="N240" s="5">
        <v>61.534559999999999</v>
      </c>
      <c r="O240" s="5" t="s">
        <v>39</v>
      </c>
      <c r="P240" t="s">
        <v>462</v>
      </c>
      <c r="Q240" t="s">
        <v>699</v>
      </c>
      <c r="R240" t="s">
        <v>37</v>
      </c>
      <c r="S240" t="s">
        <v>700</v>
      </c>
      <c r="T240" t="s">
        <v>43</v>
      </c>
      <c r="U240" t="s">
        <v>44</v>
      </c>
      <c r="V240">
        <v>23</v>
      </c>
      <c r="W240" t="s">
        <v>310</v>
      </c>
      <c r="X240" t="s">
        <v>701</v>
      </c>
      <c r="Y240" t="s">
        <v>702</v>
      </c>
      <c r="Z240" t="s">
        <v>37</v>
      </c>
      <c r="AA240" t="s">
        <v>48</v>
      </c>
      <c r="AB240" t="s">
        <v>37</v>
      </c>
      <c r="AC240" s="6" t="s">
        <v>37</v>
      </c>
      <c r="AD240" s="6" t="s">
        <v>37</v>
      </c>
      <c r="AE240" t="s">
        <v>37</v>
      </c>
      <c r="AF240" t="s">
        <v>37</v>
      </c>
      <c r="AG240" s="6" t="s">
        <v>37</v>
      </c>
      <c r="AH240" t="s">
        <v>37</v>
      </c>
      <c r="AI240" t="s">
        <v>37</v>
      </c>
      <c r="AJ240" t="str">
        <f t="shared" si="11"/>
        <v>17D6YHERB01MT5WL4M</v>
      </c>
    </row>
    <row r="241" spans="1:36" ht="15" customHeight="1" x14ac:dyDescent="0.25">
      <c r="A241" t="s">
        <v>118</v>
      </c>
      <c r="B241" t="s">
        <v>37</v>
      </c>
      <c r="C241" t="s">
        <v>37</v>
      </c>
      <c r="D241" t="s">
        <v>38</v>
      </c>
      <c r="E241" s="4">
        <v>24</v>
      </c>
      <c r="F241" s="5">
        <v>1809.84</v>
      </c>
      <c r="G241" s="5" t="s">
        <v>39</v>
      </c>
      <c r="H241" s="5">
        <v>2655.6</v>
      </c>
      <c r="I241" s="5" t="s">
        <v>39</v>
      </c>
      <c r="J241" s="5">
        <v>61.534559999999999</v>
      </c>
      <c r="K241" s="5">
        <f t="shared" si="9"/>
        <v>2.5639400000000001</v>
      </c>
      <c r="L241" s="5">
        <f t="shared" si="10"/>
        <v>75.41</v>
      </c>
      <c r="M241" s="5" t="s">
        <v>39</v>
      </c>
      <c r="N241" s="5">
        <v>61.534559999999999</v>
      </c>
      <c r="O241" s="5" t="s">
        <v>39</v>
      </c>
      <c r="P241" t="s">
        <v>462</v>
      </c>
      <c r="Q241" t="s">
        <v>703</v>
      </c>
      <c r="R241" t="s">
        <v>704</v>
      </c>
      <c r="S241" t="s">
        <v>705</v>
      </c>
      <c r="T241" t="s">
        <v>43</v>
      </c>
      <c r="U241" t="s">
        <v>44</v>
      </c>
      <c r="V241">
        <v>147</v>
      </c>
      <c r="W241" t="s">
        <v>45</v>
      </c>
      <c r="X241" t="s">
        <v>590</v>
      </c>
      <c r="Y241" t="s">
        <v>706</v>
      </c>
      <c r="Z241" t="s">
        <v>37</v>
      </c>
      <c r="AA241" t="s">
        <v>48</v>
      </c>
      <c r="AB241" t="s">
        <v>37</v>
      </c>
      <c r="AC241" s="6" t="s">
        <v>37</v>
      </c>
      <c r="AD241" s="6" t="s">
        <v>37</v>
      </c>
      <c r="AE241" t="s">
        <v>37</v>
      </c>
      <c r="AF241" t="s">
        <v>37</v>
      </c>
      <c r="AG241" s="6" t="s">
        <v>37</v>
      </c>
      <c r="AH241" t="s">
        <v>37</v>
      </c>
      <c r="AI241" t="s">
        <v>37</v>
      </c>
      <c r="AJ241" t="str">
        <f t="shared" si="11"/>
        <v>17D6YHERB01MT5WMMG</v>
      </c>
    </row>
    <row r="242" spans="1:36" ht="15" customHeight="1" x14ac:dyDescent="0.25">
      <c r="A242" t="s">
        <v>96</v>
      </c>
      <c r="B242" t="s">
        <v>37</v>
      </c>
      <c r="C242" t="s">
        <v>37</v>
      </c>
      <c r="D242" t="s">
        <v>38</v>
      </c>
      <c r="E242" s="4">
        <v>200</v>
      </c>
      <c r="F242" s="5">
        <v>1640</v>
      </c>
      <c r="G242" s="5" t="s">
        <v>39</v>
      </c>
      <c r="H242" s="5">
        <v>2458</v>
      </c>
      <c r="I242" s="5" t="s">
        <v>39</v>
      </c>
      <c r="J242" s="5">
        <v>55.76</v>
      </c>
      <c r="K242" s="5">
        <f t="shared" si="9"/>
        <v>0.27879999999999999</v>
      </c>
      <c r="L242" s="5">
        <f t="shared" si="10"/>
        <v>8.1999999999999993</v>
      </c>
      <c r="M242" s="5" t="s">
        <v>39</v>
      </c>
      <c r="N242" s="5">
        <v>55.76</v>
      </c>
      <c r="O242" s="5" t="s">
        <v>39</v>
      </c>
      <c r="P242" t="s">
        <v>50</v>
      </c>
      <c r="Q242" t="s">
        <v>138</v>
      </c>
      <c r="R242" t="s">
        <v>37</v>
      </c>
      <c r="S242" t="s">
        <v>139</v>
      </c>
      <c r="T242" t="s">
        <v>43</v>
      </c>
      <c r="U242" t="s">
        <v>44</v>
      </c>
      <c r="V242">
        <v>147</v>
      </c>
      <c r="W242" t="s">
        <v>45</v>
      </c>
      <c r="X242" t="s">
        <v>53</v>
      </c>
      <c r="Y242" t="s">
        <v>140</v>
      </c>
      <c r="Z242" t="s">
        <v>37</v>
      </c>
      <c r="AA242" t="s">
        <v>95</v>
      </c>
      <c r="AB242" t="s">
        <v>37</v>
      </c>
      <c r="AC242" s="6" t="s">
        <v>37</v>
      </c>
      <c r="AD242" s="6" t="s">
        <v>37</v>
      </c>
      <c r="AE242" t="s">
        <v>37</v>
      </c>
      <c r="AF242" t="s">
        <v>37</v>
      </c>
      <c r="AG242" s="6" t="s">
        <v>37</v>
      </c>
      <c r="AH242" t="s">
        <v>37</v>
      </c>
      <c r="AI242" t="s">
        <v>37</v>
      </c>
      <c r="AJ242" t="str">
        <f t="shared" si="11"/>
        <v>3A946EXYB07W6JKH17</v>
      </c>
    </row>
    <row r="243" spans="1:36" ht="15" customHeight="1" x14ac:dyDescent="0.25">
      <c r="A243" t="s">
        <v>118</v>
      </c>
      <c r="B243" t="s">
        <v>37</v>
      </c>
      <c r="C243" t="s">
        <v>37</v>
      </c>
      <c r="D243" t="s">
        <v>38</v>
      </c>
      <c r="E243" s="4">
        <v>4</v>
      </c>
      <c r="F243" s="5">
        <v>272.24</v>
      </c>
      <c r="G243" s="5" t="s">
        <v>39</v>
      </c>
      <c r="H243" s="5">
        <v>556</v>
      </c>
      <c r="I243" s="5" t="s">
        <v>39</v>
      </c>
      <c r="J243" s="5">
        <v>9.2561599999999995</v>
      </c>
      <c r="K243" s="5">
        <f t="shared" si="9"/>
        <v>2.3140399999999999</v>
      </c>
      <c r="L243" s="5">
        <f t="shared" si="10"/>
        <v>68.06</v>
      </c>
      <c r="M243" s="5" t="s">
        <v>39</v>
      </c>
      <c r="N243" s="5">
        <v>9.2561599999999995</v>
      </c>
      <c r="O243" s="5" t="s">
        <v>39</v>
      </c>
      <c r="P243" t="s">
        <v>707</v>
      </c>
      <c r="Q243" t="s">
        <v>708</v>
      </c>
      <c r="R243" t="s">
        <v>37</v>
      </c>
      <c r="S243" t="s">
        <v>709</v>
      </c>
      <c r="T243" t="s">
        <v>43</v>
      </c>
      <c r="U243" t="s">
        <v>44</v>
      </c>
      <c r="V243">
        <v>147</v>
      </c>
      <c r="W243" t="s">
        <v>45</v>
      </c>
      <c r="X243" t="s">
        <v>46</v>
      </c>
      <c r="Y243" t="s">
        <v>710</v>
      </c>
      <c r="Z243" t="s">
        <v>37</v>
      </c>
      <c r="AA243" t="s">
        <v>55</v>
      </c>
      <c r="AB243" t="s">
        <v>37</v>
      </c>
      <c r="AC243" s="6" t="s">
        <v>37</v>
      </c>
      <c r="AD243" s="6" t="s">
        <v>37</v>
      </c>
      <c r="AE243" t="s">
        <v>37</v>
      </c>
      <c r="AF243" t="s">
        <v>37</v>
      </c>
      <c r="AG243" s="6" t="s">
        <v>37</v>
      </c>
      <c r="AH243" t="s">
        <v>37</v>
      </c>
      <c r="AI243" t="s">
        <v>37</v>
      </c>
      <c r="AJ243" t="str">
        <f t="shared" si="11"/>
        <v>6AA7OKBNB07W5JKKX9</v>
      </c>
    </row>
    <row r="244" spans="1:36" ht="15" customHeight="1" x14ac:dyDescent="0.25">
      <c r="A244" t="s">
        <v>101</v>
      </c>
      <c r="B244" t="s">
        <v>37</v>
      </c>
      <c r="C244" t="s">
        <v>37</v>
      </c>
      <c r="D244" t="s">
        <v>38</v>
      </c>
      <c r="E244" s="4">
        <v>1720</v>
      </c>
      <c r="F244" s="5">
        <v>40832.800000000003</v>
      </c>
      <c r="G244" s="5" t="s">
        <v>39</v>
      </c>
      <c r="H244" s="5">
        <v>57792</v>
      </c>
      <c r="I244" s="5" t="s">
        <v>39</v>
      </c>
      <c r="J244" s="5">
        <v>1388.3152</v>
      </c>
      <c r="K244" s="5">
        <f t="shared" si="9"/>
        <v>0.80715999999999999</v>
      </c>
      <c r="L244" s="5">
        <f t="shared" si="10"/>
        <v>23.740000000000002</v>
      </c>
      <c r="M244" s="5" t="s">
        <v>39</v>
      </c>
      <c r="N244" s="5">
        <v>1388.3152</v>
      </c>
      <c r="O244" s="5" t="s">
        <v>39</v>
      </c>
      <c r="P244" t="s">
        <v>320</v>
      </c>
      <c r="Q244" t="s">
        <v>657</v>
      </c>
      <c r="R244" t="s">
        <v>37</v>
      </c>
      <c r="S244" t="s">
        <v>658</v>
      </c>
      <c r="T244" t="s">
        <v>43</v>
      </c>
      <c r="U244" t="s">
        <v>44</v>
      </c>
      <c r="V244">
        <v>147</v>
      </c>
      <c r="W244" t="s">
        <v>45</v>
      </c>
      <c r="X244" t="s">
        <v>53</v>
      </c>
      <c r="Y244" t="s">
        <v>659</v>
      </c>
      <c r="Z244" t="s">
        <v>37</v>
      </c>
      <c r="AA244" t="s">
        <v>55</v>
      </c>
      <c r="AB244" t="s">
        <v>37</v>
      </c>
      <c r="AC244" s="6" t="s">
        <v>37</v>
      </c>
      <c r="AD244" s="6" t="s">
        <v>37</v>
      </c>
      <c r="AE244" t="s">
        <v>37</v>
      </c>
      <c r="AF244" t="s">
        <v>37</v>
      </c>
      <c r="AG244" s="6" t="s">
        <v>37</v>
      </c>
      <c r="AH244" t="s">
        <v>37</v>
      </c>
      <c r="AI244" t="s">
        <v>37</v>
      </c>
      <c r="AJ244" t="str">
        <f t="shared" si="11"/>
        <v>8BG295LIB07W5JKFQC</v>
      </c>
    </row>
    <row r="245" spans="1:36" ht="15" customHeight="1" x14ac:dyDescent="0.25">
      <c r="A245" t="s">
        <v>613</v>
      </c>
      <c r="B245" t="s">
        <v>37</v>
      </c>
      <c r="C245" t="s">
        <v>37</v>
      </c>
      <c r="D245" t="s">
        <v>38</v>
      </c>
      <c r="E245" s="4">
        <v>3</v>
      </c>
      <c r="F245" s="5">
        <v>679.05</v>
      </c>
      <c r="G245" s="5" t="s">
        <v>39</v>
      </c>
      <c r="H245" s="5">
        <v>1079.52</v>
      </c>
      <c r="I245" s="5" t="s">
        <v>39</v>
      </c>
      <c r="J245" s="5">
        <v>23.087700000000002</v>
      </c>
      <c r="K245" s="5">
        <f t="shared" si="9"/>
        <v>7.6959000000000009</v>
      </c>
      <c r="L245" s="5">
        <f t="shared" si="10"/>
        <v>226.35</v>
      </c>
      <c r="M245" s="5" t="s">
        <v>39</v>
      </c>
      <c r="N245" s="5">
        <v>23.087700000000002</v>
      </c>
      <c r="O245" s="5" t="s">
        <v>39</v>
      </c>
      <c r="P245" t="s">
        <v>670</v>
      </c>
      <c r="Q245" t="s">
        <v>675</v>
      </c>
      <c r="R245" t="s">
        <v>37</v>
      </c>
      <c r="S245" t="s">
        <v>676</v>
      </c>
      <c r="T245" t="s">
        <v>43</v>
      </c>
      <c r="U245" t="s">
        <v>44</v>
      </c>
      <c r="V245">
        <v>147</v>
      </c>
      <c r="W245" t="s">
        <v>45</v>
      </c>
      <c r="X245" t="s">
        <v>46</v>
      </c>
      <c r="Y245" t="s">
        <v>677</v>
      </c>
      <c r="Z245" t="s">
        <v>37</v>
      </c>
      <c r="AA245" t="s">
        <v>55</v>
      </c>
      <c r="AB245" t="s">
        <v>37</v>
      </c>
      <c r="AC245" s="6" t="s">
        <v>37</v>
      </c>
      <c r="AD245" s="6" t="s">
        <v>37</v>
      </c>
      <c r="AE245" t="s">
        <v>37</v>
      </c>
      <c r="AF245" t="s">
        <v>37</v>
      </c>
      <c r="AG245" s="6" t="s">
        <v>37</v>
      </c>
      <c r="AH245" t="s">
        <v>37</v>
      </c>
      <c r="AI245" t="s">
        <v>37</v>
      </c>
      <c r="AJ245" t="str">
        <f t="shared" si="11"/>
        <v>7TFUVBKWB07W7KFFFF</v>
      </c>
    </row>
    <row r="246" spans="1:36" ht="15" customHeight="1" x14ac:dyDescent="0.25">
      <c r="A246" t="s">
        <v>96</v>
      </c>
      <c r="B246" t="s">
        <v>37</v>
      </c>
      <c r="C246" t="s">
        <v>37</v>
      </c>
      <c r="D246" t="s">
        <v>38</v>
      </c>
      <c r="E246" s="4">
        <v>6</v>
      </c>
      <c r="F246" s="5">
        <v>210.78</v>
      </c>
      <c r="G246" s="5" t="s">
        <v>39</v>
      </c>
      <c r="H246" s="5">
        <v>304.86</v>
      </c>
      <c r="I246" s="5" t="s">
        <v>39</v>
      </c>
      <c r="J246" s="5">
        <v>7.1665200000000002</v>
      </c>
      <c r="K246" s="5">
        <f t="shared" si="9"/>
        <v>1.19442</v>
      </c>
      <c r="L246" s="5">
        <f t="shared" si="10"/>
        <v>35.130000000000003</v>
      </c>
      <c r="M246" s="5" t="s">
        <v>39</v>
      </c>
      <c r="N246" s="5">
        <v>7.1665200000000002</v>
      </c>
      <c r="O246" s="5" t="s">
        <v>39</v>
      </c>
      <c r="P246" t="s">
        <v>711</v>
      </c>
      <c r="Q246" t="s">
        <v>551</v>
      </c>
      <c r="R246" t="s">
        <v>37</v>
      </c>
      <c r="S246" t="s">
        <v>552</v>
      </c>
      <c r="T246" t="s">
        <v>43</v>
      </c>
      <c r="U246" t="s">
        <v>44</v>
      </c>
      <c r="V246">
        <v>147</v>
      </c>
      <c r="W246" t="s">
        <v>45</v>
      </c>
      <c r="X246" t="s">
        <v>389</v>
      </c>
      <c r="Y246" t="s">
        <v>553</v>
      </c>
      <c r="Z246" t="s">
        <v>37</v>
      </c>
      <c r="AA246" t="s">
        <v>55</v>
      </c>
      <c r="AB246" t="s">
        <v>37</v>
      </c>
      <c r="AC246" s="6" t="s">
        <v>37</v>
      </c>
      <c r="AD246" s="6" t="s">
        <v>37</v>
      </c>
      <c r="AE246" t="s">
        <v>37</v>
      </c>
      <c r="AF246" t="s">
        <v>37</v>
      </c>
      <c r="AG246" s="6" t="s">
        <v>37</v>
      </c>
      <c r="AH246" t="s">
        <v>37</v>
      </c>
      <c r="AI246" t="s">
        <v>37</v>
      </c>
      <c r="AJ246" t="str">
        <f t="shared" si="11"/>
        <v>3T2OW47PB003L92O5Q</v>
      </c>
    </row>
    <row r="247" spans="1:36" ht="15" customHeight="1" x14ac:dyDescent="0.25">
      <c r="A247" t="s">
        <v>88</v>
      </c>
      <c r="B247" t="s">
        <v>37</v>
      </c>
      <c r="C247" t="s">
        <v>37</v>
      </c>
      <c r="D247" t="s">
        <v>38</v>
      </c>
      <c r="E247" s="4">
        <v>24</v>
      </c>
      <c r="F247" s="5">
        <v>2505.84</v>
      </c>
      <c r="G247" s="5" t="s">
        <v>39</v>
      </c>
      <c r="H247" s="5">
        <v>3718.08</v>
      </c>
      <c r="I247" s="5" t="s">
        <v>39</v>
      </c>
      <c r="J247" s="5">
        <v>85.198560000000001</v>
      </c>
      <c r="K247" s="5">
        <f t="shared" si="9"/>
        <v>3.5499399999999999</v>
      </c>
      <c r="L247" s="5">
        <f t="shared" si="10"/>
        <v>104.41000000000001</v>
      </c>
      <c r="M247" s="5" t="s">
        <v>39</v>
      </c>
      <c r="N247" s="5">
        <v>85.198560000000001</v>
      </c>
      <c r="O247" s="5" t="s">
        <v>39</v>
      </c>
      <c r="P247" t="s">
        <v>89</v>
      </c>
      <c r="Q247" t="s">
        <v>712</v>
      </c>
      <c r="R247" t="s">
        <v>37</v>
      </c>
      <c r="S247" t="s">
        <v>713</v>
      </c>
      <c r="T247" t="s">
        <v>43</v>
      </c>
      <c r="U247" t="s">
        <v>44</v>
      </c>
      <c r="V247">
        <v>147</v>
      </c>
      <c r="W247" t="s">
        <v>45</v>
      </c>
      <c r="X247" t="s">
        <v>60</v>
      </c>
      <c r="Y247" t="s">
        <v>714</v>
      </c>
      <c r="Z247" t="s">
        <v>37</v>
      </c>
      <c r="AA247" t="s">
        <v>55</v>
      </c>
      <c r="AB247" t="s">
        <v>37</v>
      </c>
      <c r="AC247" s="6" t="s">
        <v>37</v>
      </c>
      <c r="AD247" s="6" t="s">
        <v>37</v>
      </c>
      <c r="AE247" t="s">
        <v>37</v>
      </c>
      <c r="AF247" t="s">
        <v>37</v>
      </c>
      <c r="AG247" s="6" t="s">
        <v>37</v>
      </c>
      <c r="AH247" t="s">
        <v>37</v>
      </c>
      <c r="AI247" t="s">
        <v>37</v>
      </c>
      <c r="AJ247" t="str">
        <f t="shared" si="11"/>
        <v>2W68T8TOB07W6J3W3B</v>
      </c>
    </row>
    <row r="248" spans="1:36" ht="15" customHeight="1" x14ac:dyDescent="0.25">
      <c r="A248" t="s">
        <v>110</v>
      </c>
      <c r="B248" t="s">
        <v>37</v>
      </c>
      <c r="C248" t="s">
        <v>37</v>
      </c>
      <c r="D248" t="s">
        <v>38</v>
      </c>
      <c r="E248" s="4">
        <v>28</v>
      </c>
      <c r="F248" s="5">
        <v>664.72</v>
      </c>
      <c r="G248" s="5" t="s">
        <v>39</v>
      </c>
      <c r="H248" s="5">
        <v>940.8</v>
      </c>
      <c r="I248" s="5" t="s">
        <v>39</v>
      </c>
      <c r="J248" s="5">
        <v>22.600480000000001</v>
      </c>
      <c r="K248" s="5">
        <f t="shared" si="9"/>
        <v>0.80715999999999999</v>
      </c>
      <c r="L248" s="5">
        <f t="shared" si="10"/>
        <v>23.740000000000002</v>
      </c>
      <c r="M248" s="5" t="s">
        <v>39</v>
      </c>
      <c r="N248" s="5">
        <v>22.600480000000001</v>
      </c>
      <c r="O248" s="5" t="s">
        <v>39</v>
      </c>
      <c r="P248" t="s">
        <v>320</v>
      </c>
      <c r="Q248" t="s">
        <v>657</v>
      </c>
      <c r="R248" t="s">
        <v>37</v>
      </c>
      <c r="S248" t="s">
        <v>658</v>
      </c>
      <c r="T248" t="s">
        <v>43</v>
      </c>
      <c r="U248" t="s">
        <v>44</v>
      </c>
      <c r="V248">
        <v>147</v>
      </c>
      <c r="W248" t="s">
        <v>45</v>
      </c>
      <c r="X248" t="s">
        <v>53</v>
      </c>
      <c r="Y248" t="s">
        <v>659</v>
      </c>
      <c r="Z248" t="s">
        <v>37</v>
      </c>
      <c r="AA248" t="s">
        <v>55</v>
      </c>
      <c r="AB248" t="s">
        <v>37</v>
      </c>
      <c r="AC248" s="6" t="s">
        <v>37</v>
      </c>
      <c r="AD248" s="6" t="s">
        <v>37</v>
      </c>
      <c r="AE248" t="s">
        <v>37</v>
      </c>
      <c r="AF248" t="s">
        <v>37</v>
      </c>
      <c r="AG248" s="6" t="s">
        <v>37</v>
      </c>
      <c r="AH248" t="s">
        <v>37</v>
      </c>
      <c r="AI248" t="s">
        <v>37</v>
      </c>
      <c r="AJ248" t="str">
        <f t="shared" si="11"/>
        <v>8BG295LIB07W5JKFQC</v>
      </c>
    </row>
    <row r="249" spans="1:36" ht="15" customHeight="1" x14ac:dyDescent="0.25">
      <c r="A249" t="s">
        <v>71</v>
      </c>
      <c r="B249" t="s">
        <v>37</v>
      </c>
      <c r="C249" t="s">
        <v>37</v>
      </c>
      <c r="D249" t="s">
        <v>38</v>
      </c>
      <c r="E249" s="4">
        <v>351</v>
      </c>
      <c r="F249" s="5">
        <v>77595.570000000007</v>
      </c>
      <c r="G249" s="5" t="s">
        <v>39</v>
      </c>
      <c r="H249" s="5">
        <v>117672.75</v>
      </c>
      <c r="I249" s="5" t="s">
        <v>39</v>
      </c>
      <c r="J249" s="5">
        <v>2638.2493800000002</v>
      </c>
      <c r="K249" s="5">
        <f t="shared" si="9"/>
        <v>7.5163800000000007</v>
      </c>
      <c r="L249" s="5">
        <f t="shared" si="10"/>
        <v>221.07000000000002</v>
      </c>
      <c r="M249" s="5" t="s">
        <v>39</v>
      </c>
      <c r="N249" s="5">
        <v>2638.2493800000002</v>
      </c>
      <c r="O249" s="5" t="s">
        <v>39</v>
      </c>
      <c r="P249" t="s">
        <v>715</v>
      </c>
      <c r="Q249" t="s">
        <v>671</v>
      </c>
      <c r="R249" t="s">
        <v>672</v>
      </c>
      <c r="S249" t="s">
        <v>673</v>
      </c>
      <c r="T249" t="s">
        <v>43</v>
      </c>
      <c r="U249" t="s">
        <v>44</v>
      </c>
      <c r="V249">
        <v>147</v>
      </c>
      <c r="W249" t="s">
        <v>45</v>
      </c>
      <c r="X249" t="s">
        <v>46</v>
      </c>
      <c r="Y249" t="s">
        <v>674</v>
      </c>
      <c r="Z249" t="s">
        <v>37</v>
      </c>
      <c r="AA249" t="s">
        <v>55</v>
      </c>
      <c r="AB249" t="s">
        <v>37</v>
      </c>
      <c r="AC249" s="6" t="s">
        <v>37</v>
      </c>
      <c r="AD249" s="6" t="s">
        <v>37</v>
      </c>
      <c r="AE249" t="s">
        <v>37</v>
      </c>
      <c r="AF249" t="s">
        <v>37</v>
      </c>
      <c r="AG249" s="6" t="s">
        <v>37</v>
      </c>
      <c r="AH249" t="s">
        <v>37</v>
      </c>
      <c r="AI249" t="s">
        <v>37</v>
      </c>
      <c r="AJ249" t="str">
        <f t="shared" si="11"/>
        <v>3GW1K2ZRB011N78DMA</v>
      </c>
    </row>
    <row r="250" spans="1:36" ht="15" customHeight="1" x14ac:dyDescent="0.25">
      <c r="A250" t="s">
        <v>96</v>
      </c>
      <c r="B250" t="s">
        <v>37</v>
      </c>
      <c r="C250" t="s">
        <v>37</v>
      </c>
      <c r="D250" t="s">
        <v>38</v>
      </c>
      <c r="E250" s="4">
        <v>8</v>
      </c>
      <c r="F250" s="5">
        <v>257.68</v>
      </c>
      <c r="G250" s="5" t="s">
        <v>39</v>
      </c>
      <c r="H250" s="5">
        <v>386.8</v>
      </c>
      <c r="I250" s="5" t="s">
        <v>39</v>
      </c>
      <c r="J250" s="5">
        <v>8.76112</v>
      </c>
      <c r="K250" s="5">
        <f t="shared" si="9"/>
        <v>1.09514</v>
      </c>
      <c r="L250" s="5">
        <f t="shared" si="10"/>
        <v>32.21</v>
      </c>
      <c r="M250" s="5" t="s">
        <v>39</v>
      </c>
      <c r="N250" s="5">
        <v>8.76112</v>
      </c>
      <c r="O250" s="5" t="s">
        <v>39</v>
      </c>
      <c r="P250" t="s">
        <v>50</v>
      </c>
      <c r="Q250" t="s">
        <v>716</v>
      </c>
      <c r="R250" t="s">
        <v>37</v>
      </c>
      <c r="S250" t="s">
        <v>717</v>
      </c>
      <c r="T250" t="s">
        <v>43</v>
      </c>
      <c r="U250" t="s">
        <v>44</v>
      </c>
      <c r="V250">
        <v>147</v>
      </c>
      <c r="W250" t="s">
        <v>45</v>
      </c>
      <c r="X250" t="s">
        <v>60</v>
      </c>
      <c r="Y250" t="s">
        <v>718</v>
      </c>
      <c r="Z250" t="s">
        <v>37</v>
      </c>
      <c r="AA250" t="s">
        <v>55</v>
      </c>
      <c r="AB250" t="s">
        <v>37</v>
      </c>
      <c r="AC250" s="6" t="s">
        <v>37</v>
      </c>
      <c r="AD250" s="6" t="s">
        <v>37</v>
      </c>
      <c r="AE250" t="s">
        <v>37</v>
      </c>
      <c r="AF250" t="s">
        <v>37</v>
      </c>
      <c r="AG250" s="6" t="s">
        <v>37</v>
      </c>
      <c r="AH250" t="s">
        <v>37</v>
      </c>
      <c r="AI250" t="s">
        <v>37</v>
      </c>
      <c r="AJ250" t="str">
        <f t="shared" si="11"/>
        <v>3A946EXYB07W6JKH1B</v>
      </c>
    </row>
    <row r="251" spans="1:36" ht="15" customHeight="1" x14ac:dyDescent="0.25">
      <c r="A251" t="s">
        <v>76</v>
      </c>
      <c r="B251" t="s">
        <v>37</v>
      </c>
      <c r="C251" t="s">
        <v>37</v>
      </c>
      <c r="D251" t="s">
        <v>38</v>
      </c>
      <c r="E251" s="4">
        <v>264</v>
      </c>
      <c r="F251" s="5">
        <v>8503.44</v>
      </c>
      <c r="G251" s="5" t="s">
        <v>39</v>
      </c>
      <c r="H251" s="5">
        <v>12764.4</v>
      </c>
      <c r="I251" s="5" t="s">
        <v>39</v>
      </c>
      <c r="J251" s="5">
        <v>289.11696000000001</v>
      </c>
      <c r="K251" s="5">
        <f t="shared" si="9"/>
        <v>1.09514</v>
      </c>
      <c r="L251" s="5">
        <f t="shared" si="10"/>
        <v>32.21</v>
      </c>
      <c r="M251" s="5" t="s">
        <v>39</v>
      </c>
      <c r="N251" s="5">
        <v>289.11696000000001</v>
      </c>
      <c r="O251" s="5" t="s">
        <v>39</v>
      </c>
      <c r="P251" t="s">
        <v>426</v>
      </c>
      <c r="Q251" t="s">
        <v>719</v>
      </c>
      <c r="R251" t="s">
        <v>37</v>
      </c>
      <c r="S251" t="s">
        <v>720</v>
      </c>
      <c r="T251" t="s">
        <v>43</v>
      </c>
      <c r="U251" t="s">
        <v>44</v>
      </c>
      <c r="V251">
        <v>79</v>
      </c>
      <c r="W251" t="s">
        <v>438</v>
      </c>
      <c r="X251" t="s">
        <v>439</v>
      </c>
      <c r="Y251" t="s">
        <v>721</v>
      </c>
      <c r="Z251" t="s">
        <v>37</v>
      </c>
      <c r="AA251" t="s">
        <v>55</v>
      </c>
      <c r="AB251" t="s">
        <v>37</v>
      </c>
      <c r="AC251" s="6" t="s">
        <v>37</v>
      </c>
      <c r="AD251" s="6" t="s">
        <v>37</v>
      </c>
      <c r="AE251" t="s">
        <v>37</v>
      </c>
      <c r="AF251" t="s">
        <v>37</v>
      </c>
      <c r="AG251" s="6" t="s">
        <v>37</v>
      </c>
      <c r="AH251" t="s">
        <v>37</v>
      </c>
      <c r="AI251" t="s">
        <v>37</v>
      </c>
      <c r="AJ251" t="str">
        <f t="shared" si="11"/>
        <v>3IQS66UGB07W4DHNBL</v>
      </c>
    </row>
    <row r="252" spans="1:36" ht="15" customHeight="1" x14ac:dyDescent="0.25">
      <c r="A252" t="s">
        <v>49</v>
      </c>
      <c r="B252" t="s">
        <v>37</v>
      </c>
      <c r="C252" t="s">
        <v>37</v>
      </c>
      <c r="D252" t="s">
        <v>38</v>
      </c>
      <c r="E252" s="4">
        <v>128</v>
      </c>
      <c r="F252" s="5">
        <v>9652.48</v>
      </c>
      <c r="G252" s="5" t="s">
        <v>39</v>
      </c>
      <c r="H252" s="5">
        <v>14163.2</v>
      </c>
      <c r="I252" s="5" t="s">
        <v>39</v>
      </c>
      <c r="J252" s="5">
        <v>328.18432000000001</v>
      </c>
      <c r="K252" s="5">
        <f t="shared" si="9"/>
        <v>2.5639400000000001</v>
      </c>
      <c r="L252" s="5">
        <f t="shared" si="10"/>
        <v>75.41</v>
      </c>
      <c r="M252" s="5" t="s">
        <v>39</v>
      </c>
      <c r="N252" s="5">
        <v>328.18432000000001</v>
      </c>
      <c r="O252" s="5" t="s">
        <v>39</v>
      </c>
      <c r="P252" t="s">
        <v>141</v>
      </c>
      <c r="Q252" t="s">
        <v>722</v>
      </c>
      <c r="R252" t="s">
        <v>37</v>
      </c>
      <c r="S252" t="s">
        <v>723</v>
      </c>
      <c r="T252" t="s">
        <v>43</v>
      </c>
      <c r="U252" t="s">
        <v>44</v>
      </c>
      <c r="V252">
        <v>147</v>
      </c>
      <c r="W252" t="s">
        <v>45</v>
      </c>
      <c r="X252" t="s">
        <v>60</v>
      </c>
      <c r="Y252" t="s">
        <v>724</v>
      </c>
      <c r="Z252" t="s">
        <v>37</v>
      </c>
      <c r="AA252" t="s">
        <v>95</v>
      </c>
      <c r="AB252" t="s">
        <v>37</v>
      </c>
      <c r="AC252" s="6" t="s">
        <v>37</v>
      </c>
      <c r="AD252" s="6" t="s">
        <v>37</v>
      </c>
      <c r="AE252" t="s">
        <v>37</v>
      </c>
      <c r="AF252" t="s">
        <v>37</v>
      </c>
      <c r="AG252" s="6" t="s">
        <v>37</v>
      </c>
      <c r="AH252" t="s">
        <v>37</v>
      </c>
      <c r="AI252" t="s">
        <v>37</v>
      </c>
      <c r="AJ252" t="str">
        <f t="shared" si="11"/>
        <v>56UO2L2IB07W6FNF6N</v>
      </c>
    </row>
    <row r="253" spans="1:36" ht="15" customHeight="1" x14ac:dyDescent="0.25">
      <c r="A253" t="s">
        <v>36</v>
      </c>
      <c r="B253" t="s">
        <v>37</v>
      </c>
      <c r="C253" t="s">
        <v>37</v>
      </c>
      <c r="D253" t="s">
        <v>38</v>
      </c>
      <c r="E253" s="4">
        <v>8</v>
      </c>
      <c r="F253" s="5">
        <v>824.48</v>
      </c>
      <c r="G253" s="5" t="s">
        <v>39</v>
      </c>
      <c r="H253" s="5">
        <v>1082</v>
      </c>
      <c r="I253" s="5" t="s">
        <v>39</v>
      </c>
      <c r="J253" s="5">
        <v>28.032319999999999</v>
      </c>
      <c r="K253" s="5">
        <f t="shared" si="9"/>
        <v>3.5040399999999998</v>
      </c>
      <c r="L253" s="5">
        <f t="shared" si="10"/>
        <v>103.06</v>
      </c>
      <c r="M253" s="5" t="s">
        <v>39</v>
      </c>
      <c r="N253" s="5">
        <v>28.032319999999999</v>
      </c>
      <c r="O253" s="5" t="s">
        <v>39</v>
      </c>
      <c r="P253" t="s">
        <v>270</v>
      </c>
      <c r="Q253" t="s">
        <v>142</v>
      </c>
      <c r="R253" t="s">
        <v>37</v>
      </c>
      <c r="S253" t="s">
        <v>143</v>
      </c>
      <c r="T253" t="s">
        <v>43</v>
      </c>
      <c r="U253" t="s">
        <v>44</v>
      </c>
      <c r="V253">
        <v>147</v>
      </c>
      <c r="W253" t="s">
        <v>45</v>
      </c>
      <c r="X253" t="s">
        <v>46</v>
      </c>
      <c r="Y253" t="s">
        <v>144</v>
      </c>
      <c r="Z253" t="s">
        <v>37</v>
      </c>
      <c r="AA253" t="s">
        <v>55</v>
      </c>
      <c r="AB253" t="s">
        <v>37</v>
      </c>
      <c r="AC253" s="6" t="s">
        <v>37</v>
      </c>
      <c r="AD253" s="6" t="s">
        <v>37</v>
      </c>
      <c r="AE253" t="s">
        <v>37</v>
      </c>
      <c r="AF253" t="s">
        <v>37</v>
      </c>
      <c r="AG253" s="6" t="s">
        <v>37</v>
      </c>
      <c r="AH253" t="s">
        <v>37</v>
      </c>
      <c r="AI253" t="s">
        <v>37</v>
      </c>
      <c r="AJ253" t="str">
        <f t="shared" si="11"/>
        <v>1X4DXX4TB07PPNT9B2</v>
      </c>
    </row>
    <row r="254" spans="1:36" ht="15" customHeight="1" x14ac:dyDescent="0.25">
      <c r="A254" t="s">
        <v>71</v>
      </c>
      <c r="B254" t="s">
        <v>37</v>
      </c>
      <c r="C254" t="s">
        <v>37</v>
      </c>
      <c r="D254" t="s">
        <v>38</v>
      </c>
      <c r="E254" s="4">
        <v>10</v>
      </c>
      <c r="F254" s="5">
        <v>319</v>
      </c>
      <c r="G254" s="5" t="s">
        <v>39</v>
      </c>
      <c r="H254" s="5">
        <v>483.5</v>
      </c>
      <c r="I254" s="5" t="s">
        <v>39</v>
      </c>
      <c r="J254" s="5">
        <v>10.846</v>
      </c>
      <c r="K254" s="5">
        <f t="shared" si="9"/>
        <v>1.0846</v>
      </c>
      <c r="L254" s="5">
        <f t="shared" si="10"/>
        <v>31.9</v>
      </c>
      <c r="M254" s="5" t="s">
        <v>39</v>
      </c>
      <c r="N254" s="5">
        <v>10.846</v>
      </c>
      <c r="O254" s="5" t="s">
        <v>39</v>
      </c>
      <c r="P254" t="s">
        <v>725</v>
      </c>
      <c r="Q254" t="s">
        <v>726</v>
      </c>
      <c r="R254" t="s">
        <v>37</v>
      </c>
      <c r="S254" t="s">
        <v>727</v>
      </c>
      <c r="T254" t="s">
        <v>43</v>
      </c>
      <c r="U254" t="s">
        <v>44</v>
      </c>
      <c r="V254">
        <v>147</v>
      </c>
      <c r="W254" t="s">
        <v>45</v>
      </c>
      <c r="X254" t="s">
        <v>53</v>
      </c>
      <c r="Y254" t="s">
        <v>728</v>
      </c>
      <c r="Z254" t="s">
        <v>37</v>
      </c>
      <c r="AA254" t="s">
        <v>55</v>
      </c>
      <c r="AB254" t="s">
        <v>37</v>
      </c>
      <c r="AC254" s="6" t="s">
        <v>37</v>
      </c>
      <c r="AD254" s="6" t="s">
        <v>37</v>
      </c>
      <c r="AE254" t="s">
        <v>37</v>
      </c>
      <c r="AF254" t="s">
        <v>37</v>
      </c>
      <c r="AG254" s="6" t="s">
        <v>37</v>
      </c>
      <c r="AH254" t="s">
        <v>37</v>
      </c>
      <c r="AI254" t="s">
        <v>37</v>
      </c>
      <c r="AJ254" t="str">
        <f t="shared" si="11"/>
        <v>4O4TKA6PB07W6HKMCN</v>
      </c>
    </row>
    <row r="255" spans="1:36" ht="15" customHeight="1" x14ac:dyDescent="0.25">
      <c r="A255" t="s">
        <v>110</v>
      </c>
      <c r="B255" t="s">
        <v>37</v>
      </c>
      <c r="C255" t="s">
        <v>37</v>
      </c>
      <c r="D255" t="s">
        <v>38</v>
      </c>
      <c r="E255" s="4">
        <v>4</v>
      </c>
      <c r="F255" s="5">
        <v>580.08000000000004</v>
      </c>
      <c r="G255" s="5" t="s">
        <v>39</v>
      </c>
      <c r="H255" s="5">
        <v>849.16</v>
      </c>
      <c r="I255" s="5" t="s">
        <v>39</v>
      </c>
      <c r="J255" s="5">
        <v>19.722719999999999</v>
      </c>
      <c r="K255" s="5">
        <f t="shared" si="9"/>
        <v>4.9306799999999997</v>
      </c>
      <c r="L255" s="5">
        <f t="shared" si="10"/>
        <v>145.02000000000001</v>
      </c>
      <c r="M255" s="5" t="s">
        <v>39</v>
      </c>
      <c r="N255" s="5">
        <v>19.722719999999999</v>
      </c>
      <c r="O255" s="5" t="s">
        <v>39</v>
      </c>
      <c r="P255" t="s">
        <v>274</v>
      </c>
      <c r="Q255" t="s">
        <v>729</v>
      </c>
      <c r="R255" t="s">
        <v>37</v>
      </c>
      <c r="S255" t="s">
        <v>730</v>
      </c>
      <c r="T255" t="s">
        <v>43</v>
      </c>
      <c r="U255" t="s">
        <v>44</v>
      </c>
      <c r="V255">
        <v>147</v>
      </c>
      <c r="W255" t="s">
        <v>45</v>
      </c>
      <c r="X255" t="s">
        <v>239</v>
      </c>
      <c r="Y255" t="s">
        <v>731</v>
      </c>
      <c r="Z255" t="s">
        <v>37</v>
      </c>
      <c r="AA255" t="s">
        <v>95</v>
      </c>
      <c r="AB255" t="s">
        <v>37</v>
      </c>
      <c r="AC255" s="6" t="s">
        <v>37</v>
      </c>
      <c r="AD255" s="6" t="s">
        <v>37</v>
      </c>
      <c r="AE255" t="s">
        <v>37</v>
      </c>
      <c r="AF255" t="s">
        <v>37</v>
      </c>
      <c r="AG255" s="6" t="s">
        <v>37</v>
      </c>
      <c r="AH255" t="s">
        <v>37</v>
      </c>
      <c r="AI255" t="s">
        <v>37</v>
      </c>
      <c r="AJ255" t="str">
        <f t="shared" si="11"/>
        <v>4LYATDUXB07W6HBPSX</v>
      </c>
    </row>
    <row r="256" spans="1:36" ht="15" customHeight="1" x14ac:dyDescent="0.25">
      <c r="A256" t="s">
        <v>76</v>
      </c>
      <c r="B256" t="s">
        <v>37</v>
      </c>
      <c r="C256" t="s">
        <v>37</v>
      </c>
      <c r="D256" t="s">
        <v>38</v>
      </c>
      <c r="E256" s="4">
        <v>410</v>
      </c>
      <c r="F256" s="5">
        <v>4317.3</v>
      </c>
      <c r="G256" s="5" t="s">
        <v>39</v>
      </c>
      <c r="H256" s="5">
        <v>6047.5</v>
      </c>
      <c r="I256" s="5" t="s">
        <v>39</v>
      </c>
      <c r="J256" s="5">
        <v>146.78819999999999</v>
      </c>
      <c r="K256" s="5">
        <f t="shared" si="9"/>
        <v>0.35801999999999995</v>
      </c>
      <c r="L256" s="5">
        <f t="shared" si="10"/>
        <v>10.530000000000001</v>
      </c>
      <c r="M256" s="5" t="s">
        <v>39</v>
      </c>
      <c r="N256" s="5">
        <v>146.78819999999999</v>
      </c>
      <c r="O256" s="5" t="s">
        <v>39</v>
      </c>
      <c r="P256" t="s">
        <v>63</v>
      </c>
      <c r="Q256" t="s">
        <v>732</v>
      </c>
      <c r="R256" t="s">
        <v>37</v>
      </c>
      <c r="S256" t="s">
        <v>733</v>
      </c>
      <c r="T256" t="s">
        <v>43</v>
      </c>
      <c r="U256" t="s">
        <v>44</v>
      </c>
      <c r="V256">
        <v>147</v>
      </c>
      <c r="W256" t="s">
        <v>45</v>
      </c>
      <c r="X256" t="s">
        <v>53</v>
      </c>
      <c r="Y256" t="s">
        <v>734</v>
      </c>
      <c r="Z256" t="s">
        <v>37</v>
      </c>
      <c r="AA256" t="s">
        <v>55</v>
      </c>
      <c r="AB256" t="s">
        <v>37</v>
      </c>
      <c r="AC256" s="6" t="s">
        <v>37</v>
      </c>
      <c r="AD256" s="6" t="s">
        <v>37</v>
      </c>
      <c r="AE256" t="s">
        <v>37</v>
      </c>
      <c r="AF256" t="s">
        <v>37</v>
      </c>
      <c r="AG256" s="6" t="s">
        <v>37</v>
      </c>
      <c r="AH256" t="s">
        <v>37</v>
      </c>
      <c r="AI256" t="s">
        <v>37</v>
      </c>
      <c r="AJ256" t="str">
        <f t="shared" si="11"/>
        <v>7H9X1Z6SB00552K0GM</v>
      </c>
    </row>
    <row r="257" spans="1:36" ht="15" customHeight="1" x14ac:dyDescent="0.25">
      <c r="A257" t="s">
        <v>101</v>
      </c>
      <c r="B257" t="s">
        <v>37</v>
      </c>
      <c r="C257" t="s">
        <v>37</v>
      </c>
      <c r="D257" t="s">
        <v>38</v>
      </c>
      <c r="E257" s="4">
        <v>24</v>
      </c>
      <c r="F257" s="5">
        <v>1670.64</v>
      </c>
      <c r="G257" s="5" t="s">
        <v>39</v>
      </c>
      <c r="H257" s="5">
        <v>2537.7600000000002</v>
      </c>
      <c r="I257" s="5" t="s">
        <v>39</v>
      </c>
      <c r="J257" s="5">
        <v>56.801760000000002</v>
      </c>
      <c r="K257" s="5">
        <f t="shared" si="9"/>
        <v>2.3667400000000001</v>
      </c>
      <c r="L257" s="5">
        <f t="shared" si="10"/>
        <v>69.61</v>
      </c>
      <c r="M257" s="5" t="s">
        <v>39</v>
      </c>
      <c r="N257" s="5">
        <v>56.801760000000002</v>
      </c>
      <c r="O257" s="5" t="s">
        <v>39</v>
      </c>
      <c r="P257" t="s">
        <v>320</v>
      </c>
      <c r="Q257" t="s">
        <v>735</v>
      </c>
      <c r="R257" t="s">
        <v>37</v>
      </c>
      <c r="S257" t="s">
        <v>736</v>
      </c>
      <c r="T257" t="s">
        <v>43</v>
      </c>
      <c r="U257" t="s">
        <v>44</v>
      </c>
      <c r="V257">
        <v>147</v>
      </c>
      <c r="W257" t="s">
        <v>45</v>
      </c>
      <c r="X257" t="s">
        <v>60</v>
      </c>
      <c r="Y257" t="s">
        <v>737</v>
      </c>
      <c r="Z257" t="s">
        <v>37</v>
      </c>
      <c r="AA257" t="s">
        <v>55</v>
      </c>
      <c r="AB257" t="s">
        <v>37</v>
      </c>
      <c r="AC257" s="6" t="s">
        <v>37</v>
      </c>
      <c r="AD257" s="6" t="s">
        <v>37</v>
      </c>
      <c r="AE257" t="s">
        <v>37</v>
      </c>
      <c r="AF257" t="s">
        <v>37</v>
      </c>
      <c r="AG257" s="6" t="s">
        <v>37</v>
      </c>
      <c r="AH257" t="s">
        <v>37</v>
      </c>
      <c r="AI257" t="s">
        <v>37</v>
      </c>
      <c r="AJ257" t="str">
        <f t="shared" si="11"/>
        <v>8BG295LIB07W4DGGBH</v>
      </c>
    </row>
    <row r="258" spans="1:36" ht="15" customHeight="1" x14ac:dyDescent="0.25">
      <c r="A258" t="s">
        <v>96</v>
      </c>
      <c r="B258" t="s">
        <v>37</v>
      </c>
      <c r="C258" t="s">
        <v>37</v>
      </c>
      <c r="D258" t="s">
        <v>38</v>
      </c>
      <c r="E258" s="4">
        <v>8</v>
      </c>
      <c r="F258" s="5">
        <v>742.48</v>
      </c>
      <c r="G258" s="5" t="s">
        <v>39</v>
      </c>
      <c r="H258" s="5">
        <v>1049.1199999999999</v>
      </c>
      <c r="I258" s="5" t="s">
        <v>39</v>
      </c>
      <c r="J258" s="5">
        <v>25.244319999999998</v>
      </c>
      <c r="K258" s="5">
        <f t="shared" si="9"/>
        <v>3.1555399999999998</v>
      </c>
      <c r="L258" s="5">
        <f t="shared" si="10"/>
        <v>92.81</v>
      </c>
      <c r="M258" s="5" t="s">
        <v>39</v>
      </c>
      <c r="N258" s="5">
        <v>25.244319999999998</v>
      </c>
      <c r="O258" s="5" t="s">
        <v>39</v>
      </c>
      <c r="P258" t="s">
        <v>195</v>
      </c>
      <c r="Q258" t="s">
        <v>738</v>
      </c>
      <c r="R258" t="s">
        <v>37</v>
      </c>
      <c r="S258" t="s">
        <v>739</v>
      </c>
      <c r="T258" t="s">
        <v>43</v>
      </c>
      <c r="U258" t="s">
        <v>44</v>
      </c>
      <c r="V258">
        <v>147</v>
      </c>
      <c r="W258" t="s">
        <v>45</v>
      </c>
      <c r="X258" t="s">
        <v>60</v>
      </c>
      <c r="Y258" t="s">
        <v>740</v>
      </c>
      <c r="Z258" t="s">
        <v>37</v>
      </c>
      <c r="AA258" t="s">
        <v>55</v>
      </c>
      <c r="AB258" t="s">
        <v>37</v>
      </c>
      <c r="AC258" s="6" t="s">
        <v>37</v>
      </c>
      <c r="AD258" s="6" t="s">
        <v>37</v>
      </c>
      <c r="AE258" t="s">
        <v>37</v>
      </c>
      <c r="AF258" t="s">
        <v>37</v>
      </c>
      <c r="AG258" s="6" t="s">
        <v>37</v>
      </c>
      <c r="AH258" t="s">
        <v>37</v>
      </c>
      <c r="AI258" t="s">
        <v>37</v>
      </c>
      <c r="AJ258" t="str">
        <f t="shared" si="11"/>
        <v>5X1OU9ZGB07W7MZ93L</v>
      </c>
    </row>
    <row r="259" spans="1:36" ht="15" customHeight="1" x14ac:dyDescent="0.25">
      <c r="A259" t="s">
        <v>96</v>
      </c>
      <c r="B259" t="s">
        <v>37</v>
      </c>
      <c r="C259" t="s">
        <v>37</v>
      </c>
      <c r="D259" t="s">
        <v>38</v>
      </c>
      <c r="E259" s="4">
        <v>12</v>
      </c>
      <c r="F259" s="5">
        <v>253.2</v>
      </c>
      <c r="G259" s="5" t="s">
        <v>39</v>
      </c>
      <c r="H259" s="5">
        <v>432.72</v>
      </c>
      <c r="I259" s="5" t="s">
        <v>39</v>
      </c>
      <c r="J259" s="5">
        <v>8.6088000000000005</v>
      </c>
      <c r="K259" s="5">
        <f t="shared" ref="K259:K322" si="12">J259/E259</f>
        <v>0.71740000000000004</v>
      </c>
      <c r="L259" s="5">
        <f t="shared" ref="L259:L322" si="13">F259/E259</f>
        <v>21.099999999999998</v>
      </c>
      <c r="M259" s="5" t="s">
        <v>39</v>
      </c>
      <c r="N259" s="5">
        <v>8.6088000000000005</v>
      </c>
      <c r="O259" s="5" t="s">
        <v>39</v>
      </c>
      <c r="P259" t="s">
        <v>106</v>
      </c>
      <c r="Q259" t="s">
        <v>741</v>
      </c>
      <c r="R259" t="s">
        <v>742</v>
      </c>
      <c r="S259" t="s">
        <v>743</v>
      </c>
      <c r="T259" t="s">
        <v>43</v>
      </c>
      <c r="U259" t="s">
        <v>44</v>
      </c>
      <c r="V259">
        <v>147</v>
      </c>
      <c r="W259" t="s">
        <v>45</v>
      </c>
      <c r="X259" t="s">
        <v>46</v>
      </c>
      <c r="Y259" t="s">
        <v>744</v>
      </c>
      <c r="Z259" t="s">
        <v>37</v>
      </c>
      <c r="AA259" t="s">
        <v>48</v>
      </c>
      <c r="AB259" t="s">
        <v>37</v>
      </c>
      <c r="AC259" s="6" t="s">
        <v>37</v>
      </c>
      <c r="AD259" s="6" t="s">
        <v>37</v>
      </c>
      <c r="AE259" t="s">
        <v>37</v>
      </c>
      <c r="AF259" t="s">
        <v>37</v>
      </c>
      <c r="AG259" s="6" t="s">
        <v>37</v>
      </c>
      <c r="AH259" t="s">
        <v>37</v>
      </c>
      <c r="AI259" t="s">
        <v>37</v>
      </c>
      <c r="AJ259" t="str">
        <f t="shared" ref="AJ259:AJ322" si="14">P259&amp;Q259</f>
        <v>2CLMXQWQB00CJ5FP04</v>
      </c>
    </row>
    <row r="260" spans="1:36" ht="15" customHeight="1" x14ac:dyDescent="0.25">
      <c r="A260" t="s">
        <v>36</v>
      </c>
      <c r="B260" t="s">
        <v>37</v>
      </c>
      <c r="C260" t="s">
        <v>37</v>
      </c>
      <c r="D260" t="s">
        <v>38</v>
      </c>
      <c r="E260" s="4">
        <v>4</v>
      </c>
      <c r="F260" s="5">
        <v>230.04</v>
      </c>
      <c r="G260" s="5" t="s">
        <v>39</v>
      </c>
      <c r="H260" s="5">
        <v>390.16</v>
      </c>
      <c r="I260" s="5" t="s">
        <v>39</v>
      </c>
      <c r="J260" s="5">
        <v>7.8213600000000003</v>
      </c>
      <c r="K260" s="5">
        <f t="shared" si="12"/>
        <v>1.9553400000000001</v>
      </c>
      <c r="L260" s="5">
        <f t="shared" si="13"/>
        <v>57.51</v>
      </c>
      <c r="M260" s="5" t="s">
        <v>39</v>
      </c>
      <c r="N260" s="5">
        <v>7.8213600000000003</v>
      </c>
      <c r="O260" s="5" t="s">
        <v>39</v>
      </c>
      <c r="P260" t="s">
        <v>168</v>
      </c>
      <c r="Q260" t="s">
        <v>745</v>
      </c>
      <c r="R260" t="s">
        <v>37</v>
      </c>
      <c r="S260" t="s">
        <v>746</v>
      </c>
      <c r="T260" t="s">
        <v>43</v>
      </c>
      <c r="U260" t="s">
        <v>44</v>
      </c>
      <c r="V260">
        <v>147</v>
      </c>
      <c r="W260" t="s">
        <v>45</v>
      </c>
      <c r="X260" t="s">
        <v>46</v>
      </c>
      <c r="Y260" t="s">
        <v>747</v>
      </c>
      <c r="Z260" t="s">
        <v>37</v>
      </c>
      <c r="AA260" t="s">
        <v>48</v>
      </c>
      <c r="AB260" t="s">
        <v>37</v>
      </c>
      <c r="AC260" s="6" t="s">
        <v>37</v>
      </c>
      <c r="AD260" s="6" t="s">
        <v>37</v>
      </c>
      <c r="AE260" t="s">
        <v>37</v>
      </c>
      <c r="AF260" t="s">
        <v>37</v>
      </c>
      <c r="AG260" s="6" t="s">
        <v>37</v>
      </c>
      <c r="AH260" t="s">
        <v>37</v>
      </c>
      <c r="AI260" t="s">
        <v>37</v>
      </c>
      <c r="AJ260" t="str">
        <f t="shared" si="14"/>
        <v>2R6FMUZDB01MFBNN9J</v>
      </c>
    </row>
    <row r="261" spans="1:36" ht="15" customHeight="1" x14ac:dyDescent="0.25">
      <c r="A261" t="s">
        <v>101</v>
      </c>
      <c r="B261" t="s">
        <v>37</v>
      </c>
      <c r="C261" t="s">
        <v>37</v>
      </c>
      <c r="D261" t="s">
        <v>38</v>
      </c>
      <c r="E261" s="4">
        <v>56</v>
      </c>
      <c r="F261" s="5">
        <v>4222.96</v>
      </c>
      <c r="G261" s="5" t="s">
        <v>39</v>
      </c>
      <c r="H261" s="5">
        <v>6196.4</v>
      </c>
      <c r="I261" s="5" t="s">
        <v>39</v>
      </c>
      <c r="J261" s="5">
        <v>143.58063999999999</v>
      </c>
      <c r="K261" s="5">
        <f t="shared" si="12"/>
        <v>2.5639399999999997</v>
      </c>
      <c r="L261" s="5">
        <f t="shared" si="13"/>
        <v>75.41</v>
      </c>
      <c r="M261" s="5" t="s">
        <v>39</v>
      </c>
      <c r="N261" s="5">
        <v>143.58063999999999</v>
      </c>
      <c r="O261" s="5" t="s">
        <v>39</v>
      </c>
      <c r="P261" t="s">
        <v>748</v>
      </c>
      <c r="Q261" t="s">
        <v>417</v>
      </c>
      <c r="R261" t="s">
        <v>37</v>
      </c>
      <c r="S261" t="s">
        <v>418</v>
      </c>
      <c r="T261" t="s">
        <v>43</v>
      </c>
      <c r="U261" t="s">
        <v>44</v>
      </c>
      <c r="V261">
        <v>147</v>
      </c>
      <c r="W261" t="s">
        <v>45</v>
      </c>
      <c r="X261" t="s">
        <v>60</v>
      </c>
      <c r="Y261" t="s">
        <v>419</v>
      </c>
      <c r="Z261" t="s">
        <v>37</v>
      </c>
      <c r="AA261" t="s">
        <v>48</v>
      </c>
      <c r="AB261" t="s">
        <v>37</v>
      </c>
      <c r="AC261" s="6" t="s">
        <v>37</v>
      </c>
      <c r="AD261" s="6" t="s">
        <v>37</v>
      </c>
      <c r="AE261" t="s">
        <v>37</v>
      </c>
      <c r="AF261" t="s">
        <v>37</v>
      </c>
      <c r="AG261" s="6" t="s">
        <v>37</v>
      </c>
      <c r="AH261" t="s">
        <v>37</v>
      </c>
      <c r="AI261" t="s">
        <v>37</v>
      </c>
      <c r="AJ261" t="str">
        <f t="shared" si="14"/>
        <v>74WI6EYDB01N6NGNQ8</v>
      </c>
    </row>
    <row r="262" spans="1:36" ht="15" customHeight="1" x14ac:dyDescent="0.25">
      <c r="A262" t="s">
        <v>118</v>
      </c>
      <c r="B262" t="s">
        <v>37</v>
      </c>
      <c r="C262" t="s">
        <v>37</v>
      </c>
      <c r="D262" t="s">
        <v>38</v>
      </c>
      <c r="E262" s="4">
        <v>64</v>
      </c>
      <c r="F262" s="5">
        <v>2061.44</v>
      </c>
      <c r="G262" s="5" t="s">
        <v>39</v>
      </c>
      <c r="H262" s="5">
        <v>3094.4</v>
      </c>
      <c r="I262" s="5" t="s">
        <v>39</v>
      </c>
      <c r="J262" s="5">
        <v>70.08896</v>
      </c>
      <c r="K262" s="5">
        <f t="shared" si="12"/>
        <v>1.09514</v>
      </c>
      <c r="L262" s="5">
        <f t="shared" si="13"/>
        <v>32.21</v>
      </c>
      <c r="M262" s="5" t="s">
        <v>39</v>
      </c>
      <c r="N262" s="5">
        <v>70.08896</v>
      </c>
      <c r="O262" s="5" t="s">
        <v>39</v>
      </c>
      <c r="P262" t="s">
        <v>128</v>
      </c>
      <c r="Q262" t="s">
        <v>749</v>
      </c>
      <c r="R262" t="s">
        <v>37</v>
      </c>
      <c r="S262" t="s">
        <v>750</v>
      </c>
      <c r="T262" t="s">
        <v>43</v>
      </c>
      <c r="U262" t="s">
        <v>44</v>
      </c>
      <c r="V262">
        <v>147</v>
      </c>
      <c r="W262" t="s">
        <v>45</v>
      </c>
      <c r="X262" t="s">
        <v>60</v>
      </c>
      <c r="Y262" t="s">
        <v>751</v>
      </c>
      <c r="Z262" t="s">
        <v>37</v>
      </c>
      <c r="AA262" t="s">
        <v>55</v>
      </c>
      <c r="AB262" t="s">
        <v>37</v>
      </c>
      <c r="AC262" s="6" t="s">
        <v>37</v>
      </c>
      <c r="AD262" s="6" t="s">
        <v>37</v>
      </c>
      <c r="AE262" t="s">
        <v>37</v>
      </c>
      <c r="AF262" t="s">
        <v>37</v>
      </c>
      <c r="AG262" s="6" t="s">
        <v>37</v>
      </c>
      <c r="AH262" t="s">
        <v>37</v>
      </c>
      <c r="AI262" t="s">
        <v>37</v>
      </c>
      <c r="AJ262" t="str">
        <f t="shared" si="14"/>
        <v>7RAC5F9EB07W5JHXF8</v>
      </c>
    </row>
    <row r="263" spans="1:36" ht="15" customHeight="1" x14ac:dyDescent="0.25">
      <c r="A263" t="s">
        <v>96</v>
      </c>
      <c r="B263" t="s">
        <v>37</v>
      </c>
      <c r="C263" t="s">
        <v>37</v>
      </c>
      <c r="D263" t="s">
        <v>38</v>
      </c>
      <c r="E263" s="4">
        <v>10</v>
      </c>
      <c r="F263" s="5">
        <v>163.9</v>
      </c>
      <c r="G263" s="5" t="s">
        <v>39</v>
      </c>
      <c r="H263" s="5">
        <v>245.8</v>
      </c>
      <c r="I263" s="5" t="s">
        <v>39</v>
      </c>
      <c r="J263" s="5">
        <v>5.5726000000000004</v>
      </c>
      <c r="K263" s="5">
        <f t="shared" si="12"/>
        <v>0.55726000000000009</v>
      </c>
      <c r="L263" s="5">
        <f t="shared" si="13"/>
        <v>16.39</v>
      </c>
      <c r="M263" s="5" t="s">
        <v>39</v>
      </c>
      <c r="N263" s="5">
        <v>5.5726000000000004</v>
      </c>
      <c r="O263" s="5" t="s">
        <v>39</v>
      </c>
      <c r="P263" t="s">
        <v>752</v>
      </c>
      <c r="Q263" t="s">
        <v>753</v>
      </c>
      <c r="R263" t="s">
        <v>37</v>
      </c>
      <c r="S263" t="s">
        <v>754</v>
      </c>
      <c r="T263" t="s">
        <v>43</v>
      </c>
      <c r="U263" t="s">
        <v>44</v>
      </c>
      <c r="V263">
        <v>147</v>
      </c>
      <c r="W263" t="s">
        <v>45</v>
      </c>
      <c r="X263" t="s">
        <v>60</v>
      </c>
      <c r="Y263" t="s">
        <v>755</v>
      </c>
      <c r="Z263" t="s">
        <v>37</v>
      </c>
      <c r="AA263" t="s">
        <v>55</v>
      </c>
      <c r="AB263" t="s">
        <v>37</v>
      </c>
      <c r="AC263" s="6" t="s">
        <v>37</v>
      </c>
      <c r="AD263" s="6" t="s">
        <v>37</v>
      </c>
      <c r="AE263" t="s">
        <v>37</v>
      </c>
      <c r="AF263" t="s">
        <v>37</v>
      </c>
      <c r="AG263" s="6" t="s">
        <v>37</v>
      </c>
      <c r="AH263" t="s">
        <v>37</v>
      </c>
      <c r="AI263" t="s">
        <v>37</v>
      </c>
      <c r="AJ263" t="str">
        <f t="shared" si="14"/>
        <v>4TBDRH5TB00ITLJB84</v>
      </c>
    </row>
    <row r="264" spans="1:36" ht="15" customHeight="1" x14ac:dyDescent="0.25">
      <c r="A264" t="s">
        <v>62</v>
      </c>
      <c r="B264" t="s">
        <v>37</v>
      </c>
      <c r="C264" t="s">
        <v>37</v>
      </c>
      <c r="D264" t="s">
        <v>38</v>
      </c>
      <c r="E264" s="4">
        <v>84</v>
      </c>
      <c r="F264" s="5">
        <v>7046.76</v>
      </c>
      <c r="G264" s="5" t="s">
        <v>39</v>
      </c>
      <c r="H264" s="5">
        <v>11360.16</v>
      </c>
      <c r="I264" s="5" t="s">
        <v>39</v>
      </c>
      <c r="J264" s="5">
        <v>239.58984000000001</v>
      </c>
      <c r="K264" s="5">
        <f t="shared" si="12"/>
        <v>2.8522600000000002</v>
      </c>
      <c r="L264" s="5">
        <f t="shared" si="13"/>
        <v>83.89</v>
      </c>
      <c r="M264" s="5" t="s">
        <v>39</v>
      </c>
      <c r="N264" s="5">
        <v>239.58984000000001</v>
      </c>
      <c r="O264" s="5" t="s">
        <v>39</v>
      </c>
      <c r="P264" t="s">
        <v>274</v>
      </c>
      <c r="Q264" t="s">
        <v>756</v>
      </c>
      <c r="R264" t="s">
        <v>37</v>
      </c>
      <c r="S264" t="s">
        <v>757</v>
      </c>
      <c r="T264" t="s">
        <v>43</v>
      </c>
      <c r="U264" t="s">
        <v>44</v>
      </c>
      <c r="V264">
        <v>147</v>
      </c>
      <c r="W264" t="s">
        <v>45</v>
      </c>
      <c r="X264" t="s">
        <v>53</v>
      </c>
      <c r="Y264" t="s">
        <v>503</v>
      </c>
      <c r="Z264" t="s">
        <v>37</v>
      </c>
      <c r="AA264" t="s">
        <v>55</v>
      </c>
      <c r="AB264" t="s">
        <v>37</v>
      </c>
      <c r="AC264" s="6" t="s">
        <v>37</v>
      </c>
      <c r="AD264" s="6" t="s">
        <v>37</v>
      </c>
      <c r="AE264" t="s">
        <v>37</v>
      </c>
      <c r="AF264" t="s">
        <v>37</v>
      </c>
      <c r="AG264" s="6" t="s">
        <v>37</v>
      </c>
      <c r="AH264" t="s">
        <v>37</v>
      </c>
      <c r="AI264" t="s">
        <v>37</v>
      </c>
      <c r="AJ264" t="str">
        <f t="shared" si="14"/>
        <v>4LYATDUXB07W7MKLNT</v>
      </c>
    </row>
    <row r="265" spans="1:36" ht="15" customHeight="1" x14ac:dyDescent="0.25">
      <c r="A265" t="s">
        <v>101</v>
      </c>
      <c r="B265" t="s">
        <v>37</v>
      </c>
      <c r="C265" t="s">
        <v>37</v>
      </c>
      <c r="D265" t="s">
        <v>38</v>
      </c>
      <c r="E265" s="4">
        <v>12</v>
      </c>
      <c r="F265" s="5">
        <v>399.96</v>
      </c>
      <c r="G265" s="5" t="s">
        <v>39</v>
      </c>
      <c r="H265" s="5">
        <v>399.96</v>
      </c>
      <c r="I265" s="5" t="s">
        <v>39</v>
      </c>
      <c r="J265" s="5">
        <v>13.59864</v>
      </c>
      <c r="K265" s="5">
        <f t="shared" si="12"/>
        <v>1.1332199999999999</v>
      </c>
      <c r="L265" s="5">
        <f t="shared" si="13"/>
        <v>33.33</v>
      </c>
      <c r="M265" s="5" t="s">
        <v>39</v>
      </c>
      <c r="N265" s="5">
        <v>13.59864</v>
      </c>
      <c r="O265" s="5" t="s">
        <v>39</v>
      </c>
      <c r="P265" t="s">
        <v>274</v>
      </c>
      <c r="Q265" t="s">
        <v>758</v>
      </c>
      <c r="R265" t="s">
        <v>37</v>
      </c>
      <c r="S265" t="s">
        <v>759</v>
      </c>
      <c r="T265" t="s">
        <v>43</v>
      </c>
      <c r="U265" t="s">
        <v>44</v>
      </c>
      <c r="V265">
        <v>147</v>
      </c>
      <c r="W265" t="s">
        <v>45</v>
      </c>
      <c r="X265" t="s">
        <v>239</v>
      </c>
      <c r="Y265" t="s">
        <v>760</v>
      </c>
      <c r="Z265" t="s">
        <v>37</v>
      </c>
      <c r="AA265" t="s">
        <v>95</v>
      </c>
      <c r="AB265" t="s">
        <v>37</v>
      </c>
      <c r="AC265" s="6" t="s">
        <v>37</v>
      </c>
      <c r="AD265" s="6" t="s">
        <v>37</v>
      </c>
      <c r="AE265" t="s">
        <v>37</v>
      </c>
      <c r="AF265" t="s">
        <v>37</v>
      </c>
      <c r="AG265" s="6" t="s">
        <v>37</v>
      </c>
      <c r="AH265" t="s">
        <v>37</v>
      </c>
      <c r="AI265" t="s">
        <v>37</v>
      </c>
      <c r="AJ265" t="str">
        <f t="shared" si="14"/>
        <v>4LYATDUXB00M6S9O9C</v>
      </c>
    </row>
    <row r="266" spans="1:36" ht="15" customHeight="1" x14ac:dyDescent="0.25">
      <c r="A266" t="s">
        <v>96</v>
      </c>
      <c r="B266" t="s">
        <v>37</v>
      </c>
      <c r="C266" t="s">
        <v>37</v>
      </c>
      <c r="D266" t="s">
        <v>38</v>
      </c>
      <c r="E266" s="4">
        <v>4</v>
      </c>
      <c r="F266" s="5">
        <v>636.36</v>
      </c>
      <c r="G266" s="5" t="s">
        <v>39</v>
      </c>
      <c r="H266" s="5">
        <v>754.08</v>
      </c>
      <c r="I266" s="5" t="s">
        <v>39</v>
      </c>
      <c r="J266" s="5">
        <v>21.636240000000001</v>
      </c>
      <c r="K266" s="5">
        <f t="shared" si="12"/>
        <v>5.4090600000000002</v>
      </c>
      <c r="L266" s="5">
        <f t="shared" si="13"/>
        <v>159.09</v>
      </c>
      <c r="M266" s="5" t="s">
        <v>39</v>
      </c>
      <c r="N266" s="5">
        <v>21.636240000000001</v>
      </c>
      <c r="O266" s="5" t="s">
        <v>39</v>
      </c>
      <c r="P266" t="s">
        <v>479</v>
      </c>
      <c r="Q266" t="s">
        <v>227</v>
      </c>
      <c r="R266" t="s">
        <v>228</v>
      </c>
      <c r="S266" t="s">
        <v>229</v>
      </c>
      <c r="T266" t="s">
        <v>43</v>
      </c>
      <c r="U266" t="s">
        <v>44</v>
      </c>
      <c r="V266">
        <v>267</v>
      </c>
      <c r="W266" t="s">
        <v>151</v>
      </c>
      <c r="X266" t="s">
        <v>152</v>
      </c>
      <c r="Y266" t="s">
        <v>230</v>
      </c>
      <c r="Z266" t="s">
        <v>37</v>
      </c>
      <c r="AA266" t="s">
        <v>95</v>
      </c>
      <c r="AB266" t="s">
        <v>37</v>
      </c>
      <c r="AC266" s="6" t="s">
        <v>37</v>
      </c>
      <c r="AD266" s="6" t="s">
        <v>37</v>
      </c>
      <c r="AE266" t="s">
        <v>37</v>
      </c>
      <c r="AF266" t="s">
        <v>37</v>
      </c>
      <c r="AG266" s="6" t="s">
        <v>37</v>
      </c>
      <c r="AH266" t="s">
        <v>37</v>
      </c>
      <c r="AI266" t="s">
        <v>37</v>
      </c>
      <c r="AJ266" t="str">
        <f t="shared" si="14"/>
        <v>7SCVG2OTB078MHS3SC</v>
      </c>
    </row>
    <row r="267" spans="1:36" ht="15" customHeight="1" x14ac:dyDescent="0.25">
      <c r="A267" t="s">
        <v>411</v>
      </c>
      <c r="B267" t="s">
        <v>37</v>
      </c>
      <c r="C267" t="s">
        <v>37</v>
      </c>
      <c r="D267" t="s">
        <v>38</v>
      </c>
      <c r="E267" s="4">
        <v>4</v>
      </c>
      <c r="F267" s="5">
        <v>93.68</v>
      </c>
      <c r="G267" s="5" t="s">
        <v>39</v>
      </c>
      <c r="H267" s="5">
        <v>144.24</v>
      </c>
      <c r="I267" s="5" t="s">
        <v>39</v>
      </c>
      <c r="J267" s="5">
        <v>3.18512</v>
      </c>
      <c r="K267" s="5">
        <f t="shared" si="12"/>
        <v>0.79627999999999999</v>
      </c>
      <c r="L267" s="5">
        <f t="shared" si="13"/>
        <v>23.42</v>
      </c>
      <c r="M267" s="5" t="s">
        <v>39</v>
      </c>
      <c r="N267" s="5">
        <v>3.18512</v>
      </c>
      <c r="O267" s="5" t="s">
        <v>39</v>
      </c>
      <c r="P267" t="s">
        <v>522</v>
      </c>
      <c r="Q267" t="s">
        <v>761</v>
      </c>
      <c r="R267" t="s">
        <v>762</v>
      </c>
      <c r="S267" t="s">
        <v>763</v>
      </c>
      <c r="T267" t="s">
        <v>43</v>
      </c>
      <c r="U267" t="s">
        <v>44</v>
      </c>
      <c r="V267">
        <v>147</v>
      </c>
      <c r="W267" t="s">
        <v>45</v>
      </c>
      <c r="X267" t="s">
        <v>60</v>
      </c>
      <c r="Y267" t="s">
        <v>764</v>
      </c>
      <c r="Z267" t="s">
        <v>37</v>
      </c>
      <c r="AA267" t="s">
        <v>55</v>
      </c>
      <c r="AB267" t="s">
        <v>37</v>
      </c>
      <c r="AC267" s="6" t="s">
        <v>37</v>
      </c>
      <c r="AD267" s="6" t="s">
        <v>37</v>
      </c>
      <c r="AE267" t="s">
        <v>37</v>
      </c>
      <c r="AF267" t="s">
        <v>37</v>
      </c>
      <c r="AG267" s="6" t="s">
        <v>37</v>
      </c>
      <c r="AH267" t="s">
        <v>37</v>
      </c>
      <c r="AI267" t="s">
        <v>37</v>
      </c>
      <c r="AJ267" t="str">
        <f t="shared" si="14"/>
        <v>24EUBTHXB0074486GA</v>
      </c>
    </row>
    <row r="268" spans="1:36" ht="15" customHeight="1" x14ac:dyDescent="0.25">
      <c r="A268" t="s">
        <v>76</v>
      </c>
      <c r="B268" t="s">
        <v>37</v>
      </c>
      <c r="C268" t="s">
        <v>37</v>
      </c>
      <c r="D268" t="s">
        <v>38</v>
      </c>
      <c r="E268" s="4">
        <v>4</v>
      </c>
      <c r="F268" s="5">
        <v>299.36</v>
      </c>
      <c r="G268" s="5" t="s">
        <v>39</v>
      </c>
      <c r="H268" s="5">
        <v>455.72</v>
      </c>
      <c r="I268" s="5" t="s">
        <v>39</v>
      </c>
      <c r="J268" s="5">
        <v>10.178240000000001</v>
      </c>
      <c r="K268" s="5">
        <f t="shared" si="12"/>
        <v>2.5445600000000002</v>
      </c>
      <c r="L268" s="5">
        <f t="shared" si="13"/>
        <v>74.84</v>
      </c>
      <c r="M268" s="5" t="s">
        <v>39</v>
      </c>
      <c r="N268" s="5">
        <v>10.178240000000001</v>
      </c>
      <c r="O268" s="5" t="s">
        <v>39</v>
      </c>
      <c r="P268" t="s">
        <v>114</v>
      </c>
      <c r="Q268" t="s">
        <v>765</v>
      </c>
      <c r="R268" t="s">
        <v>37</v>
      </c>
      <c r="S268" t="s">
        <v>766</v>
      </c>
      <c r="T268" t="s">
        <v>43</v>
      </c>
      <c r="U268" t="s">
        <v>44</v>
      </c>
      <c r="V268">
        <v>147</v>
      </c>
      <c r="W268" t="s">
        <v>45</v>
      </c>
      <c r="X268" t="s">
        <v>60</v>
      </c>
      <c r="Y268" t="s">
        <v>767</v>
      </c>
      <c r="Z268" t="s">
        <v>37</v>
      </c>
      <c r="AA268" t="s">
        <v>55</v>
      </c>
      <c r="AB268" t="s">
        <v>37</v>
      </c>
      <c r="AC268" s="6" t="s">
        <v>37</v>
      </c>
      <c r="AD268" s="6" t="s">
        <v>37</v>
      </c>
      <c r="AE268" t="s">
        <v>37</v>
      </c>
      <c r="AF268" t="s">
        <v>37</v>
      </c>
      <c r="AG268" s="6" t="s">
        <v>37</v>
      </c>
      <c r="AH268" t="s">
        <v>37</v>
      </c>
      <c r="AI268" t="s">
        <v>37</v>
      </c>
      <c r="AJ268" t="str">
        <f t="shared" si="14"/>
        <v>243WWSUAB07W6JJSV7</v>
      </c>
    </row>
    <row r="269" spans="1:36" ht="15" customHeight="1" x14ac:dyDescent="0.25">
      <c r="A269" t="s">
        <v>101</v>
      </c>
      <c r="B269" t="s">
        <v>37</v>
      </c>
      <c r="C269" t="s">
        <v>37</v>
      </c>
      <c r="D269" t="s">
        <v>38</v>
      </c>
      <c r="E269" s="4">
        <v>4</v>
      </c>
      <c r="F269" s="5">
        <v>325.64</v>
      </c>
      <c r="G269" s="5" t="s">
        <v>39</v>
      </c>
      <c r="H269" s="5">
        <v>475.4</v>
      </c>
      <c r="I269" s="5" t="s">
        <v>39</v>
      </c>
      <c r="J269" s="5">
        <v>11.071759999999999</v>
      </c>
      <c r="K269" s="5">
        <f t="shared" si="12"/>
        <v>2.7679399999999998</v>
      </c>
      <c r="L269" s="5">
        <f t="shared" si="13"/>
        <v>81.41</v>
      </c>
      <c r="M269" s="5" t="s">
        <v>39</v>
      </c>
      <c r="N269" s="5">
        <v>11.071759999999999</v>
      </c>
      <c r="O269" s="5" t="s">
        <v>39</v>
      </c>
      <c r="P269" t="s">
        <v>72</v>
      </c>
      <c r="Q269" t="s">
        <v>768</v>
      </c>
      <c r="R269" t="s">
        <v>37</v>
      </c>
      <c r="S269" t="s">
        <v>769</v>
      </c>
      <c r="T269" t="s">
        <v>43</v>
      </c>
      <c r="U269" t="s">
        <v>44</v>
      </c>
      <c r="V269">
        <v>147</v>
      </c>
      <c r="W269" t="s">
        <v>45</v>
      </c>
      <c r="X269" t="s">
        <v>389</v>
      </c>
      <c r="Y269" t="s">
        <v>770</v>
      </c>
      <c r="Z269" t="s">
        <v>37</v>
      </c>
      <c r="AA269" t="s">
        <v>55</v>
      </c>
      <c r="AB269" t="s">
        <v>37</v>
      </c>
      <c r="AC269" s="6" t="s">
        <v>37</v>
      </c>
      <c r="AD269" s="6" t="s">
        <v>37</v>
      </c>
      <c r="AE269" t="s">
        <v>37</v>
      </c>
      <c r="AF269" t="s">
        <v>37</v>
      </c>
      <c r="AG269" s="6" t="s">
        <v>37</v>
      </c>
      <c r="AH269" t="s">
        <v>37</v>
      </c>
      <c r="AI269" t="s">
        <v>37</v>
      </c>
      <c r="AJ269" t="str">
        <f t="shared" si="14"/>
        <v>4GF112AEB0105Y2T5Y</v>
      </c>
    </row>
    <row r="270" spans="1:36" ht="15" customHeight="1" x14ac:dyDescent="0.25">
      <c r="A270" t="s">
        <v>62</v>
      </c>
      <c r="B270" t="s">
        <v>37</v>
      </c>
      <c r="C270" t="s">
        <v>37</v>
      </c>
      <c r="D270" t="s">
        <v>38</v>
      </c>
      <c r="E270" s="4">
        <v>0</v>
      </c>
      <c r="F270" s="5">
        <v>0</v>
      </c>
      <c r="G270" s="5" t="s">
        <v>39</v>
      </c>
      <c r="H270" s="5">
        <v>0</v>
      </c>
      <c r="I270" s="5" t="s">
        <v>39</v>
      </c>
      <c r="J270" s="5">
        <v>0</v>
      </c>
      <c r="K270" s="5" t="e">
        <f t="shared" si="12"/>
        <v>#DIV/0!</v>
      </c>
      <c r="L270" s="5" t="e">
        <f t="shared" si="13"/>
        <v>#DIV/0!</v>
      </c>
      <c r="M270" s="5" t="s">
        <v>39</v>
      </c>
      <c r="N270" s="5">
        <v>0</v>
      </c>
      <c r="O270" s="5" t="s">
        <v>39</v>
      </c>
      <c r="P270" t="s">
        <v>72</v>
      </c>
      <c r="Q270" t="s">
        <v>771</v>
      </c>
      <c r="R270" t="s">
        <v>37</v>
      </c>
      <c r="S270" t="s">
        <v>772</v>
      </c>
      <c r="T270" t="s">
        <v>773</v>
      </c>
      <c r="U270" t="s">
        <v>44</v>
      </c>
      <c r="V270">
        <v>147</v>
      </c>
      <c r="W270" t="s">
        <v>45</v>
      </c>
      <c r="X270" t="s">
        <v>356</v>
      </c>
      <c r="Y270" t="s">
        <v>774</v>
      </c>
      <c r="Z270" t="s">
        <v>37</v>
      </c>
      <c r="AA270" t="s">
        <v>55</v>
      </c>
      <c r="AB270" t="s">
        <v>37</v>
      </c>
      <c r="AC270" s="6" t="s">
        <v>37</v>
      </c>
      <c r="AD270" s="6" t="s">
        <v>37</v>
      </c>
      <c r="AE270" t="s">
        <v>37</v>
      </c>
      <c r="AF270" t="s">
        <v>37</v>
      </c>
      <c r="AG270" s="6" t="s">
        <v>37</v>
      </c>
      <c r="AH270" t="s">
        <v>37</v>
      </c>
      <c r="AI270" t="s">
        <v>37</v>
      </c>
      <c r="AJ270" t="str">
        <f t="shared" si="14"/>
        <v>4GF112AEB07W5JJP7W</v>
      </c>
    </row>
    <row r="271" spans="1:36" ht="15" customHeight="1" x14ac:dyDescent="0.25">
      <c r="A271" t="s">
        <v>110</v>
      </c>
      <c r="B271" t="s">
        <v>37</v>
      </c>
      <c r="C271" t="s">
        <v>37</v>
      </c>
      <c r="D271" t="s">
        <v>38</v>
      </c>
      <c r="E271" s="4">
        <v>2</v>
      </c>
      <c r="F271" s="5">
        <v>162.82</v>
      </c>
      <c r="G271" s="5" t="s">
        <v>39</v>
      </c>
      <c r="H271" s="5">
        <v>237.7</v>
      </c>
      <c r="I271" s="5" t="s">
        <v>39</v>
      </c>
      <c r="J271" s="5">
        <v>5.5358799999999997</v>
      </c>
      <c r="K271" s="5">
        <f t="shared" si="12"/>
        <v>2.7679399999999998</v>
      </c>
      <c r="L271" s="5">
        <f t="shared" si="13"/>
        <v>81.41</v>
      </c>
      <c r="M271" s="5" t="s">
        <v>39</v>
      </c>
      <c r="N271" s="5">
        <v>5.5358799999999997</v>
      </c>
      <c r="O271" s="5" t="s">
        <v>39</v>
      </c>
      <c r="P271" t="s">
        <v>72</v>
      </c>
      <c r="Q271" t="s">
        <v>768</v>
      </c>
      <c r="R271" t="s">
        <v>37</v>
      </c>
      <c r="S271" t="s">
        <v>769</v>
      </c>
      <c r="T271" t="s">
        <v>43</v>
      </c>
      <c r="U271" t="s">
        <v>44</v>
      </c>
      <c r="V271">
        <v>147</v>
      </c>
      <c r="W271" t="s">
        <v>45</v>
      </c>
      <c r="X271" t="s">
        <v>389</v>
      </c>
      <c r="Y271" t="s">
        <v>770</v>
      </c>
      <c r="Z271" t="s">
        <v>37</v>
      </c>
      <c r="AA271" t="s">
        <v>55</v>
      </c>
      <c r="AB271" t="s">
        <v>37</v>
      </c>
      <c r="AC271" s="6" t="s">
        <v>37</v>
      </c>
      <c r="AD271" s="6" t="s">
        <v>37</v>
      </c>
      <c r="AE271" t="s">
        <v>37</v>
      </c>
      <c r="AF271" t="s">
        <v>37</v>
      </c>
      <c r="AG271" s="6" t="s">
        <v>37</v>
      </c>
      <c r="AH271" t="s">
        <v>37</v>
      </c>
      <c r="AI271" t="s">
        <v>37</v>
      </c>
      <c r="AJ271" t="str">
        <f t="shared" si="14"/>
        <v>4GF112AEB0105Y2T5Y</v>
      </c>
    </row>
    <row r="272" spans="1:36" ht="15" customHeight="1" x14ac:dyDescent="0.25">
      <c r="A272" t="s">
        <v>118</v>
      </c>
      <c r="B272" t="s">
        <v>37</v>
      </c>
      <c r="C272" t="s">
        <v>37</v>
      </c>
      <c r="D272" t="s">
        <v>38</v>
      </c>
      <c r="E272" s="4">
        <v>7</v>
      </c>
      <c r="F272" s="5">
        <v>286.93</v>
      </c>
      <c r="G272" s="5" t="s">
        <v>39</v>
      </c>
      <c r="H272" s="5">
        <v>413.07</v>
      </c>
      <c r="I272" s="5" t="s">
        <v>39</v>
      </c>
      <c r="J272" s="5">
        <v>9.7556200000000004</v>
      </c>
      <c r="K272" s="5">
        <f t="shared" si="12"/>
        <v>1.3936600000000001</v>
      </c>
      <c r="L272" s="5">
        <f t="shared" si="13"/>
        <v>40.99</v>
      </c>
      <c r="M272" s="5" t="s">
        <v>39</v>
      </c>
      <c r="N272" s="5">
        <v>9.7556200000000004</v>
      </c>
      <c r="O272" s="5" t="s">
        <v>39</v>
      </c>
      <c r="P272" t="s">
        <v>775</v>
      </c>
      <c r="Q272" t="s">
        <v>776</v>
      </c>
      <c r="R272" t="s">
        <v>37</v>
      </c>
      <c r="S272" t="s">
        <v>777</v>
      </c>
      <c r="T272" t="s">
        <v>43</v>
      </c>
      <c r="U272" t="s">
        <v>44</v>
      </c>
      <c r="V272">
        <v>147</v>
      </c>
      <c r="W272" t="s">
        <v>45</v>
      </c>
      <c r="X272" t="s">
        <v>60</v>
      </c>
      <c r="Y272" t="s">
        <v>778</v>
      </c>
      <c r="Z272" t="s">
        <v>779</v>
      </c>
      <c r="AA272" t="s">
        <v>48</v>
      </c>
      <c r="AB272" t="s">
        <v>37</v>
      </c>
      <c r="AC272" s="6" t="s">
        <v>37</v>
      </c>
      <c r="AD272" s="6" t="s">
        <v>37</v>
      </c>
      <c r="AE272" t="s">
        <v>37</v>
      </c>
      <c r="AF272" t="s">
        <v>37</v>
      </c>
      <c r="AG272" s="6" t="s">
        <v>37</v>
      </c>
      <c r="AH272" t="s">
        <v>37</v>
      </c>
      <c r="AI272" t="s">
        <v>37</v>
      </c>
      <c r="AJ272" t="str">
        <f t="shared" si="14"/>
        <v>5UZID3SVB00A389JEW</v>
      </c>
    </row>
    <row r="273" spans="1:36" ht="15" customHeight="1" x14ac:dyDescent="0.25">
      <c r="A273" t="s">
        <v>36</v>
      </c>
      <c r="B273" t="s">
        <v>37</v>
      </c>
      <c r="C273" t="s">
        <v>37</v>
      </c>
      <c r="D273" t="s">
        <v>38</v>
      </c>
      <c r="E273" s="4">
        <v>20</v>
      </c>
      <c r="F273" s="5">
        <v>327.8</v>
      </c>
      <c r="G273" s="5" t="s">
        <v>39</v>
      </c>
      <c r="H273" s="5">
        <v>327.8</v>
      </c>
      <c r="I273" s="5" t="s">
        <v>39</v>
      </c>
      <c r="J273" s="5">
        <v>11.145200000000001</v>
      </c>
      <c r="K273" s="5">
        <f t="shared" si="12"/>
        <v>0.55726000000000009</v>
      </c>
      <c r="L273" s="5">
        <f t="shared" si="13"/>
        <v>16.39</v>
      </c>
      <c r="M273" s="5" t="s">
        <v>39</v>
      </c>
      <c r="N273" s="5">
        <v>11.145200000000001</v>
      </c>
      <c r="O273" s="5" t="s">
        <v>39</v>
      </c>
      <c r="P273" t="s">
        <v>365</v>
      </c>
      <c r="Q273" t="s">
        <v>780</v>
      </c>
      <c r="R273" t="s">
        <v>37</v>
      </c>
      <c r="S273" t="s">
        <v>781</v>
      </c>
      <c r="T273" t="s">
        <v>43</v>
      </c>
      <c r="U273" t="s">
        <v>44</v>
      </c>
      <c r="V273">
        <v>147</v>
      </c>
      <c r="W273" t="s">
        <v>45</v>
      </c>
      <c r="X273" t="s">
        <v>239</v>
      </c>
      <c r="Y273" t="s">
        <v>782</v>
      </c>
      <c r="Z273" t="s">
        <v>37</v>
      </c>
      <c r="AA273" t="s">
        <v>48</v>
      </c>
      <c r="AB273" t="s">
        <v>37</v>
      </c>
      <c r="AC273" s="6" t="s">
        <v>37</v>
      </c>
      <c r="AD273" s="6" t="s">
        <v>37</v>
      </c>
      <c r="AE273" t="s">
        <v>37</v>
      </c>
      <c r="AF273" t="s">
        <v>37</v>
      </c>
      <c r="AG273" s="6" t="s">
        <v>37</v>
      </c>
      <c r="AH273" t="s">
        <v>37</v>
      </c>
      <c r="AI273" t="s">
        <v>37</v>
      </c>
      <c r="AJ273" t="str">
        <f t="shared" si="14"/>
        <v>3KYCEHVHB005DVR56I</v>
      </c>
    </row>
    <row r="274" spans="1:36" ht="15" customHeight="1" x14ac:dyDescent="0.25">
      <c r="A274" t="s">
        <v>118</v>
      </c>
      <c r="B274" t="s">
        <v>37</v>
      </c>
      <c r="C274" t="s">
        <v>37</v>
      </c>
      <c r="D274" t="s">
        <v>38</v>
      </c>
      <c r="E274" s="4">
        <v>48</v>
      </c>
      <c r="F274" s="5">
        <v>3341.28</v>
      </c>
      <c r="G274" s="5" t="s">
        <v>39</v>
      </c>
      <c r="H274" s="5">
        <v>4917.6000000000004</v>
      </c>
      <c r="I274" s="5" t="s">
        <v>39</v>
      </c>
      <c r="J274" s="5">
        <v>113.60352</v>
      </c>
      <c r="K274" s="5">
        <f t="shared" si="12"/>
        <v>2.3667400000000001</v>
      </c>
      <c r="L274" s="5">
        <f t="shared" si="13"/>
        <v>69.61</v>
      </c>
      <c r="M274" s="5" t="s">
        <v>39</v>
      </c>
      <c r="N274" s="5">
        <v>113.60352</v>
      </c>
      <c r="O274" s="5" t="s">
        <v>39</v>
      </c>
      <c r="P274" t="s">
        <v>202</v>
      </c>
      <c r="Q274" t="s">
        <v>639</v>
      </c>
      <c r="R274" t="s">
        <v>37</v>
      </c>
      <c r="S274" t="s">
        <v>640</v>
      </c>
      <c r="T274" t="s">
        <v>43</v>
      </c>
      <c r="U274" t="s">
        <v>44</v>
      </c>
      <c r="V274">
        <v>147</v>
      </c>
      <c r="W274" t="s">
        <v>45</v>
      </c>
      <c r="X274" t="s">
        <v>53</v>
      </c>
      <c r="Y274" t="s">
        <v>641</v>
      </c>
      <c r="Z274" t="s">
        <v>37</v>
      </c>
      <c r="AA274" t="s">
        <v>55</v>
      </c>
      <c r="AB274" t="s">
        <v>37</v>
      </c>
      <c r="AC274" s="6" t="s">
        <v>37</v>
      </c>
      <c r="AD274" s="6" t="s">
        <v>37</v>
      </c>
      <c r="AE274" t="s">
        <v>37</v>
      </c>
      <c r="AF274" t="s">
        <v>37</v>
      </c>
      <c r="AG274" s="6" t="s">
        <v>37</v>
      </c>
      <c r="AH274" t="s">
        <v>37</v>
      </c>
      <c r="AI274" t="s">
        <v>37</v>
      </c>
      <c r="AJ274" t="str">
        <f t="shared" si="14"/>
        <v>39TAD6PCB07FNHV4MW</v>
      </c>
    </row>
    <row r="275" spans="1:36" ht="15" customHeight="1" x14ac:dyDescent="0.25">
      <c r="A275" t="s">
        <v>56</v>
      </c>
      <c r="B275" t="s">
        <v>37</v>
      </c>
      <c r="C275" t="s">
        <v>37</v>
      </c>
      <c r="D275" t="s">
        <v>38</v>
      </c>
      <c r="E275" s="4">
        <v>4</v>
      </c>
      <c r="F275" s="5">
        <v>140.52000000000001</v>
      </c>
      <c r="G275" s="5" t="s">
        <v>39</v>
      </c>
      <c r="H275" s="5">
        <v>213.08</v>
      </c>
      <c r="I275" s="5" t="s">
        <v>39</v>
      </c>
      <c r="J275" s="5">
        <v>4.7776800000000001</v>
      </c>
      <c r="K275" s="5">
        <f t="shared" si="12"/>
        <v>1.19442</v>
      </c>
      <c r="L275" s="5">
        <f t="shared" si="13"/>
        <v>35.130000000000003</v>
      </c>
      <c r="M275" s="5" t="s">
        <v>39</v>
      </c>
      <c r="N275" s="5">
        <v>4.7776800000000001</v>
      </c>
      <c r="O275" s="5" t="s">
        <v>39</v>
      </c>
      <c r="P275" t="s">
        <v>57</v>
      </c>
      <c r="Q275" t="s">
        <v>783</v>
      </c>
      <c r="R275" t="s">
        <v>37</v>
      </c>
      <c r="S275" t="s">
        <v>784</v>
      </c>
      <c r="T275" t="s">
        <v>43</v>
      </c>
      <c r="U275" t="s">
        <v>44</v>
      </c>
      <c r="V275">
        <v>147</v>
      </c>
      <c r="W275" t="s">
        <v>92</v>
      </c>
      <c r="X275" t="s">
        <v>543</v>
      </c>
      <c r="Y275" t="s">
        <v>785</v>
      </c>
      <c r="Z275" t="s">
        <v>37</v>
      </c>
      <c r="AA275" t="s">
        <v>55</v>
      </c>
      <c r="AB275" t="s">
        <v>37</v>
      </c>
      <c r="AC275" s="6" t="s">
        <v>37</v>
      </c>
      <c r="AD275" s="6" t="s">
        <v>37</v>
      </c>
      <c r="AE275" t="s">
        <v>37</v>
      </c>
      <c r="AF275" t="s">
        <v>37</v>
      </c>
      <c r="AG275" s="6" t="s">
        <v>37</v>
      </c>
      <c r="AH275" t="s">
        <v>37</v>
      </c>
      <c r="AI275" t="s">
        <v>37</v>
      </c>
      <c r="AJ275" t="str">
        <f t="shared" si="14"/>
        <v>3GBCH66MB016QPMN84</v>
      </c>
    </row>
    <row r="276" spans="1:36" ht="15" customHeight="1" x14ac:dyDescent="0.25">
      <c r="A276" t="s">
        <v>210</v>
      </c>
      <c r="B276" t="s">
        <v>37</v>
      </c>
      <c r="C276" t="s">
        <v>37</v>
      </c>
      <c r="D276" t="s">
        <v>38</v>
      </c>
      <c r="E276" s="4">
        <v>52</v>
      </c>
      <c r="F276" s="5">
        <v>3619.72</v>
      </c>
      <c r="G276" s="5" t="s">
        <v>39</v>
      </c>
      <c r="H276" s="5">
        <v>4261.92</v>
      </c>
      <c r="I276" s="5" t="s">
        <v>39</v>
      </c>
      <c r="J276" s="5">
        <v>123.07048</v>
      </c>
      <c r="K276" s="5">
        <f t="shared" si="12"/>
        <v>2.3667400000000001</v>
      </c>
      <c r="L276" s="5">
        <f t="shared" si="13"/>
        <v>69.61</v>
      </c>
      <c r="M276" s="5" t="s">
        <v>39</v>
      </c>
      <c r="N276" s="5">
        <v>123.07048</v>
      </c>
      <c r="O276" s="5" t="s">
        <v>39</v>
      </c>
      <c r="P276" t="s">
        <v>670</v>
      </c>
      <c r="Q276" t="s">
        <v>786</v>
      </c>
      <c r="R276" t="s">
        <v>787</v>
      </c>
      <c r="S276" t="s">
        <v>788</v>
      </c>
      <c r="T276" t="s">
        <v>43</v>
      </c>
      <c r="U276" t="s">
        <v>44</v>
      </c>
      <c r="V276">
        <v>147</v>
      </c>
      <c r="W276" t="s">
        <v>45</v>
      </c>
      <c r="X276" t="s">
        <v>60</v>
      </c>
      <c r="Y276" t="s">
        <v>789</v>
      </c>
      <c r="Z276" t="s">
        <v>37</v>
      </c>
      <c r="AA276" t="s">
        <v>55</v>
      </c>
      <c r="AB276" t="s">
        <v>37</v>
      </c>
      <c r="AC276" s="6" t="s">
        <v>37</v>
      </c>
      <c r="AD276" s="6" t="s">
        <v>37</v>
      </c>
      <c r="AE276" t="s">
        <v>37</v>
      </c>
      <c r="AF276" t="s">
        <v>37</v>
      </c>
      <c r="AG276" s="6" t="s">
        <v>37</v>
      </c>
      <c r="AH276" t="s">
        <v>37</v>
      </c>
      <c r="AI276" t="s">
        <v>37</v>
      </c>
      <c r="AJ276" t="str">
        <f t="shared" si="14"/>
        <v>7TFUVBKWB0044AFFMK</v>
      </c>
    </row>
    <row r="277" spans="1:36" ht="15" customHeight="1" x14ac:dyDescent="0.25">
      <c r="A277" t="s">
        <v>101</v>
      </c>
      <c r="B277" t="s">
        <v>37</v>
      </c>
      <c r="C277" t="s">
        <v>37</v>
      </c>
      <c r="D277" t="s">
        <v>38</v>
      </c>
      <c r="E277" s="4">
        <v>64</v>
      </c>
      <c r="F277" s="5">
        <v>2061.44</v>
      </c>
      <c r="G277" s="5" t="s">
        <v>39</v>
      </c>
      <c r="H277" s="5">
        <v>3094.4</v>
      </c>
      <c r="I277" s="5" t="s">
        <v>39</v>
      </c>
      <c r="J277" s="5">
        <v>70.08896</v>
      </c>
      <c r="K277" s="5">
        <f t="shared" si="12"/>
        <v>1.09514</v>
      </c>
      <c r="L277" s="5">
        <f t="shared" si="13"/>
        <v>32.21</v>
      </c>
      <c r="M277" s="5" t="s">
        <v>39</v>
      </c>
      <c r="N277" s="5">
        <v>70.08896</v>
      </c>
      <c r="O277" s="5" t="s">
        <v>39</v>
      </c>
      <c r="P277" t="s">
        <v>72</v>
      </c>
      <c r="Q277" t="s">
        <v>771</v>
      </c>
      <c r="R277" t="s">
        <v>37</v>
      </c>
      <c r="S277" t="s">
        <v>772</v>
      </c>
      <c r="T277" t="s">
        <v>773</v>
      </c>
      <c r="U277" t="s">
        <v>44</v>
      </c>
      <c r="V277">
        <v>147</v>
      </c>
      <c r="W277" t="s">
        <v>45</v>
      </c>
      <c r="X277" t="s">
        <v>356</v>
      </c>
      <c r="Y277" t="s">
        <v>774</v>
      </c>
      <c r="Z277" t="s">
        <v>37</v>
      </c>
      <c r="AA277" t="s">
        <v>55</v>
      </c>
      <c r="AB277" t="s">
        <v>37</v>
      </c>
      <c r="AC277" s="6" t="s">
        <v>37</v>
      </c>
      <c r="AD277" s="6" t="s">
        <v>37</v>
      </c>
      <c r="AE277" t="s">
        <v>37</v>
      </c>
      <c r="AF277" t="s">
        <v>37</v>
      </c>
      <c r="AG277" s="6" t="s">
        <v>37</v>
      </c>
      <c r="AH277" t="s">
        <v>37</v>
      </c>
      <c r="AI277" t="s">
        <v>37</v>
      </c>
      <c r="AJ277" t="str">
        <f t="shared" si="14"/>
        <v>4GF112AEB07W5JJP7W</v>
      </c>
    </row>
    <row r="278" spans="1:36" ht="15" customHeight="1" x14ac:dyDescent="0.25">
      <c r="A278" t="s">
        <v>118</v>
      </c>
      <c r="B278" t="s">
        <v>37</v>
      </c>
      <c r="C278" t="s">
        <v>37</v>
      </c>
      <c r="D278" t="s">
        <v>38</v>
      </c>
      <c r="E278" s="4">
        <v>318</v>
      </c>
      <c r="F278" s="5">
        <v>8379.2999999999993</v>
      </c>
      <c r="G278" s="5" t="s">
        <v>39</v>
      </c>
      <c r="H278" s="5">
        <v>12510.12</v>
      </c>
      <c r="I278" s="5" t="s">
        <v>39</v>
      </c>
      <c r="J278" s="5">
        <v>284.89620000000002</v>
      </c>
      <c r="K278" s="5">
        <f t="shared" si="12"/>
        <v>0.89590000000000003</v>
      </c>
      <c r="L278" s="5">
        <f t="shared" si="13"/>
        <v>26.349999999999998</v>
      </c>
      <c r="M278" s="5" t="s">
        <v>39</v>
      </c>
      <c r="N278" s="5">
        <v>284.89620000000002</v>
      </c>
      <c r="O278" s="5" t="s">
        <v>39</v>
      </c>
      <c r="P278" t="s">
        <v>790</v>
      </c>
      <c r="Q278" t="s">
        <v>791</v>
      </c>
      <c r="R278" t="s">
        <v>37</v>
      </c>
      <c r="S278" t="s">
        <v>792</v>
      </c>
      <c r="T278" t="s">
        <v>43</v>
      </c>
      <c r="U278" t="s">
        <v>44</v>
      </c>
      <c r="V278">
        <v>147</v>
      </c>
      <c r="W278" t="s">
        <v>45</v>
      </c>
      <c r="X278" t="s">
        <v>53</v>
      </c>
      <c r="Y278" t="s">
        <v>793</v>
      </c>
      <c r="Z278" t="s">
        <v>37</v>
      </c>
      <c r="AA278" t="s">
        <v>55</v>
      </c>
      <c r="AB278" t="s">
        <v>37</v>
      </c>
      <c r="AC278" s="6" t="s">
        <v>37</v>
      </c>
      <c r="AD278" s="6" t="s">
        <v>37</v>
      </c>
      <c r="AE278" t="s">
        <v>37</v>
      </c>
      <c r="AF278" t="s">
        <v>37</v>
      </c>
      <c r="AG278" s="6" t="s">
        <v>37</v>
      </c>
      <c r="AH278" t="s">
        <v>37</v>
      </c>
      <c r="AI278" t="s">
        <v>37</v>
      </c>
      <c r="AJ278" t="str">
        <f t="shared" si="14"/>
        <v>1OMKO21CB00CHHDY66</v>
      </c>
    </row>
    <row r="279" spans="1:36" ht="15" customHeight="1" x14ac:dyDescent="0.25">
      <c r="A279" t="s">
        <v>36</v>
      </c>
      <c r="B279" t="s">
        <v>37</v>
      </c>
      <c r="C279" t="s">
        <v>37</v>
      </c>
      <c r="D279" t="s">
        <v>38</v>
      </c>
      <c r="E279" s="4">
        <v>10</v>
      </c>
      <c r="F279" s="5">
        <v>292.8</v>
      </c>
      <c r="G279" s="5" t="s">
        <v>39</v>
      </c>
      <c r="H279" s="5">
        <v>442.5</v>
      </c>
      <c r="I279" s="5" t="s">
        <v>39</v>
      </c>
      <c r="J279" s="5">
        <v>9.9551999999999996</v>
      </c>
      <c r="K279" s="5">
        <f t="shared" si="12"/>
        <v>0.99551999999999996</v>
      </c>
      <c r="L279" s="5">
        <f t="shared" si="13"/>
        <v>29.28</v>
      </c>
      <c r="M279" s="5" t="s">
        <v>39</v>
      </c>
      <c r="N279" s="5">
        <v>9.9551999999999996</v>
      </c>
      <c r="O279" s="5" t="s">
        <v>39</v>
      </c>
      <c r="P279" t="s">
        <v>141</v>
      </c>
      <c r="Q279" t="s">
        <v>794</v>
      </c>
      <c r="R279" t="s">
        <v>37</v>
      </c>
      <c r="S279" t="s">
        <v>795</v>
      </c>
      <c r="T279" t="s">
        <v>43</v>
      </c>
      <c r="U279" t="s">
        <v>44</v>
      </c>
      <c r="V279">
        <v>147</v>
      </c>
      <c r="W279" t="s">
        <v>45</v>
      </c>
      <c r="X279" t="s">
        <v>53</v>
      </c>
      <c r="Y279" t="s">
        <v>796</v>
      </c>
      <c r="Z279" t="s">
        <v>37</v>
      </c>
      <c r="AA279" t="s">
        <v>55</v>
      </c>
      <c r="AB279" t="s">
        <v>37</v>
      </c>
      <c r="AC279" s="6" t="s">
        <v>37</v>
      </c>
      <c r="AD279" s="6" t="s">
        <v>37</v>
      </c>
      <c r="AE279" t="s">
        <v>37</v>
      </c>
      <c r="AF279" t="s">
        <v>37</v>
      </c>
      <c r="AG279" s="6" t="s">
        <v>37</v>
      </c>
      <c r="AH279" t="s">
        <v>37</v>
      </c>
      <c r="AI279" t="s">
        <v>37</v>
      </c>
      <c r="AJ279" t="str">
        <f t="shared" si="14"/>
        <v>56UO2L2IB07W7JR6BZ</v>
      </c>
    </row>
    <row r="280" spans="1:36" ht="15" customHeight="1" x14ac:dyDescent="0.25">
      <c r="A280" t="s">
        <v>36</v>
      </c>
      <c r="B280" t="s">
        <v>37</v>
      </c>
      <c r="C280" t="s">
        <v>37</v>
      </c>
      <c r="D280" t="s">
        <v>38</v>
      </c>
      <c r="E280" s="4">
        <v>10</v>
      </c>
      <c r="F280" s="5">
        <v>263.5</v>
      </c>
      <c r="G280" s="5" t="s">
        <v>39</v>
      </c>
      <c r="H280" s="5">
        <v>393.4</v>
      </c>
      <c r="I280" s="5" t="s">
        <v>39</v>
      </c>
      <c r="J280" s="5">
        <v>8.9589999999999996</v>
      </c>
      <c r="K280" s="5">
        <f t="shared" si="12"/>
        <v>0.89589999999999992</v>
      </c>
      <c r="L280" s="5">
        <f t="shared" si="13"/>
        <v>26.35</v>
      </c>
      <c r="M280" s="5" t="s">
        <v>39</v>
      </c>
      <c r="N280" s="5">
        <v>8.9589999999999996</v>
      </c>
      <c r="O280" s="5" t="s">
        <v>39</v>
      </c>
      <c r="P280" t="s">
        <v>141</v>
      </c>
      <c r="Q280" t="s">
        <v>797</v>
      </c>
      <c r="R280" t="s">
        <v>37</v>
      </c>
      <c r="S280" t="s">
        <v>798</v>
      </c>
      <c r="T280" t="s">
        <v>43</v>
      </c>
      <c r="U280" t="s">
        <v>44</v>
      </c>
      <c r="V280">
        <v>147</v>
      </c>
      <c r="W280" t="s">
        <v>45</v>
      </c>
      <c r="X280" t="s">
        <v>53</v>
      </c>
      <c r="Y280" t="s">
        <v>799</v>
      </c>
      <c r="Z280" t="s">
        <v>37</v>
      </c>
      <c r="AA280" t="s">
        <v>55</v>
      </c>
      <c r="AB280" t="s">
        <v>37</v>
      </c>
      <c r="AC280" s="6" t="s">
        <v>37</v>
      </c>
      <c r="AD280" s="6" t="s">
        <v>37</v>
      </c>
      <c r="AE280" t="s">
        <v>37</v>
      </c>
      <c r="AF280" t="s">
        <v>37</v>
      </c>
      <c r="AG280" s="6" t="s">
        <v>37</v>
      </c>
      <c r="AH280" t="s">
        <v>37</v>
      </c>
      <c r="AI280" t="s">
        <v>37</v>
      </c>
      <c r="AJ280" t="str">
        <f t="shared" si="14"/>
        <v>56UO2L2IB01LCQTF4M</v>
      </c>
    </row>
    <row r="281" spans="1:36" ht="15" customHeight="1" x14ac:dyDescent="0.25">
      <c r="A281" t="s">
        <v>110</v>
      </c>
      <c r="B281" t="s">
        <v>37</v>
      </c>
      <c r="C281" t="s">
        <v>37</v>
      </c>
      <c r="D281" t="s">
        <v>38</v>
      </c>
      <c r="E281" s="4">
        <v>10</v>
      </c>
      <c r="F281" s="5">
        <v>319</v>
      </c>
      <c r="G281" s="5" t="s">
        <v>39</v>
      </c>
      <c r="H281" s="5">
        <v>483.5</v>
      </c>
      <c r="I281" s="5" t="s">
        <v>39</v>
      </c>
      <c r="J281" s="5">
        <v>10.846</v>
      </c>
      <c r="K281" s="5">
        <f t="shared" si="12"/>
        <v>1.0846</v>
      </c>
      <c r="L281" s="5">
        <f t="shared" si="13"/>
        <v>31.9</v>
      </c>
      <c r="M281" s="5" t="s">
        <v>39</v>
      </c>
      <c r="N281" s="5">
        <v>10.846</v>
      </c>
      <c r="O281" s="5" t="s">
        <v>39</v>
      </c>
      <c r="P281" t="s">
        <v>725</v>
      </c>
      <c r="Q281" t="s">
        <v>726</v>
      </c>
      <c r="R281" t="s">
        <v>37</v>
      </c>
      <c r="S281" t="s">
        <v>727</v>
      </c>
      <c r="T281" t="s">
        <v>43</v>
      </c>
      <c r="U281" t="s">
        <v>44</v>
      </c>
      <c r="V281">
        <v>147</v>
      </c>
      <c r="W281" t="s">
        <v>45</v>
      </c>
      <c r="X281" t="s">
        <v>53</v>
      </c>
      <c r="Y281" t="s">
        <v>728</v>
      </c>
      <c r="Z281" t="s">
        <v>37</v>
      </c>
      <c r="AA281" t="s">
        <v>55</v>
      </c>
      <c r="AB281" t="s">
        <v>37</v>
      </c>
      <c r="AC281" s="6" t="s">
        <v>37</v>
      </c>
      <c r="AD281" s="6" t="s">
        <v>37</v>
      </c>
      <c r="AE281" t="s">
        <v>37</v>
      </c>
      <c r="AF281" t="s">
        <v>37</v>
      </c>
      <c r="AG281" s="6" t="s">
        <v>37</v>
      </c>
      <c r="AH281" t="s">
        <v>37</v>
      </c>
      <c r="AI281" t="s">
        <v>37</v>
      </c>
      <c r="AJ281" t="str">
        <f t="shared" si="14"/>
        <v>4O4TKA6PB07W6HKMCN</v>
      </c>
    </row>
    <row r="282" spans="1:36" ht="15" customHeight="1" x14ac:dyDescent="0.25">
      <c r="A282" t="s">
        <v>101</v>
      </c>
      <c r="B282" t="s">
        <v>37</v>
      </c>
      <c r="C282" t="s">
        <v>37</v>
      </c>
      <c r="D282" t="s">
        <v>38</v>
      </c>
      <c r="E282" s="4">
        <v>280</v>
      </c>
      <c r="F282" s="5">
        <v>8932</v>
      </c>
      <c r="G282" s="5" t="s">
        <v>39</v>
      </c>
      <c r="H282" s="5">
        <v>13538</v>
      </c>
      <c r="I282" s="5" t="s">
        <v>39</v>
      </c>
      <c r="J282" s="5">
        <v>303.68799999999999</v>
      </c>
      <c r="K282" s="5">
        <f t="shared" si="12"/>
        <v>1.0846</v>
      </c>
      <c r="L282" s="5">
        <f t="shared" si="13"/>
        <v>31.9</v>
      </c>
      <c r="M282" s="5" t="s">
        <v>39</v>
      </c>
      <c r="N282" s="5">
        <v>303.68799999999999</v>
      </c>
      <c r="O282" s="5" t="s">
        <v>39</v>
      </c>
      <c r="P282" t="s">
        <v>725</v>
      </c>
      <c r="Q282" t="s">
        <v>726</v>
      </c>
      <c r="R282" t="s">
        <v>37</v>
      </c>
      <c r="S282" t="s">
        <v>727</v>
      </c>
      <c r="T282" t="s">
        <v>43</v>
      </c>
      <c r="U282" t="s">
        <v>44</v>
      </c>
      <c r="V282">
        <v>147</v>
      </c>
      <c r="W282" t="s">
        <v>45</v>
      </c>
      <c r="X282" t="s">
        <v>53</v>
      </c>
      <c r="Y282" t="s">
        <v>728</v>
      </c>
      <c r="Z282" t="s">
        <v>37</v>
      </c>
      <c r="AA282" t="s">
        <v>55</v>
      </c>
      <c r="AB282" t="s">
        <v>37</v>
      </c>
      <c r="AC282" s="6" t="s">
        <v>37</v>
      </c>
      <c r="AD282" s="6" t="s">
        <v>37</v>
      </c>
      <c r="AE282" t="s">
        <v>37</v>
      </c>
      <c r="AF282" t="s">
        <v>37</v>
      </c>
      <c r="AG282" s="6" t="s">
        <v>37</v>
      </c>
      <c r="AH282" t="s">
        <v>37</v>
      </c>
      <c r="AI282" t="s">
        <v>37</v>
      </c>
      <c r="AJ282" t="str">
        <f t="shared" si="14"/>
        <v>4O4TKA6PB07W6HKMCN</v>
      </c>
    </row>
    <row r="283" spans="1:36" ht="15" customHeight="1" x14ac:dyDescent="0.25">
      <c r="A283" t="s">
        <v>285</v>
      </c>
      <c r="B283" t="s">
        <v>37</v>
      </c>
      <c r="C283" t="s">
        <v>37</v>
      </c>
      <c r="D283" t="s">
        <v>38</v>
      </c>
      <c r="E283" s="4">
        <v>0</v>
      </c>
      <c r="F283" s="5">
        <v>0</v>
      </c>
      <c r="G283" s="5" t="s">
        <v>39</v>
      </c>
      <c r="H283" s="5">
        <v>0</v>
      </c>
      <c r="I283" s="5" t="s">
        <v>39</v>
      </c>
      <c r="J283" s="5">
        <v>0</v>
      </c>
      <c r="K283" s="5" t="e">
        <f t="shared" si="12"/>
        <v>#DIV/0!</v>
      </c>
      <c r="L283" s="5" t="e">
        <f t="shared" si="13"/>
        <v>#DIV/0!</v>
      </c>
      <c r="M283" s="5" t="s">
        <v>39</v>
      </c>
      <c r="N283" s="5">
        <v>0</v>
      </c>
      <c r="O283" s="5" t="s">
        <v>39</v>
      </c>
      <c r="P283" t="s">
        <v>638</v>
      </c>
      <c r="Q283" t="s">
        <v>639</v>
      </c>
      <c r="R283" t="s">
        <v>37</v>
      </c>
      <c r="S283" t="s">
        <v>640</v>
      </c>
      <c r="T283" t="s">
        <v>43</v>
      </c>
      <c r="U283" t="s">
        <v>44</v>
      </c>
      <c r="V283">
        <v>147</v>
      </c>
      <c r="W283" t="s">
        <v>45</v>
      </c>
      <c r="X283" t="s">
        <v>53</v>
      </c>
      <c r="Y283" t="s">
        <v>641</v>
      </c>
      <c r="Z283" t="s">
        <v>37</v>
      </c>
      <c r="AA283" t="s">
        <v>55</v>
      </c>
      <c r="AB283" t="s">
        <v>37</v>
      </c>
      <c r="AC283" s="6" t="s">
        <v>37</v>
      </c>
      <c r="AD283" s="6" t="s">
        <v>37</v>
      </c>
      <c r="AE283" t="s">
        <v>37</v>
      </c>
      <c r="AF283" t="s">
        <v>37</v>
      </c>
      <c r="AG283" s="6" t="s">
        <v>37</v>
      </c>
      <c r="AH283" t="s">
        <v>37</v>
      </c>
      <c r="AI283" t="s">
        <v>37</v>
      </c>
      <c r="AJ283" t="str">
        <f t="shared" si="14"/>
        <v>7CQW3EPPB07FNHV4MW</v>
      </c>
    </row>
    <row r="284" spans="1:36" ht="15" customHeight="1" x14ac:dyDescent="0.25">
      <c r="A284" t="s">
        <v>118</v>
      </c>
      <c r="B284" t="s">
        <v>37</v>
      </c>
      <c r="C284" t="s">
        <v>37</v>
      </c>
      <c r="D284" t="s">
        <v>38</v>
      </c>
      <c r="E284" s="4">
        <v>40</v>
      </c>
      <c r="F284" s="5">
        <v>1288.4000000000001</v>
      </c>
      <c r="G284" s="5" t="s">
        <v>39</v>
      </c>
      <c r="H284" s="5">
        <v>1934</v>
      </c>
      <c r="I284" s="5" t="s">
        <v>39</v>
      </c>
      <c r="J284" s="5">
        <v>43.805599999999998</v>
      </c>
      <c r="K284" s="5">
        <f t="shared" si="12"/>
        <v>1.09514</v>
      </c>
      <c r="L284" s="5">
        <f t="shared" si="13"/>
        <v>32.21</v>
      </c>
      <c r="M284" s="5" t="s">
        <v>39</v>
      </c>
      <c r="N284" s="5">
        <v>43.805599999999998</v>
      </c>
      <c r="O284" s="5" t="s">
        <v>39</v>
      </c>
      <c r="P284" t="s">
        <v>202</v>
      </c>
      <c r="Q284" t="s">
        <v>616</v>
      </c>
      <c r="R284" t="s">
        <v>37</v>
      </c>
      <c r="S284" t="s">
        <v>617</v>
      </c>
      <c r="T284" t="s">
        <v>43</v>
      </c>
      <c r="U284" t="s">
        <v>44</v>
      </c>
      <c r="V284">
        <v>147</v>
      </c>
      <c r="W284" t="s">
        <v>45</v>
      </c>
      <c r="X284" t="s">
        <v>60</v>
      </c>
      <c r="Y284" t="s">
        <v>618</v>
      </c>
      <c r="Z284" t="s">
        <v>37</v>
      </c>
      <c r="AA284" t="s">
        <v>48</v>
      </c>
      <c r="AB284" t="s">
        <v>37</v>
      </c>
      <c r="AC284" s="6" t="s">
        <v>37</v>
      </c>
      <c r="AD284" s="6" t="s">
        <v>37</v>
      </c>
      <c r="AE284" t="s">
        <v>37</v>
      </c>
      <c r="AF284" t="s">
        <v>37</v>
      </c>
      <c r="AG284" s="6" t="s">
        <v>37</v>
      </c>
      <c r="AH284" t="s">
        <v>37</v>
      </c>
      <c r="AI284" t="s">
        <v>37</v>
      </c>
      <c r="AJ284" t="str">
        <f t="shared" si="14"/>
        <v>39TAD6PCB00XJ3LVPI</v>
      </c>
    </row>
    <row r="285" spans="1:36" ht="15" customHeight="1" x14ac:dyDescent="0.25">
      <c r="A285" t="s">
        <v>76</v>
      </c>
      <c r="B285" t="s">
        <v>37</v>
      </c>
      <c r="C285" t="s">
        <v>37</v>
      </c>
      <c r="D285" t="s">
        <v>38</v>
      </c>
      <c r="E285" s="4">
        <v>24</v>
      </c>
      <c r="F285" s="5">
        <v>2141.52</v>
      </c>
      <c r="G285" s="5" t="s">
        <v>39</v>
      </c>
      <c r="H285" s="5">
        <v>2734.32</v>
      </c>
      <c r="I285" s="5" t="s">
        <v>39</v>
      </c>
      <c r="J285" s="5">
        <v>72.811679999999996</v>
      </c>
      <c r="K285" s="5">
        <f t="shared" si="12"/>
        <v>3.03382</v>
      </c>
      <c r="L285" s="5">
        <f t="shared" si="13"/>
        <v>89.23</v>
      </c>
      <c r="M285" s="5" t="s">
        <v>39</v>
      </c>
      <c r="N285" s="5">
        <v>72.811679999999996</v>
      </c>
      <c r="O285" s="5" t="s">
        <v>39</v>
      </c>
      <c r="P285" t="s">
        <v>63</v>
      </c>
      <c r="Q285" t="s">
        <v>800</v>
      </c>
      <c r="R285" t="s">
        <v>37</v>
      </c>
      <c r="S285" t="s">
        <v>801</v>
      </c>
      <c r="T285" t="s">
        <v>43</v>
      </c>
      <c r="U285" t="s">
        <v>44</v>
      </c>
      <c r="V285">
        <v>147</v>
      </c>
      <c r="W285" t="s">
        <v>92</v>
      </c>
      <c r="X285" t="s">
        <v>93</v>
      </c>
      <c r="Y285" t="s">
        <v>802</v>
      </c>
      <c r="Z285" t="s">
        <v>37</v>
      </c>
      <c r="AA285" t="s">
        <v>55</v>
      </c>
      <c r="AB285" t="s">
        <v>37</v>
      </c>
      <c r="AC285" s="6" t="s">
        <v>37</v>
      </c>
      <c r="AD285" s="6" t="s">
        <v>37</v>
      </c>
      <c r="AE285" t="s">
        <v>37</v>
      </c>
      <c r="AF285" t="s">
        <v>37</v>
      </c>
      <c r="AG285" s="6" t="s">
        <v>37</v>
      </c>
      <c r="AH285" t="s">
        <v>37</v>
      </c>
      <c r="AI285" t="s">
        <v>37</v>
      </c>
      <c r="AJ285" t="str">
        <f t="shared" si="14"/>
        <v>7H9X1Z6SB07W5JKFQF</v>
      </c>
    </row>
    <row r="286" spans="1:36" ht="15" customHeight="1" x14ac:dyDescent="0.25">
      <c r="A286" t="s">
        <v>36</v>
      </c>
      <c r="B286" t="s">
        <v>37</v>
      </c>
      <c r="C286" t="s">
        <v>37</v>
      </c>
      <c r="D286" t="s">
        <v>38</v>
      </c>
      <c r="E286" s="4">
        <v>52</v>
      </c>
      <c r="F286" s="5">
        <v>1674.92</v>
      </c>
      <c r="G286" s="5" t="s">
        <v>39</v>
      </c>
      <c r="H286" s="5">
        <v>2514.1999999999998</v>
      </c>
      <c r="I286" s="5" t="s">
        <v>39</v>
      </c>
      <c r="J286" s="5">
        <v>56.947279999999999</v>
      </c>
      <c r="K286" s="5">
        <f t="shared" si="12"/>
        <v>1.09514</v>
      </c>
      <c r="L286" s="5">
        <f t="shared" si="13"/>
        <v>32.21</v>
      </c>
      <c r="M286" s="5" t="s">
        <v>39</v>
      </c>
      <c r="N286" s="5">
        <v>56.947279999999999</v>
      </c>
      <c r="O286" s="5" t="s">
        <v>39</v>
      </c>
      <c r="P286" t="s">
        <v>40</v>
      </c>
      <c r="Q286" t="s">
        <v>463</v>
      </c>
      <c r="R286" t="s">
        <v>37</v>
      </c>
      <c r="S286" t="s">
        <v>464</v>
      </c>
      <c r="T286" t="s">
        <v>432</v>
      </c>
      <c r="U286" t="s">
        <v>44</v>
      </c>
      <c r="V286">
        <v>147</v>
      </c>
      <c r="W286" t="s">
        <v>92</v>
      </c>
      <c r="X286" t="s">
        <v>433</v>
      </c>
      <c r="Y286" t="s">
        <v>465</v>
      </c>
      <c r="Z286" t="s">
        <v>37</v>
      </c>
      <c r="AA286" t="s">
        <v>55</v>
      </c>
      <c r="AB286" t="s">
        <v>37</v>
      </c>
      <c r="AC286" s="6" t="s">
        <v>37</v>
      </c>
      <c r="AD286" s="6" t="s">
        <v>37</v>
      </c>
      <c r="AE286" t="s">
        <v>37</v>
      </c>
      <c r="AF286" t="s">
        <v>37</v>
      </c>
      <c r="AG286" s="6" t="s">
        <v>37</v>
      </c>
      <c r="AH286" t="s">
        <v>37</v>
      </c>
      <c r="AI286" t="s">
        <v>37</v>
      </c>
      <c r="AJ286" t="str">
        <f t="shared" si="14"/>
        <v>4A3KDTEZB07W4DHXFT</v>
      </c>
    </row>
    <row r="287" spans="1:36" ht="15" customHeight="1" x14ac:dyDescent="0.25">
      <c r="A287" t="s">
        <v>88</v>
      </c>
      <c r="B287" t="s">
        <v>37</v>
      </c>
      <c r="C287" t="s">
        <v>37</v>
      </c>
      <c r="D287" t="s">
        <v>38</v>
      </c>
      <c r="E287" s="4">
        <v>4</v>
      </c>
      <c r="F287" s="5">
        <v>128.84</v>
      </c>
      <c r="G287" s="5" t="s">
        <v>39</v>
      </c>
      <c r="H287" s="5">
        <v>193.4</v>
      </c>
      <c r="I287" s="5" t="s">
        <v>39</v>
      </c>
      <c r="J287" s="5">
        <v>4.38056</v>
      </c>
      <c r="K287" s="5">
        <f t="shared" si="12"/>
        <v>1.09514</v>
      </c>
      <c r="L287" s="5">
        <f t="shared" si="13"/>
        <v>32.21</v>
      </c>
      <c r="M287" s="5" t="s">
        <v>39</v>
      </c>
      <c r="N287" s="5">
        <v>4.38056</v>
      </c>
      <c r="O287" s="5" t="s">
        <v>39</v>
      </c>
      <c r="P287" t="s">
        <v>40</v>
      </c>
      <c r="Q287" t="s">
        <v>463</v>
      </c>
      <c r="R287" t="s">
        <v>37</v>
      </c>
      <c r="S287" t="s">
        <v>464</v>
      </c>
      <c r="T287" t="s">
        <v>432</v>
      </c>
      <c r="U287" t="s">
        <v>44</v>
      </c>
      <c r="V287">
        <v>147</v>
      </c>
      <c r="W287" t="s">
        <v>92</v>
      </c>
      <c r="X287" t="s">
        <v>433</v>
      </c>
      <c r="Y287" t="s">
        <v>465</v>
      </c>
      <c r="Z287" t="s">
        <v>37</v>
      </c>
      <c r="AA287" t="s">
        <v>55</v>
      </c>
      <c r="AB287" t="s">
        <v>37</v>
      </c>
      <c r="AC287" s="6" t="s">
        <v>37</v>
      </c>
      <c r="AD287" s="6" t="s">
        <v>37</v>
      </c>
      <c r="AE287" t="s">
        <v>37</v>
      </c>
      <c r="AF287" t="s">
        <v>37</v>
      </c>
      <c r="AG287" s="6" t="s">
        <v>37</v>
      </c>
      <c r="AH287" t="s">
        <v>37</v>
      </c>
      <c r="AI287" t="s">
        <v>37</v>
      </c>
      <c r="AJ287" t="str">
        <f t="shared" si="14"/>
        <v>4A3KDTEZB07W4DHXFT</v>
      </c>
    </row>
    <row r="288" spans="1:36" ht="15" customHeight="1" x14ac:dyDescent="0.25">
      <c r="A288" t="s">
        <v>101</v>
      </c>
      <c r="B288" t="s">
        <v>37</v>
      </c>
      <c r="C288" t="s">
        <v>37</v>
      </c>
      <c r="D288" t="s">
        <v>38</v>
      </c>
      <c r="E288" s="4">
        <v>30</v>
      </c>
      <c r="F288" s="5">
        <v>878.4</v>
      </c>
      <c r="G288" s="5" t="s">
        <v>39</v>
      </c>
      <c r="H288" s="5">
        <v>1327.5</v>
      </c>
      <c r="I288" s="5" t="s">
        <v>39</v>
      </c>
      <c r="J288" s="5">
        <v>29.865600000000001</v>
      </c>
      <c r="K288" s="5">
        <f t="shared" si="12"/>
        <v>0.99552000000000007</v>
      </c>
      <c r="L288" s="5">
        <f t="shared" si="13"/>
        <v>29.279999999999998</v>
      </c>
      <c r="M288" s="5" t="s">
        <v>39</v>
      </c>
      <c r="N288" s="5">
        <v>29.865600000000001</v>
      </c>
      <c r="O288" s="5" t="s">
        <v>39</v>
      </c>
      <c r="P288" t="s">
        <v>274</v>
      </c>
      <c r="Q288" t="s">
        <v>803</v>
      </c>
      <c r="R288" t="s">
        <v>37</v>
      </c>
      <c r="S288" t="s">
        <v>804</v>
      </c>
      <c r="T288" t="s">
        <v>43</v>
      </c>
      <c r="U288" t="s">
        <v>44</v>
      </c>
      <c r="V288">
        <v>147</v>
      </c>
      <c r="W288" t="s">
        <v>45</v>
      </c>
      <c r="X288" t="s">
        <v>53</v>
      </c>
      <c r="Y288" t="s">
        <v>805</v>
      </c>
      <c r="Z288" t="s">
        <v>37</v>
      </c>
      <c r="AA288" t="s">
        <v>55</v>
      </c>
      <c r="AB288" t="s">
        <v>37</v>
      </c>
      <c r="AC288" s="6" t="s">
        <v>37</v>
      </c>
      <c r="AD288" s="6" t="s">
        <v>37</v>
      </c>
      <c r="AE288" t="s">
        <v>37</v>
      </c>
      <c r="AF288" t="s">
        <v>37</v>
      </c>
      <c r="AG288" s="6" t="s">
        <v>37</v>
      </c>
      <c r="AH288" t="s">
        <v>37</v>
      </c>
      <c r="AI288" t="s">
        <v>37</v>
      </c>
      <c r="AJ288" t="str">
        <f t="shared" si="14"/>
        <v>4LYATDUXB07W5JJ85Z</v>
      </c>
    </row>
    <row r="289" spans="1:36" ht="15" customHeight="1" x14ac:dyDescent="0.25">
      <c r="A289" t="s">
        <v>88</v>
      </c>
      <c r="B289" t="s">
        <v>37</v>
      </c>
      <c r="C289" t="s">
        <v>37</v>
      </c>
      <c r="D289" t="s">
        <v>38</v>
      </c>
      <c r="E289" s="4">
        <v>24</v>
      </c>
      <c r="F289" s="5">
        <v>1054.08</v>
      </c>
      <c r="G289" s="5" t="s">
        <v>39</v>
      </c>
      <c r="H289" s="5">
        <v>1573.68</v>
      </c>
      <c r="I289" s="5" t="s">
        <v>39</v>
      </c>
      <c r="J289" s="5">
        <v>35.838720000000002</v>
      </c>
      <c r="K289" s="5">
        <f t="shared" si="12"/>
        <v>1.4932800000000002</v>
      </c>
      <c r="L289" s="5">
        <f t="shared" si="13"/>
        <v>43.919999999999995</v>
      </c>
      <c r="M289" s="5" t="s">
        <v>39</v>
      </c>
      <c r="N289" s="5">
        <v>35.838720000000002</v>
      </c>
      <c r="O289" s="5" t="s">
        <v>39</v>
      </c>
      <c r="P289" t="s">
        <v>40</v>
      </c>
      <c r="Q289" t="s">
        <v>806</v>
      </c>
      <c r="R289" t="s">
        <v>37</v>
      </c>
      <c r="S289" t="s">
        <v>807</v>
      </c>
      <c r="T289" t="s">
        <v>43</v>
      </c>
      <c r="U289" t="s">
        <v>44</v>
      </c>
      <c r="V289">
        <v>147</v>
      </c>
      <c r="W289" t="s">
        <v>45</v>
      </c>
      <c r="X289" t="s">
        <v>60</v>
      </c>
      <c r="Y289" t="s">
        <v>808</v>
      </c>
      <c r="Z289" t="s">
        <v>37</v>
      </c>
      <c r="AA289" t="s">
        <v>48</v>
      </c>
      <c r="AB289" t="s">
        <v>37</v>
      </c>
      <c r="AC289" s="6" t="s">
        <v>37</v>
      </c>
      <c r="AD289" s="6" t="s">
        <v>37</v>
      </c>
      <c r="AE289" t="s">
        <v>37</v>
      </c>
      <c r="AF289" t="s">
        <v>37</v>
      </c>
      <c r="AG289" s="6" t="s">
        <v>37</v>
      </c>
      <c r="AH289" t="s">
        <v>37</v>
      </c>
      <c r="AI289" t="s">
        <v>37</v>
      </c>
      <c r="AJ289" t="str">
        <f t="shared" si="14"/>
        <v>4A3KDTEZB0797LMGXH</v>
      </c>
    </row>
    <row r="290" spans="1:36" ht="15" customHeight="1" x14ac:dyDescent="0.25">
      <c r="A290" t="s">
        <v>127</v>
      </c>
      <c r="B290" t="s">
        <v>37</v>
      </c>
      <c r="C290" t="s">
        <v>37</v>
      </c>
      <c r="D290" t="s">
        <v>38</v>
      </c>
      <c r="E290" s="4">
        <v>0</v>
      </c>
      <c r="F290" s="5">
        <v>0</v>
      </c>
      <c r="G290" s="5" t="s">
        <v>39</v>
      </c>
      <c r="H290" s="5">
        <v>0</v>
      </c>
      <c r="I290" s="5" t="s">
        <v>39</v>
      </c>
      <c r="J290" s="5">
        <v>0</v>
      </c>
      <c r="K290" s="5" t="e">
        <f t="shared" si="12"/>
        <v>#DIV/0!</v>
      </c>
      <c r="L290" s="5" t="e">
        <f t="shared" si="13"/>
        <v>#DIV/0!</v>
      </c>
      <c r="M290" s="5" t="s">
        <v>39</v>
      </c>
      <c r="N290" s="5">
        <v>0</v>
      </c>
      <c r="O290" s="5" t="s">
        <v>39</v>
      </c>
      <c r="P290" t="s">
        <v>141</v>
      </c>
      <c r="Q290" t="s">
        <v>722</v>
      </c>
      <c r="R290" t="s">
        <v>37</v>
      </c>
      <c r="S290" t="s">
        <v>723</v>
      </c>
      <c r="T290" t="s">
        <v>43</v>
      </c>
      <c r="U290" t="s">
        <v>44</v>
      </c>
      <c r="V290">
        <v>147</v>
      </c>
      <c r="W290" t="s">
        <v>45</v>
      </c>
      <c r="X290" t="s">
        <v>60</v>
      </c>
      <c r="Y290" t="s">
        <v>724</v>
      </c>
      <c r="Z290" t="s">
        <v>37</v>
      </c>
      <c r="AA290" t="s">
        <v>95</v>
      </c>
      <c r="AB290" t="s">
        <v>37</v>
      </c>
      <c r="AC290" s="6" t="s">
        <v>37</v>
      </c>
      <c r="AD290" s="6" t="s">
        <v>37</v>
      </c>
      <c r="AE290" t="s">
        <v>37</v>
      </c>
      <c r="AF290" t="s">
        <v>37</v>
      </c>
      <c r="AG290" s="6" t="s">
        <v>37</v>
      </c>
      <c r="AH290" t="s">
        <v>37</v>
      </c>
      <c r="AI290" t="s">
        <v>37</v>
      </c>
      <c r="AJ290" t="str">
        <f t="shared" si="14"/>
        <v>56UO2L2IB07W6FNF6N</v>
      </c>
    </row>
    <row r="291" spans="1:36" ht="15" customHeight="1" x14ac:dyDescent="0.25">
      <c r="A291" t="s">
        <v>36</v>
      </c>
      <c r="B291" t="s">
        <v>37</v>
      </c>
      <c r="C291" t="s">
        <v>37</v>
      </c>
      <c r="D291" t="s">
        <v>38</v>
      </c>
      <c r="E291" s="4">
        <v>12</v>
      </c>
      <c r="F291" s="5">
        <v>527.04</v>
      </c>
      <c r="G291" s="5" t="s">
        <v>39</v>
      </c>
      <c r="H291" s="5">
        <v>786.84</v>
      </c>
      <c r="I291" s="5" t="s">
        <v>39</v>
      </c>
      <c r="J291" s="5">
        <v>17.919360000000001</v>
      </c>
      <c r="K291" s="5">
        <f t="shared" si="12"/>
        <v>1.4932800000000002</v>
      </c>
      <c r="L291" s="5">
        <f t="shared" si="13"/>
        <v>43.919999999999995</v>
      </c>
      <c r="M291" s="5" t="s">
        <v>39</v>
      </c>
      <c r="N291" s="5">
        <v>17.919360000000001</v>
      </c>
      <c r="O291" s="5" t="s">
        <v>39</v>
      </c>
      <c r="P291" t="s">
        <v>40</v>
      </c>
      <c r="Q291" t="s">
        <v>806</v>
      </c>
      <c r="R291" t="s">
        <v>37</v>
      </c>
      <c r="S291" t="s">
        <v>807</v>
      </c>
      <c r="T291" t="s">
        <v>43</v>
      </c>
      <c r="U291" t="s">
        <v>44</v>
      </c>
      <c r="V291">
        <v>147</v>
      </c>
      <c r="W291" t="s">
        <v>45</v>
      </c>
      <c r="X291" t="s">
        <v>60</v>
      </c>
      <c r="Y291" t="s">
        <v>808</v>
      </c>
      <c r="Z291" t="s">
        <v>37</v>
      </c>
      <c r="AA291" t="s">
        <v>48</v>
      </c>
      <c r="AB291" t="s">
        <v>37</v>
      </c>
      <c r="AC291" s="6" t="s">
        <v>37</v>
      </c>
      <c r="AD291" s="6" t="s">
        <v>37</v>
      </c>
      <c r="AE291" t="s">
        <v>37</v>
      </c>
      <c r="AF291" t="s">
        <v>37</v>
      </c>
      <c r="AG291" s="6" t="s">
        <v>37</v>
      </c>
      <c r="AH291" t="s">
        <v>37</v>
      </c>
      <c r="AI291" t="s">
        <v>37</v>
      </c>
      <c r="AJ291" t="str">
        <f t="shared" si="14"/>
        <v>4A3KDTEZB0797LMGXH</v>
      </c>
    </row>
    <row r="292" spans="1:36" ht="15" customHeight="1" x14ac:dyDescent="0.25">
      <c r="A292" t="s">
        <v>36</v>
      </c>
      <c r="B292" t="s">
        <v>37</v>
      </c>
      <c r="C292" t="s">
        <v>37</v>
      </c>
      <c r="D292" t="s">
        <v>38</v>
      </c>
      <c r="E292" s="4">
        <v>4</v>
      </c>
      <c r="F292" s="5">
        <v>1194.3599999999999</v>
      </c>
      <c r="G292" s="5" t="s">
        <v>39</v>
      </c>
      <c r="H292" s="5">
        <v>1472.12</v>
      </c>
      <c r="I292" s="5" t="s">
        <v>39</v>
      </c>
      <c r="J292" s="5">
        <v>40.608240000000002</v>
      </c>
      <c r="K292" s="5">
        <f t="shared" si="12"/>
        <v>10.152060000000001</v>
      </c>
      <c r="L292" s="5">
        <f t="shared" si="13"/>
        <v>298.58999999999997</v>
      </c>
      <c r="M292" s="5" t="s">
        <v>39</v>
      </c>
      <c r="N292" s="5">
        <v>40.608240000000002</v>
      </c>
      <c r="O292" s="5" t="s">
        <v>39</v>
      </c>
      <c r="P292" t="s">
        <v>119</v>
      </c>
      <c r="Q292" t="s">
        <v>570</v>
      </c>
      <c r="R292" t="s">
        <v>571</v>
      </c>
      <c r="S292" t="s">
        <v>572</v>
      </c>
      <c r="T292" t="s">
        <v>43</v>
      </c>
      <c r="U292" t="s">
        <v>44</v>
      </c>
      <c r="V292">
        <v>147</v>
      </c>
      <c r="W292" t="s">
        <v>45</v>
      </c>
      <c r="X292" t="s">
        <v>239</v>
      </c>
      <c r="Y292" t="s">
        <v>573</v>
      </c>
      <c r="Z292" t="s">
        <v>37</v>
      </c>
      <c r="AA292" t="s">
        <v>55</v>
      </c>
      <c r="AB292" t="s">
        <v>37</v>
      </c>
      <c r="AC292" s="6" t="s">
        <v>37</v>
      </c>
      <c r="AD292" s="6" t="s">
        <v>37</v>
      </c>
      <c r="AE292" t="s">
        <v>37</v>
      </c>
      <c r="AF292" t="s">
        <v>37</v>
      </c>
      <c r="AG292" s="6" t="s">
        <v>37</v>
      </c>
      <c r="AH292" t="s">
        <v>37</v>
      </c>
      <c r="AI292" t="s">
        <v>37</v>
      </c>
      <c r="AJ292" t="str">
        <f t="shared" si="14"/>
        <v>31DJDC7QB0866PZN76</v>
      </c>
    </row>
    <row r="293" spans="1:36" ht="15" customHeight="1" x14ac:dyDescent="0.25">
      <c r="A293" t="s">
        <v>36</v>
      </c>
      <c r="B293" t="s">
        <v>37</v>
      </c>
      <c r="C293" t="s">
        <v>37</v>
      </c>
      <c r="D293" t="s">
        <v>38</v>
      </c>
      <c r="E293" s="4">
        <v>24</v>
      </c>
      <c r="F293" s="5">
        <v>773.04</v>
      </c>
      <c r="G293" s="5" t="s">
        <v>39</v>
      </c>
      <c r="H293" s="5">
        <v>1160.4000000000001</v>
      </c>
      <c r="I293" s="5" t="s">
        <v>39</v>
      </c>
      <c r="J293" s="5">
        <v>26.283359999999998</v>
      </c>
      <c r="K293" s="5">
        <f t="shared" si="12"/>
        <v>1.09514</v>
      </c>
      <c r="L293" s="5">
        <f t="shared" si="13"/>
        <v>32.21</v>
      </c>
      <c r="M293" s="5" t="s">
        <v>39</v>
      </c>
      <c r="N293" s="5">
        <v>26.283359999999998</v>
      </c>
      <c r="O293" s="5" t="s">
        <v>39</v>
      </c>
      <c r="P293" t="s">
        <v>270</v>
      </c>
      <c r="Q293" t="s">
        <v>809</v>
      </c>
      <c r="R293" t="s">
        <v>37</v>
      </c>
      <c r="S293" t="s">
        <v>810</v>
      </c>
      <c r="T293" t="s">
        <v>43</v>
      </c>
      <c r="U293" t="s">
        <v>44</v>
      </c>
      <c r="V293">
        <v>147</v>
      </c>
      <c r="W293" t="s">
        <v>45</v>
      </c>
      <c r="X293" t="s">
        <v>60</v>
      </c>
      <c r="Y293" t="s">
        <v>811</v>
      </c>
      <c r="Z293" t="s">
        <v>37</v>
      </c>
      <c r="AA293" t="s">
        <v>55</v>
      </c>
      <c r="AB293" t="s">
        <v>37</v>
      </c>
      <c r="AC293" s="6" t="s">
        <v>37</v>
      </c>
      <c r="AD293" s="6" t="s">
        <v>37</v>
      </c>
      <c r="AE293" t="s">
        <v>37</v>
      </c>
      <c r="AF293" t="s">
        <v>37</v>
      </c>
      <c r="AG293" s="6" t="s">
        <v>37</v>
      </c>
      <c r="AH293" t="s">
        <v>37</v>
      </c>
      <c r="AI293" t="s">
        <v>37</v>
      </c>
      <c r="AJ293" t="str">
        <f t="shared" si="14"/>
        <v>1X4DXX4TB013SL1YXO</v>
      </c>
    </row>
    <row r="294" spans="1:36" ht="15" customHeight="1" x14ac:dyDescent="0.25">
      <c r="A294" t="s">
        <v>118</v>
      </c>
      <c r="B294" t="s">
        <v>37</v>
      </c>
      <c r="C294" t="s">
        <v>37</v>
      </c>
      <c r="D294" t="s">
        <v>38</v>
      </c>
      <c r="E294" s="4">
        <v>124</v>
      </c>
      <c r="F294" s="5">
        <v>9094.16</v>
      </c>
      <c r="G294" s="5" t="s">
        <v>39</v>
      </c>
      <c r="H294" s="5">
        <v>14737.4</v>
      </c>
      <c r="I294" s="5" t="s">
        <v>39</v>
      </c>
      <c r="J294" s="5">
        <v>309.20143999999999</v>
      </c>
      <c r="K294" s="5">
        <f t="shared" si="12"/>
        <v>2.49356</v>
      </c>
      <c r="L294" s="5">
        <f t="shared" si="13"/>
        <v>73.34</v>
      </c>
      <c r="M294" s="5" t="s">
        <v>39</v>
      </c>
      <c r="N294" s="5">
        <v>309.20143999999999</v>
      </c>
      <c r="O294" s="5" t="s">
        <v>39</v>
      </c>
      <c r="P294" t="s">
        <v>365</v>
      </c>
      <c r="Q294" t="s">
        <v>401</v>
      </c>
      <c r="R294" t="s">
        <v>37</v>
      </c>
      <c r="S294" t="s">
        <v>402</v>
      </c>
      <c r="T294" t="s">
        <v>43</v>
      </c>
      <c r="U294" t="s">
        <v>44</v>
      </c>
      <c r="V294">
        <v>147</v>
      </c>
      <c r="W294" t="s">
        <v>45</v>
      </c>
      <c r="X294" t="s">
        <v>46</v>
      </c>
      <c r="Y294" t="s">
        <v>403</v>
      </c>
      <c r="Z294" t="s">
        <v>37</v>
      </c>
      <c r="AA294" t="s">
        <v>55</v>
      </c>
      <c r="AB294" t="s">
        <v>37</v>
      </c>
      <c r="AC294" s="6" t="s">
        <v>37</v>
      </c>
      <c r="AD294" s="6" t="s">
        <v>37</v>
      </c>
      <c r="AE294" t="s">
        <v>37</v>
      </c>
      <c r="AF294" t="s">
        <v>37</v>
      </c>
      <c r="AG294" s="6" t="s">
        <v>37</v>
      </c>
      <c r="AH294" t="s">
        <v>37</v>
      </c>
      <c r="AI294" t="s">
        <v>37</v>
      </c>
      <c r="AJ294" t="str">
        <f t="shared" si="14"/>
        <v>3KYCEHVHB07G5XJLWK</v>
      </c>
    </row>
    <row r="295" spans="1:36" ht="15" customHeight="1" x14ac:dyDescent="0.25">
      <c r="A295" t="s">
        <v>36</v>
      </c>
      <c r="B295" t="s">
        <v>37</v>
      </c>
      <c r="C295" t="s">
        <v>37</v>
      </c>
      <c r="D295" t="s">
        <v>38</v>
      </c>
      <c r="E295" s="4">
        <v>12</v>
      </c>
      <c r="F295" s="5">
        <v>348</v>
      </c>
      <c r="G295" s="5" t="s">
        <v>39</v>
      </c>
      <c r="H295" s="5">
        <v>531</v>
      </c>
      <c r="I295" s="5" t="s">
        <v>39</v>
      </c>
      <c r="J295" s="5">
        <v>11.832000000000001</v>
      </c>
      <c r="K295" s="5">
        <f t="shared" si="12"/>
        <v>0.9860000000000001</v>
      </c>
      <c r="L295" s="5">
        <f t="shared" si="13"/>
        <v>29</v>
      </c>
      <c r="M295" s="5" t="s">
        <v>39</v>
      </c>
      <c r="N295" s="5">
        <v>11.832000000000001</v>
      </c>
      <c r="O295" s="5" t="s">
        <v>39</v>
      </c>
      <c r="P295" t="s">
        <v>246</v>
      </c>
      <c r="Q295" t="s">
        <v>812</v>
      </c>
      <c r="R295" t="s">
        <v>37</v>
      </c>
      <c r="S295" t="s">
        <v>813</v>
      </c>
      <c r="T295" t="s">
        <v>43</v>
      </c>
      <c r="U295" t="s">
        <v>44</v>
      </c>
      <c r="V295">
        <v>147</v>
      </c>
      <c r="W295" t="s">
        <v>45</v>
      </c>
      <c r="X295" t="s">
        <v>60</v>
      </c>
      <c r="Y295" t="s">
        <v>814</v>
      </c>
      <c r="Z295" t="s">
        <v>37</v>
      </c>
      <c r="AA295" t="s">
        <v>55</v>
      </c>
      <c r="AB295" t="s">
        <v>37</v>
      </c>
      <c r="AC295" s="6" t="s">
        <v>37</v>
      </c>
      <c r="AD295" s="6" t="s">
        <v>37</v>
      </c>
      <c r="AE295" t="s">
        <v>37</v>
      </c>
      <c r="AF295" t="s">
        <v>37</v>
      </c>
      <c r="AG295" s="6" t="s">
        <v>37</v>
      </c>
      <c r="AH295" t="s">
        <v>37</v>
      </c>
      <c r="AI295" t="s">
        <v>37</v>
      </c>
      <c r="AJ295" t="str">
        <f t="shared" si="14"/>
        <v>1PSIXGLTB07W7KFLBN</v>
      </c>
    </row>
    <row r="296" spans="1:36" ht="15" customHeight="1" x14ac:dyDescent="0.25">
      <c r="A296" t="s">
        <v>101</v>
      </c>
      <c r="B296" t="s">
        <v>37</v>
      </c>
      <c r="C296" t="s">
        <v>37</v>
      </c>
      <c r="D296" t="s">
        <v>38</v>
      </c>
      <c r="E296" s="4">
        <v>4</v>
      </c>
      <c r="F296" s="5">
        <v>189.92</v>
      </c>
      <c r="G296" s="5" t="s">
        <v>39</v>
      </c>
      <c r="H296" s="5">
        <v>311.44</v>
      </c>
      <c r="I296" s="5" t="s">
        <v>39</v>
      </c>
      <c r="J296" s="5">
        <v>6.4572799999999999</v>
      </c>
      <c r="K296" s="5">
        <f t="shared" si="12"/>
        <v>1.61432</v>
      </c>
      <c r="L296" s="5">
        <f t="shared" si="13"/>
        <v>47.48</v>
      </c>
      <c r="M296" s="5" t="s">
        <v>39</v>
      </c>
      <c r="N296" s="5">
        <v>6.4572799999999999</v>
      </c>
      <c r="O296" s="5" t="s">
        <v>39</v>
      </c>
      <c r="P296" t="s">
        <v>815</v>
      </c>
      <c r="Q296" t="s">
        <v>159</v>
      </c>
      <c r="R296" t="s">
        <v>37</v>
      </c>
      <c r="S296" t="s">
        <v>160</v>
      </c>
      <c r="T296" t="s">
        <v>43</v>
      </c>
      <c r="U296" t="s">
        <v>44</v>
      </c>
      <c r="V296">
        <v>147</v>
      </c>
      <c r="W296" t="s">
        <v>45</v>
      </c>
      <c r="X296" t="s">
        <v>60</v>
      </c>
      <c r="Y296" t="s">
        <v>161</v>
      </c>
      <c r="Z296" t="s">
        <v>37</v>
      </c>
      <c r="AA296" t="s">
        <v>55</v>
      </c>
      <c r="AB296" t="s">
        <v>37</v>
      </c>
      <c r="AC296" s="6" t="s">
        <v>37</v>
      </c>
      <c r="AD296" s="6" t="s">
        <v>37</v>
      </c>
      <c r="AE296" t="s">
        <v>37</v>
      </c>
      <c r="AF296" t="s">
        <v>37</v>
      </c>
      <c r="AG296" s="6" t="s">
        <v>37</v>
      </c>
      <c r="AH296" t="s">
        <v>37</v>
      </c>
      <c r="AI296" t="s">
        <v>37</v>
      </c>
      <c r="AJ296" t="str">
        <f t="shared" si="14"/>
        <v>3KXAV5DWB07W7MQMDH</v>
      </c>
    </row>
    <row r="297" spans="1:36" ht="15" customHeight="1" x14ac:dyDescent="0.25">
      <c r="A297" t="s">
        <v>101</v>
      </c>
      <c r="B297" t="s">
        <v>37</v>
      </c>
      <c r="C297" t="s">
        <v>37</v>
      </c>
      <c r="D297" t="s">
        <v>38</v>
      </c>
      <c r="E297" s="4">
        <v>8</v>
      </c>
      <c r="F297" s="5">
        <v>928.16</v>
      </c>
      <c r="G297" s="5" t="s">
        <v>39</v>
      </c>
      <c r="H297" s="5">
        <v>1311.44</v>
      </c>
      <c r="I297" s="5" t="s">
        <v>39</v>
      </c>
      <c r="J297" s="5">
        <v>31.55744</v>
      </c>
      <c r="K297" s="5">
        <f t="shared" si="12"/>
        <v>3.94468</v>
      </c>
      <c r="L297" s="5">
        <f t="shared" si="13"/>
        <v>116.02</v>
      </c>
      <c r="M297" s="5" t="s">
        <v>39</v>
      </c>
      <c r="N297" s="5">
        <v>31.55744</v>
      </c>
      <c r="O297" s="5" t="s">
        <v>39</v>
      </c>
      <c r="P297" t="s">
        <v>816</v>
      </c>
      <c r="Q297" t="s">
        <v>510</v>
      </c>
      <c r="R297" t="s">
        <v>37</v>
      </c>
      <c r="S297" t="s">
        <v>511</v>
      </c>
      <c r="T297" t="s">
        <v>43</v>
      </c>
      <c r="U297" t="s">
        <v>44</v>
      </c>
      <c r="V297">
        <v>147</v>
      </c>
      <c r="W297" t="s">
        <v>45</v>
      </c>
      <c r="X297" t="s">
        <v>60</v>
      </c>
      <c r="Y297" t="s">
        <v>512</v>
      </c>
      <c r="Z297" t="s">
        <v>37</v>
      </c>
      <c r="AA297" t="s">
        <v>55</v>
      </c>
      <c r="AB297" t="s">
        <v>37</v>
      </c>
      <c r="AC297" s="6" t="s">
        <v>37</v>
      </c>
      <c r="AD297" s="6" t="s">
        <v>37</v>
      </c>
      <c r="AE297" t="s">
        <v>37</v>
      </c>
      <c r="AF297" t="s">
        <v>37</v>
      </c>
      <c r="AG297" s="6" t="s">
        <v>37</v>
      </c>
      <c r="AH297" t="s">
        <v>37</v>
      </c>
      <c r="AI297" t="s">
        <v>37</v>
      </c>
      <c r="AJ297" t="str">
        <f t="shared" si="14"/>
        <v>6SVXGVNMB07W7M4MZP</v>
      </c>
    </row>
    <row r="298" spans="1:36" ht="15" customHeight="1" x14ac:dyDescent="0.25">
      <c r="A298" t="s">
        <v>88</v>
      </c>
      <c r="B298" t="s">
        <v>37</v>
      </c>
      <c r="C298" t="s">
        <v>37</v>
      </c>
      <c r="D298" t="s">
        <v>38</v>
      </c>
      <c r="E298" s="4">
        <v>124</v>
      </c>
      <c r="F298" s="5">
        <v>9350.84</v>
      </c>
      <c r="G298" s="5" t="s">
        <v>39</v>
      </c>
      <c r="H298" s="5">
        <v>13720.6</v>
      </c>
      <c r="I298" s="5" t="s">
        <v>39</v>
      </c>
      <c r="J298" s="5">
        <v>317.92856</v>
      </c>
      <c r="K298" s="5">
        <f t="shared" si="12"/>
        <v>2.5639400000000001</v>
      </c>
      <c r="L298" s="5">
        <f t="shared" si="13"/>
        <v>75.41</v>
      </c>
      <c r="M298" s="5" t="s">
        <v>39</v>
      </c>
      <c r="N298" s="5">
        <v>317.92856</v>
      </c>
      <c r="O298" s="5" t="s">
        <v>39</v>
      </c>
      <c r="P298" t="s">
        <v>133</v>
      </c>
      <c r="Q298" t="s">
        <v>817</v>
      </c>
      <c r="R298" t="s">
        <v>37</v>
      </c>
      <c r="S298" t="s">
        <v>818</v>
      </c>
      <c r="T298" t="s">
        <v>43</v>
      </c>
      <c r="U298" t="s">
        <v>44</v>
      </c>
      <c r="V298">
        <v>147</v>
      </c>
      <c r="W298" t="s">
        <v>45</v>
      </c>
      <c r="X298" t="s">
        <v>60</v>
      </c>
      <c r="Y298" t="s">
        <v>819</v>
      </c>
      <c r="Z298" t="s">
        <v>37</v>
      </c>
      <c r="AA298" t="s">
        <v>55</v>
      </c>
      <c r="AB298" t="s">
        <v>37</v>
      </c>
      <c r="AC298" s="6" t="s">
        <v>37</v>
      </c>
      <c r="AD298" s="6" t="s">
        <v>37</v>
      </c>
      <c r="AE298" t="s">
        <v>37</v>
      </c>
      <c r="AF298" t="s">
        <v>37</v>
      </c>
      <c r="AG298" s="6" t="s">
        <v>37</v>
      </c>
      <c r="AH298" t="s">
        <v>37</v>
      </c>
      <c r="AI298" t="s">
        <v>37</v>
      </c>
      <c r="AJ298" t="str">
        <f t="shared" si="14"/>
        <v>36BT7GGLB07W6HXZ5J</v>
      </c>
    </row>
    <row r="299" spans="1:36" ht="15" customHeight="1" x14ac:dyDescent="0.25">
      <c r="A299" t="s">
        <v>504</v>
      </c>
      <c r="B299" t="s">
        <v>37</v>
      </c>
      <c r="C299" t="s">
        <v>37</v>
      </c>
      <c r="D299" t="s">
        <v>38</v>
      </c>
      <c r="E299" s="4">
        <v>144</v>
      </c>
      <c r="F299" s="5">
        <v>9940.32</v>
      </c>
      <c r="G299" s="5" t="s">
        <v>39</v>
      </c>
      <c r="H299" s="5">
        <v>15226.56</v>
      </c>
      <c r="I299" s="5" t="s">
        <v>39</v>
      </c>
      <c r="J299" s="5">
        <v>337.97088000000002</v>
      </c>
      <c r="K299" s="5">
        <f t="shared" si="12"/>
        <v>2.3470200000000001</v>
      </c>
      <c r="L299" s="5">
        <f t="shared" si="13"/>
        <v>69.03</v>
      </c>
      <c r="M299" s="5" t="s">
        <v>39</v>
      </c>
      <c r="N299" s="5">
        <v>337.97088000000002</v>
      </c>
      <c r="O299" s="5" t="s">
        <v>39</v>
      </c>
      <c r="P299" t="s">
        <v>820</v>
      </c>
      <c r="Q299" t="s">
        <v>599</v>
      </c>
      <c r="R299" t="s">
        <v>37</v>
      </c>
      <c r="S299" t="s">
        <v>600</v>
      </c>
      <c r="T299" t="s">
        <v>43</v>
      </c>
      <c r="U299" t="s">
        <v>44</v>
      </c>
      <c r="V299">
        <v>147</v>
      </c>
      <c r="W299" t="s">
        <v>45</v>
      </c>
      <c r="X299" t="s">
        <v>60</v>
      </c>
      <c r="Y299" t="s">
        <v>601</v>
      </c>
      <c r="Z299" t="s">
        <v>37</v>
      </c>
      <c r="AA299" t="s">
        <v>55</v>
      </c>
      <c r="AB299" t="s">
        <v>37</v>
      </c>
      <c r="AC299" s="6" t="s">
        <v>37</v>
      </c>
      <c r="AD299" s="6" t="s">
        <v>37</v>
      </c>
      <c r="AE299" t="s">
        <v>37</v>
      </c>
      <c r="AF299" t="s">
        <v>37</v>
      </c>
      <c r="AG299" s="6" t="s">
        <v>37</v>
      </c>
      <c r="AH299" t="s">
        <v>37</v>
      </c>
      <c r="AI299" t="s">
        <v>37</v>
      </c>
      <c r="AJ299" t="str">
        <f t="shared" si="14"/>
        <v>1KYIVKWCB07W7KMK4Y</v>
      </c>
    </row>
    <row r="300" spans="1:36" ht="15" customHeight="1" x14ac:dyDescent="0.25">
      <c r="A300" t="s">
        <v>215</v>
      </c>
      <c r="B300" t="s">
        <v>37</v>
      </c>
      <c r="C300" t="s">
        <v>37</v>
      </c>
      <c r="D300" t="s">
        <v>38</v>
      </c>
      <c r="E300" s="4">
        <v>4</v>
      </c>
      <c r="F300" s="5">
        <v>301.64</v>
      </c>
      <c r="G300" s="5" t="s">
        <v>39</v>
      </c>
      <c r="H300" s="5">
        <v>442.6</v>
      </c>
      <c r="I300" s="5" t="s">
        <v>39</v>
      </c>
      <c r="J300" s="5">
        <v>10.25576</v>
      </c>
      <c r="K300" s="5">
        <f t="shared" si="12"/>
        <v>2.5639400000000001</v>
      </c>
      <c r="L300" s="5">
        <f t="shared" si="13"/>
        <v>75.41</v>
      </c>
      <c r="M300" s="5" t="s">
        <v>39</v>
      </c>
      <c r="N300" s="5">
        <v>10.25576</v>
      </c>
      <c r="O300" s="5" t="s">
        <v>39</v>
      </c>
      <c r="P300" t="s">
        <v>133</v>
      </c>
      <c r="Q300" t="s">
        <v>817</v>
      </c>
      <c r="R300" t="s">
        <v>37</v>
      </c>
      <c r="S300" t="s">
        <v>818</v>
      </c>
      <c r="T300" t="s">
        <v>43</v>
      </c>
      <c r="U300" t="s">
        <v>44</v>
      </c>
      <c r="V300">
        <v>147</v>
      </c>
      <c r="W300" t="s">
        <v>45</v>
      </c>
      <c r="X300" t="s">
        <v>60</v>
      </c>
      <c r="Y300" t="s">
        <v>819</v>
      </c>
      <c r="Z300" t="s">
        <v>37</v>
      </c>
      <c r="AA300" t="s">
        <v>55</v>
      </c>
      <c r="AB300" t="s">
        <v>37</v>
      </c>
      <c r="AC300" s="6" t="s">
        <v>37</v>
      </c>
      <c r="AD300" s="6" t="s">
        <v>37</v>
      </c>
      <c r="AE300" t="s">
        <v>37</v>
      </c>
      <c r="AF300" t="s">
        <v>37</v>
      </c>
      <c r="AG300" s="6" t="s">
        <v>37</v>
      </c>
      <c r="AH300" t="s">
        <v>37</v>
      </c>
      <c r="AI300" t="s">
        <v>37</v>
      </c>
      <c r="AJ300" t="str">
        <f t="shared" si="14"/>
        <v>36BT7GGLB07W6HXZ5J</v>
      </c>
    </row>
    <row r="301" spans="1:36" ht="15" customHeight="1" x14ac:dyDescent="0.25">
      <c r="A301" t="s">
        <v>96</v>
      </c>
      <c r="B301" t="s">
        <v>37</v>
      </c>
      <c r="C301" t="s">
        <v>37</v>
      </c>
      <c r="D301" t="s">
        <v>38</v>
      </c>
      <c r="E301" s="4">
        <v>4</v>
      </c>
      <c r="F301" s="5">
        <v>128.84</v>
      </c>
      <c r="G301" s="5" t="s">
        <v>39</v>
      </c>
      <c r="H301" s="5">
        <v>193.4</v>
      </c>
      <c r="I301" s="5" t="s">
        <v>39</v>
      </c>
      <c r="J301" s="5">
        <v>4.38056</v>
      </c>
      <c r="K301" s="5">
        <f t="shared" si="12"/>
        <v>1.09514</v>
      </c>
      <c r="L301" s="5">
        <f t="shared" si="13"/>
        <v>32.21</v>
      </c>
      <c r="M301" s="5" t="s">
        <v>39</v>
      </c>
      <c r="N301" s="5">
        <v>4.38056</v>
      </c>
      <c r="O301" s="5" t="s">
        <v>39</v>
      </c>
      <c r="P301" t="s">
        <v>479</v>
      </c>
      <c r="Q301" t="s">
        <v>821</v>
      </c>
      <c r="R301" t="s">
        <v>37</v>
      </c>
      <c r="S301" t="s">
        <v>822</v>
      </c>
      <c r="T301" t="s">
        <v>823</v>
      </c>
      <c r="U301" t="s">
        <v>44</v>
      </c>
      <c r="V301">
        <v>147</v>
      </c>
      <c r="W301" t="s">
        <v>45</v>
      </c>
      <c r="X301" t="s">
        <v>60</v>
      </c>
      <c r="Y301" t="s">
        <v>824</v>
      </c>
      <c r="Z301" t="s">
        <v>37</v>
      </c>
      <c r="AA301" t="s">
        <v>55</v>
      </c>
      <c r="AB301" t="s">
        <v>37</v>
      </c>
      <c r="AC301" s="6" t="s">
        <v>37</v>
      </c>
      <c r="AD301" s="6" t="s">
        <v>37</v>
      </c>
      <c r="AE301" t="s">
        <v>37</v>
      </c>
      <c r="AF301" t="s">
        <v>37</v>
      </c>
      <c r="AG301" s="6" t="s">
        <v>37</v>
      </c>
      <c r="AH301" t="s">
        <v>37</v>
      </c>
      <c r="AI301" t="s">
        <v>37</v>
      </c>
      <c r="AJ301" t="str">
        <f t="shared" si="14"/>
        <v>7SCVG2OTB07W4DHCVJ</v>
      </c>
    </row>
    <row r="302" spans="1:36" ht="15" customHeight="1" x14ac:dyDescent="0.25">
      <c r="A302" t="s">
        <v>36</v>
      </c>
      <c r="B302" t="s">
        <v>37</v>
      </c>
      <c r="C302" t="s">
        <v>37</v>
      </c>
      <c r="D302" t="s">
        <v>38</v>
      </c>
      <c r="E302" s="4">
        <v>48</v>
      </c>
      <c r="F302" s="5">
        <v>1264.8</v>
      </c>
      <c r="G302" s="5" t="s">
        <v>39</v>
      </c>
      <c r="H302" s="5">
        <v>1888.32</v>
      </c>
      <c r="I302" s="5" t="s">
        <v>39</v>
      </c>
      <c r="J302" s="5">
        <v>43.0032</v>
      </c>
      <c r="K302" s="5">
        <f t="shared" si="12"/>
        <v>0.89590000000000003</v>
      </c>
      <c r="L302" s="5">
        <f t="shared" si="13"/>
        <v>26.349999999999998</v>
      </c>
      <c r="M302" s="5" t="s">
        <v>39</v>
      </c>
      <c r="N302" s="5">
        <v>43.0032</v>
      </c>
      <c r="O302" s="5" t="s">
        <v>39</v>
      </c>
      <c r="P302" t="s">
        <v>246</v>
      </c>
      <c r="Q302" t="s">
        <v>495</v>
      </c>
      <c r="R302" t="s">
        <v>37</v>
      </c>
      <c r="S302" t="s">
        <v>496</v>
      </c>
      <c r="T302" t="s">
        <v>43</v>
      </c>
      <c r="U302" t="s">
        <v>44</v>
      </c>
      <c r="V302">
        <v>147</v>
      </c>
      <c r="W302" t="s">
        <v>45</v>
      </c>
      <c r="X302" t="s">
        <v>60</v>
      </c>
      <c r="Y302" t="s">
        <v>497</v>
      </c>
      <c r="Z302" t="s">
        <v>37</v>
      </c>
      <c r="AA302" t="s">
        <v>55</v>
      </c>
      <c r="AB302" t="s">
        <v>37</v>
      </c>
      <c r="AC302" s="6" t="s">
        <v>37</v>
      </c>
      <c r="AD302" s="6" t="s">
        <v>37</v>
      </c>
      <c r="AE302" t="s">
        <v>37</v>
      </c>
      <c r="AF302" t="s">
        <v>37</v>
      </c>
      <c r="AG302" s="6" t="s">
        <v>37</v>
      </c>
      <c r="AH302" t="s">
        <v>37</v>
      </c>
      <c r="AI302" t="s">
        <v>37</v>
      </c>
      <c r="AJ302" t="str">
        <f t="shared" si="14"/>
        <v>1PSIXGLTB00BCE30RS</v>
      </c>
    </row>
    <row r="303" spans="1:36" ht="15" customHeight="1" x14ac:dyDescent="0.25">
      <c r="A303" t="s">
        <v>118</v>
      </c>
      <c r="B303" t="s">
        <v>37</v>
      </c>
      <c r="C303" t="s">
        <v>37</v>
      </c>
      <c r="D303" t="s">
        <v>38</v>
      </c>
      <c r="E303" s="4">
        <v>56</v>
      </c>
      <c r="F303" s="5">
        <v>2273.6</v>
      </c>
      <c r="G303" s="5" t="s">
        <v>39</v>
      </c>
      <c r="H303" s="5">
        <v>3304.56</v>
      </c>
      <c r="I303" s="5" t="s">
        <v>39</v>
      </c>
      <c r="J303" s="5">
        <v>77.302400000000006</v>
      </c>
      <c r="K303" s="5">
        <f t="shared" si="12"/>
        <v>1.3804000000000001</v>
      </c>
      <c r="L303" s="5">
        <f t="shared" si="13"/>
        <v>40.6</v>
      </c>
      <c r="M303" s="5" t="s">
        <v>39</v>
      </c>
      <c r="N303" s="5">
        <v>77.302400000000006</v>
      </c>
      <c r="O303" s="5" t="s">
        <v>39</v>
      </c>
      <c r="P303" t="s">
        <v>128</v>
      </c>
      <c r="Q303" t="s">
        <v>68</v>
      </c>
      <c r="R303" t="s">
        <v>37</v>
      </c>
      <c r="S303" t="s">
        <v>69</v>
      </c>
      <c r="T303" t="s">
        <v>43</v>
      </c>
      <c r="U303" t="s">
        <v>44</v>
      </c>
      <c r="V303">
        <v>147</v>
      </c>
      <c r="W303" t="s">
        <v>45</v>
      </c>
      <c r="X303" t="s">
        <v>60</v>
      </c>
      <c r="Y303" t="s">
        <v>70</v>
      </c>
      <c r="Z303" t="s">
        <v>37</v>
      </c>
      <c r="AA303" t="s">
        <v>55</v>
      </c>
      <c r="AB303" t="s">
        <v>37</v>
      </c>
      <c r="AC303" s="6" t="s">
        <v>37</v>
      </c>
      <c r="AD303" s="6" t="s">
        <v>37</v>
      </c>
      <c r="AE303" t="s">
        <v>37</v>
      </c>
      <c r="AF303" t="s">
        <v>37</v>
      </c>
      <c r="AG303" s="6" t="s">
        <v>37</v>
      </c>
      <c r="AH303" t="s">
        <v>37</v>
      </c>
      <c r="AI303" t="s">
        <v>37</v>
      </c>
      <c r="AJ303" t="str">
        <f t="shared" si="14"/>
        <v>7RAC5F9EB07W4DHZLS</v>
      </c>
    </row>
    <row r="304" spans="1:36" ht="15" customHeight="1" x14ac:dyDescent="0.25">
      <c r="A304" t="s">
        <v>36</v>
      </c>
      <c r="B304" t="s">
        <v>37</v>
      </c>
      <c r="C304" t="s">
        <v>37</v>
      </c>
      <c r="D304" t="s">
        <v>38</v>
      </c>
      <c r="E304" s="4">
        <v>4</v>
      </c>
      <c r="F304" s="5">
        <v>94.96</v>
      </c>
      <c r="G304" s="5" t="s">
        <v>39</v>
      </c>
      <c r="H304" s="5">
        <v>157.36000000000001</v>
      </c>
      <c r="I304" s="5" t="s">
        <v>39</v>
      </c>
      <c r="J304" s="5">
        <v>3.22864</v>
      </c>
      <c r="K304" s="5">
        <f t="shared" si="12"/>
        <v>0.80715999999999999</v>
      </c>
      <c r="L304" s="5">
        <f t="shared" si="13"/>
        <v>23.74</v>
      </c>
      <c r="M304" s="5" t="s">
        <v>39</v>
      </c>
      <c r="N304" s="5">
        <v>3.22864</v>
      </c>
      <c r="O304" s="5" t="s">
        <v>39</v>
      </c>
      <c r="P304" t="s">
        <v>89</v>
      </c>
      <c r="Q304" t="s">
        <v>825</v>
      </c>
      <c r="R304" t="s">
        <v>37</v>
      </c>
      <c r="S304" t="s">
        <v>826</v>
      </c>
      <c r="T304" t="s">
        <v>43</v>
      </c>
      <c r="U304" t="s">
        <v>44</v>
      </c>
      <c r="V304">
        <v>147</v>
      </c>
      <c r="W304" t="s">
        <v>45</v>
      </c>
      <c r="X304" t="s">
        <v>53</v>
      </c>
      <c r="Y304" t="s">
        <v>123</v>
      </c>
      <c r="Z304" t="s">
        <v>37</v>
      </c>
      <c r="AA304" t="s">
        <v>95</v>
      </c>
      <c r="AB304" t="s">
        <v>37</v>
      </c>
      <c r="AC304" s="6" t="s">
        <v>37</v>
      </c>
      <c r="AD304" s="6" t="s">
        <v>37</v>
      </c>
      <c r="AE304" t="s">
        <v>37</v>
      </c>
      <c r="AF304" t="s">
        <v>37</v>
      </c>
      <c r="AG304" s="6" t="s">
        <v>37</v>
      </c>
      <c r="AH304" t="s">
        <v>37</v>
      </c>
      <c r="AI304" t="s">
        <v>37</v>
      </c>
      <c r="AJ304" t="str">
        <f t="shared" si="14"/>
        <v>2W68T8TOB07W6JPVPF</v>
      </c>
    </row>
    <row r="305" spans="1:36" ht="15" customHeight="1" x14ac:dyDescent="0.25">
      <c r="A305" t="s">
        <v>504</v>
      </c>
      <c r="B305" t="s">
        <v>37</v>
      </c>
      <c r="C305" t="s">
        <v>37</v>
      </c>
      <c r="D305" t="s">
        <v>38</v>
      </c>
      <c r="E305" s="4">
        <v>370</v>
      </c>
      <c r="F305" s="5">
        <v>6497.2</v>
      </c>
      <c r="G305" s="5" t="s">
        <v>39</v>
      </c>
      <c r="H305" s="5">
        <v>7881</v>
      </c>
      <c r="I305" s="5" t="s">
        <v>39</v>
      </c>
      <c r="J305" s="5">
        <v>220.90479999999999</v>
      </c>
      <c r="K305" s="5">
        <f t="shared" si="12"/>
        <v>0.59704000000000002</v>
      </c>
      <c r="L305" s="5">
        <f t="shared" si="13"/>
        <v>17.559999999999999</v>
      </c>
      <c r="M305" s="5" t="s">
        <v>39</v>
      </c>
      <c r="N305" s="5">
        <v>220.90479999999999</v>
      </c>
      <c r="O305" s="5" t="s">
        <v>39</v>
      </c>
      <c r="P305" t="s">
        <v>820</v>
      </c>
      <c r="Q305" t="s">
        <v>827</v>
      </c>
      <c r="R305" t="s">
        <v>37</v>
      </c>
      <c r="S305" t="s">
        <v>828</v>
      </c>
      <c r="T305" t="s">
        <v>43</v>
      </c>
      <c r="U305" t="s">
        <v>44</v>
      </c>
      <c r="V305">
        <v>147</v>
      </c>
      <c r="W305" t="s">
        <v>45</v>
      </c>
      <c r="X305" t="s">
        <v>60</v>
      </c>
      <c r="Y305" t="s">
        <v>829</v>
      </c>
      <c r="Z305" t="s">
        <v>37</v>
      </c>
      <c r="AA305" t="s">
        <v>55</v>
      </c>
      <c r="AB305" t="s">
        <v>37</v>
      </c>
      <c r="AC305" s="6" t="s">
        <v>37</v>
      </c>
      <c r="AD305" s="6" t="s">
        <v>37</v>
      </c>
      <c r="AE305" t="s">
        <v>37</v>
      </c>
      <c r="AF305" t="s">
        <v>37</v>
      </c>
      <c r="AG305" s="6" t="s">
        <v>37</v>
      </c>
      <c r="AH305" t="s">
        <v>37</v>
      </c>
      <c r="AI305" t="s">
        <v>37</v>
      </c>
      <c r="AJ305" t="str">
        <f t="shared" si="14"/>
        <v>1KYIVKWCB004CM47VU</v>
      </c>
    </row>
    <row r="306" spans="1:36" ht="15" customHeight="1" x14ac:dyDescent="0.25">
      <c r="A306" t="s">
        <v>62</v>
      </c>
      <c r="B306" t="s">
        <v>37</v>
      </c>
      <c r="C306" t="s">
        <v>37</v>
      </c>
      <c r="D306" t="s">
        <v>38</v>
      </c>
      <c r="E306" s="4">
        <v>4</v>
      </c>
      <c r="F306" s="5">
        <v>688.92</v>
      </c>
      <c r="G306" s="5" t="s">
        <v>39</v>
      </c>
      <c r="H306" s="5">
        <v>881.96</v>
      </c>
      <c r="I306" s="5" t="s">
        <v>39</v>
      </c>
      <c r="J306" s="5">
        <v>23.423279999999998</v>
      </c>
      <c r="K306" s="5">
        <f t="shared" si="12"/>
        <v>5.8558199999999996</v>
      </c>
      <c r="L306" s="5">
        <f t="shared" si="13"/>
        <v>172.23</v>
      </c>
      <c r="M306" s="5" t="s">
        <v>39</v>
      </c>
      <c r="N306" s="5">
        <v>23.423279999999998</v>
      </c>
      <c r="O306" s="5" t="s">
        <v>39</v>
      </c>
      <c r="P306" t="s">
        <v>830</v>
      </c>
      <c r="Q306" t="s">
        <v>831</v>
      </c>
      <c r="R306" t="s">
        <v>37</v>
      </c>
      <c r="S306" t="s">
        <v>832</v>
      </c>
      <c r="T306" t="s">
        <v>43</v>
      </c>
      <c r="U306" t="s">
        <v>44</v>
      </c>
      <c r="V306">
        <v>147</v>
      </c>
      <c r="W306" t="s">
        <v>45</v>
      </c>
      <c r="X306" t="s">
        <v>46</v>
      </c>
      <c r="Y306" t="s">
        <v>833</v>
      </c>
      <c r="Z306" t="s">
        <v>37</v>
      </c>
      <c r="AA306" t="s">
        <v>55</v>
      </c>
      <c r="AB306" t="s">
        <v>37</v>
      </c>
      <c r="AC306" s="6" t="s">
        <v>37</v>
      </c>
      <c r="AD306" s="6" t="s">
        <v>37</v>
      </c>
      <c r="AE306" t="s">
        <v>37</v>
      </c>
      <c r="AF306" t="s">
        <v>37</v>
      </c>
      <c r="AG306" s="6" t="s">
        <v>37</v>
      </c>
      <c r="AH306" t="s">
        <v>37</v>
      </c>
      <c r="AI306" t="s">
        <v>37</v>
      </c>
      <c r="AJ306" t="str">
        <f t="shared" si="14"/>
        <v>7OHBRCNPB07W6FW84S</v>
      </c>
    </row>
    <row r="307" spans="1:36" ht="15" customHeight="1" x14ac:dyDescent="0.25">
      <c r="A307" t="s">
        <v>101</v>
      </c>
      <c r="B307" t="s">
        <v>37</v>
      </c>
      <c r="C307" t="s">
        <v>37</v>
      </c>
      <c r="D307" t="s">
        <v>38</v>
      </c>
      <c r="E307" s="4">
        <v>4</v>
      </c>
      <c r="F307" s="5">
        <v>272.24</v>
      </c>
      <c r="G307" s="5" t="s">
        <v>39</v>
      </c>
      <c r="H307" s="5">
        <v>442.6</v>
      </c>
      <c r="I307" s="5" t="s">
        <v>39</v>
      </c>
      <c r="J307" s="5">
        <v>9.2561599999999995</v>
      </c>
      <c r="K307" s="5">
        <f t="shared" si="12"/>
        <v>2.3140399999999999</v>
      </c>
      <c r="L307" s="5">
        <f t="shared" si="13"/>
        <v>68.06</v>
      </c>
      <c r="M307" s="5" t="s">
        <v>39</v>
      </c>
      <c r="N307" s="5">
        <v>9.2561599999999995</v>
      </c>
      <c r="O307" s="5" t="s">
        <v>39</v>
      </c>
      <c r="P307" t="s">
        <v>274</v>
      </c>
      <c r="Q307" t="s">
        <v>834</v>
      </c>
      <c r="R307" t="s">
        <v>37</v>
      </c>
      <c r="S307" t="s">
        <v>835</v>
      </c>
      <c r="T307" t="s">
        <v>43</v>
      </c>
      <c r="U307" t="s">
        <v>44</v>
      </c>
      <c r="V307">
        <v>147</v>
      </c>
      <c r="W307" t="s">
        <v>45</v>
      </c>
      <c r="X307" t="s">
        <v>60</v>
      </c>
      <c r="Y307" t="s">
        <v>836</v>
      </c>
      <c r="Z307" t="s">
        <v>37</v>
      </c>
      <c r="AA307" t="s">
        <v>55</v>
      </c>
      <c r="AB307" t="s">
        <v>37</v>
      </c>
      <c r="AC307" s="6" t="s">
        <v>37</v>
      </c>
      <c r="AD307" s="6" t="s">
        <v>37</v>
      </c>
      <c r="AE307" t="s">
        <v>37</v>
      </c>
      <c r="AF307" t="s">
        <v>37</v>
      </c>
      <c r="AG307" s="6" t="s">
        <v>37</v>
      </c>
      <c r="AH307" t="s">
        <v>37</v>
      </c>
      <c r="AI307" t="s">
        <v>37</v>
      </c>
      <c r="AJ307" t="str">
        <f t="shared" si="14"/>
        <v>4LYATDUXB07W7KHGMB</v>
      </c>
    </row>
    <row r="308" spans="1:36" ht="15" customHeight="1" x14ac:dyDescent="0.25">
      <c r="A308" t="s">
        <v>210</v>
      </c>
      <c r="B308" t="s">
        <v>37</v>
      </c>
      <c r="C308" t="s">
        <v>37</v>
      </c>
      <c r="D308" t="s">
        <v>38</v>
      </c>
      <c r="E308" s="4">
        <v>124</v>
      </c>
      <c r="F308" s="5">
        <v>4356.12</v>
      </c>
      <c r="G308" s="5" t="s">
        <v>39</v>
      </c>
      <c r="H308" s="5">
        <v>6300.44</v>
      </c>
      <c r="I308" s="5" t="s">
        <v>39</v>
      </c>
      <c r="J308" s="5">
        <v>148.10808</v>
      </c>
      <c r="K308" s="5">
        <f t="shared" si="12"/>
        <v>1.19442</v>
      </c>
      <c r="L308" s="5">
        <f t="shared" si="13"/>
        <v>35.130000000000003</v>
      </c>
      <c r="M308" s="5" t="s">
        <v>39</v>
      </c>
      <c r="N308" s="5">
        <v>148.10808</v>
      </c>
      <c r="O308" s="5" t="s">
        <v>39</v>
      </c>
      <c r="P308" t="s">
        <v>211</v>
      </c>
      <c r="Q308" t="s">
        <v>837</v>
      </c>
      <c r="R308" t="s">
        <v>37</v>
      </c>
      <c r="S308" t="s">
        <v>838</v>
      </c>
      <c r="T308" t="s">
        <v>43</v>
      </c>
      <c r="U308" t="s">
        <v>44</v>
      </c>
      <c r="V308">
        <v>147</v>
      </c>
      <c r="W308" t="s">
        <v>45</v>
      </c>
      <c r="X308" t="s">
        <v>60</v>
      </c>
      <c r="Y308" t="s">
        <v>839</v>
      </c>
      <c r="Z308" t="s">
        <v>37</v>
      </c>
      <c r="AA308" t="s">
        <v>55</v>
      </c>
      <c r="AB308" t="s">
        <v>37</v>
      </c>
      <c r="AC308" s="6" t="s">
        <v>37</v>
      </c>
      <c r="AD308" s="6" t="s">
        <v>37</v>
      </c>
      <c r="AE308" t="s">
        <v>37</v>
      </c>
      <c r="AF308" t="s">
        <v>37</v>
      </c>
      <c r="AG308" s="6" t="s">
        <v>37</v>
      </c>
      <c r="AH308" t="s">
        <v>37</v>
      </c>
      <c r="AI308" t="s">
        <v>37</v>
      </c>
      <c r="AJ308" t="str">
        <f t="shared" si="14"/>
        <v>7ILTX3HJB07VK1S68S</v>
      </c>
    </row>
    <row r="309" spans="1:36" ht="15" customHeight="1" x14ac:dyDescent="0.25">
      <c r="A309" t="s">
        <v>56</v>
      </c>
      <c r="B309" t="s">
        <v>37</v>
      </c>
      <c r="C309" t="s">
        <v>37</v>
      </c>
      <c r="D309" t="s">
        <v>38</v>
      </c>
      <c r="E309" s="4">
        <v>11</v>
      </c>
      <c r="F309" s="5">
        <v>2642.97</v>
      </c>
      <c r="G309" s="5" t="s">
        <v>39</v>
      </c>
      <c r="H309" s="5">
        <v>4048.33</v>
      </c>
      <c r="I309" s="5" t="s">
        <v>39</v>
      </c>
      <c r="J309" s="5">
        <v>89.860979999999998</v>
      </c>
      <c r="K309" s="5">
        <f t="shared" si="12"/>
        <v>8.169179999999999</v>
      </c>
      <c r="L309" s="5">
        <f t="shared" si="13"/>
        <v>240.26999999999998</v>
      </c>
      <c r="M309" s="5" t="s">
        <v>39</v>
      </c>
      <c r="N309" s="5">
        <v>89.860979999999998</v>
      </c>
      <c r="O309" s="5" t="s">
        <v>39</v>
      </c>
      <c r="P309" t="s">
        <v>57</v>
      </c>
      <c r="Q309" t="s">
        <v>840</v>
      </c>
      <c r="R309" t="s">
        <v>37</v>
      </c>
      <c r="S309" t="s">
        <v>841</v>
      </c>
      <c r="T309" t="s">
        <v>43</v>
      </c>
      <c r="U309" t="s">
        <v>44</v>
      </c>
      <c r="V309">
        <v>23</v>
      </c>
      <c r="W309" t="s">
        <v>281</v>
      </c>
      <c r="X309" t="s">
        <v>282</v>
      </c>
      <c r="Y309" t="s">
        <v>842</v>
      </c>
      <c r="Z309" t="s">
        <v>37</v>
      </c>
      <c r="AA309" t="s">
        <v>95</v>
      </c>
      <c r="AB309" t="s">
        <v>37</v>
      </c>
      <c r="AC309" s="6" t="s">
        <v>37</v>
      </c>
      <c r="AD309" s="6" t="s">
        <v>37</v>
      </c>
      <c r="AE309" t="s">
        <v>37</v>
      </c>
      <c r="AF309" t="s">
        <v>37</v>
      </c>
      <c r="AG309" s="6" t="s">
        <v>37</v>
      </c>
      <c r="AH309" t="s">
        <v>37</v>
      </c>
      <c r="AI309" t="s">
        <v>37</v>
      </c>
      <c r="AJ309" t="str">
        <f t="shared" si="14"/>
        <v>3GBCH66MB07W5JKB91</v>
      </c>
    </row>
    <row r="310" spans="1:36" ht="15" customHeight="1" x14ac:dyDescent="0.25">
      <c r="A310" t="s">
        <v>96</v>
      </c>
      <c r="B310" t="s">
        <v>37</v>
      </c>
      <c r="C310" t="s">
        <v>37</v>
      </c>
      <c r="D310" t="s">
        <v>38</v>
      </c>
      <c r="E310" s="4">
        <v>232</v>
      </c>
      <c r="F310" s="5">
        <v>22464.560000000001</v>
      </c>
      <c r="G310" s="5" t="s">
        <v>39</v>
      </c>
      <c r="H310" s="5">
        <v>26622</v>
      </c>
      <c r="I310" s="5" t="s">
        <v>39</v>
      </c>
      <c r="J310" s="5">
        <v>763.79503999999997</v>
      </c>
      <c r="K310" s="5">
        <f t="shared" si="12"/>
        <v>3.2922199999999999</v>
      </c>
      <c r="L310" s="5">
        <f t="shared" si="13"/>
        <v>96.830000000000013</v>
      </c>
      <c r="M310" s="5" t="s">
        <v>39</v>
      </c>
      <c r="N310" s="5">
        <v>763.79503999999997</v>
      </c>
      <c r="O310" s="5" t="s">
        <v>39</v>
      </c>
      <c r="P310" t="s">
        <v>222</v>
      </c>
      <c r="Q310" t="s">
        <v>843</v>
      </c>
      <c r="R310" t="s">
        <v>844</v>
      </c>
      <c r="S310" t="s">
        <v>845</v>
      </c>
      <c r="T310" t="s">
        <v>43</v>
      </c>
      <c r="U310" t="s">
        <v>44</v>
      </c>
      <c r="V310">
        <v>267</v>
      </c>
      <c r="W310" t="s">
        <v>151</v>
      </c>
      <c r="X310" t="s">
        <v>152</v>
      </c>
      <c r="Y310" t="s">
        <v>846</v>
      </c>
      <c r="Z310" t="s">
        <v>37</v>
      </c>
      <c r="AA310" t="s">
        <v>95</v>
      </c>
      <c r="AB310" t="s">
        <v>37</v>
      </c>
      <c r="AC310" s="6" t="s">
        <v>37</v>
      </c>
      <c r="AD310" s="6" t="s">
        <v>37</v>
      </c>
      <c r="AE310" t="s">
        <v>37</v>
      </c>
      <c r="AF310" t="s">
        <v>37</v>
      </c>
      <c r="AG310" s="6" t="s">
        <v>37</v>
      </c>
      <c r="AH310" t="s">
        <v>37</v>
      </c>
      <c r="AI310" t="s">
        <v>37</v>
      </c>
      <c r="AJ310" t="str">
        <f t="shared" si="14"/>
        <v>2F7Y5WIXB01LY6Z2M6</v>
      </c>
    </row>
    <row r="311" spans="1:36" ht="15" customHeight="1" x14ac:dyDescent="0.25">
      <c r="A311" t="s">
        <v>62</v>
      </c>
      <c r="B311" t="s">
        <v>37</v>
      </c>
      <c r="C311" t="s">
        <v>37</v>
      </c>
      <c r="D311" t="s">
        <v>38</v>
      </c>
      <c r="E311" s="4">
        <v>4</v>
      </c>
      <c r="F311" s="5">
        <v>610.67999999999995</v>
      </c>
      <c r="G311" s="5" t="s">
        <v>39</v>
      </c>
      <c r="H311" s="5">
        <v>714.08</v>
      </c>
      <c r="I311" s="5" t="s">
        <v>39</v>
      </c>
      <c r="J311" s="5">
        <v>20.763120000000001</v>
      </c>
      <c r="K311" s="5">
        <f t="shared" si="12"/>
        <v>5.1907800000000002</v>
      </c>
      <c r="L311" s="5">
        <f t="shared" si="13"/>
        <v>152.66999999999999</v>
      </c>
      <c r="M311" s="5" t="s">
        <v>39</v>
      </c>
      <c r="N311" s="5">
        <v>20.763120000000001</v>
      </c>
      <c r="O311" s="5" t="s">
        <v>39</v>
      </c>
      <c r="P311" t="s">
        <v>847</v>
      </c>
      <c r="Q311" t="s">
        <v>848</v>
      </c>
      <c r="R311" t="s">
        <v>37</v>
      </c>
      <c r="S311" t="s">
        <v>849</v>
      </c>
      <c r="T311" t="s">
        <v>43</v>
      </c>
      <c r="U311" t="s">
        <v>44</v>
      </c>
      <c r="V311">
        <v>147</v>
      </c>
      <c r="W311" t="s">
        <v>92</v>
      </c>
      <c r="X311" t="s">
        <v>543</v>
      </c>
      <c r="Y311" t="s">
        <v>850</v>
      </c>
      <c r="Z311" t="s">
        <v>37</v>
      </c>
      <c r="AA311" t="s">
        <v>95</v>
      </c>
      <c r="AB311" t="s">
        <v>37</v>
      </c>
      <c r="AC311" s="6" t="s">
        <v>37</v>
      </c>
      <c r="AD311" s="6" t="s">
        <v>37</v>
      </c>
      <c r="AE311" t="s">
        <v>37</v>
      </c>
      <c r="AF311" t="s">
        <v>37</v>
      </c>
      <c r="AG311" s="6" t="s">
        <v>37</v>
      </c>
      <c r="AH311" t="s">
        <v>37</v>
      </c>
      <c r="AI311" t="s">
        <v>37</v>
      </c>
      <c r="AJ311" t="str">
        <f t="shared" si="14"/>
        <v>72DIHLCIB07W6JPTXG</v>
      </c>
    </row>
    <row r="312" spans="1:36" ht="15" customHeight="1" x14ac:dyDescent="0.25">
      <c r="A312" t="s">
        <v>49</v>
      </c>
      <c r="B312" t="s">
        <v>37</v>
      </c>
      <c r="C312" t="s">
        <v>37</v>
      </c>
      <c r="D312" t="s">
        <v>38</v>
      </c>
      <c r="E312" s="4">
        <v>72</v>
      </c>
      <c r="F312" s="5">
        <v>6971.76</v>
      </c>
      <c r="G312" s="5" t="s">
        <v>39</v>
      </c>
      <c r="H312" s="5">
        <v>8262</v>
      </c>
      <c r="I312" s="5" t="s">
        <v>39</v>
      </c>
      <c r="J312" s="5">
        <v>237.03984</v>
      </c>
      <c r="K312" s="5">
        <f t="shared" si="12"/>
        <v>3.2922199999999999</v>
      </c>
      <c r="L312" s="5">
        <f t="shared" si="13"/>
        <v>96.83</v>
      </c>
      <c r="M312" s="5" t="s">
        <v>39</v>
      </c>
      <c r="N312" s="5">
        <v>237.03984</v>
      </c>
      <c r="O312" s="5" t="s">
        <v>39</v>
      </c>
      <c r="P312" t="s">
        <v>222</v>
      </c>
      <c r="Q312" t="s">
        <v>843</v>
      </c>
      <c r="R312" t="s">
        <v>844</v>
      </c>
      <c r="S312" t="s">
        <v>845</v>
      </c>
      <c r="T312" t="s">
        <v>43</v>
      </c>
      <c r="U312" t="s">
        <v>44</v>
      </c>
      <c r="V312">
        <v>267</v>
      </c>
      <c r="W312" t="s">
        <v>151</v>
      </c>
      <c r="X312" t="s">
        <v>152</v>
      </c>
      <c r="Y312" t="s">
        <v>846</v>
      </c>
      <c r="Z312" t="s">
        <v>37</v>
      </c>
      <c r="AA312" t="s">
        <v>95</v>
      </c>
      <c r="AB312" t="s">
        <v>37</v>
      </c>
      <c r="AC312" s="6" t="s">
        <v>37</v>
      </c>
      <c r="AD312" s="6" t="s">
        <v>37</v>
      </c>
      <c r="AE312" t="s">
        <v>37</v>
      </c>
      <c r="AF312" t="s">
        <v>37</v>
      </c>
      <c r="AG312" s="6" t="s">
        <v>37</v>
      </c>
      <c r="AH312" t="s">
        <v>37</v>
      </c>
      <c r="AI312" t="s">
        <v>37</v>
      </c>
      <c r="AJ312" t="str">
        <f t="shared" si="14"/>
        <v>2F7Y5WIXB01LY6Z2M6</v>
      </c>
    </row>
    <row r="313" spans="1:36" ht="15" customHeight="1" x14ac:dyDescent="0.25">
      <c r="A313" t="s">
        <v>118</v>
      </c>
      <c r="B313" t="s">
        <v>37</v>
      </c>
      <c r="C313" t="s">
        <v>37</v>
      </c>
      <c r="D313" t="s">
        <v>38</v>
      </c>
      <c r="E313" s="4">
        <v>88</v>
      </c>
      <c r="F313" s="5">
        <v>3522.64</v>
      </c>
      <c r="G313" s="5" t="s">
        <v>39</v>
      </c>
      <c r="H313" s="5">
        <v>4977.28</v>
      </c>
      <c r="I313" s="5" t="s">
        <v>39</v>
      </c>
      <c r="J313" s="5">
        <v>119.76976000000001</v>
      </c>
      <c r="K313" s="5">
        <f t="shared" si="12"/>
        <v>1.3610200000000001</v>
      </c>
      <c r="L313" s="5">
        <f t="shared" si="13"/>
        <v>40.03</v>
      </c>
      <c r="M313" s="5" t="s">
        <v>39</v>
      </c>
      <c r="N313" s="5">
        <v>119.76976000000001</v>
      </c>
      <c r="O313" s="5" t="s">
        <v>39</v>
      </c>
      <c r="P313" t="s">
        <v>141</v>
      </c>
      <c r="Q313" t="s">
        <v>851</v>
      </c>
      <c r="R313" t="s">
        <v>37</v>
      </c>
      <c r="S313" t="s">
        <v>852</v>
      </c>
      <c r="T313" t="s">
        <v>43</v>
      </c>
      <c r="U313" t="s">
        <v>44</v>
      </c>
      <c r="V313">
        <v>421</v>
      </c>
      <c r="W313" t="s">
        <v>45</v>
      </c>
      <c r="X313" t="s">
        <v>239</v>
      </c>
      <c r="Y313" t="s">
        <v>853</v>
      </c>
      <c r="Z313" t="s">
        <v>37</v>
      </c>
      <c r="AA313" t="s">
        <v>95</v>
      </c>
      <c r="AB313" t="s">
        <v>37</v>
      </c>
      <c r="AC313" s="6" t="s">
        <v>37</v>
      </c>
      <c r="AD313" s="6" t="s">
        <v>37</v>
      </c>
      <c r="AE313" t="s">
        <v>37</v>
      </c>
      <c r="AF313" t="s">
        <v>37</v>
      </c>
      <c r="AG313" s="6" t="s">
        <v>37</v>
      </c>
      <c r="AH313" t="s">
        <v>37</v>
      </c>
      <c r="AI313" t="s">
        <v>37</v>
      </c>
      <c r="AJ313" t="str">
        <f t="shared" si="14"/>
        <v>56UO2L2IB07W4DHXC8</v>
      </c>
    </row>
    <row r="314" spans="1:36" ht="15" customHeight="1" x14ac:dyDescent="0.25">
      <c r="A314" t="s">
        <v>36</v>
      </c>
      <c r="B314" t="s">
        <v>37</v>
      </c>
      <c r="C314" t="s">
        <v>37</v>
      </c>
      <c r="D314" t="s">
        <v>38</v>
      </c>
      <c r="E314" s="4">
        <v>24</v>
      </c>
      <c r="F314" s="5">
        <v>2473.44</v>
      </c>
      <c r="G314" s="5" t="s">
        <v>39</v>
      </c>
      <c r="H314" s="5">
        <v>3246</v>
      </c>
      <c r="I314" s="5" t="s">
        <v>39</v>
      </c>
      <c r="J314" s="5">
        <v>84.096959999999996</v>
      </c>
      <c r="K314" s="5">
        <f t="shared" si="12"/>
        <v>3.5040399999999998</v>
      </c>
      <c r="L314" s="5">
        <f t="shared" si="13"/>
        <v>103.06</v>
      </c>
      <c r="M314" s="5" t="s">
        <v>39</v>
      </c>
      <c r="N314" s="5">
        <v>84.096959999999996</v>
      </c>
      <c r="O314" s="5" t="s">
        <v>39</v>
      </c>
      <c r="P314" t="s">
        <v>67</v>
      </c>
      <c r="Q314" t="s">
        <v>142</v>
      </c>
      <c r="R314" t="s">
        <v>37</v>
      </c>
      <c r="S314" t="s">
        <v>143</v>
      </c>
      <c r="T314" t="s">
        <v>43</v>
      </c>
      <c r="U314" t="s">
        <v>44</v>
      </c>
      <c r="V314">
        <v>147</v>
      </c>
      <c r="W314" t="s">
        <v>45</v>
      </c>
      <c r="X314" t="s">
        <v>46</v>
      </c>
      <c r="Y314" t="s">
        <v>144</v>
      </c>
      <c r="Z314" t="s">
        <v>37</v>
      </c>
      <c r="AA314" t="s">
        <v>55</v>
      </c>
      <c r="AB314" t="s">
        <v>37</v>
      </c>
      <c r="AC314" s="6" t="s">
        <v>37</v>
      </c>
      <c r="AD314" s="6" t="s">
        <v>37</v>
      </c>
      <c r="AE314" t="s">
        <v>37</v>
      </c>
      <c r="AF314" t="s">
        <v>37</v>
      </c>
      <c r="AG314" s="6" t="s">
        <v>37</v>
      </c>
      <c r="AH314" t="s">
        <v>37</v>
      </c>
      <c r="AI314" t="s">
        <v>37</v>
      </c>
      <c r="AJ314" t="str">
        <f t="shared" si="14"/>
        <v>2TMBDXBKB07PPNT9B2</v>
      </c>
    </row>
    <row r="315" spans="1:36" ht="15" customHeight="1" x14ac:dyDescent="0.25">
      <c r="A315" t="s">
        <v>127</v>
      </c>
      <c r="B315" t="s">
        <v>37</v>
      </c>
      <c r="C315" t="s">
        <v>37</v>
      </c>
      <c r="D315" t="s">
        <v>38</v>
      </c>
      <c r="E315" s="4">
        <v>4</v>
      </c>
      <c r="F315" s="5">
        <v>65.56</v>
      </c>
      <c r="G315" s="5" t="s">
        <v>39</v>
      </c>
      <c r="H315" s="5">
        <v>98.32</v>
      </c>
      <c r="I315" s="5" t="s">
        <v>39</v>
      </c>
      <c r="J315" s="5">
        <v>2.2290399999999999</v>
      </c>
      <c r="K315" s="5">
        <f t="shared" si="12"/>
        <v>0.55725999999999998</v>
      </c>
      <c r="L315" s="5">
        <f t="shared" si="13"/>
        <v>16.39</v>
      </c>
      <c r="M315" s="5" t="s">
        <v>39</v>
      </c>
      <c r="N315" s="5">
        <v>2.2290399999999999</v>
      </c>
      <c r="O315" s="5" t="s">
        <v>39</v>
      </c>
      <c r="P315" t="s">
        <v>365</v>
      </c>
      <c r="Q315" t="s">
        <v>854</v>
      </c>
      <c r="R315" t="s">
        <v>37</v>
      </c>
      <c r="S315" t="s">
        <v>855</v>
      </c>
      <c r="T315" t="s">
        <v>43</v>
      </c>
      <c r="U315" t="s">
        <v>44</v>
      </c>
      <c r="V315">
        <v>147</v>
      </c>
      <c r="W315" t="s">
        <v>45</v>
      </c>
      <c r="X315" t="s">
        <v>239</v>
      </c>
      <c r="Y315" t="s">
        <v>856</v>
      </c>
      <c r="Z315" t="s">
        <v>37</v>
      </c>
      <c r="AA315" t="s">
        <v>95</v>
      </c>
      <c r="AB315" t="s">
        <v>37</v>
      </c>
      <c r="AC315" s="6" t="s">
        <v>37</v>
      </c>
      <c r="AD315" s="6" t="s">
        <v>37</v>
      </c>
      <c r="AE315" t="s">
        <v>37</v>
      </c>
      <c r="AF315" t="s">
        <v>37</v>
      </c>
      <c r="AG315" s="6" t="s">
        <v>37</v>
      </c>
      <c r="AH315" t="s">
        <v>37</v>
      </c>
      <c r="AI315" t="s">
        <v>37</v>
      </c>
      <c r="AJ315" t="str">
        <f t="shared" si="14"/>
        <v>3KYCEHVHB00ZOOKDU4</v>
      </c>
    </row>
    <row r="316" spans="1:36" ht="15" customHeight="1" x14ac:dyDescent="0.25">
      <c r="A316" t="s">
        <v>36</v>
      </c>
      <c r="B316" t="s">
        <v>37</v>
      </c>
      <c r="C316" t="s">
        <v>37</v>
      </c>
      <c r="D316" t="s">
        <v>38</v>
      </c>
      <c r="E316" s="4">
        <v>6</v>
      </c>
      <c r="F316" s="5">
        <v>158.1</v>
      </c>
      <c r="G316" s="5" t="s">
        <v>39</v>
      </c>
      <c r="H316" s="5">
        <v>172.08</v>
      </c>
      <c r="I316" s="5" t="s">
        <v>39</v>
      </c>
      <c r="J316" s="5">
        <v>5.3754</v>
      </c>
      <c r="K316" s="5">
        <f t="shared" si="12"/>
        <v>0.89590000000000003</v>
      </c>
      <c r="L316" s="5">
        <f t="shared" si="13"/>
        <v>26.349999999999998</v>
      </c>
      <c r="M316" s="5" t="s">
        <v>39</v>
      </c>
      <c r="N316" s="5">
        <v>5.3754</v>
      </c>
      <c r="O316" s="5" t="s">
        <v>39</v>
      </c>
      <c r="P316" t="s">
        <v>40</v>
      </c>
      <c r="Q316" t="s">
        <v>857</v>
      </c>
      <c r="R316" t="s">
        <v>37</v>
      </c>
      <c r="S316" t="s">
        <v>858</v>
      </c>
      <c r="T316" t="s">
        <v>43</v>
      </c>
      <c r="U316" t="s">
        <v>44</v>
      </c>
      <c r="V316">
        <v>147</v>
      </c>
      <c r="W316" t="s">
        <v>45</v>
      </c>
      <c r="X316" t="s">
        <v>60</v>
      </c>
      <c r="Y316" t="s">
        <v>859</v>
      </c>
      <c r="Z316" t="s">
        <v>37</v>
      </c>
      <c r="AA316" t="s">
        <v>55</v>
      </c>
      <c r="AB316" t="s">
        <v>37</v>
      </c>
      <c r="AC316" s="6" t="s">
        <v>37</v>
      </c>
      <c r="AD316" s="6" t="s">
        <v>37</v>
      </c>
      <c r="AE316" t="s">
        <v>37</v>
      </c>
      <c r="AF316" t="s">
        <v>37</v>
      </c>
      <c r="AG316" s="6" t="s">
        <v>37</v>
      </c>
      <c r="AH316" t="s">
        <v>37</v>
      </c>
      <c r="AI316" t="s">
        <v>37</v>
      </c>
      <c r="AJ316" t="str">
        <f t="shared" si="14"/>
        <v>4A3KDTEZB00D2PX8C2</v>
      </c>
    </row>
    <row r="317" spans="1:36" ht="15" customHeight="1" x14ac:dyDescent="0.25">
      <c r="A317" t="s">
        <v>88</v>
      </c>
      <c r="B317" t="s">
        <v>37</v>
      </c>
      <c r="C317" t="s">
        <v>37</v>
      </c>
      <c r="D317" t="s">
        <v>38</v>
      </c>
      <c r="E317" s="4">
        <v>6</v>
      </c>
      <c r="F317" s="5">
        <v>158.1</v>
      </c>
      <c r="G317" s="5" t="s">
        <v>39</v>
      </c>
      <c r="H317" s="5">
        <v>172.08</v>
      </c>
      <c r="I317" s="5" t="s">
        <v>39</v>
      </c>
      <c r="J317" s="5">
        <v>5.3754</v>
      </c>
      <c r="K317" s="5">
        <f t="shared" si="12"/>
        <v>0.89590000000000003</v>
      </c>
      <c r="L317" s="5">
        <f t="shared" si="13"/>
        <v>26.349999999999998</v>
      </c>
      <c r="M317" s="5" t="s">
        <v>39</v>
      </c>
      <c r="N317" s="5">
        <v>5.3754</v>
      </c>
      <c r="O317" s="5" t="s">
        <v>39</v>
      </c>
      <c r="P317" t="s">
        <v>40</v>
      </c>
      <c r="Q317" t="s">
        <v>857</v>
      </c>
      <c r="R317" t="s">
        <v>37</v>
      </c>
      <c r="S317" t="s">
        <v>858</v>
      </c>
      <c r="T317" t="s">
        <v>43</v>
      </c>
      <c r="U317" t="s">
        <v>44</v>
      </c>
      <c r="V317">
        <v>147</v>
      </c>
      <c r="W317" t="s">
        <v>45</v>
      </c>
      <c r="X317" t="s">
        <v>60</v>
      </c>
      <c r="Y317" t="s">
        <v>859</v>
      </c>
      <c r="Z317" t="s">
        <v>37</v>
      </c>
      <c r="AA317" t="s">
        <v>55</v>
      </c>
      <c r="AB317" t="s">
        <v>37</v>
      </c>
      <c r="AC317" s="6" t="s">
        <v>37</v>
      </c>
      <c r="AD317" s="6" t="s">
        <v>37</v>
      </c>
      <c r="AE317" t="s">
        <v>37</v>
      </c>
      <c r="AF317" t="s">
        <v>37</v>
      </c>
      <c r="AG317" s="6" t="s">
        <v>37</v>
      </c>
      <c r="AH317" t="s">
        <v>37</v>
      </c>
      <c r="AI317" t="s">
        <v>37</v>
      </c>
      <c r="AJ317" t="str">
        <f t="shared" si="14"/>
        <v>4A3KDTEZB00D2PX8C2</v>
      </c>
    </row>
    <row r="318" spans="1:36" ht="15" customHeight="1" x14ac:dyDescent="0.25">
      <c r="A318" t="s">
        <v>36</v>
      </c>
      <c r="B318" t="s">
        <v>37</v>
      </c>
      <c r="C318" t="s">
        <v>37</v>
      </c>
      <c r="D318" t="s">
        <v>38</v>
      </c>
      <c r="E318" s="4">
        <v>8</v>
      </c>
      <c r="F318" s="5">
        <v>755.52</v>
      </c>
      <c r="G318" s="5" t="s">
        <v>39</v>
      </c>
      <c r="H318" s="5">
        <v>755.52</v>
      </c>
      <c r="I318" s="5" t="s">
        <v>39</v>
      </c>
      <c r="J318" s="5">
        <v>25.68768</v>
      </c>
      <c r="K318" s="5">
        <f t="shared" si="12"/>
        <v>3.21096</v>
      </c>
      <c r="L318" s="5">
        <f t="shared" si="13"/>
        <v>94.44</v>
      </c>
      <c r="M318" s="5" t="s">
        <v>39</v>
      </c>
      <c r="N318" s="5">
        <v>25.68768</v>
      </c>
      <c r="O318" s="5" t="s">
        <v>39</v>
      </c>
      <c r="P318" t="s">
        <v>67</v>
      </c>
      <c r="Q318" t="s">
        <v>860</v>
      </c>
      <c r="R318" t="s">
        <v>37</v>
      </c>
      <c r="S318" t="s">
        <v>861</v>
      </c>
      <c r="T318" t="s">
        <v>580</v>
      </c>
      <c r="U318" t="s">
        <v>44</v>
      </c>
      <c r="V318">
        <v>147</v>
      </c>
      <c r="W318" t="s">
        <v>37</v>
      </c>
      <c r="X318" t="s">
        <v>37</v>
      </c>
      <c r="Y318" t="s">
        <v>862</v>
      </c>
      <c r="Z318" t="s">
        <v>37</v>
      </c>
      <c r="AA318" t="s">
        <v>55</v>
      </c>
      <c r="AB318" t="s">
        <v>37</v>
      </c>
      <c r="AC318" s="6" t="s">
        <v>37</v>
      </c>
      <c r="AD318" s="6" t="s">
        <v>37</v>
      </c>
      <c r="AE318" t="s">
        <v>37</v>
      </c>
      <c r="AF318" t="s">
        <v>37</v>
      </c>
      <c r="AG318" s="6" t="s">
        <v>37</v>
      </c>
      <c r="AH318" t="s">
        <v>37</v>
      </c>
      <c r="AI318" t="s">
        <v>37</v>
      </c>
      <c r="AJ318" t="str">
        <f t="shared" si="14"/>
        <v>2TMBDXBKB07W6J24VW</v>
      </c>
    </row>
    <row r="319" spans="1:36" ht="15" customHeight="1" x14ac:dyDescent="0.25">
      <c r="A319" t="s">
        <v>118</v>
      </c>
      <c r="B319" t="s">
        <v>37</v>
      </c>
      <c r="C319" t="s">
        <v>37</v>
      </c>
      <c r="D319" t="s">
        <v>38</v>
      </c>
      <c r="E319" s="4">
        <v>16</v>
      </c>
      <c r="F319" s="5">
        <v>374.72</v>
      </c>
      <c r="G319" s="5" t="s">
        <v>39</v>
      </c>
      <c r="H319" s="5">
        <v>576.96</v>
      </c>
      <c r="I319" s="5" t="s">
        <v>39</v>
      </c>
      <c r="J319" s="5">
        <v>12.74048</v>
      </c>
      <c r="K319" s="5">
        <f t="shared" si="12"/>
        <v>0.79627999999999999</v>
      </c>
      <c r="L319" s="5">
        <f t="shared" si="13"/>
        <v>23.42</v>
      </c>
      <c r="M319" s="5" t="s">
        <v>39</v>
      </c>
      <c r="N319" s="5">
        <v>12.74048</v>
      </c>
      <c r="O319" s="5" t="s">
        <v>39</v>
      </c>
      <c r="P319" t="s">
        <v>462</v>
      </c>
      <c r="Q319" t="s">
        <v>863</v>
      </c>
      <c r="R319" t="s">
        <v>37</v>
      </c>
      <c r="S319" t="s">
        <v>864</v>
      </c>
      <c r="T319" t="s">
        <v>43</v>
      </c>
      <c r="U319" t="s">
        <v>44</v>
      </c>
      <c r="V319">
        <v>147</v>
      </c>
      <c r="W319" t="s">
        <v>45</v>
      </c>
      <c r="X319" t="s">
        <v>60</v>
      </c>
      <c r="Y319" t="s">
        <v>865</v>
      </c>
      <c r="Z319" t="s">
        <v>37</v>
      </c>
      <c r="AA319" t="s">
        <v>48</v>
      </c>
      <c r="AB319" t="s">
        <v>37</v>
      </c>
      <c r="AC319" s="6" t="s">
        <v>37</v>
      </c>
      <c r="AD319" s="6" t="s">
        <v>37</v>
      </c>
      <c r="AE319" t="s">
        <v>37</v>
      </c>
      <c r="AF319" t="s">
        <v>37</v>
      </c>
      <c r="AG319" s="6" t="s">
        <v>37</v>
      </c>
      <c r="AH319" t="s">
        <v>37</v>
      </c>
      <c r="AI319" t="s">
        <v>37</v>
      </c>
      <c r="AJ319" t="str">
        <f t="shared" si="14"/>
        <v>17D6YHERB01C4HCSOC</v>
      </c>
    </row>
    <row r="320" spans="1:36" ht="15" customHeight="1" x14ac:dyDescent="0.25">
      <c r="A320" t="s">
        <v>101</v>
      </c>
      <c r="B320" t="s">
        <v>37</v>
      </c>
      <c r="C320" t="s">
        <v>37</v>
      </c>
      <c r="D320" t="s">
        <v>38</v>
      </c>
      <c r="E320" s="4">
        <v>24</v>
      </c>
      <c r="F320" s="5">
        <v>492</v>
      </c>
      <c r="G320" s="5" t="s">
        <v>39</v>
      </c>
      <c r="H320" s="5">
        <v>492</v>
      </c>
      <c r="I320" s="5" t="s">
        <v>39</v>
      </c>
      <c r="J320" s="5">
        <v>16.728000000000002</v>
      </c>
      <c r="K320" s="5">
        <f t="shared" si="12"/>
        <v>0.69700000000000006</v>
      </c>
      <c r="L320" s="5">
        <f t="shared" si="13"/>
        <v>20.5</v>
      </c>
      <c r="M320" s="5" t="s">
        <v>39</v>
      </c>
      <c r="N320" s="5">
        <v>16.728000000000002</v>
      </c>
      <c r="O320" s="5" t="s">
        <v>39</v>
      </c>
      <c r="P320" t="s">
        <v>274</v>
      </c>
      <c r="Q320" t="s">
        <v>866</v>
      </c>
      <c r="R320" t="s">
        <v>37</v>
      </c>
      <c r="S320" t="s">
        <v>867</v>
      </c>
      <c r="T320" t="s">
        <v>43</v>
      </c>
      <c r="U320" t="s">
        <v>44</v>
      </c>
      <c r="V320">
        <v>147</v>
      </c>
      <c r="W320" t="s">
        <v>45</v>
      </c>
      <c r="X320" t="s">
        <v>389</v>
      </c>
      <c r="Y320" t="s">
        <v>868</v>
      </c>
      <c r="Z320" t="s">
        <v>37</v>
      </c>
      <c r="AA320" t="s">
        <v>55</v>
      </c>
      <c r="AB320" t="s">
        <v>37</v>
      </c>
      <c r="AC320" s="6" t="s">
        <v>37</v>
      </c>
      <c r="AD320" s="6" t="s">
        <v>37</v>
      </c>
      <c r="AE320" t="s">
        <v>37</v>
      </c>
      <c r="AF320" t="s">
        <v>37</v>
      </c>
      <c r="AG320" s="6" t="s">
        <v>37</v>
      </c>
      <c r="AH320" t="s">
        <v>37</v>
      </c>
      <c r="AI320" t="s">
        <v>37</v>
      </c>
      <c r="AJ320" t="str">
        <f t="shared" si="14"/>
        <v>4LYATDUXB00EUUXBEI</v>
      </c>
    </row>
    <row r="321" spans="1:36" ht="15" customHeight="1" x14ac:dyDescent="0.25">
      <c r="A321" t="s">
        <v>62</v>
      </c>
      <c r="B321" t="s">
        <v>37</v>
      </c>
      <c r="C321" t="s">
        <v>37</v>
      </c>
      <c r="D321" t="s">
        <v>38</v>
      </c>
      <c r="E321" s="4">
        <v>40</v>
      </c>
      <c r="F321" s="5">
        <v>2783.2</v>
      </c>
      <c r="G321" s="5" t="s">
        <v>39</v>
      </c>
      <c r="H321" s="5">
        <v>4098</v>
      </c>
      <c r="I321" s="5" t="s">
        <v>39</v>
      </c>
      <c r="J321" s="5">
        <v>94.628799999999998</v>
      </c>
      <c r="K321" s="5">
        <f t="shared" si="12"/>
        <v>2.36572</v>
      </c>
      <c r="L321" s="5">
        <f t="shared" si="13"/>
        <v>69.58</v>
      </c>
      <c r="M321" s="5" t="s">
        <v>39</v>
      </c>
      <c r="N321" s="5">
        <v>94.628799999999998</v>
      </c>
      <c r="O321" s="5" t="s">
        <v>39</v>
      </c>
      <c r="P321" t="s">
        <v>63</v>
      </c>
      <c r="Q321" t="s">
        <v>869</v>
      </c>
      <c r="R321" t="s">
        <v>37</v>
      </c>
      <c r="S321" t="s">
        <v>870</v>
      </c>
      <c r="T321" t="s">
        <v>43</v>
      </c>
      <c r="U321" t="s">
        <v>44</v>
      </c>
      <c r="V321">
        <v>147</v>
      </c>
      <c r="W321" t="s">
        <v>45</v>
      </c>
      <c r="X321" t="s">
        <v>60</v>
      </c>
      <c r="Y321" t="s">
        <v>871</v>
      </c>
      <c r="Z321" t="s">
        <v>37</v>
      </c>
      <c r="AA321" t="s">
        <v>55</v>
      </c>
      <c r="AB321" t="s">
        <v>37</v>
      </c>
      <c r="AC321" s="6" t="s">
        <v>37</v>
      </c>
      <c r="AD321" s="6" t="s">
        <v>37</v>
      </c>
      <c r="AE321" t="s">
        <v>37</v>
      </c>
      <c r="AF321" t="s">
        <v>37</v>
      </c>
      <c r="AG321" s="6" t="s">
        <v>37</v>
      </c>
      <c r="AH321" t="s">
        <v>37</v>
      </c>
      <c r="AI321" t="s">
        <v>37</v>
      </c>
      <c r="AJ321" t="str">
        <f t="shared" si="14"/>
        <v>7H9X1Z6SB07W5JKWTH</v>
      </c>
    </row>
    <row r="322" spans="1:36" ht="15" customHeight="1" x14ac:dyDescent="0.25">
      <c r="A322" t="s">
        <v>36</v>
      </c>
      <c r="B322" t="s">
        <v>37</v>
      </c>
      <c r="C322" t="s">
        <v>37</v>
      </c>
      <c r="D322" t="s">
        <v>38</v>
      </c>
      <c r="E322" s="4">
        <v>8</v>
      </c>
      <c r="F322" s="5">
        <v>935.12</v>
      </c>
      <c r="G322" s="5" t="s">
        <v>39</v>
      </c>
      <c r="H322" s="5">
        <v>1173.76</v>
      </c>
      <c r="I322" s="5" t="s">
        <v>39</v>
      </c>
      <c r="J322" s="5">
        <v>31.794080000000001</v>
      </c>
      <c r="K322" s="5">
        <f t="shared" si="12"/>
        <v>3.9742600000000001</v>
      </c>
      <c r="L322" s="5">
        <f t="shared" si="13"/>
        <v>116.89</v>
      </c>
      <c r="M322" s="5" t="s">
        <v>39</v>
      </c>
      <c r="N322" s="5">
        <v>31.794080000000001</v>
      </c>
      <c r="O322" s="5" t="s">
        <v>39</v>
      </c>
      <c r="P322" t="s">
        <v>365</v>
      </c>
      <c r="Q322" t="s">
        <v>203</v>
      </c>
      <c r="R322" t="s">
        <v>37</v>
      </c>
      <c r="S322" t="s">
        <v>204</v>
      </c>
      <c r="T322" t="s">
        <v>43</v>
      </c>
      <c r="U322" t="s">
        <v>44</v>
      </c>
      <c r="V322">
        <v>147</v>
      </c>
      <c r="W322" t="s">
        <v>45</v>
      </c>
      <c r="X322" t="s">
        <v>46</v>
      </c>
      <c r="Y322" t="s">
        <v>205</v>
      </c>
      <c r="Z322" t="s">
        <v>37</v>
      </c>
      <c r="AA322" t="s">
        <v>55</v>
      </c>
      <c r="AB322" t="s">
        <v>37</v>
      </c>
      <c r="AC322" s="6" t="s">
        <v>37</v>
      </c>
      <c r="AD322" s="6" t="s">
        <v>37</v>
      </c>
      <c r="AE322" t="s">
        <v>37</v>
      </c>
      <c r="AF322" t="s">
        <v>37</v>
      </c>
      <c r="AG322" s="6" t="s">
        <v>37</v>
      </c>
      <c r="AH322" t="s">
        <v>37</v>
      </c>
      <c r="AI322" t="s">
        <v>37</v>
      </c>
      <c r="AJ322" t="str">
        <f t="shared" si="14"/>
        <v>3KYCEHVHB07PMKHMFS</v>
      </c>
    </row>
    <row r="323" spans="1:36" ht="15" customHeight="1" x14ac:dyDescent="0.25">
      <c r="A323" t="s">
        <v>101</v>
      </c>
      <c r="B323" t="s">
        <v>37</v>
      </c>
      <c r="C323" t="s">
        <v>37</v>
      </c>
      <c r="D323" t="s">
        <v>38</v>
      </c>
      <c r="E323" s="4">
        <v>20</v>
      </c>
      <c r="F323" s="5">
        <v>585.6</v>
      </c>
      <c r="G323" s="5" t="s">
        <v>39</v>
      </c>
      <c r="H323" s="5">
        <v>585.6</v>
      </c>
      <c r="I323" s="5" t="s">
        <v>39</v>
      </c>
      <c r="J323" s="5">
        <v>19.910399999999999</v>
      </c>
      <c r="K323" s="5">
        <f t="shared" ref="K323:K386" si="15">J323/E323</f>
        <v>0.99551999999999996</v>
      </c>
      <c r="L323" s="5">
        <f t="shared" ref="L323:L386" si="16">F323/E323</f>
        <v>29.28</v>
      </c>
      <c r="M323" s="5" t="s">
        <v>39</v>
      </c>
      <c r="N323" s="5">
        <v>19.910399999999999</v>
      </c>
      <c r="O323" s="5" t="s">
        <v>39</v>
      </c>
      <c r="P323" t="s">
        <v>274</v>
      </c>
      <c r="Q323" t="s">
        <v>469</v>
      </c>
      <c r="R323" t="s">
        <v>37</v>
      </c>
      <c r="S323" t="s">
        <v>470</v>
      </c>
      <c r="T323" t="s">
        <v>43</v>
      </c>
      <c r="U323" t="s">
        <v>44</v>
      </c>
      <c r="V323">
        <v>147</v>
      </c>
      <c r="W323" t="s">
        <v>45</v>
      </c>
      <c r="X323" t="s">
        <v>389</v>
      </c>
      <c r="Y323" t="s">
        <v>471</v>
      </c>
      <c r="Z323" t="s">
        <v>37</v>
      </c>
      <c r="AA323" t="s">
        <v>95</v>
      </c>
      <c r="AB323" t="s">
        <v>37</v>
      </c>
      <c r="AC323" s="6" t="s">
        <v>37</v>
      </c>
      <c r="AD323" s="6" t="s">
        <v>37</v>
      </c>
      <c r="AE323" t="s">
        <v>37</v>
      </c>
      <c r="AF323" t="s">
        <v>37</v>
      </c>
      <c r="AG323" s="6" t="s">
        <v>37</v>
      </c>
      <c r="AH323" t="s">
        <v>37</v>
      </c>
      <c r="AI323" t="s">
        <v>37</v>
      </c>
      <c r="AJ323" t="str">
        <f t="shared" ref="AJ323:AJ386" si="17">P323&amp;Q323</f>
        <v>4LYATDUXB00EUUXBDE</v>
      </c>
    </row>
    <row r="324" spans="1:36" ht="15" customHeight="1" x14ac:dyDescent="0.25">
      <c r="A324" t="s">
        <v>231</v>
      </c>
      <c r="B324" t="s">
        <v>37</v>
      </c>
      <c r="C324" t="s">
        <v>37</v>
      </c>
      <c r="D324" t="s">
        <v>38</v>
      </c>
      <c r="E324" s="4">
        <v>0</v>
      </c>
      <c r="F324" s="5">
        <v>0</v>
      </c>
      <c r="G324" s="5" t="s">
        <v>39</v>
      </c>
      <c r="H324" s="5">
        <v>0</v>
      </c>
      <c r="I324" s="5" t="s">
        <v>39</v>
      </c>
      <c r="J324" s="5">
        <v>0</v>
      </c>
      <c r="K324" s="5" t="e">
        <f t="shared" si="15"/>
        <v>#DIV/0!</v>
      </c>
      <c r="L324" s="5" t="e">
        <f t="shared" si="16"/>
        <v>#DIV/0!</v>
      </c>
      <c r="M324" s="5" t="s">
        <v>39</v>
      </c>
      <c r="N324" s="5">
        <v>0</v>
      </c>
      <c r="O324" s="5" t="s">
        <v>39</v>
      </c>
      <c r="P324" t="s">
        <v>872</v>
      </c>
      <c r="Q324" t="s">
        <v>873</v>
      </c>
      <c r="R324" t="s">
        <v>37</v>
      </c>
      <c r="S324" t="s">
        <v>874</v>
      </c>
      <c r="T324" t="s">
        <v>43</v>
      </c>
      <c r="U324" t="s">
        <v>44</v>
      </c>
      <c r="V324">
        <v>147</v>
      </c>
      <c r="W324" t="s">
        <v>45</v>
      </c>
      <c r="X324" t="s">
        <v>46</v>
      </c>
      <c r="Y324" t="s">
        <v>875</v>
      </c>
      <c r="Z324" t="s">
        <v>37</v>
      </c>
      <c r="AA324" t="s">
        <v>48</v>
      </c>
      <c r="AB324" t="s">
        <v>37</v>
      </c>
      <c r="AC324" s="6" t="s">
        <v>37</v>
      </c>
      <c r="AD324" s="6" t="s">
        <v>37</v>
      </c>
      <c r="AE324" t="s">
        <v>37</v>
      </c>
      <c r="AF324" t="s">
        <v>37</v>
      </c>
      <c r="AG324" s="6" t="s">
        <v>37</v>
      </c>
      <c r="AH324" t="s">
        <v>37</v>
      </c>
      <c r="AI324" t="s">
        <v>37</v>
      </c>
      <c r="AJ324" t="str">
        <f t="shared" si="17"/>
        <v>6V4P22HVB0728J7D3B</v>
      </c>
    </row>
    <row r="325" spans="1:36" ht="15" customHeight="1" x14ac:dyDescent="0.25">
      <c r="A325" t="s">
        <v>411</v>
      </c>
      <c r="B325" t="s">
        <v>37</v>
      </c>
      <c r="C325" t="s">
        <v>37</v>
      </c>
      <c r="D325" t="s">
        <v>38</v>
      </c>
      <c r="E325" s="4">
        <v>10</v>
      </c>
      <c r="F325" s="5">
        <v>163.9</v>
      </c>
      <c r="G325" s="5" t="s">
        <v>39</v>
      </c>
      <c r="H325" s="5">
        <v>245.8</v>
      </c>
      <c r="I325" s="5" t="s">
        <v>39</v>
      </c>
      <c r="J325" s="5">
        <v>5.5726000000000004</v>
      </c>
      <c r="K325" s="5">
        <f t="shared" si="15"/>
        <v>0.55726000000000009</v>
      </c>
      <c r="L325" s="5">
        <f t="shared" si="16"/>
        <v>16.39</v>
      </c>
      <c r="M325" s="5" t="s">
        <v>39</v>
      </c>
      <c r="N325" s="5">
        <v>5.5726000000000004</v>
      </c>
      <c r="O325" s="5" t="s">
        <v>39</v>
      </c>
      <c r="P325" t="s">
        <v>522</v>
      </c>
      <c r="Q325" t="s">
        <v>173</v>
      </c>
      <c r="R325" t="s">
        <v>37</v>
      </c>
      <c r="S325" t="s">
        <v>174</v>
      </c>
      <c r="T325" t="s">
        <v>43</v>
      </c>
      <c r="U325" t="s">
        <v>44</v>
      </c>
      <c r="V325">
        <v>147</v>
      </c>
      <c r="W325" t="s">
        <v>45</v>
      </c>
      <c r="X325" t="s">
        <v>60</v>
      </c>
      <c r="Y325" t="s">
        <v>175</v>
      </c>
      <c r="Z325" t="s">
        <v>37</v>
      </c>
      <c r="AA325" t="s">
        <v>55</v>
      </c>
      <c r="AB325" t="s">
        <v>37</v>
      </c>
      <c r="AC325" s="6" t="s">
        <v>37</v>
      </c>
      <c r="AD325" s="6" t="s">
        <v>37</v>
      </c>
      <c r="AE325" t="s">
        <v>37</v>
      </c>
      <c r="AF325" t="s">
        <v>37</v>
      </c>
      <c r="AG325" s="6" t="s">
        <v>37</v>
      </c>
      <c r="AH325" t="s">
        <v>37</v>
      </c>
      <c r="AI325" t="s">
        <v>37</v>
      </c>
      <c r="AJ325" t="str">
        <f t="shared" si="17"/>
        <v>24EUBTHXB077BT728N</v>
      </c>
    </row>
    <row r="326" spans="1:36" ht="15" customHeight="1" x14ac:dyDescent="0.25">
      <c r="A326" t="s">
        <v>36</v>
      </c>
      <c r="B326" t="s">
        <v>37</v>
      </c>
      <c r="C326" t="s">
        <v>37</v>
      </c>
      <c r="D326" t="s">
        <v>38</v>
      </c>
      <c r="E326" s="4">
        <v>48</v>
      </c>
      <c r="F326" s="5">
        <v>4026.72</v>
      </c>
      <c r="G326" s="5" t="s">
        <v>39</v>
      </c>
      <c r="H326" s="5">
        <v>6491.52</v>
      </c>
      <c r="I326" s="5" t="s">
        <v>39</v>
      </c>
      <c r="J326" s="5">
        <v>136.90848</v>
      </c>
      <c r="K326" s="5">
        <f t="shared" si="15"/>
        <v>2.8522599999999998</v>
      </c>
      <c r="L326" s="5">
        <f t="shared" si="16"/>
        <v>83.89</v>
      </c>
      <c r="M326" s="5" t="s">
        <v>39</v>
      </c>
      <c r="N326" s="5">
        <v>136.90848</v>
      </c>
      <c r="O326" s="5" t="s">
        <v>39</v>
      </c>
      <c r="P326" t="s">
        <v>876</v>
      </c>
      <c r="Q326" t="s">
        <v>756</v>
      </c>
      <c r="R326" t="s">
        <v>37</v>
      </c>
      <c r="S326" t="s">
        <v>757</v>
      </c>
      <c r="T326" t="s">
        <v>43</v>
      </c>
      <c r="U326" t="s">
        <v>44</v>
      </c>
      <c r="V326">
        <v>147</v>
      </c>
      <c r="W326" t="s">
        <v>45</v>
      </c>
      <c r="X326" t="s">
        <v>53</v>
      </c>
      <c r="Y326" t="s">
        <v>503</v>
      </c>
      <c r="Z326" t="s">
        <v>37</v>
      </c>
      <c r="AA326" t="s">
        <v>55</v>
      </c>
      <c r="AB326" t="s">
        <v>37</v>
      </c>
      <c r="AC326" s="6" t="s">
        <v>37</v>
      </c>
      <c r="AD326" s="6" t="s">
        <v>37</v>
      </c>
      <c r="AE326" t="s">
        <v>37</v>
      </c>
      <c r="AF326" t="s">
        <v>37</v>
      </c>
      <c r="AG326" s="6" t="s">
        <v>37</v>
      </c>
      <c r="AH326" t="s">
        <v>37</v>
      </c>
      <c r="AI326" t="s">
        <v>37</v>
      </c>
      <c r="AJ326" t="str">
        <f t="shared" si="17"/>
        <v>17UTD61ZB07W7MKLNT</v>
      </c>
    </row>
    <row r="327" spans="1:36" ht="15" customHeight="1" x14ac:dyDescent="0.25">
      <c r="A327" t="s">
        <v>118</v>
      </c>
      <c r="B327" t="s">
        <v>37</v>
      </c>
      <c r="C327" t="s">
        <v>37</v>
      </c>
      <c r="D327" t="s">
        <v>38</v>
      </c>
      <c r="E327" s="4">
        <v>4</v>
      </c>
      <c r="F327" s="5">
        <v>179.36</v>
      </c>
      <c r="G327" s="5" t="s">
        <v>39</v>
      </c>
      <c r="H327" s="5">
        <v>288.48</v>
      </c>
      <c r="I327" s="5" t="s">
        <v>39</v>
      </c>
      <c r="J327" s="5">
        <v>6.0982399999999997</v>
      </c>
      <c r="K327" s="5">
        <f t="shared" si="15"/>
        <v>1.5245599999999999</v>
      </c>
      <c r="L327" s="5">
        <f t="shared" si="16"/>
        <v>44.84</v>
      </c>
      <c r="M327" s="5" t="s">
        <v>39</v>
      </c>
      <c r="N327" s="5">
        <v>6.0982399999999997</v>
      </c>
      <c r="O327" s="5" t="s">
        <v>39</v>
      </c>
      <c r="P327" t="s">
        <v>877</v>
      </c>
      <c r="Q327" t="s">
        <v>878</v>
      </c>
      <c r="R327" t="s">
        <v>37</v>
      </c>
      <c r="S327" t="s">
        <v>879</v>
      </c>
      <c r="T327" t="s">
        <v>43</v>
      </c>
      <c r="U327" t="s">
        <v>44</v>
      </c>
      <c r="V327">
        <v>147</v>
      </c>
      <c r="W327" t="s">
        <v>45</v>
      </c>
      <c r="X327" t="s">
        <v>60</v>
      </c>
      <c r="Y327" t="s">
        <v>880</v>
      </c>
      <c r="Z327" t="s">
        <v>37</v>
      </c>
      <c r="AA327" t="s">
        <v>48</v>
      </c>
      <c r="AB327" t="s">
        <v>37</v>
      </c>
      <c r="AC327" s="6" t="s">
        <v>37</v>
      </c>
      <c r="AD327" s="6" t="s">
        <v>37</v>
      </c>
      <c r="AE327" t="s">
        <v>37</v>
      </c>
      <c r="AF327" t="s">
        <v>37</v>
      </c>
      <c r="AG327" s="6" t="s">
        <v>37</v>
      </c>
      <c r="AH327" t="s">
        <v>37</v>
      </c>
      <c r="AI327" t="s">
        <v>37</v>
      </c>
      <c r="AJ327" t="str">
        <f t="shared" si="17"/>
        <v>4YV2PIQLB01L6L46LK</v>
      </c>
    </row>
    <row r="328" spans="1:36" ht="15" customHeight="1" x14ac:dyDescent="0.25">
      <c r="A328" t="s">
        <v>101</v>
      </c>
      <c r="B328" t="s">
        <v>37</v>
      </c>
      <c r="C328" t="s">
        <v>37</v>
      </c>
      <c r="D328" t="s">
        <v>38</v>
      </c>
      <c r="E328" s="4">
        <v>8</v>
      </c>
      <c r="F328" s="5">
        <v>257.68</v>
      </c>
      <c r="G328" s="5" t="s">
        <v>39</v>
      </c>
      <c r="H328" s="5">
        <v>386.8</v>
      </c>
      <c r="I328" s="5" t="s">
        <v>39</v>
      </c>
      <c r="J328" s="5">
        <v>8.76112</v>
      </c>
      <c r="K328" s="5">
        <f t="shared" si="15"/>
        <v>1.09514</v>
      </c>
      <c r="L328" s="5">
        <f t="shared" si="16"/>
        <v>32.21</v>
      </c>
      <c r="M328" s="5" t="s">
        <v>39</v>
      </c>
      <c r="N328" s="5">
        <v>8.76112</v>
      </c>
      <c r="O328" s="5" t="s">
        <v>39</v>
      </c>
      <c r="P328" t="s">
        <v>72</v>
      </c>
      <c r="Q328" t="s">
        <v>881</v>
      </c>
      <c r="R328" t="s">
        <v>37</v>
      </c>
      <c r="S328" t="s">
        <v>882</v>
      </c>
      <c r="T328" t="s">
        <v>43</v>
      </c>
      <c r="U328" t="s">
        <v>44</v>
      </c>
      <c r="V328">
        <v>147</v>
      </c>
      <c r="W328" t="s">
        <v>45</v>
      </c>
      <c r="X328" t="s">
        <v>53</v>
      </c>
      <c r="Y328" t="s">
        <v>883</v>
      </c>
      <c r="Z328" t="s">
        <v>37</v>
      </c>
      <c r="AA328" t="s">
        <v>55</v>
      </c>
      <c r="AB328" t="s">
        <v>37</v>
      </c>
      <c r="AC328" s="6" t="s">
        <v>37</v>
      </c>
      <c r="AD328" s="6" t="s">
        <v>37</v>
      </c>
      <c r="AE328" t="s">
        <v>37</v>
      </c>
      <c r="AF328" t="s">
        <v>37</v>
      </c>
      <c r="AG328" s="6" t="s">
        <v>37</v>
      </c>
      <c r="AH328" t="s">
        <v>37</v>
      </c>
      <c r="AI328" t="s">
        <v>37</v>
      </c>
      <c r="AJ328" t="str">
        <f t="shared" si="17"/>
        <v>4GF112AEB013SL2712</v>
      </c>
    </row>
    <row r="329" spans="1:36" ht="15" customHeight="1" x14ac:dyDescent="0.25">
      <c r="A329" t="s">
        <v>101</v>
      </c>
      <c r="B329" t="s">
        <v>37</v>
      </c>
      <c r="C329" t="s">
        <v>37</v>
      </c>
      <c r="D329" t="s">
        <v>38</v>
      </c>
      <c r="E329" s="4">
        <v>10</v>
      </c>
      <c r="F329" s="5">
        <v>292.8</v>
      </c>
      <c r="G329" s="5" t="s">
        <v>39</v>
      </c>
      <c r="H329" s="5">
        <v>442.5</v>
      </c>
      <c r="I329" s="5" t="s">
        <v>39</v>
      </c>
      <c r="J329" s="5">
        <v>9.9551999999999996</v>
      </c>
      <c r="K329" s="5">
        <f t="shared" si="15"/>
        <v>0.99551999999999996</v>
      </c>
      <c r="L329" s="5">
        <f t="shared" si="16"/>
        <v>29.28</v>
      </c>
      <c r="M329" s="5" t="s">
        <v>39</v>
      </c>
      <c r="N329" s="5">
        <v>9.9551999999999996</v>
      </c>
      <c r="O329" s="5" t="s">
        <v>39</v>
      </c>
      <c r="P329" t="s">
        <v>274</v>
      </c>
      <c r="Q329" t="s">
        <v>884</v>
      </c>
      <c r="R329" t="s">
        <v>37</v>
      </c>
      <c r="S329" t="s">
        <v>885</v>
      </c>
      <c r="T329" t="s">
        <v>43</v>
      </c>
      <c r="U329" t="s">
        <v>44</v>
      </c>
      <c r="V329">
        <v>147</v>
      </c>
      <c r="W329" t="s">
        <v>45</v>
      </c>
      <c r="X329" t="s">
        <v>53</v>
      </c>
      <c r="Y329" t="s">
        <v>886</v>
      </c>
      <c r="Z329" t="s">
        <v>37</v>
      </c>
      <c r="AA329" t="s">
        <v>55</v>
      </c>
      <c r="AB329" t="s">
        <v>37</v>
      </c>
      <c r="AC329" s="6" t="s">
        <v>37</v>
      </c>
      <c r="AD329" s="6" t="s">
        <v>37</v>
      </c>
      <c r="AE329" t="s">
        <v>37</v>
      </c>
      <c r="AF329" t="s">
        <v>37</v>
      </c>
      <c r="AG329" s="6" t="s">
        <v>37</v>
      </c>
      <c r="AH329" t="s">
        <v>37</v>
      </c>
      <c r="AI329" t="s">
        <v>37</v>
      </c>
      <c r="AJ329" t="str">
        <f t="shared" si="17"/>
        <v>4LYATDUXB07W6JHB2P</v>
      </c>
    </row>
    <row r="330" spans="1:36" ht="15" customHeight="1" x14ac:dyDescent="0.25">
      <c r="A330" t="s">
        <v>56</v>
      </c>
      <c r="B330" t="s">
        <v>37</v>
      </c>
      <c r="C330" t="s">
        <v>37</v>
      </c>
      <c r="D330" t="s">
        <v>38</v>
      </c>
      <c r="E330" s="4">
        <v>0</v>
      </c>
      <c r="F330" s="5">
        <v>0</v>
      </c>
      <c r="G330" s="5" t="s">
        <v>39</v>
      </c>
      <c r="H330" s="5">
        <v>0</v>
      </c>
      <c r="I330" s="5" t="s">
        <v>39</v>
      </c>
      <c r="J330" s="5">
        <v>0</v>
      </c>
      <c r="K330" s="5" t="e">
        <f t="shared" si="15"/>
        <v>#DIV/0!</v>
      </c>
      <c r="L330" s="5" t="e">
        <f t="shared" si="16"/>
        <v>#DIV/0!</v>
      </c>
      <c r="M330" s="5" t="s">
        <v>39</v>
      </c>
      <c r="N330" s="5">
        <v>0</v>
      </c>
      <c r="O330" s="5" t="s">
        <v>39</v>
      </c>
      <c r="P330" t="s">
        <v>246</v>
      </c>
      <c r="Q330" t="s">
        <v>857</v>
      </c>
      <c r="R330" t="s">
        <v>37</v>
      </c>
      <c r="S330" t="s">
        <v>858</v>
      </c>
      <c r="T330" t="s">
        <v>43</v>
      </c>
      <c r="U330" t="s">
        <v>44</v>
      </c>
      <c r="V330">
        <v>147</v>
      </c>
      <c r="W330" t="s">
        <v>45</v>
      </c>
      <c r="X330" t="s">
        <v>60</v>
      </c>
      <c r="Y330" t="s">
        <v>859</v>
      </c>
      <c r="Z330" t="s">
        <v>37</v>
      </c>
      <c r="AA330" t="s">
        <v>55</v>
      </c>
      <c r="AB330" t="s">
        <v>37</v>
      </c>
      <c r="AC330" s="6" t="s">
        <v>37</v>
      </c>
      <c r="AD330" s="6" t="s">
        <v>37</v>
      </c>
      <c r="AE330" t="s">
        <v>37</v>
      </c>
      <c r="AF330" t="s">
        <v>37</v>
      </c>
      <c r="AG330" s="6" t="s">
        <v>37</v>
      </c>
      <c r="AH330" t="s">
        <v>37</v>
      </c>
      <c r="AI330" t="s">
        <v>37</v>
      </c>
      <c r="AJ330" t="str">
        <f t="shared" si="17"/>
        <v>1PSIXGLTB00D2PX8C2</v>
      </c>
    </row>
    <row r="331" spans="1:36" ht="15" customHeight="1" x14ac:dyDescent="0.25">
      <c r="A331" t="s">
        <v>101</v>
      </c>
      <c r="B331" t="s">
        <v>37</v>
      </c>
      <c r="C331" t="s">
        <v>37</v>
      </c>
      <c r="D331" t="s">
        <v>38</v>
      </c>
      <c r="E331" s="4">
        <v>8</v>
      </c>
      <c r="F331" s="5">
        <v>552.24</v>
      </c>
      <c r="G331" s="5" t="s">
        <v>39</v>
      </c>
      <c r="H331" s="5">
        <v>845.92</v>
      </c>
      <c r="I331" s="5" t="s">
        <v>39</v>
      </c>
      <c r="J331" s="5">
        <v>18.776160000000001</v>
      </c>
      <c r="K331" s="5">
        <f t="shared" si="15"/>
        <v>2.3470200000000001</v>
      </c>
      <c r="L331" s="5">
        <f t="shared" si="16"/>
        <v>69.03</v>
      </c>
      <c r="M331" s="5" t="s">
        <v>39</v>
      </c>
      <c r="N331" s="5">
        <v>18.776160000000001</v>
      </c>
      <c r="O331" s="5" t="s">
        <v>39</v>
      </c>
      <c r="P331" t="s">
        <v>274</v>
      </c>
      <c r="Q331" t="s">
        <v>887</v>
      </c>
      <c r="R331" t="s">
        <v>37</v>
      </c>
      <c r="S331" t="s">
        <v>888</v>
      </c>
      <c r="T331" t="s">
        <v>43</v>
      </c>
      <c r="U331" t="s">
        <v>44</v>
      </c>
      <c r="V331">
        <v>147</v>
      </c>
      <c r="W331" t="s">
        <v>45</v>
      </c>
      <c r="X331" t="s">
        <v>46</v>
      </c>
      <c r="Y331" t="s">
        <v>889</v>
      </c>
      <c r="Z331" t="s">
        <v>37</v>
      </c>
      <c r="AA331" t="s">
        <v>55</v>
      </c>
      <c r="AB331" t="s">
        <v>37</v>
      </c>
      <c r="AC331" s="6" t="s">
        <v>37</v>
      </c>
      <c r="AD331" s="6" t="s">
        <v>37</v>
      </c>
      <c r="AE331" t="s">
        <v>37</v>
      </c>
      <c r="AF331" t="s">
        <v>37</v>
      </c>
      <c r="AG331" s="6" t="s">
        <v>37</v>
      </c>
      <c r="AH331" t="s">
        <v>37</v>
      </c>
      <c r="AI331" t="s">
        <v>37</v>
      </c>
      <c r="AJ331" t="str">
        <f t="shared" si="17"/>
        <v>4LYATDUXB07W7JHZKR</v>
      </c>
    </row>
    <row r="332" spans="1:36" ht="15" customHeight="1" x14ac:dyDescent="0.25">
      <c r="A332" t="s">
        <v>36</v>
      </c>
      <c r="B332" t="s">
        <v>37</v>
      </c>
      <c r="C332" t="s">
        <v>37</v>
      </c>
      <c r="D332" t="s">
        <v>38</v>
      </c>
      <c r="E332" s="4">
        <v>8</v>
      </c>
      <c r="F332" s="5">
        <v>824.48</v>
      </c>
      <c r="G332" s="5" t="s">
        <v>39</v>
      </c>
      <c r="H332" s="5">
        <v>1082</v>
      </c>
      <c r="I332" s="5" t="s">
        <v>39</v>
      </c>
      <c r="J332" s="5">
        <v>28.032319999999999</v>
      </c>
      <c r="K332" s="5">
        <f t="shared" si="15"/>
        <v>3.5040399999999998</v>
      </c>
      <c r="L332" s="5">
        <f t="shared" si="16"/>
        <v>103.06</v>
      </c>
      <c r="M332" s="5" t="s">
        <v>39</v>
      </c>
      <c r="N332" s="5">
        <v>28.032319999999999</v>
      </c>
      <c r="O332" s="5" t="s">
        <v>39</v>
      </c>
      <c r="P332" t="s">
        <v>119</v>
      </c>
      <c r="Q332" t="s">
        <v>890</v>
      </c>
      <c r="R332" t="s">
        <v>37</v>
      </c>
      <c r="S332" t="s">
        <v>891</v>
      </c>
      <c r="T332" t="s">
        <v>43</v>
      </c>
      <c r="U332" t="s">
        <v>44</v>
      </c>
      <c r="V332">
        <v>147</v>
      </c>
      <c r="W332" t="s">
        <v>45</v>
      </c>
      <c r="X332" t="s">
        <v>46</v>
      </c>
      <c r="Y332" t="s">
        <v>892</v>
      </c>
      <c r="Z332" t="s">
        <v>37</v>
      </c>
      <c r="AA332" t="s">
        <v>55</v>
      </c>
      <c r="AB332" t="s">
        <v>37</v>
      </c>
      <c r="AC332" s="6" t="s">
        <v>37</v>
      </c>
      <c r="AD332" s="6" t="s">
        <v>37</v>
      </c>
      <c r="AE332" t="s">
        <v>37</v>
      </c>
      <c r="AF332" t="s">
        <v>37</v>
      </c>
      <c r="AG332" s="6" t="s">
        <v>37</v>
      </c>
      <c r="AH332" t="s">
        <v>37</v>
      </c>
      <c r="AI332" t="s">
        <v>37</v>
      </c>
      <c r="AJ332" t="str">
        <f t="shared" si="17"/>
        <v>31DJDC7QB07PNJ533Y</v>
      </c>
    </row>
    <row r="333" spans="1:36" ht="15" customHeight="1" x14ac:dyDescent="0.25">
      <c r="A333" t="s">
        <v>36</v>
      </c>
      <c r="B333" t="s">
        <v>37</v>
      </c>
      <c r="C333" t="s">
        <v>37</v>
      </c>
      <c r="D333" t="s">
        <v>38</v>
      </c>
      <c r="E333" s="4">
        <v>788</v>
      </c>
      <c r="F333" s="5">
        <v>34608.959999999999</v>
      </c>
      <c r="G333" s="5" t="s">
        <v>39</v>
      </c>
      <c r="H333" s="5">
        <v>51669.16</v>
      </c>
      <c r="I333" s="5" t="s">
        <v>39</v>
      </c>
      <c r="J333" s="5">
        <v>1176.7046399999999</v>
      </c>
      <c r="K333" s="5">
        <f t="shared" si="15"/>
        <v>1.4932799999999999</v>
      </c>
      <c r="L333" s="5">
        <f t="shared" si="16"/>
        <v>43.92</v>
      </c>
      <c r="M333" s="5" t="s">
        <v>39</v>
      </c>
      <c r="N333" s="5">
        <v>1176.7046399999999</v>
      </c>
      <c r="O333" s="5" t="s">
        <v>39</v>
      </c>
      <c r="P333" t="s">
        <v>40</v>
      </c>
      <c r="Q333" t="s">
        <v>893</v>
      </c>
      <c r="R333" t="s">
        <v>37</v>
      </c>
      <c r="S333" t="s">
        <v>894</v>
      </c>
      <c r="T333" t="s">
        <v>43</v>
      </c>
      <c r="U333" t="s">
        <v>44</v>
      </c>
      <c r="V333">
        <v>147</v>
      </c>
      <c r="W333" t="s">
        <v>45</v>
      </c>
      <c r="X333" t="s">
        <v>53</v>
      </c>
      <c r="Y333" t="s">
        <v>895</v>
      </c>
      <c r="Z333" t="s">
        <v>37</v>
      </c>
      <c r="AA333" t="s">
        <v>48</v>
      </c>
      <c r="AB333" t="s">
        <v>37</v>
      </c>
      <c r="AC333" s="6" t="s">
        <v>37</v>
      </c>
      <c r="AD333" s="6" t="s">
        <v>37</v>
      </c>
      <c r="AE333" t="s">
        <v>37</v>
      </c>
      <c r="AF333" t="s">
        <v>37</v>
      </c>
      <c r="AG333" s="6" t="s">
        <v>37</v>
      </c>
      <c r="AH333" t="s">
        <v>37</v>
      </c>
      <c r="AI333" t="s">
        <v>37</v>
      </c>
      <c r="AJ333" t="str">
        <f t="shared" si="17"/>
        <v>4A3KDTEZB0797FYB3K</v>
      </c>
    </row>
    <row r="334" spans="1:36" ht="15" customHeight="1" x14ac:dyDescent="0.25">
      <c r="A334" t="s">
        <v>88</v>
      </c>
      <c r="B334" t="s">
        <v>37</v>
      </c>
      <c r="C334" t="s">
        <v>37</v>
      </c>
      <c r="D334" t="s">
        <v>38</v>
      </c>
      <c r="E334" s="4">
        <v>52</v>
      </c>
      <c r="F334" s="5">
        <v>2283.84</v>
      </c>
      <c r="G334" s="5" t="s">
        <v>39</v>
      </c>
      <c r="H334" s="5">
        <v>3409.64</v>
      </c>
      <c r="I334" s="5" t="s">
        <v>39</v>
      </c>
      <c r="J334" s="5">
        <v>77.650559999999999</v>
      </c>
      <c r="K334" s="5">
        <f t="shared" si="15"/>
        <v>1.4932799999999999</v>
      </c>
      <c r="L334" s="5">
        <f t="shared" si="16"/>
        <v>43.92</v>
      </c>
      <c r="M334" s="5" t="s">
        <v>39</v>
      </c>
      <c r="N334" s="5">
        <v>77.650559999999999</v>
      </c>
      <c r="O334" s="5" t="s">
        <v>39</v>
      </c>
      <c r="P334" t="s">
        <v>40</v>
      </c>
      <c r="Q334" t="s">
        <v>893</v>
      </c>
      <c r="R334" t="s">
        <v>37</v>
      </c>
      <c r="S334" t="s">
        <v>894</v>
      </c>
      <c r="T334" t="s">
        <v>43</v>
      </c>
      <c r="U334" t="s">
        <v>44</v>
      </c>
      <c r="V334">
        <v>147</v>
      </c>
      <c r="W334" t="s">
        <v>45</v>
      </c>
      <c r="X334" t="s">
        <v>53</v>
      </c>
      <c r="Y334" t="s">
        <v>895</v>
      </c>
      <c r="Z334" t="s">
        <v>37</v>
      </c>
      <c r="AA334" t="s">
        <v>48</v>
      </c>
      <c r="AB334" t="s">
        <v>37</v>
      </c>
      <c r="AC334" s="6" t="s">
        <v>37</v>
      </c>
      <c r="AD334" s="6" t="s">
        <v>37</v>
      </c>
      <c r="AE334" t="s">
        <v>37</v>
      </c>
      <c r="AF334" t="s">
        <v>37</v>
      </c>
      <c r="AG334" s="6" t="s">
        <v>37</v>
      </c>
      <c r="AH334" t="s">
        <v>37</v>
      </c>
      <c r="AI334" t="s">
        <v>37</v>
      </c>
      <c r="AJ334" t="str">
        <f t="shared" si="17"/>
        <v>4A3KDTEZB0797FYB3K</v>
      </c>
    </row>
    <row r="335" spans="1:36" ht="15" customHeight="1" x14ac:dyDescent="0.25">
      <c r="A335" t="s">
        <v>118</v>
      </c>
      <c r="B335" t="s">
        <v>37</v>
      </c>
      <c r="C335" t="s">
        <v>37</v>
      </c>
      <c r="D335" t="s">
        <v>38</v>
      </c>
      <c r="E335" s="4">
        <v>76</v>
      </c>
      <c r="F335" s="5">
        <v>1245.6400000000001</v>
      </c>
      <c r="G335" s="5" t="s">
        <v>39</v>
      </c>
      <c r="H335" s="5">
        <v>1868.08</v>
      </c>
      <c r="I335" s="5" t="s">
        <v>39</v>
      </c>
      <c r="J335" s="5">
        <v>42.351759999999999</v>
      </c>
      <c r="K335" s="5">
        <f t="shared" si="15"/>
        <v>0.55725999999999998</v>
      </c>
      <c r="L335" s="5">
        <f t="shared" si="16"/>
        <v>16.39</v>
      </c>
      <c r="M335" s="5" t="s">
        <v>39</v>
      </c>
      <c r="N335" s="5">
        <v>42.351759999999999</v>
      </c>
      <c r="O335" s="5" t="s">
        <v>39</v>
      </c>
      <c r="P335" t="s">
        <v>365</v>
      </c>
      <c r="Q335" t="s">
        <v>854</v>
      </c>
      <c r="R335" t="s">
        <v>37</v>
      </c>
      <c r="S335" t="s">
        <v>855</v>
      </c>
      <c r="T335" t="s">
        <v>43</v>
      </c>
      <c r="U335" t="s">
        <v>44</v>
      </c>
      <c r="V335">
        <v>147</v>
      </c>
      <c r="W335" t="s">
        <v>45</v>
      </c>
      <c r="X335" t="s">
        <v>239</v>
      </c>
      <c r="Y335" t="s">
        <v>856</v>
      </c>
      <c r="Z335" t="s">
        <v>37</v>
      </c>
      <c r="AA335" t="s">
        <v>95</v>
      </c>
      <c r="AB335" t="s">
        <v>37</v>
      </c>
      <c r="AC335" s="6" t="s">
        <v>37</v>
      </c>
      <c r="AD335" s="6" t="s">
        <v>37</v>
      </c>
      <c r="AE335" t="s">
        <v>37</v>
      </c>
      <c r="AF335" t="s">
        <v>37</v>
      </c>
      <c r="AG335" s="6" t="s">
        <v>37</v>
      </c>
      <c r="AH335" t="s">
        <v>37</v>
      </c>
      <c r="AI335" t="s">
        <v>37</v>
      </c>
      <c r="AJ335" t="str">
        <f t="shared" si="17"/>
        <v>3KYCEHVHB00ZOOKDU4</v>
      </c>
    </row>
    <row r="336" spans="1:36" ht="15" customHeight="1" x14ac:dyDescent="0.25">
      <c r="A336" t="s">
        <v>101</v>
      </c>
      <c r="B336" t="s">
        <v>37</v>
      </c>
      <c r="C336" t="s">
        <v>37</v>
      </c>
      <c r="D336" t="s">
        <v>38</v>
      </c>
      <c r="E336" s="4">
        <v>4</v>
      </c>
      <c r="F336" s="5">
        <v>168.8</v>
      </c>
      <c r="G336" s="5" t="s">
        <v>39</v>
      </c>
      <c r="H336" s="5">
        <v>278.64</v>
      </c>
      <c r="I336" s="5" t="s">
        <v>39</v>
      </c>
      <c r="J336" s="5">
        <v>5.7392000000000003</v>
      </c>
      <c r="K336" s="5">
        <f t="shared" si="15"/>
        <v>1.4348000000000001</v>
      </c>
      <c r="L336" s="5">
        <f t="shared" si="16"/>
        <v>42.2</v>
      </c>
      <c r="M336" s="5" t="s">
        <v>39</v>
      </c>
      <c r="N336" s="5">
        <v>5.7392000000000003</v>
      </c>
      <c r="O336" s="5" t="s">
        <v>39</v>
      </c>
      <c r="P336" t="s">
        <v>896</v>
      </c>
      <c r="Q336" t="s">
        <v>897</v>
      </c>
      <c r="R336" t="s">
        <v>37</v>
      </c>
      <c r="S336" t="s">
        <v>898</v>
      </c>
      <c r="T336" t="s">
        <v>43</v>
      </c>
      <c r="U336" t="s">
        <v>44</v>
      </c>
      <c r="V336">
        <v>147</v>
      </c>
      <c r="W336" t="s">
        <v>45</v>
      </c>
      <c r="X336" t="s">
        <v>60</v>
      </c>
      <c r="Y336" t="s">
        <v>899</v>
      </c>
      <c r="Z336" t="s">
        <v>37</v>
      </c>
      <c r="AA336" t="s">
        <v>55</v>
      </c>
      <c r="AB336" t="s">
        <v>37</v>
      </c>
      <c r="AC336" s="6" t="s">
        <v>37</v>
      </c>
      <c r="AD336" s="6" t="s">
        <v>37</v>
      </c>
      <c r="AE336" t="s">
        <v>37</v>
      </c>
      <c r="AF336" t="s">
        <v>37</v>
      </c>
      <c r="AG336" s="6" t="s">
        <v>37</v>
      </c>
      <c r="AH336" t="s">
        <v>37</v>
      </c>
      <c r="AI336" t="s">
        <v>37</v>
      </c>
      <c r="AJ336" t="str">
        <f t="shared" si="17"/>
        <v>17ETH86SB07W4DH5GL</v>
      </c>
    </row>
    <row r="337" spans="1:36" ht="15" customHeight="1" x14ac:dyDescent="0.25">
      <c r="A337" t="s">
        <v>36</v>
      </c>
      <c r="B337" t="s">
        <v>37</v>
      </c>
      <c r="C337" t="s">
        <v>37</v>
      </c>
      <c r="D337" t="s">
        <v>38</v>
      </c>
      <c r="E337" s="4">
        <v>8</v>
      </c>
      <c r="F337" s="5">
        <v>556.88</v>
      </c>
      <c r="G337" s="5" t="s">
        <v>39</v>
      </c>
      <c r="H337" s="5">
        <v>845.92</v>
      </c>
      <c r="I337" s="5" t="s">
        <v>39</v>
      </c>
      <c r="J337" s="5">
        <v>18.933920000000001</v>
      </c>
      <c r="K337" s="5">
        <f t="shared" si="15"/>
        <v>2.3667400000000001</v>
      </c>
      <c r="L337" s="5">
        <f t="shared" si="16"/>
        <v>69.61</v>
      </c>
      <c r="M337" s="5" t="s">
        <v>39</v>
      </c>
      <c r="N337" s="5">
        <v>18.933920000000001</v>
      </c>
      <c r="O337" s="5" t="s">
        <v>39</v>
      </c>
      <c r="P337" t="s">
        <v>900</v>
      </c>
      <c r="Q337" t="s">
        <v>735</v>
      </c>
      <c r="R337" t="s">
        <v>37</v>
      </c>
      <c r="S337" t="s">
        <v>736</v>
      </c>
      <c r="T337" t="s">
        <v>43</v>
      </c>
      <c r="U337" t="s">
        <v>44</v>
      </c>
      <c r="V337">
        <v>147</v>
      </c>
      <c r="W337" t="s">
        <v>45</v>
      </c>
      <c r="X337" t="s">
        <v>60</v>
      </c>
      <c r="Y337" t="s">
        <v>737</v>
      </c>
      <c r="Z337" t="s">
        <v>37</v>
      </c>
      <c r="AA337" t="s">
        <v>55</v>
      </c>
      <c r="AB337" t="s">
        <v>37</v>
      </c>
      <c r="AC337" s="6" t="s">
        <v>37</v>
      </c>
      <c r="AD337" s="6" t="s">
        <v>37</v>
      </c>
      <c r="AE337" t="s">
        <v>37</v>
      </c>
      <c r="AF337" t="s">
        <v>37</v>
      </c>
      <c r="AG337" s="6" t="s">
        <v>37</v>
      </c>
      <c r="AH337" t="s">
        <v>37</v>
      </c>
      <c r="AI337" t="s">
        <v>37</v>
      </c>
      <c r="AJ337" t="str">
        <f t="shared" si="17"/>
        <v>1TY4KNJIB07W4DGGBH</v>
      </c>
    </row>
    <row r="338" spans="1:36" ht="15" customHeight="1" x14ac:dyDescent="0.25">
      <c r="A338" t="s">
        <v>101</v>
      </c>
      <c r="B338" t="s">
        <v>37</v>
      </c>
      <c r="C338" t="s">
        <v>37</v>
      </c>
      <c r="D338" t="s">
        <v>38</v>
      </c>
      <c r="E338" s="4">
        <v>12</v>
      </c>
      <c r="F338" s="5">
        <v>880.08</v>
      </c>
      <c r="G338" s="5" t="s">
        <v>39</v>
      </c>
      <c r="H338" s="5">
        <v>1740</v>
      </c>
      <c r="I338" s="5" t="s">
        <v>39</v>
      </c>
      <c r="J338" s="5">
        <v>29.922720000000002</v>
      </c>
      <c r="K338" s="5">
        <f t="shared" si="15"/>
        <v>2.49356</v>
      </c>
      <c r="L338" s="5">
        <f t="shared" si="16"/>
        <v>73.34</v>
      </c>
      <c r="M338" s="5" t="s">
        <v>39</v>
      </c>
      <c r="N338" s="5">
        <v>29.922720000000002</v>
      </c>
      <c r="O338" s="5" t="s">
        <v>39</v>
      </c>
      <c r="P338" t="s">
        <v>274</v>
      </c>
      <c r="Q338" t="s">
        <v>901</v>
      </c>
      <c r="R338" t="s">
        <v>37</v>
      </c>
      <c r="S338" t="s">
        <v>902</v>
      </c>
      <c r="T338" t="s">
        <v>43</v>
      </c>
      <c r="U338" t="s">
        <v>44</v>
      </c>
      <c r="V338">
        <v>147</v>
      </c>
      <c r="W338" t="s">
        <v>92</v>
      </c>
      <c r="X338" t="s">
        <v>903</v>
      </c>
      <c r="Y338" t="s">
        <v>904</v>
      </c>
      <c r="Z338" t="s">
        <v>37</v>
      </c>
      <c r="AA338" t="s">
        <v>55</v>
      </c>
      <c r="AB338" t="s">
        <v>37</v>
      </c>
      <c r="AC338" s="6" t="s">
        <v>37</v>
      </c>
      <c r="AD338" s="6" t="s">
        <v>37</v>
      </c>
      <c r="AE338" t="s">
        <v>37</v>
      </c>
      <c r="AF338" t="s">
        <v>37</v>
      </c>
      <c r="AG338" s="6" t="s">
        <v>37</v>
      </c>
      <c r="AH338" t="s">
        <v>37</v>
      </c>
      <c r="AI338" t="s">
        <v>37</v>
      </c>
      <c r="AJ338" t="str">
        <f t="shared" si="17"/>
        <v>4LYATDUXB07W5JJ85P</v>
      </c>
    </row>
    <row r="339" spans="1:36" ht="15" customHeight="1" x14ac:dyDescent="0.25">
      <c r="A339" t="s">
        <v>96</v>
      </c>
      <c r="B339" t="s">
        <v>37</v>
      </c>
      <c r="C339" t="s">
        <v>37</v>
      </c>
      <c r="D339" t="s">
        <v>38</v>
      </c>
      <c r="E339" s="4">
        <v>4</v>
      </c>
      <c r="F339" s="5">
        <v>485</v>
      </c>
      <c r="G339" s="5" t="s">
        <v>39</v>
      </c>
      <c r="H339" s="5">
        <v>685.2</v>
      </c>
      <c r="I339" s="5" t="s">
        <v>39</v>
      </c>
      <c r="J339" s="5">
        <v>16.489999999999998</v>
      </c>
      <c r="K339" s="5">
        <f t="shared" si="15"/>
        <v>4.1224999999999996</v>
      </c>
      <c r="L339" s="5">
        <f t="shared" si="16"/>
        <v>121.25</v>
      </c>
      <c r="M339" s="5" t="s">
        <v>39</v>
      </c>
      <c r="N339" s="5">
        <v>16.489999999999998</v>
      </c>
      <c r="O339" s="5" t="s">
        <v>39</v>
      </c>
      <c r="P339" t="s">
        <v>97</v>
      </c>
      <c r="Q339" t="s">
        <v>905</v>
      </c>
      <c r="R339" t="s">
        <v>37</v>
      </c>
      <c r="S339" t="s">
        <v>906</v>
      </c>
      <c r="T339" t="s">
        <v>43</v>
      </c>
      <c r="U339" t="s">
        <v>44</v>
      </c>
      <c r="V339">
        <v>147</v>
      </c>
      <c r="W339" t="s">
        <v>45</v>
      </c>
      <c r="X339" t="s">
        <v>60</v>
      </c>
      <c r="Y339" t="s">
        <v>907</v>
      </c>
      <c r="Z339" t="s">
        <v>37</v>
      </c>
      <c r="AA339" t="s">
        <v>48</v>
      </c>
      <c r="AB339" t="s">
        <v>37</v>
      </c>
      <c r="AC339" s="6" t="s">
        <v>37</v>
      </c>
      <c r="AD339" s="6" t="s">
        <v>37</v>
      </c>
      <c r="AE339" t="s">
        <v>37</v>
      </c>
      <c r="AF339" t="s">
        <v>37</v>
      </c>
      <c r="AG339" s="6" t="s">
        <v>37</v>
      </c>
      <c r="AH339" t="s">
        <v>37</v>
      </c>
      <c r="AI339" t="s">
        <v>37</v>
      </c>
      <c r="AJ339" t="str">
        <f t="shared" si="17"/>
        <v>7EMS2FPGB074KFNJQG</v>
      </c>
    </row>
    <row r="340" spans="1:36" ht="15" customHeight="1" x14ac:dyDescent="0.25">
      <c r="A340" t="s">
        <v>88</v>
      </c>
      <c r="B340" t="s">
        <v>37</v>
      </c>
      <c r="C340" t="s">
        <v>37</v>
      </c>
      <c r="D340" t="s">
        <v>38</v>
      </c>
      <c r="E340" s="4">
        <v>156</v>
      </c>
      <c r="F340" s="5">
        <v>4110.6000000000004</v>
      </c>
      <c r="G340" s="5" t="s">
        <v>39</v>
      </c>
      <c r="H340" s="5">
        <v>4474.08</v>
      </c>
      <c r="I340" s="5" t="s">
        <v>39</v>
      </c>
      <c r="J340" s="5">
        <v>139.7604</v>
      </c>
      <c r="K340" s="5">
        <f t="shared" si="15"/>
        <v>0.89590000000000003</v>
      </c>
      <c r="L340" s="5">
        <f t="shared" si="16"/>
        <v>26.35</v>
      </c>
      <c r="M340" s="5" t="s">
        <v>39</v>
      </c>
      <c r="N340" s="5">
        <v>139.7604</v>
      </c>
      <c r="O340" s="5" t="s">
        <v>39</v>
      </c>
      <c r="P340" t="s">
        <v>246</v>
      </c>
      <c r="Q340" t="s">
        <v>857</v>
      </c>
      <c r="R340" t="s">
        <v>37</v>
      </c>
      <c r="S340" t="s">
        <v>858</v>
      </c>
      <c r="T340" t="s">
        <v>43</v>
      </c>
      <c r="U340" t="s">
        <v>44</v>
      </c>
      <c r="V340">
        <v>147</v>
      </c>
      <c r="W340" t="s">
        <v>45</v>
      </c>
      <c r="X340" t="s">
        <v>60</v>
      </c>
      <c r="Y340" t="s">
        <v>859</v>
      </c>
      <c r="Z340" t="s">
        <v>37</v>
      </c>
      <c r="AA340" t="s">
        <v>55</v>
      </c>
      <c r="AB340" t="s">
        <v>37</v>
      </c>
      <c r="AC340" s="6" t="s">
        <v>37</v>
      </c>
      <c r="AD340" s="6" t="s">
        <v>37</v>
      </c>
      <c r="AE340" t="s">
        <v>37</v>
      </c>
      <c r="AF340" t="s">
        <v>37</v>
      </c>
      <c r="AG340" s="6" t="s">
        <v>37</v>
      </c>
      <c r="AH340" t="s">
        <v>37</v>
      </c>
      <c r="AI340" t="s">
        <v>37</v>
      </c>
      <c r="AJ340" t="str">
        <f t="shared" si="17"/>
        <v>1PSIXGLTB00D2PX8C2</v>
      </c>
    </row>
    <row r="341" spans="1:36" ht="15" customHeight="1" x14ac:dyDescent="0.25">
      <c r="A341" t="s">
        <v>49</v>
      </c>
      <c r="B341" t="s">
        <v>37</v>
      </c>
      <c r="C341" t="s">
        <v>37</v>
      </c>
      <c r="D341" t="s">
        <v>38</v>
      </c>
      <c r="E341" s="4">
        <v>28</v>
      </c>
      <c r="F341" s="5">
        <v>1034.04</v>
      </c>
      <c r="G341" s="5" t="s">
        <v>39</v>
      </c>
      <c r="H341" s="5">
        <v>1721.16</v>
      </c>
      <c r="I341" s="5" t="s">
        <v>39</v>
      </c>
      <c r="J341" s="5">
        <v>35.157359999999997</v>
      </c>
      <c r="K341" s="5">
        <f t="shared" si="15"/>
        <v>1.25562</v>
      </c>
      <c r="L341" s="5">
        <f t="shared" si="16"/>
        <v>36.93</v>
      </c>
      <c r="M341" s="5" t="s">
        <v>39</v>
      </c>
      <c r="N341" s="5">
        <v>35.157359999999997</v>
      </c>
      <c r="O341" s="5" t="s">
        <v>39</v>
      </c>
      <c r="P341" t="s">
        <v>106</v>
      </c>
      <c r="Q341" t="s">
        <v>908</v>
      </c>
      <c r="R341" t="s">
        <v>909</v>
      </c>
      <c r="S341" t="s">
        <v>910</v>
      </c>
      <c r="T341" t="s">
        <v>43</v>
      </c>
      <c r="U341" t="s">
        <v>44</v>
      </c>
      <c r="V341">
        <v>147</v>
      </c>
      <c r="W341" t="s">
        <v>45</v>
      </c>
      <c r="X341" t="s">
        <v>46</v>
      </c>
      <c r="Y341" t="s">
        <v>268</v>
      </c>
      <c r="Z341" t="s">
        <v>37</v>
      </c>
      <c r="AA341" t="s">
        <v>55</v>
      </c>
      <c r="AB341" t="s">
        <v>37</v>
      </c>
      <c r="AC341" s="6" t="s">
        <v>37</v>
      </c>
      <c r="AD341" s="6" t="s">
        <v>37</v>
      </c>
      <c r="AE341" t="s">
        <v>37</v>
      </c>
      <c r="AF341" t="s">
        <v>37</v>
      </c>
      <c r="AG341" s="6" t="s">
        <v>37</v>
      </c>
      <c r="AH341" t="s">
        <v>37</v>
      </c>
      <c r="AI341" t="s">
        <v>37</v>
      </c>
      <c r="AJ341" t="str">
        <f t="shared" si="17"/>
        <v>2CLMXQWQB07CGPZ3ZQ</v>
      </c>
    </row>
    <row r="342" spans="1:36" ht="15" customHeight="1" x14ac:dyDescent="0.25">
      <c r="A342" t="s">
        <v>127</v>
      </c>
      <c r="B342" t="s">
        <v>37</v>
      </c>
      <c r="C342" t="s">
        <v>37</v>
      </c>
      <c r="D342" t="s">
        <v>38</v>
      </c>
      <c r="E342" s="4">
        <v>0</v>
      </c>
      <c r="F342" s="5">
        <v>0</v>
      </c>
      <c r="G342" s="5" t="s">
        <v>39</v>
      </c>
      <c r="H342" s="5">
        <v>0</v>
      </c>
      <c r="I342" s="5" t="s">
        <v>39</v>
      </c>
      <c r="J342" s="5">
        <v>0</v>
      </c>
      <c r="K342" s="5" t="e">
        <f t="shared" si="15"/>
        <v>#DIV/0!</v>
      </c>
      <c r="L342" s="5" t="e">
        <f t="shared" si="16"/>
        <v>#DIV/0!</v>
      </c>
      <c r="M342" s="5" t="s">
        <v>39</v>
      </c>
      <c r="N342" s="5">
        <v>0</v>
      </c>
      <c r="O342" s="5" t="s">
        <v>39</v>
      </c>
      <c r="P342" t="s">
        <v>202</v>
      </c>
      <c r="Q342" t="s">
        <v>911</v>
      </c>
      <c r="R342" t="s">
        <v>37</v>
      </c>
      <c r="S342" t="s">
        <v>912</v>
      </c>
      <c r="T342" t="s">
        <v>43</v>
      </c>
      <c r="U342" t="s">
        <v>44</v>
      </c>
      <c r="V342">
        <v>147</v>
      </c>
      <c r="W342" t="s">
        <v>45</v>
      </c>
      <c r="X342" t="s">
        <v>46</v>
      </c>
      <c r="Y342" t="s">
        <v>913</v>
      </c>
      <c r="Z342" t="s">
        <v>37</v>
      </c>
      <c r="AA342" t="s">
        <v>55</v>
      </c>
      <c r="AB342" t="s">
        <v>37</v>
      </c>
      <c r="AC342" s="6" t="s">
        <v>37</v>
      </c>
      <c r="AD342" s="6" t="s">
        <v>37</v>
      </c>
      <c r="AE342" t="s">
        <v>37</v>
      </c>
      <c r="AF342" t="s">
        <v>37</v>
      </c>
      <c r="AG342" s="6" t="s">
        <v>37</v>
      </c>
      <c r="AH342" t="s">
        <v>37</v>
      </c>
      <c r="AI342" t="s">
        <v>37</v>
      </c>
      <c r="AJ342" t="str">
        <f t="shared" si="17"/>
        <v>39TAD6PCB07PYL7WZY</v>
      </c>
    </row>
    <row r="343" spans="1:36" ht="15" customHeight="1" x14ac:dyDescent="0.25">
      <c r="A343" t="s">
        <v>383</v>
      </c>
      <c r="B343" t="s">
        <v>37</v>
      </c>
      <c r="C343" t="s">
        <v>37</v>
      </c>
      <c r="D343" t="s">
        <v>38</v>
      </c>
      <c r="E343" s="4">
        <v>4</v>
      </c>
      <c r="F343" s="5">
        <v>147.72</v>
      </c>
      <c r="G343" s="5" t="s">
        <v>39</v>
      </c>
      <c r="H343" s="5">
        <v>245.88</v>
      </c>
      <c r="I343" s="5" t="s">
        <v>39</v>
      </c>
      <c r="J343" s="5">
        <v>5.0224799999999998</v>
      </c>
      <c r="K343" s="5">
        <f t="shared" si="15"/>
        <v>1.25562</v>
      </c>
      <c r="L343" s="5">
        <f t="shared" si="16"/>
        <v>36.93</v>
      </c>
      <c r="M343" s="5" t="s">
        <v>39</v>
      </c>
      <c r="N343" s="5">
        <v>5.0224799999999998</v>
      </c>
      <c r="O343" s="5" t="s">
        <v>39</v>
      </c>
      <c r="P343" t="s">
        <v>106</v>
      </c>
      <c r="Q343" t="s">
        <v>908</v>
      </c>
      <c r="R343" t="s">
        <v>909</v>
      </c>
      <c r="S343" t="s">
        <v>910</v>
      </c>
      <c r="T343" t="s">
        <v>43</v>
      </c>
      <c r="U343" t="s">
        <v>44</v>
      </c>
      <c r="V343">
        <v>147</v>
      </c>
      <c r="W343" t="s">
        <v>45</v>
      </c>
      <c r="X343" t="s">
        <v>46</v>
      </c>
      <c r="Y343" t="s">
        <v>268</v>
      </c>
      <c r="Z343" t="s">
        <v>37</v>
      </c>
      <c r="AA343" t="s">
        <v>55</v>
      </c>
      <c r="AB343" t="s">
        <v>37</v>
      </c>
      <c r="AC343" s="6" t="s">
        <v>37</v>
      </c>
      <c r="AD343" s="6" t="s">
        <v>37</v>
      </c>
      <c r="AE343" t="s">
        <v>37</v>
      </c>
      <c r="AF343" t="s">
        <v>37</v>
      </c>
      <c r="AG343" s="6" t="s">
        <v>37</v>
      </c>
      <c r="AH343" t="s">
        <v>37</v>
      </c>
      <c r="AI343" t="s">
        <v>37</v>
      </c>
      <c r="AJ343" t="str">
        <f t="shared" si="17"/>
        <v>2CLMXQWQB07CGPZ3ZQ</v>
      </c>
    </row>
    <row r="344" spans="1:36" ht="15" customHeight="1" x14ac:dyDescent="0.25">
      <c r="A344" t="s">
        <v>118</v>
      </c>
      <c r="B344" t="s">
        <v>37</v>
      </c>
      <c r="C344" t="s">
        <v>37</v>
      </c>
      <c r="D344" t="s">
        <v>38</v>
      </c>
      <c r="E344" s="4">
        <v>8</v>
      </c>
      <c r="F344" s="5">
        <v>210.96</v>
      </c>
      <c r="G344" s="5" t="s">
        <v>39</v>
      </c>
      <c r="H344" s="5">
        <v>340.88</v>
      </c>
      <c r="I344" s="5" t="s">
        <v>39</v>
      </c>
      <c r="J344" s="5">
        <v>7.1726400000000003</v>
      </c>
      <c r="K344" s="5">
        <f t="shared" si="15"/>
        <v>0.89658000000000004</v>
      </c>
      <c r="L344" s="5">
        <f t="shared" si="16"/>
        <v>26.37</v>
      </c>
      <c r="M344" s="5" t="s">
        <v>39</v>
      </c>
      <c r="N344" s="5">
        <v>7.1726400000000003</v>
      </c>
      <c r="O344" s="5" t="s">
        <v>39</v>
      </c>
      <c r="P344" t="s">
        <v>202</v>
      </c>
      <c r="Q344" t="s">
        <v>914</v>
      </c>
      <c r="R344" t="s">
        <v>37</v>
      </c>
      <c r="S344" t="s">
        <v>915</v>
      </c>
      <c r="T344" t="s">
        <v>43</v>
      </c>
      <c r="U344" t="s">
        <v>44</v>
      </c>
      <c r="V344">
        <v>147</v>
      </c>
      <c r="W344" t="s">
        <v>45</v>
      </c>
      <c r="X344" t="s">
        <v>53</v>
      </c>
      <c r="Y344" t="s">
        <v>916</v>
      </c>
      <c r="Z344" t="s">
        <v>37</v>
      </c>
      <c r="AA344" t="s">
        <v>95</v>
      </c>
      <c r="AB344" t="s">
        <v>37</v>
      </c>
      <c r="AC344" s="6" t="s">
        <v>37</v>
      </c>
      <c r="AD344" s="6" t="s">
        <v>37</v>
      </c>
      <c r="AE344" t="s">
        <v>37</v>
      </c>
      <c r="AF344" t="s">
        <v>37</v>
      </c>
      <c r="AG344" s="6" t="s">
        <v>37</v>
      </c>
      <c r="AH344" t="s">
        <v>37</v>
      </c>
      <c r="AI344" t="s">
        <v>37</v>
      </c>
      <c r="AJ344" t="str">
        <f t="shared" si="17"/>
        <v>39TAD6PCB07W4DHG24</v>
      </c>
    </row>
    <row r="345" spans="1:36" ht="15" customHeight="1" x14ac:dyDescent="0.25">
      <c r="A345" t="s">
        <v>49</v>
      </c>
      <c r="B345" t="s">
        <v>37</v>
      </c>
      <c r="C345" t="s">
        <v>37</v>
      </c>
      <c r="D345" t="s">
        <v>38</v>
      </c>
      <c r="E345" s="4">
        <v>30</v>
      </c>
      <c r="F345" s="5">
        <v>957</v>
      </c>
      <c r="G345" s="5" t="s">
        <v>39</v>
      </c>
      <c r="H345" s="5">
        <v>1450.5</v>
      </c>
      <c r="I345" s="5" t="s">
        <v>39</v>
      </c>
      <c r="J345" s="5">
        <v>32.537999999999997</v>
      </c>
      <c r="K345" s="5">
        <f t="shared" si="15"/>
        <v>1.0845999999999998</v>
      </c>
      <c r="L345" s="5">
        <f t="shared" si="16"/>
        <v>31.9</v>
      </c>
      <c r="M345" s="5" t="s">
        <v>39</v>
      </c>
      <c r="N345" s="5">
        <v>32.537999999999997</v>
      </c>
      <c r="O345" s="5" t="s">
        <v>39</v>
      </c>
      <c r="P345" t="s">
        <v>141</v>
      </c>
      <c r="Q345" t="s">
        <v>726</v>
      </c>
      <c r="R345" t="s">
        <v>37</v>
      </c>
      <c r="S345" t="s">
        <v>727</v>
      </c>
      <c r="T345" t="s">
        <v>43</v>
      </c>
      <c r="U345" t="s">
        <v>44</v>
      </c>
      <c r="V345">
        <v>147</v>
      </c>
      <c r="W345" t="s">
        <v>45</v>
      </c>
      <c r="X345" t="s">
        <v>53</v>
      </c>
      <c r="Y345" t="s">
        <v>728</v>
      </c>
      <c r="Z345" t="s">
        <v>37</v>
      </c>
      <c r="AA345" t="s">
        <v>55</v>
      </c>
      <c r="AB345" t="s">
        <v>37</v>
      </c>
      <c r="AC345" s="6" t="s">
        <v>37</v>
      </c>
      <c r="AD345" s="6" t="s">
        <v>37</v>
      </c>
      <c r="AE345" t="s">
        <v>37</v>
      </c>
      <c r="AF345" t="s">
        <v>37</v>
      </c>
      <c r="AG345" s="6" t="s">
        <v>37</v>
      </c>
      <c r="AH345" t="s">
        <v>37</v>
      </c>
      <c r="AI345" t="s">
        <v>37</v>
      </c>
      <c r="AJ345" t="str">
        <f t="shared" si="17"/>
        <v>56UO2L2IB07W6HKMCN</v>
      </c>
    </row>
    <row r="346" spans="1:36" ht="15" customHeight="1" x14ac:dyDescent="0.25">
      <c r="A346" t="s">
        <v>96</v>
      </c>
      <c r="B346" t="s">
        <v>37</v>
      </c>
      <c r="C346" t="s">
        <v>37</v>
      </c>
      <c r="D346" t="s">
        <v>38</v>
      </c>
      <c r="E346" s="4">
        <v>240</v>
      </c>
      <c r="F346" s="5">
        <v>8863.2000000000007</v>
      </c>
      <c r="G346" s="5" t="s">
        <v>39</v>
      </c>
      <c r="H346" s="5">
        <v>14752.8</v>
      </c>
      <c r="I346" s="5" t="s">
        <v>39</v>
      </c>
      <c r="J346" s="5">
        <v>301.34879999999998</v>
      </c>
      <c r="K346" s="5">
        <f t="shared" si="15"/>
        <v>1.25562</v>
      </c>
      <c r="L346" s="5">
        <f t="shared" si="16"/>
        <v>36.93</v>
      </c>
      <c r="M346" s="5" t="s">
        <v>39</v>
      </c>
      <c r="N346" s="5">
        <v>301.34879999999998</v>
      </c>
      <c r="O346" s="5" t="s">
        <v>39</v>
      </c>
      <c r="P346" t="s">
        <v>106</v>
      </c>
      <c r="Q346" t="s">
        <v>908</v>
      </c>
      <c r="R346" t="s">
        <v>909</v>
      </c>
      <c r="S346" t="s">
        <v>910</v>
      </c>
      <c r="T346" t="s">
        <v>43</v>
      </c>
      <c r="U346" t="s">
        <v>44</v>
      </c>
      <c r="V346">
        <v>147</v>
      </c>
      <c r="W346" t="s">
        <v>45</v>
      </c>
      <c r="X346" t="s">
        <v>46</v>
      </c>
      <c r="Y346" t="s">
        <v>268</v>
      </c>
      <c r="Z346" t="s">
        <v>37</v>
      </c>
      <c r="AA346" t="s">
        <v>55</v>
      </c>
      <c r="AB346" t="s">
        <v>37</v>
      </c>
      <c r="AC346" s="6" t="s">
        <v>37</v>
      </c>
      <c r="AD346" s="6" t="s">
        <v>37</v>
      </c>
      <c r="AE346" t="s">
        <v>37</v>
      </c>
      <c r="AF346" t="s">
        <v>37</v>
      </c>
      <c r="AG346" s="6" t="s">
        <v>37</v>
      </c>
      <c r="AH346" t="s">
        <v>37</v>
      </c>
      <c r="AI346" t="s">
        <v>37</v>
      </c>
      <c r="AJ346" t="str">
        <f t="shared" si="17"/>
        <v>2CLMXQWQB07CGPZ3ZQ</v>
      </c>
    </row>
    <row r="347" spans="1:36" ht="15" customHeight="1" x14ac:dyDescent="0.25">
      <c r="A347" t="s">
        <v>36</v>
      </c>
      <c r="B347" t="s">
        <v>37</v>
      </c>
      <c r="C347" t="s">
        <v>37</v>
      </c>
      <c r="D347" t="s">
        <v>38</v>
      </c>
      <c r="E347" s="4">
        <v>30</v>
      </c>
      <c r="F347" s="5">
        <v>790.5</v>
      </c>
      <c r="G347" s="5" t="s">
        <v>39</v>
      </c>
      <c r="H347" s="5">
        <v>860.4</v>
      </c>
      <c r="I347" s="5" t="s">
        <v>39</v>
      </c>
      <c r="J347" s="5">
        <v>26.876999999999999</v>
      </c>
      <c r="K347" s="5">
        <f t="shared" si="15"/>
        <v>0.89589999999999992</v>
      </c>
      <c r="L347" s="5">
        <f t="shared" si="16"/>
        <v>26.35</v>
      </c>
      <c r="M347" s="5" t="s">
        <v>39</v>
      </c>
      <c r="N347" s="5">
        <v>26.876999999999999</v>
      </c>
      <c r="O347" s="5" t="s">
        <v>39</v>
      </c>
      <c r="P347" t="s">
        <v>246</v>
      </c>
      <c r="Q347" t="s">
        <v>857</v>
      </c>
      <c r="R347" t="s">
        <v>37</v>
      </c>
      <c r="S347" t="s">
        <v>858</v>
      </c>
      <c r="T347" t="s">
        <v>43</v>
      </c>
      <c r="U347" t="s">
        <v>44</v>
      </c>
      <c r="V347">
        <v>147</v>
      </c>
      <c r="W347" t="s">
        <v>45</v>
      </c>
      <c r="X347" t="s">
        <v>60</v>
      </c>
      <c r="Y347" t="s">
        <v>859</v>
      </c>
      <c r="Z347" t="s">
        <v>37</v>
      </c>
      <c r="AA347" t="s">
        <v>55</v>
      </c>
      <c r="AB347" t="s">
        <v>37</v>
      </c>
      <c r="AC347" s="6" t="s">
        <v>37</v>
      </c>
      <c r="AD347" s="6" t="s">
        <v>37</v>
      </c>
      <c r="AE347" t="s">
        <v>37</v>
      </c>
      <c r="AF347" t="s">
        <v>37</v>
      </c>
      <c r="AG347" s="6" t="s">
        <v>37</v>
      </c>
      <c r="AH347" t="s">
        <v>37</v>
      </c>
      <c r="AI347" t="s">
        <v>37</v>
      </c>
      <c r="AJ347" t="str">
        <f t="shared" si="17"/>
        <v>1PSIXGLTB00D2PX8C2</v>
      </c>
    </row>
    <row r="348" spans="1:36" ht="15" customHeight="1" x14ac:dyDescent="0.25">
      <c r="A348" t="s">
        <v>56</v>
      </c>
      <c r="B348" t="s">
        <v>37</v>
      </c>
      <c r="C348" t="s">
        <v>37</v>
      </c>
      <c r="D348" t="s">
        <v>38</v>
      </c>
      <c r="E348" s="4">
        <v>10</v>
      </c>
      <c r="F348" s="5">
        <v>163.9</v>
      </c>
      <c r="G348" s="5" t="s">
        <v>39</v>
      </c>
      <c r="H348" s="5">
        <v>245.8</v>
      </c>
      <c r="I348" s="5" t="s">
        <v>39</v>
      </c>
      <c r="J348" s="5">
        <v>5.5726000000000004</v>
      </c>
      <c r="K348" s="5">
        <f t="shared" si="15"/>
        <v>0.55726000000000009</v>
      </c>
      <c r="L348" s="5">
        <f t="shared" si="16"/>
        <v>16.39</v>
      </c>
      <c r="M348" s="5" t="s">
        <v>39</v>
      </c>
      <c r="N348" s="5">
        <v>5.5726000000000004</v>
      </c>
      <c r="O348" s="5" t="s">
        <v>39</v>
      </c>
      <c r="P348" t="s">
        <v>57</v>
      </c>
      <c r="Q348" t="s">
        <v>917</v>
      </c>
      <c r="R348" t="s">
        <v>37</v>
      </c>
      <c r="S348" t="s">
        <v>918</v>
      </c>
      <c r="T348" t="s">
        <v>43</v>
      </c>
      <c r="U348" t="s">
        <v>44</v>
      </c>
      <c r="V348">
        <v>147</v>
      </c>
      <c r="W348" t="s">
        <v>45</v>
      </c>
      <c r="X348" t="s">
        <v>60</v>
      </c>
      <c r="Y348" t="s">
        <v>919</v>
      </c>
      <c r="Z348" t="s">
        <v>37</v>
      </c>
      <c r="AA348" t="s">
        <v>55</v>
      </c>
      <c r="AB348" t="s">
        <v>37</v>
      </c>
      <c r="AC348" s="6" t="s">
        <v>37</v>
      </c>
      <c r="AD348" s="6" t="s">
        <v>37</v>
      </c>
      <c r="AE348" t="s">
        <v>37</v>
      </c>
      <c r="AF348" t="s">
        <v>37</v>
      </c>
      <c r="AG348" s="6" t="s">
        <v>37</v>
      </c>
      <c r="AH348" t="s">
        <v>37</v>
      </c>
      <c r="AI348" t="s">
        <v>37</v>
      </c>
      <c r="AJ348" t="str">
        <f t="shared" si="17"/>
        <v>3GBCH66MB00EJ3RMDM</v>
      </c>
    </row>
    <row r="349" spans="1:36" ht="15" customHeight="1" x14ac:dyDescent="0.25">
      <c r="A349" t="s">
        <v>96</v>
      </c>
      <c r="B349" t="s">
        <v>37</v>
      </c>
      <c r="C349" t="s">
        <v>37</v>
      </c>
      <c r="D349" t="s">
        <v>38</v>
      </c>
      <c r="E349" s="4">
        <v>8</v>
      </c>
      <c r="F349" s="5">
        <v>257.68</v>
      </c>
      <c r="G349" s="5" t="s">
        <v>39</v>
      </c>
      <c r="H349" s="5">
        <v>386.8</v>
      </c>
      <c r="I349" s="5" t="s">
        <v>39</v>
      </c>
      <c r="J349" s="5">
        <v>8.76112</v>
      </c>
      <c r="K349" s="5">
        <f t="shared" si="15"/>
        <v>1.09514</v>
      </c>
      <c r="L349" s="5">
        <f t="shared" si="16"/>
        <v>32.21</v>
      </c>
      <c r="M349" s="5" t="s">
        <v>39</v>
      </c>
      <c r="N349" s="5">
        <v>8.76112</v>
      </c>
      <c r="O349" s="5" t="s">
        <v>39</v>
      </c>
      <c r="P349" t="s">
        <v>195</v>
      </c>
      <c r="Q349" t="s">
        <v>809</v>
      </c>
      <c r="R349" t="s">
        <v>37</v>
      </c>
      <c r="S349" t="s">
        <v>810</v>
      </c>
      <c r="T349" t="s">
        <v>43</v>
      </c>
      <c r="U349" t="s">
        <v>44</v>
      </c>
      <c r="V349">
        <v>147</v>
      </c>
      <c r="W349" t="s">
        <v>45</v>
      </c>
      <c r="X349" t="s">
        <v>60</v>
      </c>
      <c r="Y349" t="s">
        <v>811</v>
      </c>
      <c r="Z349" t="s">
        <v>37</v>
      </c>
      <c r="AA349" t="s">
        <v>55</v>
      </c>
      <c r="AB349" t="s">
        <v>37</v>
      </c>
      <c r="AC349" s="6" t="s">
        <v>37</v>
      </c>
      <c r="AD349" s="6" t="s">
        <v>37</v>
      </c>
      <c r="AE349" t="s">
        <v>37</v>
      </c>
      <c r="AF349" t="s">
        <v>37</v>
      </c>
      <c r="AG349" s="6" t="s">
        <v>37</v>
      </c>
      <c r="AH349" t="s">
        <v>37</v>
      </c>
      <c r="AI349" t="s">
        <v>37</v>
      </c>
      <c r="AJ349" t="str">
        <f t="shared" si="17"/>
        <v>5X1OU9ZGB013SL1YXO</v>
      </c>
    </row>
    <row r="350" spans="1:36" ht="15" customHeight="1" x14ac:dyDescent="0.25">
      <c r="A350" t="s">
        <v>162</v>
      </c>
      <c r="B350" t="s">
        <v>37</v>
      </c>
      <c r="C350" t="s">
        <v>37</v>
      </c>
      <c r="D350" t="s">
        <v>38</v>
      </c>
      <c r="E350" s="4">
        <v>8</v>
      </c>
      <c r="F350" s="5">
        <v>737.92</v>
      </c>
      <c r="G350" s="5" t="s">
        <v>39</v>
      </c>
      <c r="H350" s="5">
        <v>1042.6400000000001</v>
      </c>
      <c r="I350" s="5" t="s">
        <v>39</v>
      </c>
      <c r="J350" s="5">
        <v>25.089279999999999</v>
      </c>
      <c r="K350" s="5">
        <f t="shared" si="15"/>
        <v>3.1361599999999998</v>
      </c>
      <c r="L350" s="5">
        <f t="shared" si="16"/>
        <v>92.24</v>
      </c>
      <c r="M350" s="5" t="s">
        <v>39</v>
      </c>
      <c r="N350" s="5">
        <v>25.089279999999999</v>
      </c>
      <c r="O350" s="5" t="s">
        <v>39</v>
      </c>
      <c r="P350" t="s">
        <v>67</v>
      </c>
      <c r="Q350" t="s">
        <v>920</v>
      </c>
      <c r="R350" t="s">
        <v>37</v>
      </c>
      <c r="S350" t="s">
        <v>921</v>
      </c>
      <c r="T350" t="s">
        <v>43</v>
      </c>
      <c r="U350" t="s">
        <v>44</v>
      </c>
      <c r="V350">
        <v>147</v>
      </c>
      <c r="W350" t="s">
        <v>45</v>
      </c>
      <c r="X350" t="s">
        <v>60</v>
      </c>
      <c r="Y350" t="s">
        <v>922</v>
      </c>
      <c r="Z350" t="s">
        <v>37</v>
      </c>
      <c r="AA350" t="s">
        <v>55</v>
      </c>
      <c r="AB350" t="s">
        <v>37</v>
      </c>
      <c r="AC350" s="6" t="s">
        <v>37</v>
      </c>
      <c r="AD350" s="6" t="s">
        <v>37</v>
      </c>
      <c r="AE350" t="s">
        <v>37</v>
      </c>
      <c r="AF350" t="s">
        <v>37</v>
      </c>
      <c r="AG350" s="6" t="s">
        <v>37</v>
      </c>
      <c r="AH350" t="s">
        <v>37</v>
      </c>
      <c r="AI350" t="s">
        <v>37</v>
      </c>
      <c r="AJ350" t="str">
        <f t="shared" si="17"/>
        <v>2TMBDXBKB07W6H4R4D</v>
      </c>
    </row>
    <row r="351" spans="1:36" ht="15" customHeight="1" x14ac:dyDescent="0.25">
      <c r="A351" t="s">
        <v>62</v>
      </c>
      <c r="B351" t="s">
        <v>37</v>
      </c>
      <c r="C351" t="s">
        <v>37</v>
      </c>
      <c r="D351" t="s">
        <v>38</v>
      </c>
      <c r="E351" s="4">
        <v>24</v>
      </c>
      <c r="F351" s="5">
        <v>309.12</v>
      </c>
      <c r="G351" s="5" t="s">
        <v>39</v>
      </c>
      <c r="H351" s="5">
        <v>309.12</v>
      </c>
      <c r="I351" s="5" t="s">
        <v>39</v>
      </c>
      <c r="J351" s="5">
        <v>10.51008</v>
      </c>
      <c r="K351" s="5">
        <f t="shared" si="15"/>
        <v>0.43792000000000003</v>
      </c>
      <c r="L351" s="5">
        <f t="shared" si="16"/>
        <v>12.88</v>
      </c>
      <c r="M351" s="5" t="s">
        <v>39</v>
      </c>
      <c r="N351" s="5">
        <v>10.51008</v>
      </c>
      <c r="O351" s="5" t="s">
        <v>39</v>
      </c>
      <c r="P351" t="s">
        <v>63</v>
      </c>
      <c r="Q351" t="s">
        <v>923</v>
      </c>
      <c r="R351" t="s">
        <v>37</v>
      </c>
      <c r="S351" t="s">
        <v>924</v>
      </c>
      <c r="T351" t="s">
        <v>43</v>
      </c>
      <c r="U351" t="s">
        <v>44</v>
      </c>
      <c r="V351">
        <v>147</v>
      </c>
      <c r="W351" t="s">
        <v>45</v>
      </c>
      <c r="X351" t="s">
        <v>53</v>
      </c>
      <c r="Y351" t="s">
        <v>925</v>
      </c>
      <c r="Z351" t="s">
        <v>926</v>
      </c>
      <c r="AA351" t="s">
        <v>48</v>
      </c>
      <c r="AB351" t="s">
        <v>37</v>
      </c>
      <c r="AC351" s="6" t="s">
        <v>37</v>
      </c>
      <c r="AD351" s="6" t="s">
        <v>37</v>
      </c>
      <c r="AE351" t="s">
        <v>37</v>
      </c>
      <c r="AF351" t="s">
        <v>37</v>
      </c>
      <c r="AG351" s="6" t="s">
        <v>37</v>
      </c>
      <c r="AH351" t="s">
        <v>37</v>
      </c>
      <c r="AI351" t="s">
        <v>37</v>
      </c>
      <c r="AJ351" t="str">
        <f t="shared" si="17"/>
        <v>7H9X1Z6SB00745IE0W</v>
      </c>
    </row>
    <row r="352" spans="1:36" ht="15" customHeight="1" x14ac:dyDescent="0.25">
      <c r="A352" t="s">
        <v>56</v>
      </c>
      <c r="B352" t="s">
        <v>37</v>
      </c>
      <c r="C352" t="s">
        <v>37</v>
      </c>
      <c r="D352" t="s">
        <v>38</v>
      </c>
      <c r="E352" s="4">
        <v>1</v>
      </c>
      <c r="F352" s="5">
        <v>210.52</v>
      </c>
      <c r="G352" s="5" t="s">
        <v>39</v>
      </c>
      <c r="H352" s="5">
        <v>336.06</v>
      </c>
      <c r="I352" s="5" t="s">
        <v>39</v>
      </c>
      <c r="J352" s="5">
        <v>7.15768</v>
      </c>
      <c r="K352" s="5">
        <f t="shared" si="15"/>
        <v>7.15768</v>
      </c>
      <c r="L352" s="5">
        <f t="shared" si="16"/>
        <v>210.52</v>
      </c>
      <c r="M352" s="5" t="s">
        <v>39</v>
      </c>
      <c r="N352" s="5">
        <v>7.15768</v>
      </c>
      <c r="O352" s="5" t="s">
        <v>39</v>
      </c>
      <c r="P352" t="s">
        <v>57</v>
      </c>
      <c r="Q352" t="s">
        <v>233</v>
      </c>
      <c r="R352" t="s">
        <v>234</v>
      </c>
      <c r="S352" t="s">
        <v>235</v>
      </c>
      <c r="T352" t="s">
        <v>43</v>
      </c>
      <c r="U352" t="s">
        <v>44</v>
      </c>
      <c r="V352">
        <v>147</v>
      </c>
      <c r="W352" t="s">
        <v>45</v>
      </c>
      <c r="X352" t="s">
        <v>46</v>
      </c>
      <c r="Y352" t="s">
        <v>236</v>
      </c>
      <c r="Z352" t="s">
        <v>37</v>
      </c>
      <c r="AA352" t="s">
        <v>55</v>
      </c>
      <c r="AB352" t="s">
        <v>37</v>
      </c>
      <c r="AC352" s="6" t="s">
        <v>37</v>
      </c>
      <c r="AD352" s="6" t="s">
        <v>37</v>
      </c>
      <c r="AE352" t="s">
        <v>37</v>
      </c>
      <c r="AF352" t="s">
        <v>37</v>
      </c>
      <c r="AG352" s="6" t="s">
        <v>37</v>
      </c>
      <c r="AH352" t="s">
        <v>37</v>
      </c>
      <c r="AI352" t="s">
        <v>37</v>
      </c>
      <c r="AJ352" t="str">
        <f t="shared" si="17"/>
        <v>3GBCH66MB013Y78YY4</v>
      </c>
    </row>
    <row r="353" spans="1:36" ht="15" customHeight="1" x14ac:dyDescent="0.25">
      <c r="A353" t="s">
        <v>96</v>
      </c>
      <c r="B353" t="s">
        <v>37</v>
      </c>
      <c r="C353" t="s">
        <v>37</v>
      </c>
      <c r="D353" t="s">
        <v>38</v>
      </c>
      <c r="E353" s="4">
        <v>32</v>
      </c>
      <c r="F353" s="5">
        <v>1124.1600000000001</v>
      </c>
      <c r="G353" s="5" t="s">
        <v>39</v>
      </c>
      <c r="H353" s="5">
        <v>1704.64</v>
      </c>
      <c r="I353" s="5" t="s">
        <v>39</v>
      </c>
      <c r="J353" s="5">
        <v>38.221440000000001</v>
      </c>
      <c r="K353" s="5">
        <f t="shared" si="15"/>
        <v>1.19442</v>
      </c>
      <c r="L353" s="5">
        <f t="shared" si="16"/>
        <v>35.130000000000003</v>
      </c>
      <c r="M353" s="5" t="s">
        <v>39</v>
      </c>
      <c r="N353" s="5">
        <v>38.221440000000001</v>
      </c>
      <c r="O353" s="5" t="s">
        <v>39</v>
      </c>
      <c r="P353" t="s">
        <v>479</v>
      </c>
      <c r="Q353" t="s">
        <v>927</v>
      </c>
      <c r="R353" t="s">
        <v>37</v>
      </c>
      <c r="S353" t="s">
        <v>928</v>
      </c>
      <c r="T353" t="s">
        <v>43</v>
      </c>
      <c r="U353" t="s">
        <v>44</v>
      </c>
      <c r="V353">
        <v>147</v>
      </c>
      <c r="W353" t="s">
        <v>45</v>
      </c>
      <c r="X353" t="s">
        <v>60</v>
      </c>
      <c r="Y353" t="s">
        <v>929</v>
      </c>
      <c r="Z353" t="s">
        <v>37</v>
      </c>
      <c r="AA353" t="s">
        <v>55</v>
      </c>
      <c r="AB353" t="s">
        <v>37</v>
      </c>
      <c r="AC353" s="6" t="s">
        <v>37</v>
      </c>
      <c r="AD353" s="6" t="s">
        <v>37</v>
      </c>
      <c r="AE353" t="s">
        <v>37</v>
      </c>
      <c r="AF353" t="s">
        <v>37</v>
      </c>
      <c r="AG353" s="6" t="s">
        <v>37</v>
      </c>
      <c r="AH353" t="s">
        <v>37</v>
      </c>
      <c r="AI353" t="s">
        <v>37</v>
      </c>
      <c r="AJ353" t="str">
        <f t="shared" si="17"/>
        <v>7SCVG2OTB00969DJO0</v>
      </c>
    </row>
    <row r="354" spans="1:36" ht="15" customHeight="1" x14ac:dyDescent="0.25">
      <c r="A354" t="s">
        <v>118</v>
      </c>
      <c r="B354" t="s">
        <v>37</v>
      </c>
      <c r="C354" t="s">
        <v>37</v>
      </c>
      <c r="D354" t="s">
        <v>38</v>
      </c>
      <c r="E354" s="4">
        <v>4</v>
      </c>
      <c r="F354" s="5">
        <v>610.67999999999995</v>
      </c>
      <c r="G354" s="5" t="s">
        <v>39</v>
      </c>
      <c r="H354" s="5">
        <v>714.08</v>
      </c>
      <c r="I354" s="5" t="s">
        <v>39</v>
      </c>
      <c r="J354" s="5">
        <v>20.763120000000001</v>
      </c>
      <c r="K354" s="5">
        <f t="shared" si="15"/>
        <v>5.1907800000000002</v>
      </c>
      <c r="L354" s="5">
        <f t="shared" si="16"/>
        <v>152.66999999999999</v>
      </c>
      <c r="M354" s="5" t="s">
        <v>39</v>
      </c>
      <c r="N354" s="5">
        <v>20.763120000000001</v>
      </c>
      <c r="O354" s="5" t="s">
        <v>39</v>
      </c>
      <c r="P354" t="s">
        <v>141</v>
      </c>
      <c r="Q354" t="s">
        <v>848</v>
      </c>
      <c r="R354" t="s">
        <v>37</v>
      </c>
      <c r="S354" t="s">
        <v>849</v>
      </c>
      <c r="T354" t="s">
        <v>43</v>
      </c>
      <c r="U354" t="s">
        <v>44</v>
      </c>
      <c r="V354">
        <v>147</v>
      </c>
      <c r="W354" t="s">
        <v>92</v>
      </c>
      <c r="X354" t="s">
        <v>543</v>
      </c>
      <c r="Y354" t="s">
        <v>850</v>
      </c>
      <c r="Z354" t="s">
        <v>37</v>
      </c>
      <c r="AA354" t="s">
        <v>95</v>
      </c>
      <c r="AB354" t="s">
        <v>37</v>
      </c>
      <c r="AC354" s="6" t="s">
        <v>37</v>
      </c>
      <c r="AD354" s="6" t="s">
        <v>37</v>
      </c>
      <c r="AE354" t="s">
        <v>37</v>
      </c>
      <c r="AF354" t="s">
        <v>37</v>
      </c>
      <c r="AG354" s="6" t="s">
        <v>37</v>
      </c>
      <c r="AH354" t="s">
        <v>37</v>
      </c>
      <c r="AI354" t="s">
        <v>37</v>
      </c>
      <c r="AJ354" t="str">
        <f t="shared" si="17"/>
        <v>56UO2L2IB07W6JPTXG</v>
      </c>
    </row>
    <row r="355" spans="1:36" ht="15" customHeight="1" x14ac:dyDescent="0.25">
      <c r="A355" t="s">
        <v>76</v>
      </c>
      <c r="B355" t="s">
        <v>37</v>
      </c>
      <c r="C355" t="s">
        <v>37</v>
      </c>
      <c r="D355" t="s">
        <v>38</v>
      </c>
      <c r="E355" s="4">
        <v>304</v>
      </c>
      <c r="F355" s="5">
        <v>20985.119999999999</v>
      </c>
      <c r="G355" s="5" t="s">
        <v>39</v>
      </c>
      <c r="H355" s="5">
        <v>32144.959999999999</v>
      </c>
      <c r="I355" s="5" t="s">
        <v>39</v>
      </c>
      <c r="J355" s="5">
        <v>713.49408000000005</v>
      </c>
      <c r="K355" s="5">
        <f t="shared" si="15"/>
        <v>2.3470200000000001</v>
      </c>
      <c r="L355" s="5">
        <f t="shared" si="16"/>
        <v>69.03</v>
      </c>
      <c r="M355" s="5" t="s">
        <v>39</v>
      </c>
      <c r="N355" s="5">
        <v>713.49408000000005</v>
      </c>
      <c r="O355" s="5" t="s">
        <v>39</v>
      </c>
      <c r="P355" t="s">
        <v>177</v>
      </c>
      <c r="Q355" t="s">
        <v>328</v>
      </c>
      <c r="R355" t="s">
        <v>37</v>
      </c>
      <c r="S355" t="s">
        <v>329</v>
      </c>
      <c r="T355" t="s">
        <v>43</v>
      </c>
      <c r="U355" t="s">
        <v>44</v>
      </c>
      <c r="V355">
        <v>147</v>
      </c>
      <c r="W355" t="s">
        <v>45</v>
      </c>
      <c r="X355" t="s">
        <v>239</v>
      </c>
      <c r="Y355" t="s">
        <v>330</v>
      </c>
      <c r="Z355" t="s">
        <v>37</v>
      </c>
      <c r="AA355" t="s">
        <v>55</v>
      </c>
      <c r="AB355" t="s">
        <v>37</v>
      </c>
      <c r="AC355" s="6" t="s">
        <v>37</v>
      </c>
      <c r="AD355" s="6" t="s">
        <v>37</v>
      </c>
      <c r="AE355" t="s">
        <v>37</v>
      </c>
      <c r="AF355" t="s">
        <v>37</v>
      </c>
      <c r="AG355" s="6" t="s">
        <v>37</v>
      </c>
      <c r="AH355" t="s">
        <v>37</v>
      </c>
      <c r="AI355" t="s">
        <v>37</v>
      </c>
      <c r="AJ355" t="str">
        <f t="shared" si="17"/>
        <v>4F3XMHTVB07MM4V7NR</v>
      </c>
    </row>
    <row r="356" spans="1:36" ht="15" customHeight="1" x14ac:dyDescent="0.25">
      <c r="A356" t="s">
        <v>101</v>
      </c>
      <c r="B356" t="s">
        <v>37</v>
      </c>
      <c r="C356" t="s">
        <v>37</v>
      </c>
      <c r="D356" t="s">
        <v>38</v>
      </c>
      <c r="E356" s="4">
        <v>220</v>
      </c>
      <c r="F356" s="5">
        <v>3605.8</v>
      </c>
      <c r="G356" s="5" t="s">
        <v>39</v>
      </c>
      <c r="H356" s="5">
        <v>5407.6</v>
      </c>
      <c r="I356" s="5" t="s">
        <v>39</v>
      </c>
      <c r="J356" s="5">
        <v>122.5972</v>
      </c>
      <c r="K356" s="5">
        <f t="shared" si="15"/>
        <v>0.55725999999999998</v>
      </c>
      <c r="L356" s="5">
        <f t="shared" si="16"/>
        <v>16.39</v>
      </c>
      <c r="M356" s="5" t="s">
        <v>39</v>
      </c>
      <c r="N356" s="5">
        <v>122.5972</v>
      </c>
      <c r="O356" s="5" t="s">
        <v>39</v>
      </c>
      <c r="P356" t="s">
        <v>102</v>
      </c>
      <c r="Q356" t="s">
        <v>930</v>
      </c>
      <c r="R356" t="s">
        <v>37</v>
      </c>
      <c r="S356" t="s">
        <v>931</v>
      </c>
      <c r="T356" t="s">
        <v>43</v>
      </c>
      <c r="U356" t="s">
        <v>44</v>
      </c>
      <c r="V356">
        <v>147</v>
      </c>
      <c r="W356" t="s">
        <v>45</v>
      </c>
      <c r="X356" t="s">
        <v>53</v>
      </c>
      <c r="Y356" t="s">
        <v>932</v>
      </c>
      <c r="Z356" t="s">
        <v>37</v>
      </c>
      <c r="AA356" t="s">
        <v>48</v>
      </c>
      <c r="AB356" t="s">
        <v>37</v>
      </c>
      <c r="AC356" s="6" t="s">
        <v>37</v>
      </c>
      <c r="AD356" s="6" t="s">
        <v>37</v>
      </c>
      <c r="AE356" t="s">
        <v>37</v>
      </c>
      <c r="AF356" t="s">
        <v>37</v>
      </c>
      <c r="AG356" s="6" t="s">
        <v>37</v>
      </c>
      <c r="AH356" t="s">
        <v>37</v>
      </c>
      <c r="AI356" t="s">
        <v>37</v>
      </c>
      <c r="AJ356" t="str">
        <f t="shared" si="17"/>
        <v>2M7QFTCOB01K7GEFWK</v>
      </c>
    </row>
    <row r="357" spans="1:36" ht="15" customHeight="1" x14ac:dyDescent="0.25">
      <c r="A357" t="s">
        <v>96</v>
      </c>
      <c r="B357" t="s">
        <v>37</v>
      </c>
      <c r="C357" t="s">
        <v>37</v>
      </c>
      <c r="D357" t="s">
        <v>38</v>
      </c>
      <c r="E357" s="4">
        <v>16</v>
      </c>
      <c r="F357" s="5">
        <v>1764.32</v>
      </c>
      <c r="G357" s="5" t="s">
        <v>39</v>
      </c>
      <c r="H357" s="5">
        <v>1764.32</v>
      </c>
      <c r="I357" s="5" t="s">
        <v>39</v>
      </c>
      <c r="J357" s="5">
        <v>59.986879999999999</v>
      </c>
      <c r="K357" s="5">
        <f t="shared" si="15"/>
        <v>3.74918</v>
      </c>
      <c r="L357" s="5">
        <f t="shared" si="16"/>
        <v>110.27</v>
      </c>
      <c r="M357" s="5" t="s">
        <v>39</v>
      </c>
      <c r="N357" s="5">
        <v>59.986879999999999</v>
      </c>
      <c r="O357" s="5" t="s">
        <v>39</v>
      </c>
      <c r="P357" t="s">
        <v>195</v>
      </c>
      <c r="Q357" t="s">
        <v>933</v>
      </c>
      <c r="R357" t="s">
        <v>37</v>
      </c>
      <c r="S357" t="s">
        <v>934</v>
      </c>
      <c r="T357" t="s">
        <v>318</v>
      </c>
      <c r="U357" t="s">
        <v>44</v>
      </c>
      <c r="V357">
        <v>147</v>
      </c>
      <c r="W357" t="s">
        <v>45</v>
      </c>
      <c r="X357" t="s">
        <v>60</v>
      </c>
      <c r="Y357" t="s">
        <v>935</v>
      </c>
      <c r="Z357" t="s">
        <v>37</v>
      </c>
      <c r="AA357" t="s">
        <v>55</v>
      </c>
      <c r="AB357" t="s">
        <v>37</v>
      </c>
      <c r="AC357" s="6" t="s">
        <v>37</v>
      </c>
      <c r="AD357" s="6" t="s">
        <v>37</v>
      </c>
      <c r="AE357" t="s">
        <v>37</v>
      </c>
      <c r="AF357" t="s">
        <v>37</v>
      </c>
      <c r="AG357" s="6" t="s">
        <v>37</v>
      </c>
      <c r="AH357" t="s">
        <v>37</v>
      </c>
      <c r="AI357" t="s">
        <v>37</v>
      </c>
      <c r="AJ357" t="str">
        <f t="shared" si="17"/>
        <v>5X1OU9ZGB07W6H4R4J</v>
      </c>
    </row>
    <row r="358" spans="1:36" ht="15" customHeight="1" x14ac:dyDescent="0.25">
      <c r="A358" t="s">
        <v>56</v>
      </c>
      <c r="B358" t="s">
        <v>37</v>
      </c>
      <c r="C358" t="s">
        <v>37</v>
      </c>
      <c r="D358" t="s">
        <v>38</v>
      </c>
      <c r="E358" s="4">
        <v>16</v>
      </c>
      <c r="F358" s="5">
        <v>1088.96</v>
      </c>
      <c r="G358" s="5" t="s">
        <v>39</v>
      </c>
      <c r="H358" s="5">
        <v>2224</v>
      </c>
      <c r="I358" s="5" t="s">
        <v>39</v>
      </c>
      <c r="J358" s="5">
        <v>37.024639999999998</v>
      </c>
      <c r="K358" s="5">
        <f t="shared" si="15"/>
        <v>2.3140399999999999</v>
      </c>
      <c r="L358" s="5">
        <f t="shared" si="16"/>
        <v>68.06</v>
      </c>
      <c r="M358" s="5" t="s">
        <v>39</v>
      </c>
      <c r="N358" s="5">
        <v>37.024639999999998</v>
      </c>
      <c r="O358" s="5" t="s">
        <v>39</v>
      </c>
      <c r="P358" t="s">
        <v>936</v>
      </c>
      <c r="Q358" t="s">
        <v>708</v>
      </c>
      <c r="R358" t="s">
        <v>37</v>
      </c>
      <c r="S358" t="s">
        <v>709</v>
      </c>
      <c r="T358" t="s">
        <v>43</v>
      </c>
      <c r="U358" t="s">
        <v>44</v>
      </c>
      <c r="V358">
        <v>147</v>
      </c>
      <c r="W358" t="s">
        <v>45</v>
      </c>
      <c r="X358" t="s">
        <v>46</v>
      </c>
      <c r="Y358" t="s">
        <v>710</v>
      </c>
      <c r="Z358" t="s">
        <v>37</v>
      </c>
      <c r="AA358" t="s">
        <v>55</v>
      </c>
      <c r="AB358" t="s">
        <v>37</v>
      </c>
      <c r="AC358" s="6" t="s">
        <v>37</v>
      </c>
      <c r="AD358" s="6" t="s">
        <v>37</v>
      </c>
      <c r="AE358" t="s">
        <v>37</v>
      </c>
      <c r="AF358" t="s">
        <v>37</v>
      </c>
      <c r="AG358" s="6" t="s">
        <v>37</v>
      </c>
      <c r="AH358" t="s">
        <v>37</v>
      </c>
      <c r="AI358" t="s">
        <v>37</v>
      </c>
      <c r="AJ358" t="str">
        <f t="shared" si="17"/>
        <v>6QK5MDWIB07W5JKKX9</v>
      </c>
    </row>
    <row r="359" spans="1:36" ht="15" customHeight="1" x14ac:dyDescent="0.25">
      <c r="A359" t="s">
        <v>56</v>
      </c>
      <c r="B359" t="s">
        <v>37</v>
      </c>
      <c r="C359" t="s">
        <v>37</v>
      </c>
      <c r="D359" t="s">
        <v>38</v>
      </c>
      <c r="E359" s="4">
        <v>20</v>
      </c>
      <c r="F359" s="5">
        <v>187.2</v>
      </c>
      <c r="G359" s="5" t="s">
        <v>39</v>
      </c>
      <c r="H359" s="5">
        <v>278.60000000000002</v>
      </c>
      <c r="I359" s="5" t="s">
        <v>39</v>
      </c>
      <c r="J359" s="5">
        <v>6.3647999999999998</v>
      </c>
      <c r="K359" s="5">
        <f t="shared" si="15"/>
        <v>0.31823999999999997</v>
      </c>
      <c r="L359" s="5">
        <f t="shared" si="16"/>
        <v>9.36</v>
      </c>
      <c r="M359" s="5" t="s">
        <v>39</v>
      </c>
      <c r="N359" s="5">
        <v>6.3647999999999998</v>
      </c>
      <c r="O359" s="5" t="s">
        <v>39</v>
      </c>
      <c r="P359" t="s">
        <v>937</v>
      </c>
      <c r="Q359" t="s">
        <v>938</v>
      </c>
      <c r="R359" t="s">
        <v>37</v>
      </c>
      <c r="S359" t="s">
        <v>939</v>
      </c>
      <c r="T359" t="s">
        <v>43</v>
      </c>
      <c r="U359" t="s">
        <v>44</v>
      </c>
      <c r="V359">
        <v>147</v>
      </c>
      <c r="W359" t="s">
        <v>45</v>
      </c>
      <c r="X359" t="s">
        <v>60</v>
      </c>
      <c r="Y359" t="s">
        <v>940</v>
      </c>
      <c r="Z359" t="s">
        <v>37</v>
      </c>
      <c r="AA359" t="s">
        <v>55</v>
      </c>
      <c r="AB359" t="s">
        <v>37</v>
      </c>
      <c r="AC359" s="6" t="s">
        <v>37</v>
      </c>
      <c r="AD359" s="6" t="s">
        <v>37</v>
      </c>
      <c r="AE359" t="s">
        <v>37</v>
      </c>
      <c r="AF359" t="s">
        <v>37</v>
      </c>
      <c r="AG359" s="6" t="s">
        <v>37</v>
      </c>
      <c r="AH359" t="s">
        <v>37</v>
      </c>
      <c r="AI359" t="s">
        <v>37</v>
      </c>
      <c r="AJ359" t="str">
        <f t="shared" si="17"/>
        <v>8949MU8ZB0072AEZJI</v>
      </c>
    </row>
    <row r="360" spans="1:36" ht="15" customHeight="1" x14ac:dyDescent="0.25">
      <c r="A360" t="s">
        <v>36</v>
      </c>
      <c r="B360" t="s">
        <v>37</v>
      </c>
      <c r="C360" t="s">
        <v>37</v>
      </c>
      <c r="D360" t="s">
        <v>38</v>
      </c>
      <c r="E360" s="4">
        <v>4</v>
      </c>
      <c r="F360" s="5">
        <v>211.04</v>
      </c>
      <c r="G360" s="5" t="s">
        <v>39</v>
      </c>
      <c r="H360" s="5">
        <v>340.96</v>
      </c>
      <c r="I360" s="5" t="s">
        <v>39</v>
      </c>
      <c r="J360" s="5">
        <v>7.1753600000000004</v>
      </c>
      <c r="K360" s="5">
        <f t="shared" si="15"/>
        <v>1.7938400000000001</v>
      </c>
      <c r="L360" s="5">
        <f t="shared" si="16"/>
        <v>52.76</v>
      </c>
      <c r="M360" s="5" t="s">
        <v>39</v>
      </c>
      <c r="N360" s="5">
        <v>7.1753600000000004</v>
      </c>
      <c r="O360" s="5" t="s">
        <v>39</v>
      </c>
      <c r="P360" t="s">
        <v>168</v>
      </c>
      <c r="Q360" t="s">
        <v>304</v>
      </c>
      <c r="R360" t="s">
        <v>37</v>
      </c>
      <c r="S360" t="s">
        <v>305</v>
      </c>
      <c r="T360" t="s">
        <v>43</v>
      </c>
      <c r="U360" t="s">
        <v>44</v>
      </c>
      <c r="V360">
        <v>63</v>
      </c>
      <c r="W360" t="s">
        <v>45</v>
      </c>
      <c r="X360" t="s">
        <v>46</v>
      </c>
      <c r="Y360" t="s">
        <v>306</v>
      </c>
      <c r="Z360" t="s">
        <v>37</v>
      </c>
      <c r="AA360" t="s">
        <v>307</v>
      </c>
      <c r="AB360" t="s">
        <v>37</v>
      </c>
      <c r="AC360" s="6" t="s">
        <v>37</v>
      </c>
      <c r="AD360" s="6" t="s">
        <v>37</v>
      </c>
      <c r="AE360" t="s">
        <v>37</v>
      </c>
      <c r="AF360" t="s">
        <v>37</v>
      </c>
      <c r="AG360" s="6" t="s">
        <v>37</v>
      </c>
      <c r="AH360" t="s">
        <v>37</v>
      </c>
      <c r="AI360" t="s">
        <v>37</v>
      </c>
      <c r="AJ360" t="str">
        <f t="shared" si="17"/>
        <v>2R6FMUZDB07W6JGH8Z</v>
      </c>
    </row>
    <row r="361" spans="1:36" ht="15" customHeight="1" x14ac:dyDescent="0.25">
      <c r="A361" t="s">
        <v>62</v>
      </c>
      <c r="B361" t="s">
        <v>37</v>
      </c>
      <c r="C361" t="s">
        <v>37</v>
      </c>
      <c r="D361" t="s">
        <v>38</v>
      </c>
      <c r="E361" s="4">
        <v>8</v>
      </c>
      <c r="F361" s="5">
        <v>552.24</v>
      </c>
      <c r="G361" s="5" t="s">
        <v>39</v>
      </c>
      <c r="H361" s="5">
        <v>845.92</v>
      </c>
      <c r="I361" s="5" t="s">
        <v>39</v>
      </c>
      <c r="J361" s="5">
        <v>18.776160000000001</v>
      </c>
      <c r="K361" s="5">
        <f t="shared" si="15"/>
        <v>2.3470200000000001</v>
      </c>
      <c r="L361" s="5">
        <f t="shared" si="16"/>
        <v>69.03</v>
      </c>
      <c r="M361" s="5" t="s">
        <v>39</v>
      </c>
      <c r="N361" s="5">
        <v>18.776160000000001</v>
      </c>
      <c r="O361" s="5" t="s">
        <v>39</v>
      </c>
      <c r="P361" t="s">
        <v>177</v>
      </c>
      <c r="Q361" t="s">
        <v>328</v>
      </c>
      <c r="R361" t="s">
        <v>37</v>
      </c>
      <c r="S361" t="s">
        <v>329</v>
      </c>
      <c r="T361" t="s">
        <v>43</v>
      </c>
      <c r="U361" t="s">
        <v>44</v>
      </c>
      <c r="V361">
        <v>147</v>
      </c>
      <c r="W361" t="s">
        <v>45</v>
      </c>
      <c r="X361" t="s">
        <v>239</v>
      </c>
      <c r="Y361" t="s">
        <v>330</v>
      </c>
      <c r="Z361" t="s">
        <v>37</v>
      </c>
      <c r="AA361" t="s">
        <v>55</v>
      </c>
      <c r="AB361" t="s">
        <v>37</v>
      </c>
      <c r="AC361" s="6" t="s">
        <v>37</v>
      </c>
      <c r="AD361" s="6" t="s">
        <v>37</v>
      </c>
      <c r="AE361" t="s">
        <v>37</v>
      </c>
      <c r="AF361" t="s">
        <v>37</v>
      </c>
      <c r="AG361" s="6" t="s">
        <v>37</v>
      </c>
      <c r="AH361" t="s">
        <v>37</v>
      </c>
      <c r="AI361" t="s">
        <v>37</v>
      </c>
      <c r="AJ361" t="str">
        <f t="shared" si="17"/>
        <v>4F3XMHTVB07MM4V7NR</v>
      </c>
    </row>
    <row r="362" spans="1:36" ht="15" customHeight="1" x14ac:dyDescent="0.25">
      <c r="A362" t="s">
        <v>101</v>
      </c>
      <c r="B362" t="s">
        <v>37</v>
      </c>
      <c r="C362" t="s">
        <v>37</v>
      </c>
      <c r="D362" t="s">
        <v>38</v>
      </c>
      <c r="E362" s="4">
        <v>16</v>
      </c>
      <c r="F362" s="5">
        <v>206.08</v>
      </c>
      <c r="G362" s="5" t="s">
        <v>39</v>
      </c>
      <c r="H362" s="5">
        <v>206.08</v>
      </c>
      <c r="I362" s="5" t="s">
        <v>39</v>
      </c>
      <c r="J362" s="5">
        <v>7.0067199999999996</v>
      </c>
      <c r="K362" s="5">
        <f t="shared" si="15"/>
        <v>0.43791999999999998</v>
      </c>
      <c r="L362" s="5">
        <f t="shared" si="16"/>
        <v>12.88</v>
      </c>
      <c r="M362" s="5" t="s">
        <v>39</v>
      </c>
      <c r="N362" s="5">
        <v>7.0067199999999996</v>
      </c>
      <c r="O362" s="5" t="s">
        <v>39</v>
      </c>
      <c r="P362" t="s">
        <v>72</v>
      </c>
      <c r="Q362" t="s">
        <v>923</v>
      </c>
      <c r="R362" t="s">
        <v>37</v>
      </c>
      <c r="S362" t="s">
        <v>924</v>
      </c>
      <c r="T362" t="s">
        <v>43</v>
      </c>
      <c r="U362" t="s">
        <v>44</v>
      </c>
      <c r="V362">
        <v>147</v>
      </c>
      <c r="W362" t="s">
        <v>45</v>
      </c>
      <c r="X362" t="s">
        <v>53</v>
      </c>
      <c r="Y362" t="s">
        <v>925</v>
      </c>
      <c r="Z362" t="s">
        <v>926</v>
      </c>
      <c r="AA362" t="s">
        <v>48</v>
      </c>
      <c r="AB362" t="s">
        <v>37</v>
      </c>
      <c r="AC362" s="6" t="s">
        <v>37</v>
      </c>
      <c r="AD362" s="6" t="s">
        <v>37</v>
      </c>
      <c r="AE362" t="s">
        <v>37</v>
      </c>
      <c r="AF362" t="s">
        <v>37</v>
      </c>
      <c r="AG362" s="6" t="s">
        <v>37</v>
      </c>
      <c r="AH362" t="s">
        <v>37</v>
      </c>
      <c r="AI362" t="s">
        <v>37</v>
      </c>
      <c r="AJ362" t="str">
        <f t="shared" si="17"/>
        <v>4GF112AEB00745IE0W</v>
      </c>
    </row>
    <row r="363" spans="1:36" ht="15" customHeight="1" x14ac:dyDescent="0.25">
      <c r="A363" t="s">
        <v>162</v>
      </c>
      <c r="B363" t="s">
        <v>37</v>
      </c>
      <c r="C363" t="s">
        <v>37</v>
      </c>
      <c r="D363" t="s">
        <v>38</v>
      </c>
      <c r="E363" s="4">
        <v>10</v>
      </c>
      <c r="F363" s="5">
        <v>163.9</v>
      </c>
      <c r="G363" s="5" t="s">
        <v>39</v>
      </c>
      <c r="H363" s="5">
        <v>213</v>
      </c>
      <c r="I363" s="5" t="s">
        <v>39</v>
      </c>
      <c r="J363" s="5">
        <v>5.5726000000000004</v>
      </c>
      <c r="K363" s="5">
        <f t="shared" si="15"/>
        <v>0.55726000000000009</v>
      </c>
      <c r="L363" s="5">
        <f t="shared" si="16"/>
        <v>16.39</v>
      </c>
      <c r="M363" s="5" t="s">
        <v>39</v>
      </c>
      <c r="N363" s="5">
        <v>5.5726000000000004</v>
      </c>
      <c r="O363" s="5" t="s">
        <v>39</v>
      </c>
      <c r="P363" t="s">
        <v>128</v>
      </c>
      <c r="Q363" t="s">
        <v>941</v>
      </c>
      <c r="R363" t="s">
        <v>37</v>
      </c>
      <c r="S363" t="s">
        <v>942</v>
      </c>
      <c r="T363" t="s">
        <v>43</v>
      </c>
      <c r="U363" t="s">
        <v>44</v>
      </c>
      <c r="V363">
        <v>147</v>
      </c>
      <c r="W363" t="s">
        <v>45</v>
      </c>
      <c r="X363" t="s">
        <v>53</v>
      </c>
      <c r="Y363" t="s">
        <v>943</v>
      </c>
      <c r="Z363" t="s">
        <v>37</v>
      </c>
      <c r="AA363" t="s">
        <v>55</v>
      </c>
      <c r="AB363" t="s">
        <v>37</v>
      </c>
      <c r="AC363" s="6" t="s">
        <v>37</v>
      </c>
      <c r="AD363" s="6" t="s">
        <v>37</v>
      </c>
      <c r="AE363" t="s">
        <v>37</v>
      </c>
      <c r="AF363" t="s">
        <v>37</v>
      </c>
      <c r="AG363" s="6" t="s">
        <v>37</v>
      </c>
      <c r="AH363" t="s">
        <v>37</v>
      </c>
      <c r="AI363" t="s">
        <v>37</v>
      </c>
      <c r="AJ363" t="str">
        <f t="shared" si="17"/>
        <v>7RAC5F9EB07VFJT9NM</v>
      </c>
    </row>
    <row r="364" spans="1:36" ht="15" customHeight="1" x14ac:dyDescent="0.25">
      <c r="A364" t="s">
        <v>411</v>
      </c>
      <c r="B364" t="s">
        <v>37</v>
      </c>
      <c r="C364" t="s">
        <v>37</v>
      </c>
      <c r="D364" t="s">
        <v>38</v>
      </c>
      <c r="E364" s="4">
        <v>40</v>
      </c>
      <c r="F364" s="5">
        <v>5677.2</v>
      </c>
      <c r="G364" s="5" t="s">
        <v>39</v>
      </c>
      <c r="H364" s="5">
        <v>9475.6</v>
      </c>
      <c r="I364" s="5" t="s">
        <v>39</v>
      </c>
      <c r="J364" s="5">
        <v>193.0248</v>
      </c>
      <c r="K364" s="5">
        <f t="shared" si="15"/>
        <v>4.8256199999999998</v>
      </c>
      <c r="L364" s="5">
        <f t="shared" si="16"/>
        <v>141.93</v>
      </c>
      <c r="M364" s="5" t="s">
        <v>39</v>
      </c>
      <c r="N364" s="5">
        <v>193.0248</v>
      </c>
      <c r="O364" s="5" t="s">
        <v>39</v>
      </c>
      <c r="P364" t="s">
        <v>505</v>
      </c>
      <c r="Q364" t="s">
        <v>944</v>
      </c>
      <c r="R364" t="s">
        <v>37</v>
      </c>
      <c r="S364" t="s">
        <v>945</v>
      </c>
      <c r="T364" t="s">
        <v>946</v>
      </c>
      <c r="U364" t="s">
        <v>44</v>
      </c>
      <c r="V364">
        <v>147</v>
      </c>
      <c r="W364" t="s">
        <v>45</v>
      </c>
      <c r="X364" t="s">
        <v>60</v>
      </c>
      <c r="Y364" t="s">
        <v>947</v>
      </c>
      <c r="Z364" t="s">
        <v>37</v>
      </c>
      <c r="AA364" t="s">
        <v>55</v>
      </c>
      <c r="AB364" t="s">
        <v>37</v>
      </c>
      <c r="AC364" s="6" t="s">
        <v>37</v>
      </c>
      <c r="AD364" s="6" t="s">
        <v>37</v>
      </c>
      <c r="AE364" t="s">
        <v>37</v>
      </c>
      <c r="AF364" t="s">
        <v>37</v>
      </c>
      <c r="AG364" s="6" t="s">
        <v>37</v>
      </c>
      <c r="AH364" t="s">
        <v>37</v>
      </c>
      <c r="AI364" t="s">
        <v>37</v>
      </c>
      <c r="AJ364" t="str">
        <f t="shared" si="17"/>
        <v>6UZZHR2WB07W7LNC8W</v>
      </c>
    </row>
    <row r="365" spans="1:36" ht="15" customHeight="1" x14ac:dyDescent="0.25">
      <c r="A365" t="s">
        <v>118</v>
      </c>
      <c r="B365" t="s">
        <v>37</v>
      </c>
      <c r="C365" t="s">
        <v>37</v>
      </c>
      <c r="D365" t="s">
        <v>38</v>
      </c>
      <c r="E365" s="4">
        <v>20</v>
      </c>
      <c r="F365" s="5">
        <v>1380.6</v>
      </c>
      <c r="G365" s="5" t="s">
        <v>39</v>
      </c>
      <c r="H365" s="5">
        <v>2114.8000000000002</v>
      </c>
      <c r="I365" s="5" t="s">
        <v>39</v>
      </c>
      <c r="J365" s="5">
        <v>46.940399999999997</v>
      </c>
      <c r="K365" s="5">
        <f t="shared" si="15"/>
        <v>2.3470199999999997</v>
      </c>
      <c r="L365" s="5">
        <f t="shared" si="16"/>
        <v>69.03</v>
      </c>
      <c r="M365" s="5" t="s">
        <v>39</v>
      </c>
      <c r="N365" s="5">
        <v>46.940399999999997</v>
      </c>
      <c r="O365" s="5" t="s">
        <v>39</v>
      </c>
      <c r="P365" t="s">
        <v>141</v>
      </c>
      <c r="Q365" t="s">
        <v>948</v>
      </c>
      <c r="R365" t="s">
        <v>37</v>
      </c>
      <c r="S365" t="s">
        <v>949</v>
      </c>
      <c r="T365" t="s">
        <v>43</v>
      </c>
      <c r="U365" t="s">
        <v>44</v>
      </c>
      <c r="V365">
        <v>147</v>
      </c>
      <c r="W365" t="s">
        <v>45</v>
      </c>
      <c r="X365" t="s">
        <v>60</v>
      </c>
      <c r="Y365" t="s">
        <v>950</v>
      </c>
      <c r="Z365" t="s">
        <v>37</v>
      </c>
      <c r="AA365" t="s">
        <v>55</v>
      </c>
      <c r="AB365" t="s">
        <v>37</v>
      </c>
      <c r="AC365" s="6" t="s">
        <v>37</v>
      </c>
      <c r="AD365" s="6" t="s">
        <v>37</v>
      </c>
      <c r="AE365" t="s">
        <v>37</v>
      </c>
      <c r="AF365" t="s">
        <v>37</v>
      </c>
      <c r="AG365" s="6" t="s">
        <v>37</v>
      </c>
      <c r="AH365" t="s">
        <v>37</v>
      </c>
      <c r="AI365" t="s">
        <v>37</v>
      </c>
      <c r="AJ365" t="str">
        <f t="shared" si="17"/>
        <v>56UO2L2IB07W5JKNB9</v>
      </c>
    </row>
    <row r="366" spans="1:36" ht="15" customHeight="1" x14ac:dyDescent="0.25">
      <c r="A366" t="s">
        <v>96</v>
      </c>
      <c r="B366" t="s">
        <v>37</v>
      </c>
      <c r="C366" t="s">
        <v>37</v>
      </c>
      <c r="D366" t="s">
        <v>38</v>
      </c>
      <c r="E366" s="4">
        <v>40</v>
      </c>
      <c r="F366" s="5">
        <v>1288.4000000000001</v>
      </c>
      <c r="G366" s="5" t="s">
        <v>39</v>
      </c>
      <c r="H366" s="5">
        <v>1934</v>
      </c>
      <c r="I366" s="5" t="s">
        <v>39</v>
      </c>
      <c r="J366" s="5">
        <v>43.805599999999998</v>
      </c>
      <c r="K366" s="5">
        <f t="shared" si="15"/>
        <v>1.09514</v>
      </c>
      <c r="L366" s="5">
        <f t="shared" si="16"/>
        <v>32.21</v>
      </c>
      <c r="M366" s="5" t="s">
        <v>39</v>
      </c>
      <c r="N366" s="5">
        <v>43.805599999999998</v>
      </c>
      <c r="O366" s="5" t="s">
        <v>39</v>
      </c>
      <c r="P366" t="s">
        <v>222</v>
      </c>
      <c r="Q366" t="s">
        <v>951</v>
      </c>
      <c r="R366" t="s">
        <v>37</v>
      </c>
      <c r="S366" t="s">
        <v>952</v>
      </c>
      <c r="T366" t="s">
        <v>43</v>
      </c>
      <c r="U366" t="s">
        <v>44</v>
      </c>
      <c r="V366">
        <v>147</v>
      </c>
      <c r="W366" t="s">
        <v>45</v>
      </c>
      <c r="X366" t="s">
        <v>60</v>
      </c>
      <c r="Y366" t="s">
        <v>953</v>
      </c>
      <c r="Z366" t="s">
        <v>37</v>
      </c>
      <c r="AA366" t="s">
        <v>55</v>
      </c>
      <c r="AB366" t="s">
        <v>37</v>
      </c>
      <c r="AC366" s="6" t="s">
        <v>37</v>
      </c>
      <c r="AD366" s="6" t="s">
        <v>37</v>
      </c>
      <c r="AE366" t="s">
        <v>37</v>
      </c>
      <c r="AF366" t="s">
        <v>37</v>
      </c>
      <c r="AG366" s="6" t="s">
        <v>37</v>
      </c>
      <c r="AH366" t="s">
        <v>37</v>
      </c>
      <c r="AI366" t="s">
        <v>37</v>
      </c>
      <c r="AJ366" t="str">
        <f t="shared" si="17"/>
        <v>2F7Y5WIXB07W5JHF5D</v>
      </c>
    </row>
    <row r="367" spans="1:36" ht="15" customHeight="1" x14ac:dyDescent="0.25">
      <c r="A367" t="s">
        <v>36</v>
      </c>
      <c r="B367" t="s">
        <v>37</v>
      </c>
      <c r="C367" t="s">
        <v>37</v>
      </c>
      <c r="D367" t="s">
        <v>38</v>
      </c>
      <c r="E367" s="4">
        <v>120</v>
      </c>
      <c r="F367" s="5">
        <v>1966.8</v>
      </c>
      <c r="G367" s="5" t="s">
        <v>39</v>
      </c>
      <c r="H367" s="5">
        <v>2556</v>
      </c>
      <c r="I367" s="5" t="s">
        <v>39</v>
      </c>
      <c r="J367" s="5">
        <v>66.871200000000002</v>
      </c>
      <c r="K367" s="5">
        <f t="shared" si="15"/>
        <v>0.55725999999999998</v>
      </c>
      <c r="L367" s="5">
        <f t="shared" si="16"/>
        <v>16.39</v>
      </c>
      <c r="M367" s="5" t="s">
        <v>39</v>
      </c>
      <c r="N367" s="5">
        <v>66.871200000000002</v>
      </c>
      <c r="O367" s="5" t="s">
        <v>39</v>
      </c>
      <c r="P367" t="s">
        <v>128</v>
      </c>
      <c r="Q367" t="s">
        <v>941</v>
      </c>
      <c r="R367" t="s">
        <v>37</v>
      </c>
      <c r="S367" t="s">
        <v>942</v>
      </c>
      <c r="T367" t="s">
        <v>43</v>
      </c>
      <c r="U367" t="s">
        <v>44</v>
      </c>
      <c r="V367">
        <v>147</v>
      </c>
      <c r="W367" t="s">
        <v>45</v>
      </c>
      <c r="X367" t="s">
        <v>53</v>
      </c>
      <c r="Y367" t="s">
        <v>943</v>
      </c>
      <c r="Z367" t="s">
        <v>37</v>
      </c>
      <c r="AA367" t="s">
        <v>55</v>
      </c>
      <c r="AB367" t="s">
        <v>37</v>
      </c>
      <c r="AC367" s="6" t="s">
        <v>37</v>
      </c>
      <c r="AD367" s="6" t="s">
        <v>37</v>
      </c>
      <c r="AE367" t="s">
        <v>37</v>
      </c>
      <c r="AF367" t="s">
        <v>37</v>
      </c>
      <c r="AG367" s="6" t="s">
        <v>37</v>
      </c>
      <c r="AH367" t="s">
        <v>37</v>
      </c>
      <c r="AI367" t="s">
        <v>37</v>
      </c>
      <c r="AJ367" t="str">
        <f t="shared" si="17"/>
        <v>7RAC5F9EB07VFJT9NM</v>
      </c>
    </row>
    <row r="368" spans="1:36" ht="15" customHeight="1" x14ac:dyDescent="0.25">
      <c r="A368" t="s">
        <v>118</v>
      </c>
      <c r="B368" t="s">
        <v>37</v>
      </c>
      <c r="C368" t="s">
        <v>37</v>
      </c>
      <c r="D368" t="s">
        <v>38</v>
      </c>
      <c r="E368" s="4">
        <v>30</v>
      </c>
      <c r="F368" s="5">
        <v>4732.8</v>
      </c>
      <c r="G368" s="5" t="s">
        <v>39</v>
      </c>
      <c r="H368" s="5">
        <v>7844.4</v>
      </c>
      <c r="I368" s="5" t="s">
        <v>39</v>
      </c>
      <c r="J368" s="5">
        <v>160.9152</v>
      </c>
      <c r="K368" s="5">
        <f t="shared" si="15"/>
        <v>5.3638399999999997</v>
      </c>
      <c r="L368" s="5">
        <f t="shared" si="16"/>
        <v>157.76000000000002</v>
      </c>
      <c r="M368" s="5" t="s">
        <v>39</v>
      </c>
      <c r="N368" s="5">
        <v>160.9152</v>
      </c>
      <c r="O368" s="5" t="s">
        <v>39</v>
      </c>
      <c r="P368" t="s">
        <v>119</v>
      </c>
      <c r="Q368" t="s">
        <v>41</v>
      </c>
      <c r="R368" t="s">
        <v>37</v>
      </c>
      <c r="S368" t="s">
        <v>42</v>
      </c>
      <c r="T368" t="s">
        <v>43</v>
      </c>
      <c r="U368" t="s">
        <v>44</v>
      </c>
      <c r="V368">
        <v>147</v>
      </c>
      <c r="W368" t="s">
        <v>45</v>
      </c>
      <c r="X368" t="s">
        <v>46</v>
      </c>
      <c r="Y368" t="s">
        <v>47</v>
      </c>
      <c r="Z368" t="s">
        <v>37</v>
      </c>
      <c r="AA368" t="s">
        <v>48</v>
      </c>
      <c r="AB368" t="s">
        <v>37</v>
      </c>
      <c r="AC368" s="6" t="s">
        <v>37</v>
      </c>
      <c r="AD368" s="6" t="s">
        <v>37</v>
      </c>
      <c r="AE368" t="s">
        <v>37</v>
      </c>
      <c r="AF368" t="s">
        <v>37</v>
      </c>
      <c r="AG368" s="6" t="s">
        <v>37</v>
      </c>
      <c r="AH368" t="s">
        <v>37</v>
      </c>
      <c r="AI368" t="s">
        <v>37</v>
      </c>
      <c r="AJ368" t="str">
        <f t="shared" si="17"/>
        <v>31DJDC7QB079Z3DSBK</v>
      </c>
    </row>
    <row r="369" spans="1:36" ht="15" customHeight="1" x14ac:dyDescent="0.25">
      <c r="A369" t="s">
        <v>118</v>
      </c>
      <c r="B369" t="s">
        <v>37</v>
      </c>
      <c r="C369" t="s">
        <v>37</v>
      </c>
      <c r="D369" t="s">
        <v>38</v>
      </c>
      <c r="E369" s="4">
        <v>12</v>
      </c>
      <c r="F369" s="5">
        <v>1323.24</v>
      </c>
      <c r="G369" s="5" t="s">
        <v>39</v>
      </c>
      <c r="H369" s="5">
        <v>2252.4</v>
      </c>
      <c r="I369" s="5" t="s">
        <v>39</v>
      </c>
      <c r="J369" s="5">
        <v>44.990160000000003</v>
      </c>
      <c r="K369" s="5">
        <f t="shared" si="15"/>
        <v>3.7491800000000004</v>
      </c>
      <c r="L369" s="5">
        <f t="shared" si="16"/>
        <v>110.27</v>
      </c>
      <c r="M369" s="5" t="s">
        <v>39</v>
      </c>
      <c r="N369" s="5">
        <v>44.990160000000003</v>
      </c>
      <c r="O369" s="5" t="s">
        <v>39</v>
      </c>
      <c r="P369" t="s">
        <v>954</v>
      </c>
      <c r="Q369" t="s">
        <v>254</v>
      </c>
      <c r="R369" t="s">
        <v>37</v>
      </c>
      <c r="S369" t="s">
        <v>255</v>
      </c>
      <c r="T369" t="s">
        <v>43</v>
      </c>
      <c r="U369" t="s">
        <v>44</v>
      </c>
      <c r="V369">
        <v>147</v>
      </c>
      <c r="W369" t="s">
        <v>45</v>
      </c>
      <c r="X369" t="s">
        <v>46</v>
      </c>
      <c r="Y369" t="s">
        <v>256</v>
      </c>
      <c r="Z369" t="s">
        <v>37</v>
      </c>
      <c r="AA369" t="s">
        <v>55</v>
      </c>
      <c r="AB369" t="s">
        <v>37</v>
      </c>
      <c r="AC369" s="6" t="s">
        <v>37</v>
      </c>
      <c r="AD369" s="6" t="s">
        <v>37</v>
      </c>
      <c r="AE369" t="s">
        <v>37</v>
      </c>
      <c r="AF369" t="s">
        <v>37</v>
      </c>
      <c r="AG369" s="6" t="s">
        <v>37</v>
      </c>
      <c r="AH369" t="s">
        <v>37</v>
      </c>
      <c r="AI369" t="s">
        <v>37</v>
      </c>
      <c r="AJ369" t="str">
        <f t="shared" si="17"/>
        <v>4VH7UODNB07VTSZ63W</v>
      </c>
    </row>
    <row r="370" spans="1:36" ht="15" customHeight="1" x14ac:dyDescent="0.25">
      <c r="A370" t="s">
        <v>411</v>
      </c>
      <c r="B370" t="s">
        <v>37</v>
      </c>
      <c r="C370" t="s">
        <v>37</v>
      </c>
      <c r="D370" t="s">
        <v>38</v>
      </c>
      <c r="E370" s="4">
        <v>1154</v>
      </c>
      <c r="F370" s="5">
        <v>255114.78</v>
      </c>
      <c r="G370" s="5" t="s">
        <v>39</v>
      </c>
      <c r="H370" s="5">
        <v>387813.24</v>
      </c>
      <c r="I370" s="5" t="s">
        <v>39</v>
      </c>
      <c r="J370" s="5">
        <v>8673.9025199999996</v>
      </c>
      <c r="K370" s="5">
        <f t="shared" si="15"/>
        <v>7.5163799999999998</v>
      </c>
      <c r="L370" s="5">
        <f t="shared" si="16"/>
        <v>221.07</v>
      </c>
      <c r="M370" s="5" t="s">
        <v>39</v>
      </c>
      <c r="N370" s="5">
        <v>8673.9025199999996</v>
      </c>
      <c r="O370" s="5" t="s">
        <v>39</v>
      </c>
      <c r="P370" t="s">
        <v>412</v>
      </c>
      <c r="Q370" t="s">
        <v>298</v>
      </c>
      <c r="R370" t="s">
        <v>37</v>
      </c>
      <c r="S370" t="s">
        <v>299</v>
      </c>
      <c r="T370" t="s">
        <v>43</v>
      </c>
      <c r="U370" t="s">
        <v>44</v>
      </c>
      <c r="V370">
        <v>147</v>
      </c>
      <c r="W370" t="s">
        <v>45</v>
      </c>
      <c r="X370" t="s">
        <v>46</v>
      </c>
      <c r="Y370" t="s">
        <v>300</v>
      </c>
      <c r="Z370" t="s">
        <v>37</v>
      </c>
      <c r="AA370" t="s">
        <v>55</v>
      </c>
      <c r="AB370" t="s">
        <v>37</v>
      </c>
      <c r="AC370" s="6" t="s">
        <v>37</v>
      </c>
      <c r="AD370" s="6" t="s">
        <v>37</v>
      </c>
      <c r="AE370" t="s">
        <v>37</v>
      </c>
      <c r="AF370" t="s">
        <v>37</v>
      </c>
      <c r="AG370" s="6" t="s">
        <v>37</v>
      </c>
      <c r="AH370" t="s">
        <v>37</v>
      </c>
      <c r="AI370" t="s">
        <v>37</v>
      </c>
      <c r="AJ370" t="str">
        <f t="shared" si="17"/>
        <v>6JWFV3WKB00YUIM2J0</v>
      </c>
    </row>
    <row r="371" spans="1:36" ht="15" customHeight="1" x14ac:dyDescent="0.25">
      <c r="A371" t="s">
        <v>101</v>
      </c>
      <c r="B371" t="s">
        <v>37</v>
      </c>
      <c r="C371" t="s">
        <v>37</v>
      </c>
      <c r="D371" t="s">
        <v>38</v>
      </c>
      <c r="E371" s="4">
        <v>24</v>
      </c>
      <c r="F371" s="5">
        <v>974.4</v>
      </c>
      <c r="G371" s="5" t="s">
        <v>39</v>
      </c>
      <c r="H371" s="5">
        <v>1416.24</v>
      </c>
      <c r="I371" s="5" t="s">
        <v>39</v>
      </c>
      <c r="J371" s="5">
        <v>33.129600000000003</v>
      </c>
      <c r="K371" s="5">
        <f t="shared" si="15"/>
        <v>1.3804000000000001</v>
      </c>
      <c r="L371" s="5">
        <f t="shared" si="16"/>
        <v>40.6</v>
      </c>
      <c r="M371" s="5" t="s">
        <v>39</v>
      </c>
      <c r="N371" s="5">
        <v>33.129600000000003</v>
      </c>
      <c r="O371" s="5" t="s">
        <v>39</v>
      </c>
      <c r="P371" t="s">
        <v>102</v>
      </c>
      <c r="Q371" t="s">
        <v>313</v>
      </c>
      <c r="R371" t="s">
        <v>37</v>
      </c>
      <c r="S371" t="s">
        <v>314</v>
      </c>
      <c r="T371" t="s">
        <v>43</v>
      </c>
      <c r="U371" t="s">
        <v>44</v>
      </c>
      <c r="V371">
        <v>147</v>
      </c>
      <c r="W371" t="s">
        <v>45</v>
      </c>
      <c r="X371" t="s">
        <v>60</v>
      </c>
      <c r="Y371" t="s">
        <v>315</v>
      </c>
      <c r="Z371" t="s">
        <v>37</v>
      </c>
      <c r="AA371" t="s">
        <v>55</v>
      </c>
      <c r="AB371" t="s">
        <v>37</v>
      </c>
      <c r="AC371" s="6" t="s">
        <v>37</v>
      </c>
      <c r="AD371" s="6" t="s">
        <v>37</v>
      </c>
      <c r="AE371" t="s">
        <v>37</v>
      </c>
      <c r="AF371" t="s">
        <v>37</v>
      </c>
      <c r="AG371" s="6" t="s">
        <v>37</v>
      </c>
      <c r="AH371" t="s">
        <v>37</v>
      </c>
      <c r="AI371" t="s">
        <v>37</v>
      </c>
      <c r="AJ371" t="str">
        <f t="shared" si="17"/>
        <v>2M7QFTCOB07W7LNRN6</v>
      </c>
    </row>
    <row r="372" spans="1:36" ht="15" customHeight="1" x14ac:dyDescent="0.25">
      <c r="A372" t="s">
        <v>955</v>
      </c>
      <c r="B372" t="s">
        <v>37</v>
      </c>
      <c r="C372" t="s">
        <v>37</v>
      </c>
      <c r="D372" t="s">
        <v>38</v>
      </c>
      <c r="E372" s="4">
        <v>8</v>
      </c>
      <c r="F372" s="5">
        <v>320.24</v>
      </c>
      <c r="G372" s="5" t="s">
        <v>39</v>
      </c>
      <c r="H372" s="5">
        <v>452.48</v>
      </c>
      <c r="I372" s="5" t="s">
        <v>39</v>
      </c>
      <c r="J372" s="5">
        <v>10.888159999999999</v>
      </c>
      <c r="K372" s="5">
        <f t="shared" si="15"/>
        <v>1.3610199999999999</v>
      </c>
      <c r="L372" s="5">
        <f t="shared" si="16"/>
        <v>40.03</v>
      </c>
      <c r="M372" s="5" t="s">
        <v>39</v>
      </c>
      <c r="N372" s="5">
        <v>10.888159999999999</v>
      </c>
      <c r="O372" s="5" t="s">
        <v>39</v>
      </c>
      <c r="P372" t="s">
        <v>141</v>
      </c>
      <c r="Q372" t="s">
        <v>851</v>
      </c>
      <c r="R372" t="s">
        <v>37</v>
      </c>
      <c r="S372" t="s">
        <v>852</v>
      </c>
      <c r="T372" t="s">
        <v>43</v>
      </c>
      <c r="U372" t="s">
        <v>44</v>
      </c>
      <c r="V372">
        <v>421</v>
      </c>
      <c r="W372" t="s">
        <v>45</v>
      </c>
      <c r="X372" t="s">
        <v>239</v>
      </c>
      <c r="Y372" t="s">
        <v>853</v>
      </c>
      <c r="Z372" t="s">
        <v>37</v>
      </c>
      <c r="AA372" t="s">
        <v>95</v>
      </c>
      <c r="AB372" t="s">
        <v>37</v>
      </c>
      <c r="AC372" s="6" t="s">
        <v>37</v>
      </c>
      <c r="AD372" s="6" t="s">
        <v>37</v>
      </c>
      <c r="AE372" t="s">
        <v>37</v>
      </c>
      <c r="AF372" t="s">
        <v>37</v>
      </c>
      <c r="AG372" s="6" t="s">
        <v>37</v>
      </c>
      <c r="AH372" t="s">
        <v>37</v>
      </c>
      <c r="AI372" t="s">
        <v>37</v>
      </c>
      <c r="AJ372" t="str">
        <f t="shared" si="17"/>
        <v>56UO2L2IB07W4DHXC8</v>
      </c>
    </row>
    <row r="373" spans="1:36" ht="15" customHeight="1" x14ac:dyDescent="0.25">
      <c r="A373" t="s">
        <v>284</v>
      </c>
      <c r="B373" t="s">
        <v>37</v>
      </c>
      <c r="C373" t="s">
        <v>37</v>
      </c>
      <c r="D373" t="s">
        <v>38</v>
      </c>
      <c r="E373" s="4">
        <v>4</v>
      </c>
      <c r="F373" s="5">
        <v>175.68</v>
      </c>
      <c r="G373" s="5" t="s">
        <v>39</v>
      </c>
      <c r="H373" s="5">
        <v>262.27999999999997</v>
      </c>
      <c r="I373" s="5" t="s">
        <v>39</v>
      </c>
      <c r="J373" s="5">
        <v>5.9731199999999998</v>
      </c>
      <c r="K373" s="5">
        <f t="shared" si="15"/>
        <v>1.4932799999999999</v>
      </c>
      <c r="L373" s="5">
        <f t="shared" si="16"/>
        <v>43.92</v>
      </c>
      <c r="M373" s="5" t="s">
        <v>39</v>
      </c>
      <c r="N373" s="5">
        <v>5.9731199999999998</v>
      </c>
      <c r="O373" s="5" t="s">
        <v>39</v>
      </c>
      <c r="P373" t="s">
        <v>462</v>
      </c>
      <c r="Q373" t="s">
        <v>623</v>
      </c>
      <c r="R373" t="s">
        <v>624</v>
      </c>
      <c r="S373" t="s">
        <v>625</v>
      </c>
      <c r="T373" t="s">
        <v>43</v>
      </c>
      <c r="U373" t="s">
        <v>44</v>
      </c>
      <c r="V373">
        <v>147</v>
      </c>
      <c r="W373" t="s">
        <v>45</v>
      </c>
      <c r="X373" t="s">
        <v>60</v>
      </c>
      <c r="Y373" t="s">
        <v>626</v>
      </c>
      <c r="Z373" t="s">
        <v>37</v>
      </c>
      <c r="AA373" t="s">
        <v>48</v>
      </c>
      <c r="AB373" t="s">
        <v>37</v>
      </c>
      <c r="AC373" s="6" t="s">
        <v>37</v>
      </c>
      <c r="AD373" s="6" t="s">
        <v>37</v>
      </c>
      <c r="AE373" t="s">
        <v>37</v>
      </c>
      <c r="AF373" t="s">
        <v>37</v>
      </c>
      <c r="AG373" s="6" t="s">
        <v>37</v>
      </c>
      <c r="AH373" t="s">
        <v>37</v>
      </c>
      <c r="AI373" t="s">
        <v>37</v>
      </c>
      <c r="AJ373" t="str">
        <f t="shared" si="17"/>
        <v>17D6YHERB0797JRLQC</v>
      </c>
    </row>
    <row r="374" spans="1:36" ht="15" customHeight="1" x14ac:dyDescent="0.25">
      <c r="A374" t="s">
        <v>101</v>
      </c>
      <c r="B374" t="s">
        <v>37</v>
      </c>
      <c r="C374" t="s">
        <v>37</v>
      </c>
      <c r="D374" t="s">
        <v>38</v>
      </c>
      <c r="E374" s="4">
        <v>10</v>
      </c>
      <c r="F374" s="5">
        <v>175.6</v>
      </c>
      <c r="G374" s="5" t="s">
        <v>39</v>
      </c>
      <c r="H374" s="5">
        <v>270.39999999999998</v>
      </c>
      <c r="I374" s="5" t="s">
        <v>39</v>
      </c>
      <c r="J374" s="5">
        <v>5.9703999999999997</v>
      </c>
      <c r="K374" s="5">
        <f t="shared" si="15"/>
        <v>0.59704000000000002</v>
      </c>
      <c r="L374" s="5">
        <f t="shared" si="16"/>
        <v>17.559999999999999</v>
      </c>
      <c r="M374" s="5" t="s">
        <v>39</v>
      </c>
      <c r="N374" s="5">
        <v>5.9703999999999997</v>
      </c>
      <c r="O374" s="5" t="s">
        <v>39</v>
      </c>
      <c r="P374" t="s">
        <v>748</v>
      </c>
      <c r="Q374" t="s">
        <v>956</v>
      </c>
      <c r="R374" t="s">
        <v>37</v>
      </c>
      <c r="S374" t="s">
        <v>957</v>
      </c>
      <c r="T374" t="s">
        <v>43</v>
      </c>
      <c r="U374" t="s">
        <v>44</v>
      </c>
      <c r="V374">
        <v>147</v>
      </c>
      <c r="W374" t="s">
        <v>45</v>
      </c>
      <c r="X374" t="s">
        <v>60</v>
      </c>
      <c r="Y374" t="s">
        <v>958</v>
      </c>
      <c r="Z374" t="s">
        <v>37</v>
      </c>
      <c r="AA374" t="s">
        <v>55</v>
      </c>
      <c r="AB374" t="s">
        <v>37</v>
      </c>
      <c r="AC374" s="6" t="s">
        <v>37</v>
      </c>
      <c r="AD374" s="6" t="s">
        <v>37</v>
      </c>
      <c r="AE374" t="s">
        <v>37</v>
      </c>
      <c r="AF374" t="s">
        <v>37</v>
      </c>
      <c r="AG374" s="6" t="s">
        <v>37</v>
      </c>
      <c r="AH374" t="s">
        <v>37</v>
      </c>
      <c r="AI374" t="s">
        <v>37</v>
      </c>
      <c r="AJ374" t="str">
        <f t="shared" si="17"/>
        <v>74WI6EYDB0042C1KQ0</v>
      </c>
    </row>
    <row r="375" spans="1:36" ht="15" customHeight="1" x14ac:dyDescent="0.25">
      <c r="A375" t="s">
        <v>49</v>
      </c>
      <c r="B375" t="s">
        <v>37</v>
      </c>
      <c r="C375" t="s">
        <v>37</v>
      </c>
      <c r="D375" t="s">
        <v>38</v>
      </c>
      <c r="E375" s="4">
        <v>120</v>
      </c>
      <c r="F375" s="5">
        <v>14026.8</v>
      </c>
      <c r="G375" s="5" t="s">
        <v>39</v>
      </c>
      <c r="H375" s="5">
        <v>17606.400000000001</v>
      </c>
      <c r="I375" s="5" t="s">
        <v>39</v>
      </c>
      <c r="J375" s="5">
        <v>476.91120000000001</v>
      </c>
      <c r="K375" s="5">
        <f t="shared" si="15"/>
        <v>3.9742600000000001</v>
      </c>
      <c r="L375" s="5">
        <f t="shared" si="16"/>
        <v>116.89</v>
      </c>
      <c r="M375" s="5" t="s">
        <v>39</v>
      </c>
      <c r="N375" s="5">
        <v>476.91120000000001</v>
      </c>
      <c r="O375" s="5" t="s">
        <v>39</v>
      </c>
      <c r="P375" t="s">
        <v>202</v>
      </c>
      <c r="Q375" t="s">
        <v>911</v>
      </c>
      <c r="R375" t="s">
        <v>37</v>
      </c>
      <c r="S375" t="s">
        <v>912</v>
      </c>
      <c r="T375" t="s">
        <v>43</v>
      </c>
      <c r="U375" t="s">
        <v>44</v>
      </c>
      <c r="V375">
        <v>147</v>
      </c>
      <c r="W375" t="s">
        <v>45</v>
      </c>
      <c r="X375" t="s">
        <v>46</v>
      </c>
      <c r="Y375" t="s">
        <v>913</v>
      </c>
      <c r="Z375" t="s">
        <v>37</v>
      </c>
      <c r="AA375" t="s">
        <v>55</v>
      </c>
      <c r="AB375" t="s">
        <v>37</v>
      </c>
      <c r="AC375" s="6" t="s">
        <v>37</v>
      </c>
      <c r="AD375" s="6" t="s">
        <v>37</v>
      </c>
      <c r="AE375" t="s">
        <v>37</v>
      </c>
      <c r="AF375" t="s">
        <v>37</v>
      </c>
      <c r="AG375" s="6" t="s">
        <v>37</v>
      </c>
      <c r="AH375" t="s">
        <v>37</v>
      </c>
      <c r="AI375" t="s">
        <v>37</v>
      </c>
      <c r="AJ375" t="str">
        <f t="shared" si="17"/>
        <v>39TAD6PCB07PYL7WZY</v>
      </c>
    </row>
    <row r="376" spans="1:36" ht="15" customHeight="1" x14ac:dyDescent="0.25">
      <c r="A376" t="s">
        <v>88</v>
      </c>
      <c r="B376" t="s">
        <v>37</v>
      </c>
      <c r="C376" t="s">
        <v>37</v>
      </c>
      <c r="D376" t="s">
        <v>38</v>
      </c>
      <c r="E376" s="4">
        <v>8</v>
      </c>
      <c r="F376" s="5">
        <v>193.6</v>
      </c>
      <c r="G376" s="5" t="s">
        <v>39</v>
      </c>
      <c r="H376" s="5">
        <v>249.12</v>
      </c>
      <c r="I376" s="5" t="s">
        <v>39</v>
      </c>
      <c r="J376" s="5">
        <v>6.5823999999999998</v>
      </c>
      <c r="K376" s="5">
        <f t="shared" si="15"/>
        <v>0.82279999999999998</v>
      </c>
      <c r="L376" s="5">
        <f t="shared" si="16"/>
        <v>24.2</v>
      </c>
      <c r="M376" s="5" t="s">
        <v>39</v>
      </c>
      <c r="N376" s="5">
        <v>6.5823999999999998</v>
      </c>
      <c r="O376" s="5" t="s">
        <v>39</v>
      </c>
      <c r="P376" t="s">
        <v>168</v>
      </c>
      <c r="Q376" t="s">
        <v>959</v>
      </c>
      <c r="R376" t="s">
        <v>37</v>
      </c>
      <c r="S376" t="s">
        <v>960</v>
      </c>
      <c r="T376" t="s">
        <v>43</v>
      </c>
      <c r="U376" t="s">
        <v>44</v>
      </c>
      <c r="V376">
        <v>267</v>
      </c>
      <c r="W376" t="s">
        <v>151</v>
      </c>
      <c r="X376" t="s">
        <v>152</v>
      </c>
      <c r="Y376" t="s">
        <v>961</v>
      </c>
      <c r="Z376" t="s">
        <v>37</v>
      </c>
      <c r="AA376" t="s">
        <v>95</v>
      </c>
      <c r="AB376" t="s">
        <v>37</v>
      </c>
      <c r="AC376" s="6" t="s">
        <v>37</v>
      </c>
      <c r="AD376" s="6" t="s">
        <v>37</v>
      </c>
      <c r="AE376" t="s">
        <v>37</v>
      </c>
      <c r="AF376" t="s">
        <v>37</v>
      </c>
      <c r="AG376" s="6" t="s">
        <v>37</v>
      </c>
      <c r="AH376" t="s">
        <v>37</v>
      </c>
      <c r="AI376" t="s">
        <v>37</v>
      </c>
      <c r="AJ376" t="str">
        <f t="shared" si="17"/>
        <v>2R6FMUZDB07J9Q68CK</v>
      </c>
    </row>
    <row r="377" spans="1:36" ht="15" customHeight="1" x14ac:dyDescent="0.25">
      <c r="A377" t="s">
        <v>96</v>
      </c>
      <c r="B377" t="s">
        <v>37</v>
      </c>
      <c r="C377" t="s">
        <v>37</v>
      </c>
      <c r="D377" t="s">
        <v>38</v>
      </c>
      <c r="E377" s="4">
        <v>4</v>
      </c>
      <c r="F377" s="5">
        <v>73.84</v>
      </c>
      <c r="G377" s="5" t="s">
        <v>39</v>
      </c>
      <c r="H377" s="5">
        <v>124.56</v>
      </c>
      <c r="I377" s="5" t="s">
        <v>39</v>
      </c>
      <c r="J377" s="5">
        <v>2.5105599999999999</v>
      </c>
      <c r="K377" s="5">
        <f t="shared" si="15"/>
        <v>0.62763999999999998</v>
      </c>
      <c r="L377" s="5">
        <f t="shared" si="16"/>
        <v>18.46</v>
      </c>
      <c r="M377" s="5" t="s">
        <v>39</v>
      </c>
      <c r="N377" s="5">
        <v>2.5105599999999999</v>
      </c>
      <c r="O377" s="5" t="s">
        <v>39</v>
      </c>
      <c r="P377" t="s">
        <v>106</v>
      </c>
      <c r="Q377" t="s">
        <v>962</v>
      </c>
      <c r="R377" t="s">
        <v>37</v>
      </c>
      <c r="S377" t="s">
        <v>963</v>
      </c>
      <c r="T377" t="s">
        <v>43</v>
      </c>
      <c r="U377" t="s">
        <v>44</v>
      </c>
      <c r="V377">
        <v>147</v>
      </c>
      <c r="W377" t="s">
        <v>45</v>
      </c>
      <c r="X377" t="s">
        <v>53</v>
      </c>
      <c r="Y377" t="s">
        <v>964</v>
      </c>
      <c r="Z377" t="s">
        <v>37</v>
      </c>
      <c r="AA377" t="s">
        <v>95</v>
      </c>
      <c r="AB377" t="s">
        <v>37</v>
      </c>
      <c r="AC377" s="6" t="s">
        <v>37</v>
      </c>
      <c r="AD377" s="6" t="s">
        <v>37</v>
      </c>
      <c r="AE377" t="s">
        <v>37</v>
      </c>
      <c r="AF377" t="s">
        <v>37</v>
      </c>
      <c r="AG377" s="6" t="s">
        <v>37</v>
      </c>
      <c r="AH377" t="s">
        <v>37</v>
      </c>
      <c r="AI377" t="s">
        <v>37</v>
      </c>
      <c r="AJ377" t="str">
        <f t="shared" si="17"/>
        <v>2CLMXQWQB07W6H83LD</v>
      </c>
    </row>
    <row r="378" spans="1:36" ht="15" customHeight="1" x14ac:dyDescent="0.25">
      <c r="A378" t="s">
        <v>101</v>
      </c>
      <c r="B378" t="s">
        <v>37</v>
      </c>
      <c r="C378" t="s">
        <v>37</v>
      </c>
      <c r="D378" t="s">
        <v>38</v>
      </c>
      <c r="E378" s="4">
        <v>4</v>
      </c>
      <c r="F378" s="5">
        <v>314.48</v>
      </c>
      <c r="G378" s="5" t="s">
        <v>39</v>
      </c>
      <c r="H378" s="5">
        <v>442.6</v>
      </c>
      <c r="I378" s="5" t="s">
        <v>39</v>
      </c>
      <c r="J378" s="5">
        <v>10.69232</v>
      </c>
      <c r="K378" s="5">
        <f t="shared" si="15"/>
        <v>2.6730800000000001</v>
      </c>
      <c r="L378" s="5">
        <f t="shared" si="16"/>
        <v>78.62</v>
      </c>
      <c r="M378" s="5" t="s">
        <v>39</v>
      </c>
      <c r="N378" s="5">
        <v>10.69232</v>
      </c>
      <c r="O378" s="5" t="s">
        <v>39</v>
      </c>
      <c r="P378" t="s">
        <v>72</v>
      </c>
      <c r="Q378" t="s">
        <v>965</v>
      </c>
      <c r="R378" t="s">
        <v>37</v>
      </c>
      <c r="S378" t="s">
        <v>966</v>
      </c>
      <c r="T378" t="s">
        <v>43</v>
      </c>
      <c r="U378" t="s">
        <v>44</v>
      </c>
      <c r="V378">
        <v>147</v>
      </c>
      <c r="W378" t="s">
        <v>45</v>
      </c>
      <c r="X378" t="s">
        <v>53</v>
      </c>
      <c r="Y378" t="s">
        <v>967</v>
      </c>
      <c r="Z378" t="s">
        <v>37</v>
      </c>
      <c r="AA378" t="s">
        <v>55</v>
      </c>
      <c r="AB378" t="s">
        <v>37</v>
      </c>
      <c r="AC378" s="6" t="s">
        <v>37</v>
      </c>
      <c r="AD378" s="6" t="s">
        <v>37</v>
      </c>
      <c r="AE378" t="s">
        <v>37</v>
      </c>
      <c r="AF378" t="s">
        <v>37</v>
      </c>
      <c r="AG378" s="6" t="s">
        <v>37</v>
      </c>
      <c r="AH378" t="s">
        <v>37</v>
      </c>
      <c r="AI378" t="s">
        <v>37</v>
      </c>
      <c r="AJ378" t="str">
        <f t="shared" si="17"/>
        <v>4GF112AEB07W4DGVFS</v>
      </c>
    </row>
    <row r="379" spans="1:36" ht="15" customHeight="1" x14ac:dyDescent="0.25">
      <c r="A379" t="s">
        <v>76</v>
      </c>
      <c r="B379" t="s">
        <v>37</v>
      </c>
      <c r="C379" t="s">
        <v>37</v>
      </c>
      <c r="D379" t="s">
        <v>38</v>
      </c>
      <c r="E379" s="4">
        <v>48</v>
      </c>
      <c r="F379" s="5">
        <v>1599.84</v>
      </c>
      <c r="G379" s="5" t="s">
        <v>39</v>
      </c>
      <c r="H379" s="5">
        <v>1599.84</v>
      </c>
      <c r="I379" s="5" t="s">
        <v>39</v>
      </c>
      <c r="J379" s="5">
        <v>54.394559999999998</v>
      </c>
      <c r="K379" s="5">
        <f t="shared" si="15"/>
        <v>1.1332199999999999</v>
      </c>
      <c r="L379" s="5">
        <f t="shared" si="16"/>
        <v>33.33</v>
      </c>
      <c r="M379" s="5" t="s">
        <v>39</v>
      </c>
      <c r="N379" s="5">
        <v>54.394559999999998</v>
      </c>
      <c r="O379" s="5" t="s">
        <v>39</v>
      </c>
      <c r="P379" t="s">
        <v>968</v>
      </c>
      <c r="Q379" t="s">
        <v>758</v>
      </c>
      <c r="R379" t="s">
        <v>37</v>
      </c>
      <c r="S379" t="s">
        <v>759</v>
      </c>
      <c r="T379" t="s">
        <v>43</v>
      </c>
      <c r="U379" t="s">
        <v>44</v>
      </c>
      <c r="V379">
        <v>147</v>
      </c>
      <c r="W379" t="s">
        <v>45</v>
      </c>
      <c r="X379" t="s">
        <v>239</v>
      </c>
      <c r="Y379" t="s">
        <v>760</v>
      </c>
      <c r="Z379" t="s">
        <v>37</v>
      </c>
      <c r="AA379" t="s">
        <v>95</v>
      </c>
      <c r="AB379" t="s">
        <v>37</v>
      </c>
      <c r="AC379" s="6" t="s">
        <v>37</v>
      </c>
      <c r="AD379" s="6" t="s">
        <v>37</v>
      </c>
      <c r="AE379" t="s">
        <v>37</v>
      </c>
      <c r="AF379" t="s">
        <v>37</v>
      </c>
      <c r="AG379" s="6" t="s">
        <v>37</v>
      </c>
      <c r="AH379" t="s">
        <v>37</v>
      </c>
      <c r="AI379" t="s">
        <v>37</v>
      </c>
      <c r="AJ379" t="str">
        <f t="shared" si="17"/>
        <v>7LA8DZCZB00M6S9O9C</v>
      </c>
    </row>
    <row r="380" spans="1:36" ht="15" customHeight="1" x14ac:dyDescent="0.25">
      <c r="A380" t="s">
        <v>101</v>
      </c>
      <c r="B380" t="s">
        <v>37</v>
      </c>
      <c r="C380" t="s">
        <v>37</v>
      </c>
      <c r="D380" t="s">
        <v>38</v>
      </c>
      <c r="E380" s="4">
        <v>260</v>
      </c>
      <c r="F380" s="5">
        <v>19068.400000000001</v>
      </c>
      <c r="G380" s="5" t="s">
        <v>39</v>
      </c>
      <c r="H380" s="5">
        <v>30901</v>
      </c>
      <c r="I380" s="5" t="s">
        <v>39</v>
      </c>
      <c r="J380" s="5">
        <v>648.32560000000001</v>
      </c>
      <c r="K380" s="5">
        <f t="shared" si="15"/>
        <v>2.49356</v>
      </c>
      <c r="L380" s="5">
        <f t="shared" si="16"/>
        <v>73.34</v>
      </c>
      <c r="M380" s="5" t="s">
        <v>39</v>
      </c>
      <c r="N380" s="5">
        <v>648.32560000000001</v>
      </c>
      <c r="O380" s="5" t="s">
        <v>39</v>
      </c>
      <c r="P380" t="s">
        <v>320</v>
      </c>
      <c r="Q380" t="s">
        <v>401</v>
      </c>
      <c r="R380" t="s">
        <v>37</v>
      </c>
      <c r="S380" t="s">
        <v>402</v>
      </c>
      <c r="T380" t="s">
        <v>43</v>
      </c>
      <c r="U380" t="s">
        <v>44</v>
      </c>
      <c r="V380">
        <v>147</v>
      </c>
      <c r="W380" t="s">
        <v>45</v>
      </c>
      <c r="X380" t="s">
        <v>46</v>
      </c>
      <c r="Y380" t="s">
        <v>403</v>
      </c>
      <c r="Z380" t="s">
        <v>37</v>
      </c>
      <c r="AA380" t="s">
        <v>55</v>
      </c>
      <c r="AB380" t="s">
        <v>37</v>
      </c>
      <c r="AC380" s="6" t="s">
        <v>37</v>
      </c>
      <c r="AD380" s="6" t="s">
        <v>37</v>
      </c>
      <c r="AE380" t="s">
        <v>37</v>
      </c>
      <c r="AF380" t="s">
        <v>37</v>
      </c>
      <c r="AG380" s="6" t="s">
        <v>37</v>
      </c>
      <c r="AH380" t="s">
        <v>37</v>
      </c>
      <c r="AI380" t="s">
        <v>37</v>
      </c>
      <c r="AJ380" t="str">
        <f t="shared" si="17"/>
        <v>8BG295LIB07G5XJLWK</v>
      </c>
    </row>
    <row r="381" spans="1:36" ht="15" customHeight="1" x14ac:dyDescent="0.25">
      <c r="A381" t="s">
        <v>110</v>
      </c>
      <c r="B381" t="s">
        <v>37</v>
      </c>
      <c r="C381" t="s">
        <v>37</v>
      </c>
      <c r="D381" t="s">
        <v>38</v>
      </c>
      <c r="E381" s="4">
        <v>8</v>
      </c>
      <c r="F381" s="5">
        <v>295.44</v>
      </c>
      <c r="G381" s="5" t="s">
        <v>39</v>
      </c>
      <c r="H381" s="5">
        <v>491.76</v>
      </c>
      <c r="I381" s="5" t="s">
        <v>39</v>
      </c>
      <c r="J381" s="5">
        <v>10.04496</v>
      </c>
      <c r="K381" s="5">
        <f t="shared" si="15"/>
        <v>1.25562</v>
      </c>
      <c r="L381" s="5">
        <f t="shared" si="16"/>
        <v>36.93</v>
      </c>
      <c r="M381" s="5" t="s">
        <v>39</v>
      </c>
      <c r="N381" s="5">
        <v>10.04496</v>
      </c>
      <c r="O381" s="5" t="s">
        <v>39</v>
      </c>
      <c r="P381" t="s">
        <v>274</v>
      </c>
      <c r="Q381" t="s">
        <v>635</v>
      </c>
      <c r="R381" t="s">
        <v>37</v>
      </c>
      <c r="S381" t="s">
        <v>636</v>
      </c>
      <c r="T381" t="s">
        <v>43</v>
      </c>
      <c r="U381" t="s">
        <v>44</v>
      </c>
      <c r="V381">
        <v>147</v>
      </c>
      <c r="W381" t="s">
        <v>45</v>
      </c>
      <c r="X381" t="s">
        <v>53</v>
      </c>
      <c r="Y381" t="s">
        <v>637</v>
      </c>
      <c r="Z381" t="s">
        <v>37</v>
      </c>
      <c r="AA381" t="s">
        <v>55</v>
      </c>
      <c r="AB381" t="s">
        <v>37</v>
      </c>
      <c r="AC381" s="6" t="s">
        <v>37</v>
      </c>
      <c r="AD381" s="6" t="s">
        <v>37</v>
      </c>
      <c r="AE381" t="s">
        <v>37</v>
      </c>
      <c r="AF381" t="s">
        <v>37</v>
      </c>
      <c r="AG381" s="6" t="s">
        <v>37</v>
      </c>
      <c r="AH381" t="s">
        <v>37</v>
      </c>
      <c r="AI381" t="s">
        <v>37</v>
      </c>
      <c r="AJ381" t="str">
        <f t="shared" si="17"/>
        <v>4LYATDUXB07CGVGMLD</v>
      </c>
    </row>
    <row r="382" spans="1:36" ht="15" customHeight="1" x14ac:dyDescent="0.25">
      <c r="A382" t="s">
        <v>49</v>
      </c>
      <c r="B382" t="s">
        <v>37</v>
      </c>
      <c r="C382" t="s">
        <v>37</v>
      </c>
      <c r="D382" t="s">
        <v>38</v>
      </c>
      <c r="E382" s="4">
        <v>20</v>
      </c>
      <c r="F382" s="5">
        <v>177.8</v>
      </c>
      <c r="G382" s="5" t="s">
        <v>39</v>
      </c>
      <c r="H382" s="5">
        <v>393.2</v>
      </c>
      <c r="I382" s="5" t="s">
        <v>39</v>
      </c>
      <c r="J382" s="5">
        <v>6.0452000000000004</v>
      </c>
      <c r="K382" s="5">
        <f t="shared" si="15"/>
        <v>0.30226000000000003</v>
      </c>
      <c r="L382" s="5">
        <f t="shared" si="16"/>
        <v>8.89</v>
      </c>
      <c r="M382" s="5" t="s">
        <v>39</v>
      </c>
      <c r="N382" s="5">
        <v>6.0452000000000004</v>
      </c>
      <c r="O382" s="5" t="s">
        <v>39</v>
      </c>
      <c r="P382" t="s">
        <v>969</v>
      </c>
      <c r="Q382" t="s">
        <v>970</v>
      </c>
      <c r="R382" t="s">
        <v>37</v>
      </c>
      <c r="S382" t="s">
        <v>971</v>
      </c>
      <c r="T382" t="s">
        <v>43</v>
      </c>
      <c r="U382" t="s">
        <v>44</v>
      </c>
      <c r="V382">
        <v>147</v>
      </c>
      <c r="W382" t="s">
        <v>45</v>
      </c>
      <c r="X382" t="s">
        <v>46</v>
      </c>
      <c r="Y382" t="s">
        <v>972</v>
      </c>
      <c r="Z382" t="s">
        <v>37</v>
      </c>
      <c r="AA382" t="s">
        <v>95</v>
      </c>
      <c r="AB382" t="s">
        <v>37</v>
      </c>
      <c r="AC382" s="6" t="s">
        <v>37</v>
      </c>
      <c r="AD382" s="6" t="s">
        <v>37</v>
      </c>
      <c r="AE382" t="s">
        <v>37</v>
      </c>
      <c r="AF382" t="s">
        <v>37</v>
      </c>
      <c r="AG382" s="6" t="s">
        <v>37</v>
      </c>
      <c r="AH382" t="s">
        <v>37</v>
      </c>
      <c r="AI382" t="s">
        <v>37</v>
      </c>
      <c r="AJ382" t="str">
        <f t="shared" si="17"/>
        <v>1VBBCE3CB07W5JK3Z2</v>
      </c>
    </row>
    <row r="383" spans="1:36" ht="15" customHeight="1" x14ac:dyDescent="0.25">
      <c r="A383" t="s">
        <v>101</v>
      </c>
      <c r="B383" t="s">
        <v>37</v>
      </c>
      <c r="C383" t="s">
        <v>37</v>
      </c>
      <c r="D383" t="s">
        <v>38</v>
      </c>
      <c r="E383" s="4">
        <v>28</v>
      </c>
      <c r="F383" s="5">
        <v>1034.04</v>
      </c>
      <c r="G383" s="5" t="s">
        <v>39</v>
      </c>
      <c r="H383" s="5">
        <v>1721.16</v>
      </c>
      <c r="I383" s="5" t="s">
        <v>39</v>
      </c>
      <c r="J383" s="5">
        <v>35.157359999999997</v>
      </c>
      <c r="K383" s="5">
        <f t="shared" si="15"/>
        <v>1.25562</v>
      </c>
      <c r="L383" s="5">
        <f t="shared" si="16"/>
        <v>36.93</v>
      </c>
      <c r="M383" s="5" t="s">
        <v>39</v>
      </c>
      <c r="N383" s="5">
        <v>35.157359999999997</v>
      </c>
      <c r="O383" s="5" t="s">
        <v>39</v>
      </c>
      <c r="P383" t="s">
        <v>274</v>
      </c>
      <c r="Q383" t="s">
        <v>635</v>
      </c>
      <c r="R383" t="s">
        <v>37</v>
      </c>
      <c r="S383" t="s">
        <v>636</v>
      </c>
      <c r="T383" t="s">
        <v>43</v>
      </c>
      <c r="U383" t="s">
        <v>44</v>
      </c>
      <c r="V383">
        <v>147</v>
      </c>
      <c r="W383" t="s">
        <v>45</v>
      </c>
      <c r="X383" t="s">
        <v>53</v>
      </c>
      <c r="Y383" t="s">
        <v>637</v>
      </c>
      <c r="Z383" t="s">
        <v>37</v>
      </c>
      <c r="AA383" t="s">
        <v>55</v>
      </c>
      <c r="AB383" t="s">
        <v>37</v>
      </c>
      <c r="AC383" s="6" t="s">
        <v>37</v>
      </c>
      <c r="AD383" s="6" t="s">
        <v>37</v>
      </c>
      <c r="AE383" t="s">
        <v>37</v>
      </c>
      <c r="AF383" t="s">
        <v>37</v>
      </c>
      <c r="AG383" s="6" t="s">
        <v>37</v>
      </c>
      <c r="AH383" t="s">
        <v>37</v>
      </c>
      <c r="AI383" t="s">
        <v>37</v>
      </c>
      <c r="AJ383" t="str">
        <f t="shared" si="17"/>
        <v>4LYATDUXB07CGVGMLD</v>
      </c>
    </row>
    <row r="384" spans="1:36" ht="15" customHeight="1" x14ac:dyDescent="0.25">
      <c r="A384" t="s">
        <v>118</v>
      </c>
      <c r="B384" t="s">
        <v>37</v>
      </c>
      <c r="C384" t="s">
        <v>37</v>
      </c>
      <c r="D384" t="s">
        <v>38</v>
      </c>
      <c r="E384" s="4">
        <v>24</v>
      </c>
      <c r="F384" s="5">
        <v>513.6</v>
      </c>
      <c r="G384" s="5" t="s">
        <v>39</v>
      </c>
      <c r="H384" s="5">
        <v>806.4</v>
      </c>
      <c r="I384" s="5" t="s">
        <v>39</v>
      </c>
      <c r="J384" s="5">
        <v>17.462399999999999</v>
      </c>
      <c r="K384" s="5">
        <f t="shared" si="15"/>
        <v>0.72759999999999991</v>
      </c>
      <c r="L384" s="5">
        <f t="shared" si="16"/>
        <v>21.400000000000002</v>
      </c>
      <c r="M384" s="5" t="s">
        <v>39</v>
      </c>
      <c r="N384" s="5">
        <v>17.462399999999999</v>
      </c>
      <c r="O384" s="5" t="s">
        <v>39</v>
      </c>
      <c r="P384" t="s">
        <v>141</v>
      </c>
      <c r="Q384" t="s">
        <v>973</v>
      </c>
      <c r="R384" t="s">
        <v>37</v>
      </c>
      <c r="S384" t="s">
        <v>974</v>
      </c>
      <c r="T384" t="s">
        <v>43</v>
      </c>
      <c r="U384" t="s">
        <v>44</v>
      </c>
      <c r="V384">
        <v>23</v>
      </c>
      <c r="W384" t="s">
        <v>281</v>
      </c>
      <c r="X384" t="s">
        <v>282</v>
      </c>
      <c r="Y384" t="s">
        <v>975</v>
      </c>
      <c r="Z384" t="s">
        <v>37</v>
      </c>
      <c r="AA384" t="s">
        <v>48</v>
      </c>
      <c r="AB384" t="s">
        <v>37</v>
      </c>
      <c r="AC384" s="6" t="s">
        <v>37</v>
      </c>
      <c r="AD384" s="6" t="s">
        <v>37</v>
      </c>
      <c r="AE384" t="s">
        <v>37</v>
      </c>
      <c r="AF384" t="s">
        <v>37</v>
      </c>
      <c r="AG384" s="6" t="s">
        <v>37</v>
      </c>
      <c r="AH384" t="s">
        <v>37</v>
      </c>
      <c r="AI384" t="s">
        <v>37</v>
      </c>
      <c r="AJ384" t="str">
        <f t="shared" si="17"/>
        <v>56UO2L2IB07G6B2SGF</v>
      </c>
    </row>
    <row r="385" spans="1:36" ht="15" customHeight="1" x14ac:dyDescent="0.25">
      <c r="A385" t="s">
        <v>96</v>
      </c>
      <c r="B385" t="s">
        <v>37</v>
      </c>
      <c r="C385" t="s">
        <v>37</v>
      </c>
      <c r="D385" t="s">
        <v>38</v>
      </c>
      <c r="E385" s="4">
        <v>240</v>
      </c>
      <c r="F385" s="5">
        <v>2133.6</v>
      </c>
      <c r="G385" s="5" t="s">
        <v>39</v>
      </c>
      <c r="H385" s="5">
        <v>4718.3999999999996</v>
      </c>
      <c r="I385" s="5" t="s">
        <v>39</v>
      </c>
      <c r="J385" s="5">
        <v>72.542400000000001</v>
      </c>
      <c r="K385" s="5">
        <f t="shared" si="15"/>
        <v>0.30226000000000003</v>
      </c>
      <c r="L385" s="5">
        <f t="shared" si="16"/>
        <v>8.8899999999999988</v>
      </c>
      <c r="M385" s="5" t="s">
        <v>39</v>
      </c>
      <c r="N385" s="5">
        <v>72.542400000000001</v>
      </c>
      <c r="O385" s="5" t="s">
        <v>39</v>
      </c>
      <c r="P385" t="s">
        <v>969</v>
      </c>
      <c r="Q385" t="s">
        <v>970</v>
      </c>
      <c r="R385" t="s">
        <v>37</v>
      </c>
      <c r="S385" t="s">
        <v>971</v>
      </c>
      <c r="T385" t="s">
        <v>43</v>
      </c>
      <c r="U385" t="s">
        <v>44</v>
      </c>
      <c r="V385">
        <v>147</v>
      </c>
      <c r="W385" t="s">
        <v>45</v>
      </c>
      <c r="X385" t="s">
        <v>46</v>
      </c>
      <c r="Y385" t="s">
        <v>972</v>
      </c>
      <c r="Z385" t="s">
        <v>37</v>
      </c>
      <c r="AA385" t="s">
        <v>95</v>
      </c>
      <c r="AB385" t="s">
        <v>37</v>
      </c>
      <c r="AC385" s="6" t="s">
        <v>37</v>
      </c>
      <c r="AD385" s="6" t="s">
        <v>37</v>
      </c>
      <c r="AE385" t="s">
        <v>37</v>
      </c>
      <c r="AF385" t="s">
        <v>37</v>
      </c>
      <c r="AG385" s="6" t="s">
        <v>37</v>
      </c>
      <c r="AH385" t="s">
        <v>37</v>
      </c>
      <c r="AI385" t="s">
        <v>37</v>
      </c>
      <c r="AJ385" t="str">
        <f t="shared" si="17"/>
        <v>1VBBCE3CB07W5JK3Z2</v>
      </c>
    </row>
    <row r="386" spans="1:36" ht="15" customHeight="1" x14ac:dyDescent="0.25">
      <c r="A386" t="s">
        <v>411</v>
      </c>
      <c r="B386" t="s">
        <v>37</v>
      </c>
      <c r="C386" t="s">
        <v>37</v>
      </c>
      <c r="D386" t="s">
        <v>38</v>
      </c>
      <c r="E386" s="4">
        <v>47</v>
      </c>
      <c r="F386" s="5">
        <v>6918.87</v>
      </c>
      <c r="G386" s="5" t="s">
        <v>39</v>
      </c>
      <c r="H386" s="5">
        <v>11171.9</v>
      </c>
      <c r="I386" s="5" t="s">
        <v>39</v>
      </c>
      <c r="J386" s="5">
        <v>235.24158</v>
      </c>
      <c r="K386" s="5">
        <f t="shared" si="15"/>
        <v>5.0051399999999999</v>
      </c>
      <c r="L386" s="5">
        <f t="shared" si="16"/>
        <v>147.21</v>
      </c>
      <c r="M386" s="5" t="s">
        <v>39</v>
      </c>
      <c r="N386" s="5">
        <v>235.24158</v>
      </c>
      <c r="O386" s="5" t="s">
        <v>39</v>
      </c>
      <c r="P386" t="s">
        <v>976</v>
      </c>
      <c r="Q386" t="s">
        <v>977</v>
      </c>
      <c r="R386" t="s">
        <v>978</v>
      </c>
      <c r="S386" t="s">
        <v>979</v>
      </c>
      <c r="T386" t="s">
        <v>43</v>
      </c>
      <c r="U386" t="s">
        <v>44</v>
      </c>
      <c r="V386">
        <v>147</v>
      </c>
      <c r="W386" t="s">
        <v>45</v>
      </c>
      <c r="X386" t="s">
        <v>46</v>
      </c>
      <c r="Y386" t="s">
        <v>980</v>
      </c>
      <c r="Z386" t="s">
        <v>37</v>
      </c>
      <c r="AA386" t="s">
        <v>307</v>
      </c>
      <c r="AB386" t="s">
        <v>37</v>
      </c>
      <c r="AC386" s="6" t="s">
        <v>37</v>
      </c>
      <c r="AD386" s="6" t="s">
        <v>37</v>
      </c>
      <c r="AE386" t="s">
        <v>37</v>
      </c>
      <c r="AF386" t="s">
        <v>37</v>
      </c>
      <c r="AG386" s="6" t="s">
        <v>37</v>
      </c>
      <c r="AH386" t="s">
        <v>37</v>
      </c>
      <c r="AI386" t="s">
        <v>37</v>
      </c>
      <c r="AJ386" t="str">
        <f t="shared" si="17"/>
        <v>8JIYRRZWB07JGCM9QM</v>
      </c>
    </row>
    <row r="387" spans="1:36" ht="15" customHeight="1" x14ac:dyDescent="0.25">
      <c r="A387" t="s">
        <v>76</v>
      </c>
      <c r="B387" t="s">
        <v>37</v>
      </c>
      <c r="C387" t="s">
        <v>37</v>
      </c>
      <c r="D387" t="s">
        <v>38</v>
      </c>
      <c r="E387" s="4">
        <v>136</v>
      </c>
      <c r="F387" s="5">
        <v>13168.88</v>
      </c>
      <c r="G387" s="5" t="s">
        <v>39</v>
      </c>
      <c r="H387" s="5">
        <v>15606</v>
      </c>
      <c r="I387" s="5" t="s">
        <v>39</v>
      </c>
      <c r="J387" s="5">
        <v>447.74191999999999</v>
      </c>
      <c r="K387" s="5">
        <f t="shared" ref="K387:K450" si="18">J387/E387</f>
        <v>3.2922199999999999</v>
      </c>
      <c r="L387" s="5">
        <f t="shared" ref="L387:L450" si="19">F387/E387</f>
        <v>96.83</v>
      </c>
      <c r="M387" s="5" t="s">
        <v>39</v>
      </c>
      <c r="N387" s="5">
        <v>447.74191999999999</v>
      </c>
      <c r="O387" s="5" t="s">
        <v>39</v>
      </c>
      <c r="P387" t="s">
        <v>426</v>
      </c>
      <c r="Q387" t="s">
        <v>643</v>
      </c>
      <c r="R387" t="s">
        <v>644</v>
      </c>
      <c r="S387" t="s">
        <v>645</v>
      </c>
      <c r="T387" t="s">
        <v>43</v>
      </c>
      <c r="U387" t="s">
        <v>44</v>
      </c>
      <c r="V387">
        <v>267</v>
      </c>
      <c r="W387" t="s">
        <v>151</v>
      </c>
      <c r="X387" t="s">
        <v>152</v>
      </c>
      <c r="Y387" t="s">
        <v>646</v>
      </c>
      <c r="Z387" t="s">
        <v>37</v>
      </c>
      <c r="AA387" t="s">
        <v>95</v>
      </c>
      <c r="AB387" t="s">
        <v>37</v>
      </c>
      <c r="AC387" s="6" t="s">
        <v>37</v>
      </c>
      <c r="AD387" s="6" t="s">
        <v>37</v>
      </c>
      <c r="AE387" t="s">
        <v>37</v>
      </c>
      <c r="AF387" t="s">
        <v>37</v>
      </c>
      <c r="AG387" s="6" t="s">
        <v>37</v>
      </c>
      <c r="AH387" t="s">
        <v>37</v>
      </c>
      <c r="AI387" t="s">
        <v>37</v>
      </c>
      <c r="AJ387" t="str">
        <f t="shared" ref="AJ387:AJ450" si="20">P387&amp;Q387</f>
        <v>3IQS66UGB014PYGYRE</v>
      </c>
    </row>
    <row r="388" spans="1:36" ht="15" customHeight="1" x14ac:dyDescent="0.25">
      <c r="A388" t="s">
        <v>127</v>
      </c>
      <c r="B388" t="s">
        <v>37</v>
      </c>
      <c r="C388" t="s">
        <v>37</v>
      </c>
      <c r="D388" t="s">
        <v>38</v>
      </c>
      <c r="E388" s="4">
        <v>4</v>
      </c>
      <c r="F388" s="5">
        <v>276.12</v>
      </c>
      <c r="G388" s="5" t="s">
        <v>39</v>
      </c>
      <c r="H388" s="5">
        <v>422.96</v>
      </c>
      <c r="I388" s="5" t="s">
        <v>39</v>
      </c>
      <c r="J388" s="5">
        <v>9.3880800000000004</v>
      </c>
      <c r="K388" s="5">
        <f t="shared" si="18"/>
        <v>2.3470200000000001</v>
      </c>
      <c r="L388" s="5">
        <f t="shared" si="19"/>
        <v>69.03</v>
      </c>
      <c r="M388" s="5" t="s">
        <v>39</v>
      </c>
      <c r="N388" s="5">
        <v>9.3880800000000004</v>
      </c>
      <c r="O388" s="5" t="s">
        <v>39</v>
      </c>
      <c r="P388" t="s">
        <v>141</v>
      </c>
      <c r="Q388" t="s">
        <v>948</v>
      </c>
      <c r="R388" t="s">
        <v>37</v>
      </c>
      <c r="S388" t="s">
        <v>949</v>
      </c>
      <c r="T388" t="s">
        <v>43</v>
      </c>
      <c r="U388" t="s">
        <v>44</v>
      </c>
      <c r="V388">
        <v>147</v>
      </c>
      <c r="W388" t="s">
        <v>45</v>
      </c>
      <c r="X388" t="s">
        <v>60</v>
      </c>
      <c r="Y388" t="s">
        <v>950</v>
      </c>
      <c r="Z388" t="s">
        <v>37</v>
      </c>
      <c r="AA388" t="s">
        <v>55</v>
      </c>
      <c r="AB388" t="s">
        <v>37</v>
      </c>
      <c r="AC388" s="6" t="s">
        <v>37</v>
      </c>
      <c r="AD388" s="6" t="s">
        <v>37</v>
      </c>
      <c r="AE388" t="s">
        <v>37</v>
      </c>
      <c r="AF388" t="s">
        <v>37</v>
      </c>
      <c r="AG388" s="6" t="s">
        <v>37</v>
      </c>
      <c r="AH388" t="s">
        <v>37</v>
      </c>
      <c r="AI388" t="s">
        <v>37</v>
      </c>
      <c r="AJ388" t="str">
        <f t="shared" si="20"/>
        <v>56UO2L2IB07W5JKNB9</v>
      </c>
    </row>
    <row r="389" spans="1:36" ht="15" customHeight="1" x14ac:dyDescent="0.25">
      <c r="A389" t="s">
        <v>76</v>
      </c>
      <c r="B389" t="s">
        <v>37</v>
      </c>
      <c r="C389" t="s">
        <v>37</v>
      </c>
      <c r="D389" t="s">
        <v>38</v>
      </c>
      <c r="E389" s="4">
        <v>4</v>
      </c>
      <c r="F389" s="5">
        <v>25.28</v>
      </c>
      <c r="G389" s="5" t="s">
        <v>39</v>
      </c>
      <c r="H389" s="5">
        <v>42.6</v>
      </c>
      <c r="I389" s="5" t="s">
        <v>39</v>
      </c>
      <c r="J389" s="5">
        <v>0.85951999999999995</v>
      </c>
      <c r="K389" s="5">
        <f t="shared" si="18"/>
        <v>0.21487999999999999</v>
      </c>
      <c r="L389" s="5">
        <f t="shared" si="19"/>
        <v>6.32</v>
      </c>
      <c r="M389" s="5" t="s">
        <v>39</v>
      </c>
      <c r="N389" s="5">
        <v>0.85951999999999995</v>
      </c>
      <c r="O389" s="5" t="s">
        <v>39</v>
      </c>
      <c r="P389" t="s">
        <v>177</v>
      </c>
      <c r="Q389" t="s">
        <v>981</v>
      </c>
      <c r="R389" t="s">
        <v>37</v>
      </c>
      <c r="S389" t="s">
        <v>982</v>
      </c>
      <c r="T389" t="s">
        <v>43</v>
      </c>
      <c r="U389" t="s">
        <v>44</v>
      </c>
      <c r="V389">
        <v>147</v>
      </c>
      <c r="W389" t="s">
        <v>45</v>
      </c>
      <c r="X389" t="s">
        <v>53</v>
      </c>
      <c r="Y389" t="s">
        <v>983</v>
      </c>
      <c r="Z389" t="s">
        <v>37</v>
      </c>
      <c r="AA389" t="s">
        <v>95</v>
      </c>
      <c r="AB389" t="s">
        <v>37</v>
      </c>
      <c r="AC389" s="6" t="s">
        <v>37</v>
      </c>
      <c r="AD389" s="6" t="s">
        <v>37</v>
      </c>
      <c r="AE389" t="s">
        <v>37</v>
      </c>
      <c r="AF389" t="s">
        <v>37</v>
      </c>
      <c r="AG389" s="6" t="s">
        <v>37</v>
      </c>
      <c r="AH389" t="s">
        <v>37</v>
      </c>
      <c r="AI389" t="s">
        <v>37</v>
      </c>
      <c r="AJ389" t="str">
        <f t="shared" si="20"/>
        <v>4F3XMHTVB07W6JPM9P</v>
      </c>
    </row>
    <row r="390" spans="1:36" ht="15" customHeight="1" x14ac:dyDescent="0.25">
      <c r="A390" t="s">
        <v>96</v>
      </c>
      <c r="B390" t="s">
        <v>37</v>
      </c>
      <c r="C390" t="s">
        <v>37</v>
      </c>
      <c r="D390" t="s">
        <v>38</v>
      </c>
      <c r="E390" s="4">
        <v>4</v>
      </c>
      <c r="F390" s="5">
        <v>179.36</v>
      </c>
      <c r="G390" s="5" t="s">
        <v>39</v>
      </c>
      <c r="H390" s="5">
        <v>288.48</v>
      </c>
      <c r="I390" s="5" t="s">
        <v>39</v>
      </c>
      <c r="J390" s="5">
        <v>6.0982399999999997</v>
      </c>
      <c r="K390" s="5">
        <f t="shared" si="18"/>
        <v>1.5245599999999999</v>
      </c>
      <c r="L390" s="5">
        <f t="shared" si="19"/>
        <v>44.84</v>
      </c>
      <c r="M390" s="5" t="s">
        <v>39</v>
      </c>
      <c r="N390" s="5">
        <v>6.0982399999999997</v>
      </c>
      <c r="O390" s="5" t="s">
        <v>39</v>
      </c>
      <c r="P390" t="s">
        <v>222</v>
      </c>
      <c r="Q390" t="s">
        <v>984</v>
      </c>
      <c r="R390" t="s">
        <v>37</v>
      </c>
      <c r="S390" t="s">
        <v>985</v>
      </c>
      <c r="T390" t="s">
        <v>43</v>
      </c>
      <c r="U390" t="s">
        <v>44</v>
      </c>
      <c r="V390">
        <v>147</v>
      </c>
      <c r="W390" t="s">
        <v>45</v>
      </c>
      <c r="X390" t="s">
        <v>46</v>
      </c>
      <c r="Y390" t="s">
        <v>986</v>
      </c>
      <c r="Z390" t="s">
        <v>37</v>
      </c>
      <c r="AA390" t="s">
        <v>95</v>
      </c>
      <c r="AB390" t="s">
        <v>37</v>
      </c>
      <c r="AC390" s="6" t="s">
        <v>37</v>
      </c>
      <c r="AD390" s="6" t="s">
        <v>37</v>
      </c>
      <c r="AE390" t="s">
        <v>37</v>
      </c>
      <c r="AF390" t="s">
        <v>37</v>
      </c>
      <c r="AG390" s="6" t="s">
        <v>37</v>
      </c>
      <c r="AH390" t="s">
        <v>37</v>
      </c>
      <c r="AI390" t="s">
        <v>37</v>
      </c>
      <c r="AJ390" t="str">
        <f t="shared" si="20"/>
        <v>2F7Y5WIXB07W6JM35X</v>
      </c>
    </row>
    <row r="391" spans="1:36" ht="15" customHeight="1" x14ac:dyDescent="0.25">
      <c r="A391" t="s">
        <v>62</v>
      </c>
      <c r="B391" t="s">
        <v>37</v>
      </c>
      <c r="C391" t="s">
        <v>37</v>
      </c>
      <c r="D391" t="s">
        <v>38</v>
      </c>
      <c r="E391" s="4">
        <v>90</v>
      </c>
      <c r="F391" s="5">
        <v>5220</v>
      </c>
      <c r="G391" s="5" t="s">
        <v>39</v>
      </c>
      <c r="H391" s="5">
        <v>7671.6</v>
      </c>
      <c r="I391" s="5" t="s">
        <v>39</v>
      </c>
      <c r="J391" s="5">
        <v>177.48</v>
      </c>
      <c r="K391" s="5">
        <f t="shared" si="18"/>
        <v>1.972</v>
      </c>
      <c r="L391" s="5">
        <f t="shared" si="19"/>
        <v>58</v>
      </c>
      <c r="M391" s="5" t="s">
        <v>39</v>
      </c>
      <c r="N391" s="5">
        <v>177.48</v>
      </c>
      <c r="O391" s="5" t="s">
        <v>39</v>
      </c>
      <c r="P391" t="s">
        <v>177</v>
      </c>
      <c r="Q391" t="s">
        <v>441</v>
      </c>
      <c r="R391" t="s">
        <v>37</v>
      </c>
      <c r="S391" t="s">
        <v>442</v>
      </c>
      <c r="T391" t="s">
        <v>43</v>
      </c>
      <c r="U391" t="s">
        <v>44</v>
      </c>
      <c r="V391">
        <v>147</v>
      </c>
      <c r="W391" t="s">
        <v>45</v>
      </c>
      <c r="X391" t="s">
        <v>53</v>
      </c>
      <c r="Y391" t="s">
        <v>443</v>
      </c>
      <c r="Z391" t="s">
        <v>37</v>
      </c>
      <c r="AA391" t="s">
        <v>55</v>
      </c>
      <c r="AB391" t="s">
        <v>37</v>
      </c>
      <c r="AC391" s="6" t="s">
        <v>37</v>
      </c>
      <c r="AD391" s="6" t="s">
        <v>37</v>
      </c>
      <c r="AE391" t="s">
        <v>37</v>
      </c>
      <c r="AF391" t="s">
        <v>37</v>
      </c>
      <c r="AG391" s="6" t="s">
        <v>37</v>
      </c>
      <c r="AH391" t="s">
        <v>37</v>
      </c>
      <c r="AI391" t="s">
        <v>37</v>
      </c>
      <c r="AJ391" t="str">
        <f t="shared" si="20"/>
        <v>4F3XMHTVB07W5JHLCB</v>
      </c>
    </row>
    <row r="392" spans="1:36" ht="15" customHeight="1" x14ac:dyDescent="0.25">
      <c r="A392" t="s">
        <v>118</v>
      </c>
      <c r="B392" t="s">
        <v>37</v>
      </c>
      <c r="C392" t="s">
        <v>37</v>
      </c>
      <c r="D392" t="s">
        <v>38</v>
      </c>
      <c r="E392" s="4">
        <v>4</v>
      </c>
      <c r="F392" s="5">
        <v>211.04</v>
      </c>
      <c r="G392" s="5" t="s">
        <v>39</v>
      </c>
      <c r="H392" s="5">
        <v>340.96</v>
      </c>
      <c r="I392" s="5" t="s">
        <v>39</v>
      </c>
      <c r="J392" s="5">
        <v>7.1753600000000004</v>
      </c>
      <c r="K392" s="5">
        <f t="shared" si="18"/>
        <v>1.7938400000000001</v>
      </c>
      <c r="L392" s="5">
        <f t="shared" si="19"/>
        <v>52.76</v>
      </c>
      <c r="M392" s="5" t="s">
        <v>39</v>
      </c>
      <c r="N392" s="5">
        <v>7.1753600000000004</v>
      </c>
      <c r="O392" s="5" t="s">
        <v>39</v>
      </c>
      <c r="P392" t="s">
        <v>537</v>
      </c>
      <c r="Q392" t="s">
        <v>304</v>
      </c>
      <c r="R392" t="s">
        <v>37</v>
      </c>
      <c r="S392" t="s">
        <v>305</v>
      </c>
      <c r="T392" t="s">
        <v>43</v>
      </c>
      <c r="U392" t="s">
        <v>44</v>
      </c>
      <c r="V392">
        <v>63</v>
      </c>
      <c r="W392" t="s">
        <v>45</v>
      </c>
      <c r="X392" t="s">
        <v>46</v>
      </c>
      <c r="Y392" t="s">
        <v>306</v>
      </c>
      <c r="Z392" t="s">
        <v>37</v>
      </c>
      <c r="AA392" t="s">
        <v>307</v>
      </c>
      <c r="AB392" t="s">
        <v>37</v>
      </c>
      <c r="AC392" s="6" t="s">
        <v>37</v>
      </c>
      <c r="AD392" s="6" t="s">
        <v>37</v>
      </c>
      <c r="AE392" t="s">
        <v>37</v>
      </c>
      <c r="AF392" t="s">
        <v>37</v>
      </c>
      <c r="AG392" s="6" t="s">
        <v>37</v>
      </c>
      <c r="AH392" t="s">
        <v>37</v>
      </c>
      <c r="AI392" t="s">
        <v>37</v>
      </c>
      <c r="AJ392" t="str">
        <f t="shared" si="20"/>
        <v>1LQM129ZB07W6JGH8Z</v>
      </c>
    </row>
    <row r="393" spans="1:36" ht="15" customHeight="1" x14ac:dyDescent="0.25">
      <c r="A393" t="s">
        <v>36</v>
      </c>
      <c r="B393" t="s">
        <v>37</v>
      </c>
      <c r="C393" t="s">
        <v>37</v>
      </c>
      <c r="D393" t="s">
        <v>38</v>
      </c>
      <c r="E393" s="4">
        <v>72</v>
      </c>
      <c r="F393" s="5">
        <v>6040.08</v>
      </c>
      <c r="G393" s="5" t="s">
        <v>39</v>
      </c>
      <c r="H393" s="5">
        <v>9973.44</v>
      </c>
      <c r="I393" s="5" t="s">
        <v>39</v>
      </c>
      <c r="J393" s="5">
        <v>205.36272</v>
      </c>
      <c r="K393" s="5">
        <f t="shared" si="18"/>
        <v>2.8522599999999998</v>
      </c>
      <c r="L393" s="5">
        <f t="shared" si="19"/>
        <v>83.89</v>
      </c>
      <c r="M393" s="5" t="s">
        <v>39</v>
      </c>
      <c r="N393" s="5">
        <v>205.36272</v>
      </c>
      <c r="O393" s="5" t="s">
        <v>39</v>
      </c>
      <c r="P393" t="s">
        <v>67</v>
      </c>
      <c r="Q393" t="s">
        <v>987</v>
      </c>
      <c r="R393" t="s">
        <v>37</v>
      </c>
      <c r="S393" t="s">
        <v>988</v>
      </c>
      <c r="T393" t="s">
        <v>43</v>
      </c>
      <c r="U393" t="s">
        <v>44</v>
      </c>
      <c r="V393">
        <v>147</v>
      </c>
      <c r="W393" t="s">
        <v>45</v>
      </c>
      <c r="X393" t="s">
        <v>239</v>
      </c>
      <c r="Y393" t="s">
        <v>989</v>
      </c>
      <c r="Z393" t="s">
        <v>37</v>
      </c>
      <c r="AA393" t="s">
        <v>95</v>
      </c>
      <c r="AB393" t="s">
        <v>37</v>
      </c>
      <c r="AC393" s="6" t="s">
        <v>37</v>
      </c>
      <c r="AD393" s="6" t="s">
        <v>37</v>
      </c>
      <c r="AE393" t="s">
        <v>37</v>
      </c>
      <c r="AF393" t="s">
        <v>37</v>
      </c>
      <c r="AG393" s="6" t="s">
        <v>37</v>
      </c>
      <c r="AH393" t="s">
        <v>37</v>
      </c>
      <c r="AI393" t="s">
        <v>37</v>
      </c>
      <c r="AJ393" t="str">
        <f t="shared" si="20"/>
        <v>2TMBDXBKB07W7KT2B3</v>
      </c>
    </row>
    <row r="394" spans="1:36" ht="15" customHeight="1" x14ac:dyDescent="0.25">
      <c r="A394" t="s">
        <v>101</v>
      </c>
      <c r="B394" t="s">
        <v>37</v>
      </c>
      <c r="C394" t="s">
        <v>37</v>
      </c>
      <c r="D394" t="s">
        <v>38</v>
      </c>
      <c r="E394" s="4">
        <v>30</v>
      </c>
      <c r="F394" s="5">
        <v>315.89999999999998</v>
      </c>
      <c r="G394" s="5" t="s">
        <v>39</v>
      </c>
      <c r="H394" s="5">
        <v>491.7</v>
      </c>
      <c r="I394" s="5" t="s">
        <v>39</v>
      </c>
      <c r="J394" s="5">
        <v>10.740600000000001</v>
      </c>
      <c r="K394" s="5">
        <f t="shared" si="18"/>
        <v>0.35802</v>
      </c>
      <c r="L394" s="5">
        <f t="shared" si="19"/>
        <v>10.53</v>
      </c>
      <c r="M394" s="5" t="s">
        <v>39</v>
      </c>
      <c r="N394" s="5">
        <v>10.740600000000001</v>
      </c>
      <c r="O394" s="5" t="s">
        <v>39</v>
      </c>
      <c r="P394" t="s">
        <v>72</v>
      </c>
      <c r="Q394" t="s">
        <v>990</v>
      </c>
      <c r="R394" t="s">
        <v>37</v>
      </c>
      <c r="S394" t="s">
        <v>991</v>
      </c>
      <c r="T394" t="s">
        <v>43</v>
      </c>
      <c r="U394" t="s">
        <v>44</v>
      </c>
      <c r="V394">
        <v>147</v>
      </c>
      <c r="W394" t="s">
        <v>45</v>
      </c>
      <c r="X394" t="s">
        <v>53</v>
      </c>
      <c r="Y394" t="s">
        <v>992</v>
      </c>
      <c r="Z394" t="s">
        <v>37</v>
      </c>
      <c r="AA394" t="s">
        <v>55</v>
      </c>
      <c r="AB394" t="s">
        <v>37</v>
      </c>
      <c r="AC394" s="6" t="s">
        <v>37</v>
      </c>
      <c r="AD394" s="6" t="s">
        <v>37</v>
      </c>
      <c r="AE394" t="s">
        <v>37</v>
      </c>
      <c r="AF394" t="s">
        <v>37</v>
      </c>
      <c r="AG394" s="6" t="s">
        <v>37</v>
      </c>
      <c r="AH394" t="s">
        <v>37</v>
      </c>
      <c r="AI394" t="s">
        <v>37</v>
      </c>
      <c r="AJ394" t="str">
        <f t="shared" si="20"/>
        <v>4GF112AEB07W6J6W4P</v>
      </c>
    </row>
    <row r="395" spans="1:36" ht="15" customHeight="1" x14ac:dyDescent="0.25">
      <c r="A395" t="s">
        <v>49</v>
      </c>
      <c r="B395" t="s">
        <v>37</v>
      </c>
      <c r="C395" t="s">
        <v>37</v>
      </c>
      <c r="D395" t="s">
        <v>38</v>
      </c>
      <c r="E395" s="4">
        <v>44</v>
      </c>
      <c r="F395" s="5">
        <v>2041.6</v>
      </c>
      <c r="G395" s="5" t="s">
        <v>39</v>
      </c>
      <c r="H395" s="5">
        <v>2956.8</v>
      </c>
      <c r="I395" s="5" t="s">
        <v>39</v>
      </c>
      <c r="J395" s="5">
        <v>69.414400000000001</v>
      </c>
      <c r="K395" s="5">
        <f t="shared" si="18"/>
        <v>1.5776000000000001</v>
      </c>
      <c r="L395" s="5">
        <f t="shared" si="19"/>
        <v>46.4</v>
      </c>
      <c r="M395" s="5" t="s">
        <v>39</v>
      </c>
      <c r="N395" s="5">
        <v>69.414400000000001</v>
      </c>
      <c r="O395" s="5" t="s">
        <v>39</v>
      </c>
      <c r="P395" t="s">
        <v>241</v>
      </c>
      <c r="Q395" t="s">
        <v>370</v>
      </c>
      <c r="R395" t="s">
        <v>37</v>
      </c>
      <c r="S395" t="s">
        <v>371</v>
      </c>
      <c r="T395" t="s">
        <v>43</v>
      </c>
      <c r="U395" t="s">
        <v>44</v>
      </c>
      <c r="V395">
        <v>147</v>
      </c>
      <c r="W395" t="s">
        <v>45</v>
      </c>
      <c r="X395" t="s">
        <v>53</v>
      </c>
      <c r="Y395" t="s">
        <v>372</v>
      </c>
      <c r="Z395" t="s">
        <v>37</v>
      </c>
      <c r="AA395" t="s">
        <v>55</v>
      </c>
      <c r="AB395" t="s">
        <v>37</v>
      </c>
      <c r="AC395" s="6" t="s">
        <v>37</v>
      </c>
      <c r="AD395" s="6" t="s">
        <v>37</v>
      </c>
      <c r="AE395" t="s">
        <v>37</v>
      </c>
      <c r="AF395" t="s">
        <v>37</v>
      </c>
      <c r="AG395" s="6" t="s">
        <v>37</v>
      </c>
      <c r="AH395" t="s">
        <v>37</v>
      </c>
      <c r="AI395" t="s">
        <v>37</v>
      </c>
      <c r="AJ395" t="str">
        <f t="shared" si="20"/>
        <v>6451M4NBB07W4DGC27</v>
      </c>
    </row>
    <row r="396" spans="1:36" ht="15" customHeight="1" x14ac:dyDescent="0.25">
      <c r="A396" t="s">
        <v>88</v>
      </c>
      <c r="B396" t="s">
        <v>37</v>
      </c>
      <c r="C396" t="s">
        <v>37</v>
      </c>
      <c r="D396" t="s">
        <v>38</v>
      </c>
      <c r="E396" s="4">
        <v>96</v>
      </c>
      <c r="F396" s="5">
        <v>10080</v>
      </c>
      <c r="G396" s="5" t="s">
        <v>39</v>
      </c>
      <c r="H396" s="5">
        <v>16918.080000000002</v>
      </c>
      <c r="I396" s="5" t="s">
        <v>39</v>
      </c>
      <c r="J396" s="5">
        <v>342.72</v>
      </c>
      <c r="K396" s="5">
        <f t="shared" si="18"/>
        <v>3.5700000000000003</v>
      </c>
      <c r="L396" s="5">
        <f t="shared" si="19"/>
        <v>105</v>
      </c>
      <c r="M396" s="5" t="s">
        <v>39</v>
      </c>
      <c r="N396" s="5">
        <v>342.72</v>
      </c>
      <c r="O396" s="5" t="s">
        <v>39</v>
      </c>
      <c r="P396" t="s">
        <v>133</v>
      </c>
      <c r="Q396" t="s">
        <v>196</v>
      </c>
      <c r="R396" t="s">
        <v>37</v>
      </c>
      <c r="S396" t="s">
        <v>197</v>
      </c>
      <c r="T396" t="s">
        <v>43</v>
      </c>
      <c r="U396" t="s">
        <v>44</v>
      </c>
      <c r="V396">
        <v>147</v>
      </c>
      <c r="W396" t="s">
        <v>45</v>
      </c>
      <c r="X396" t="s">
        <v>46</v>
      </c>
      <c r="Y396" t="s">
        <v>198</v>
      </c>
      <c r="Z396" t="s">
        <v>37</v>
      </c>
      <c r="AA396" t="s">
        <v>95</v>
      </c>
      <c r="AB396" t="s">
        <v>37</v>
      </c>
      <c r="AC396" s="6" t="s">
        <v>37</v>
      </c>
      <c r="AD396" s="6" t="s">
        <v>37</v>
      </c>
      <c r="AE396" t="s">
        <v>37</v>
      </c>
      <c r="AF396" t="s">
        <v>37</v>
      </c>
      <c r="AG396" s="6" t="s">
        <v>37</v>
      </c>
      <c r="AH396" t="s">
        <v>37</v>
      </c>
      <c r="AI396" t="s">
        <v>37</v>
      </c>
      <c r="AJ396" t="str">
        <f t="shared" si="20"/>
        <v>36BT7GGLB07MTY7N22</v>
      </c>
    </row>
    <row r="397" spans="1:36" ht="15" customHeight="1" x14ac:dyDescent="0.25">
      <c r="A397" t="s">
        <v>62</v>
      </c>
      <c r="B397" t="s">
        <v>37</v>
      </c>
      <c r="C397" t="s">
        <v>37</v>
      </c>
      <c r="D397" t="s">
        <v>38</v>
      </c>
      <c r="E397" s="4">
        <v>20</v>
      </c>
      <c r="F397" s="5">
        <v>468.4</v>
      </c>
      <c r="G397" s="5" t="s">
        <v>39</v>
      </c>
      <c r="H397" s="5">
        <v>721.2</v>
      </c>
      <c r="I397" s="5" t="s">
        <v>39</v>
      </c>
      <c r="J397" s="5">
        <v>15.925599999999999</v>
      </c>
      <c r="K397" s="5">
        <f t="shared" si="18"/>
        <v>0.79627999999999999</v>
      </c>
      <c r="L397" s="5">
        <f t="shared" si="19"/>
        <v>23.419999999999998</v>
      </c>
      <c r="M397" s="5" t="s">
        <v>39</v>
      </c>
      <c r="N397" s="5">
        <v>15.925599999999999</v>
      </c>
      <c r="O397" s="5" t="s">
        <v>39</v>
      </c>
      <c r="P397" t="s">
        <v>72</v>
      </c>
      <c r="Q397" t="s">
        <v>993</v>
      </c>
      <c r="R397" t="s">
        <v>37</v>
      </c>
      <c r="S397" t="s">
        <v>994</v>
      </c>
      <c r="T397" t="s">
        <v>43</v>
      </c>
      <c r="U397" t="s">
        <v>44</v>
      </c>
      <c r="V397">
        <v>147</v>
      </c>
      <c r="W397" t="s">
        <v>45</v>
      </c>
      <c r="X397" t="s">
        <v>53</v>
      </c>
      <c r="Y397" t="s">
        <v>995</v>
      </c>
      <c r="Z397" t="s">
        <v>37</v>
      </c>
      <c r="AA397" t="s">
        <v>48</v>
      </c>
      <c r="AB397" t="s">
        <v>37</v>
      </c>
      <c r="AC397" s="6" t="s">
        <v>37</v>
      </c>
      <c r="AD397" s="6" t="s">
        <v>37</v>
      </c>
      <c r="AE397" t="s">
        <v>37</v>
      </c>
      <c r="AF397" t="s">
        <v>37</v>
      </c>
      <c r="AG397" s="6" t="s">
        <v>37</v>
      </c>
      <c r="AH397" t="s">
        <v>37</v>
      </c>
      <c r="AI397" t="s">
        <v>37</v>
      </c>
      <c r="AJ397" t="str">
        <f t="shared" si="20"/>
        <v>4GF112AEB00MWR5IVA</v>
      </c>
    </row>
    <row r="398" spans="1:36" ht="15" customHeight="1" x14ac:dyDescent="0.25">
      <c r="A398" t="s">
        <v>88</v>
      </c>
      <c r="B398" t="s">
        <v>37</v>
      </c>
      <c r="C398" t="s">
        <v>37</v>
      </c>
      <c r="D398" t="s">
        <v>38</v>
      </c>
      <c r="E398" s="4">
        <v>4</v>
      </c>
      <c r="F398" s="5">
        <v>140.52000000000001</v>
      </c>
      <c r="G398" s="5" t="s">
        <v>39</v>
      </c>
      <c r="H398" s="5">
        <v>170.44</v>
      </c>
      <c r="I398" s="5" t="s">
        <v>39</v>
      </c>
      <c r="J398" s="5">
        <v>4.7776800000000001</v>
      </c>
      <c r="K398" s="5">
        <f t="shared" si="18"/>
        <v>1.19442</v>
      </c>
      <c r="L398" s="5">
        <f t="shared" si="19"/>
        <v>35.130000000000003</v>
      </c>
      <c r="M398" s="5" t="s">
        <v>39</v>
      </c>
      <c r="N398" s="5">
        <v>4.7776800000000001</v>
      </c>
      <c r="O398" s="5" t="s">
        <v>39</v>
      </c>
      <c r="P398" t="s">
        <v>154</v>
      </c>
      <c r="Q398" t="s">
        <v>996</v>
      </c>
      <c r="R398" t="s">
        <v>37</v>
      </c>
      <c r="S398" t="s">
        <v>997</v>
      </c>
      <c r="T398" t="s">
        <v>43</v>
      </c>
      <c r="U398" t="s">
        <v>44</v>
      </c>
      <c r="V398">
        <v>147</v>
      </c>
      <c r="W398" t="s">
        <v>45</v>
      </c>
      <c r="X398" t="s">
        <v>60</v>
      </c>
      <c r="Y398" t="s">
        <v>998</v>
      </c>
      <c r="Z398" t="s">
        <v>37</v>
      </c>
      <c r="AA398" t="s">
        <v>55</v>
      </c>
      <c r="AB398" t="s">
        <v>37</v>
      </c>
      <c r="AC398" s="6" t="s">
        <v>37</v>
      </c>
      <c r="AD398" s="6" t="s">
        <v>37</v>
      </c>
      <c r="AE398" t="s">
        <v>37</v>
      </c>
      <c r="AF398" t="s">
        <v>37</v>
      </c>
      <c r="AG398" s="6" t="s">
        <v>37</v>
      </c>
      <c r="AH398" t="s">
        <v>37</v>
      </c>
      <c r="AI398" t="s">
        <v>37</v>
      </c>
      <c r="AJ398" t="str">
        <f t="shared" si="20"/>
        <v>1KW92RHQB07VCS1895</v>
      </c>
    </row>
    <row r="399" spans="1:36" ht="15" customHeight="1" x14ac:dyDescent="0.25">
      <c r="A399" t="s">
        <v>96</v>
      </c>
      <c r="B399" t="s">
        <v>37</v>
      </c>
      <c r="C399" t="s">
        <v>37</v>
      </c>
      <c r="D399" t="s">
        <v>38</v>
      </c>
      <c r="E399" s="4">
        <v>8</v>
      </c>
      <c r="F399" s="5">
        <v>505.84</v>
      </c>
      <c r="G399" s="5" t="s">
        <v>39</v>
      </c>
      <c r="H399" s="5">
        <v>780.32</v>
      </c>
      <c r="I399" s="5" t="s">
        <v>39</v>
      </c>
      <c r="J399" s="5">
        <v>17.198560000000001</v>
      </c>
      <c r="K399" s="5">
        <f t="shared" si="18"/>
        <v>2.1498200000000001</v>
      </c>
      <c r="L399" s="5">
        <f t="shared" si="19"/>
        <v>63.23</v>
      </c>
      <c r="M399" s="5" t="s">
        <v>39</v>
      </c>
      <c r="N399" s="5">
        <v>17.198560000000001</v>
      </c>
      <c r="O399" s="5" t="s">
        <v>39</v>
      </c>
      <c r="P399" t="s">
        <v>50</v>
      </c>
      <c r="Q399" t="s">
        <v>999</v>
      </c>
      <c r="R399" t="s">
        <v>37</v>
      </c>
      <c r="S399" t="s">
        <v>1000</v>
      </c>
      <c r="T399" t="s">
        <v>43</v>
      </c>
      <c r="U399" t="s">
        <v>44</v>
      </c>
      <c r="V399">
        <v>147</v>
      </c>
      <c r="W399" t="s">
        <v>45</v>
      </c>
      <c r="X399" t="s">
        <v>46</v>
      </c>
      <c r="Y399" t="s">
        <v>1001</v>
      </c>
      <c r="Z399" t="s">
        <v>37</v>
      </c>
      <c r="AA399" t="s">
        <v>55</v>
      </c>
      <c r="AB399" t="s">
        <v>37</v>
      </c>
      <c r="AC399" s="6" t="s">
        <v>37</v>
      </c>
      <c r="AD399" s="6" t="s">
        <v>37</v>
      </c>
      <c r="AE399" t="s">
        <v>37</v>
      </c>
      <c r="AF399" t="s">
        <v>37</v>
      </c>
      <c r="AG399" s="6" t="s">
        <v>37</v>
      </c>
      <c r="AH399" t="s">
        <v>37</v>
      </c>
      <c r="AI399" t="s">
        <v>37</v>
      </c>
      <c r="AJ399" t="str">
        <f t="shared" si="20"/>
        <v>3A946EXYB07W4DHNG5</v>
      </c>
    </row>
    <row r="400" spans="1:36" ht="15" customHeight="1" x14ac:dyDescent="0.25">
      <c r="A400" t="s">
        <v>96</v>
      </c>
      <c r="B400" t="s">
        <v>37</v>
      </c>
      <c r="C400" t="s">
        <v>37</v>
      </c>
      <c r="D400" t="s">
        <v>38</v>
      </c>
      <c r="E400" s="4">
        <v>216</v>
      </c>
      <c r="F400" s="5">
        <v>10022.4</v>
      </c>
      <c r="G400" s="5" t="s">
        <v>39</v>
      </c>
      <c r="H400" s="5">
        <v>14515.2</v>
      </c>
      <c r="I400" s="5" t="s">
        <v>39</v>
      </c>
      <c r="J400" s="5">
        <v>340.76159999999999</v>
      </c>
      <c r="K400" s="5">
        <f t="shared" si="18"/>
        <v>1.5775999999999999</v>
      </c>
      <c r="L400" s="5">
        <f t="shared" si="19"/>
        <v>46.4</v>
      </c>
      <c r="M400" s="5" t="s">
        <v>39</v>
      </c>
      <c r="N400" s="5">
        <v>340.76159999999999</v>
      </c>
      <c r="O400" s="5" t="s">
        <v>39</v>
      </c>
      <c r="P400" t="s">
        <v>241</v>
      </c>
      <c r="Q400" t="s">
        <v>370</v>
      </c>
      <c r="R400" t="s">
        <v>37</v>
      </c>
      <c r="S400" t="s">
        <v>371</v>
      </c>
      <c r="T400" t="s">
        <v>43</v>
      </c>
      <c r="U400" t="s">
        <v>44</v>
      </c>
      <c r="V400">
        <v>147</v>
      </c>
      <c r="W400" t="s">
        <v>45</v>
      </c>
      <c r="X400" t="s">
        <v>53</v>
      </c>
      <c r="Y400" t="s">
        <v>372</v>
      </c>
      <c r="Z400" t="s">
        <v>37</v>
      </c>
      <c r="AA400" t="s">
        <v>55</v>
      </c>
      <c r="AB400" t="s">
        <v>37</v>
      </c>
      <c r="AC400" s="6" t="s">
        <v>37</v>
      </c>
      <c r="AD400" s="6" t="s">
        <v>37</v>
      </c>
      <c r="AE400" t="s">
        <v>37</v>
      </c>
      <c r="AF400" t="s">
        <v>37</v>
      </c>
      <c r="AG400" s="6" t="s">
        <v>37</v>
      </c>
      <c r="AH400" t="s">
        <v>37</v>
      </c>
      <c r="AI400" t="s">
        <v>37</v>
      </c>
      <c r="AJ400" t="str">
        <f t="shared" si="20"/>
        <v>6451M4NBB07W4DGC27</v>
      </c>
    </row>
    <row r="401" spans="1:36" ht="15" customHeight="1" x14ac:dyDescent="0.25">
      <c r="A401" t="s">
        <v>62</v>
      </c>
      <c r="B401" t="s">
        <v>37</v>
      </c>
      <c r="C401" t="s">
        <v>37</v>
      </c>
      <c r="D401" t="s">
        <v>38</v>
      </c>
      <c r="E401" s="4">
        <v>4</v>
      </c>
      <c r="F401" s="5">
        <v>293.36</v>
      </c>
      <c r="G401" s="5" t="s">
        <v>39</v>
      </c>
      <c r="H401" s="5">
        <v>475.4</v>
      </c>
      <c r="I401" s="5" t="s">
        <v>39</v>
      </c>
      <c r="J401" s="5">
        <v>9.97424</v>
      </c>
      <c r="K401" s="5">
        <f t="shared" si="18"/>
        <v>2.49356</v>
      </c>
      <c r="L401" s="5">
        <f t="shared" si="19"/>
        <v>73.34</v>
      </c>
      <c r="M401" s="5" t="s">
        <v>39</v>
      </c>
      <c r="N401" s="5">
        <v>9.97424</v>
      </c>
      <c r="O401" s="5" t="s">
        <v>39</v>
      </c>
      <c r="P401" t="s">
        <v>177</v>
      </c>
      <c r="Q401" t="s">
        <v>401</v>
      </c>
      <c r="R401" t="s">
        <v>37</v>
      </c>
      <c r="S401" t="s">
        <v>402</v>
      </c>
      <c r="T401" t="s">
        <v>43</v>
      </c>
      <c r="U401" t="s">
        <v>44</v>
      </c>
      <c r="V401">
        <v>147</v>
      </c>
      <c r="W401" t="s">
        <v>45</v>
      </c>
      <c r="X401" t="s">
        <v>46</v>
      </c>
      <c r="Y401" t="s">
        <v>403</v>
      </c>
      <c r="Z401" t="s">
        <v>37</v>
      </c>
      <c r="AA401" t="s">
        <v>55</v>
      </c>
      <c r="AB401" t="s">
        <v>37</v>
      </c>
      <c r="AC401" s="6" t="s">
        <v>37</v>
      </c>
      <c r="AD401" s="6" t="s">
        <v>37</v>
      </c>
      <c r="AE401" t="s">
        <v>37</v>
      </c>
      <c r="AF401" t="s">
        <v>37</v>
      </c>
      <c r="AG401" s="6" t="s">
        <v>37</v>
      </c>
      <c r="AH401" t="s">
        <v>37</v>
      </c>
      <c r="AI401" t="s">
        <v>37</v>
      </c>
      <c r="AJ401" t="str">
        <f t="shared" si="20"/>
        <v>4F3XMHTVB07G5XJLWK</v>
      </c>
    </row>
    <row r="402" spans="1:36" ht="15" customHeight="1" x14ac:dyDescent="0.25">
      <c r="A402" t="s">
        <v>76</v>
      </c>
      <c r="B402" t="s">
        <v>37</v>
      </c>
      <c r="C402" t="s">
        <v>37</v>
      </c>
      <c r="D402" t="s">
        <v>38</v>
      </c>
      <c r="E402" s="4">
        <v>20</v>
      </c>
      <c r="F402" s="5">
        <v>1508.2</v>
      </c>
      <c r="G402" s="5" t="s">
        <v>39</v>
      </c>
      <c r="H402" s="5">
        <v>2213</v>
      </c>
      <c r="I402" s="5" t="s">
        <v>39</v>
      </c>
      <c r="J402" s="5">
        <v>51.278799999999997</v>
      </c>
      <c r="K402" s="5">
        <f t="shared" si="18"/>
        <v>2.5639399999999997</v>
      </c>
      <c r="L402" s="5">
        <f t="shared" si="19"/>
        <v>75.41</v>
      </c>
      <c r="M402" s="5" t="s">
        <v>39</v>
      </c>
      <c r="N402" s="5">
        <v>51.278799999999997</v>
      </c>
      <c r="O402" s="5" t="s">
        <v>39</v>
      </c>
      <c r="P402" t="s">
        <v>114</v>
      </c>
      <c r="Q402" t="s">
        <v>1002</v>
      </c>
      <c r="R402" t="s">
        <v>37</v>
      </c>
      <c r="S402" t="s">
        <v>1003</v>
      </c>
      <c r="T402" t="s">
        <v>43</v>
      </c>
      <c r="U402" t="s">
        <v>44</v>
      </c>
      <c r="V402">
        <v>147</v>
      </c>
      <c r="W402" t="s">
        <v>45</v>
      </c>
      <c r="X402" t="s">
        <v>60</v>
      </c>
      <c r="Y402" t="s">
        <v>1004</v>
      </c>
      <c r="Z402" t="s">
        <v>37</v>
      </c>
      <c r="AA402" t="s">
        <v>48</v>
      </c>
      <c r="AB402" t="s">
        <v>37</v>
      </c>
      <c r="AC402" s="6" t="s">
        <v>37</v>
      </c>
      <c r="AD402" s="6" t="s">
        <v>37</v>
      </c>
      <c r="AE402" t="s">
        <v>37</v>
      </c>
      <c r="AF402" t="s">
        <v>37</v>
      </c>
      <c r="AG402" s="6" t="s">
        <v>37</v>
      </c>
      <c r="AH402" t="s">
        <v>37</v>
      </c>
      <c r="AI402" t="s">
        <v>37</v>
      </c>
      <c r="AJ402" t="str">
        <f t="shared" si="20"/>
        <v>243WWSUAB01MT5WLHY</v>
      </c>
    </row>
    <row r="403" spans="1:36" ht="15" customHeight="1" x14ac:dyDescent="0.25">
      <c r="A403" t="s">
        <v>96</v>
      </c>
      <c r="B403" t="s">
        <v>37</v>
      </c>
      <c r="C403" t="s">
        <v>37</v>
      </c>
      <c r="D403" t="s">
        <v>38</v>
      </c>
      <c r="E403" s="4">
        <v>4</v>
      </c>
      <c r="F403" s="5">
        <v>179.8</v>
      </c>
      <c r="G403" s="5" t="s">
        <v>39</v>
      </c>
      <c r="H403" s="5">
        <v>213.08</v>
      </c>
      <c r="I403" s="5" t="s">
        <v>39</v>
      </c>
      <c r="J403" s="5">
        <v>6.1132</v>
      </c>
      <c r="K403" s="5">
        <f t="shared" si="18"/>
        <v>1.5283</v>
      </c>
      <c r="L403" s="5">
        <f t="shared" si="19"/>
        <v>44.95</v>
      </c>
      <c r="M403" s="5" t="s">
        <v>39</v>
      </c>
      <c r="N403" s="5">
        <v>6.1132</v>
      </c>
      <c r="O403" s="5" t="s">
        <v>39</v>
      </c>
      <c r="P403" t="s">
        <v>969</v>
      </c>
      <c r="Q403" t="s">
        <v>1005</v>
      </c>
      <c r="R403" t="s">
        <v>37</v>
      </c>
      <c r="S403" t="s">
        <v>1006</v>
      </c>
      <c r="T403" t="s">
        <v>43</v>
      </c>
      <c r="U403" t="s">
        <v>44</v>
      </c>
      <c r="V403">
        <v>23</v>
      </c>
      <c r="W403" t="s">
        <v>45</v>
      </c>
      <c r="X403" t="s">
        <v>239</v>
      </c>
      <c r="Y403" t="s">
        <v>1007</v>
      </c>
      <c r="Z403" t="s">
        <v>37</v>
      </c>
      <c r="AA403" t="s">
        <v>95</v>
      </c>
      <c r="AB403" t="s">
        <v>37</v>
      </c>
      <c r="AC403" s="6" t="s">
        <v>37</v>
      </c>
      <c r="AD403" s="6" t="s">
        <v>37</v>
      </c>
      <c r="AE403" t="s">
        <v>37</v>
      </c>
      <c r="AF403" t="s">
        <v>37</v>
      </c>
      <c r="AG403" s="6" t="s">
        <v>37</v>
      </c>
      <c r="AH403" t="s">
        <v>37</v>
      </c>
      <c r="AI403" t="s">
        <v>37</v>
      </c>
      <c r="AJ403" t="str">
        <f t="shared" si="20"/>
        <v>1VBBCE3CB07W6HDNPF</v>
      </c>
    </row>
    <row r="404" spans="1:36" ht="15" customHeight="1" x14ac:dyDescent="0.25">
      <c r="A404" t="s">
        <v>36</v>
      </c>
      <c r="B404" t="s">
        <v>37</v>
      </c>
      <c r="C404" t="s">
        <v>37</v>
      </c>
      <c r="D404" t="s">
        <v>38</v>
      </c>
      <c r="E404" s="4">
        <v>42</v>
      </c>
      <c r="F404" s="5">
        <v>10091.34</v>
      </c>
      <c r="G404" s="5" t="s">
        <v>39</v>
      </c>
      <c r="H404" s="5">
        <v>15491.28</v>
      </c>
      <c r="I404" s="5" t="s">
        <v>39</v>
      </c>
      <c r="J404" s="5">
        <v>343.10556000000003</v>
      </c>
      <c r="K404" s="5">
        <f t="shared" si="18"/>
        <v>8.1691800000000008</v>
      </c>
      <c r="L404" s="5">
        <f t="shared" si="19"/>
        <v>240.27</v>
      </c>
      <c r="M404" s="5" t="s">
        <v>39</v>
      </c>
      <c r="N404" s="5">
        <v>343.10556000000003</v>
      </c>
      <c r="O404" s="5" t="s">
        <v>39</v>
      </c>
      <c r="P404" t="s">
        <v>40</v>
      </c>
      <c r="Q404" t="s">
        <v>1008</v>
      </c>
      <c r="R404" t="s">
        <v>37</v>
      </c>
      <c r="S404" t="s">
        <v>1009</v>
      </c>
      <c r="T404" t="s">
        <v>43</v>
      </c>
      <c r="U404" t="s">
        <v>44</v>
      </c>
      <c r="V404">
        <v>23</v>
      </c>
      <c r="W404" t="s">
        <v>281</v>
      </c>
      <c r="X404" t="s">
        <v>282</v>
      </c>
      <c r="Y404" t="s">
        <v>1010</v>
      </c>
      <c r="Z404" t="s">
        <v>37</v>
      </c>
      <c r="AA404" t="s">
        <v>95</v>
      </c>
      <c r="AB404" t="s">
        <v>37</v>
      </c>
      <c r="AC404" s="6" t="s">
        <v>37</v>
      </c>
      <c r="AD404" s="6" t="s">
        <v>37</v>
      </c>
      <c r="AE404" t="s">
        <v>37</v>
      </c>
      <c r="AF404" t="s">
        <v>37</v>
      </c>
      <c r="AG404" s="6" t="s">
        <v>37</v>
      </c>
      <c r="AH404" t="s">
        <v>37</v>
      </c>
      <c r="AI404" t="s">
        <v>37</v>
      </c>
      <c r="AJ404" t="str">
        <f t="shared" si="20"/>
        <v>4A3KDTEZB07W6JPZBL</v>
      </c>
    </row>
    <row r="405" spans="1:36" ht="15" customHeight="1" x14ac:dyDescent="0.25">
      <c r="A405" t="s">
        <v>96</v>
      </c>
      <c r="B405" t="s">
        <v>37</v>
      </c>
      <c r="C405" t="s">
        <v>37</v>
      </c>
      <c r="D405" t="s">
        <v>38</v>
      </c>
      <c r="E405" s="4">
        <v>8</v>
      </c>
      <c r="F405" s="5">
        <v>257.68</v>
      </c>
      <c r="G405" s="5" t="s">
        <v>39</v>
      </c>
      <c r="H405" s="5">
        <v>386.8</v>
      </c>
      <c r="I405" s="5" t="s">
        <v>39</v>
      </c>
      <c r="J405" s="5">
        <v>8.76112</v>
      </c>
      <c r="K405" s="5">
        <f t="shared" si="18"/>
        <v>1.09514</v>
      </c>
      <c r="L405" s="5">
        <f t="shared" si="19"/>
        <v>32.21</v>
      </c>
      <c r="M405" s="5" t="s">
        <v>39</v>
      </c>
      <c r="N405" s="5">
        <v>8.76112</v>
      </c>
      <c r="O405" s="5" t="s">
        <v>39</v>
      </c>
      <c r="P405" t="s">
        <v>222</v>
      </c>
      <c r="Q405" t="s">
        <v>519</v>
      </c>
      <c r="R405" t="s">
        <v>37</v>
      </c>
      <c r="S405" t="s">
        <v>520</v>
      </c>
      <c r="T405" t="s">
        <v>43</v>
      </c>
      <c r="U405" t="s">
        <v>44</v>
      </c>
      <c r="V405">
        <v>147</v>
      </c>
      <c r="W405" t="s">
        <v>45</v>
      </c>
      <c r="X405" t="s">
        <v>60</v>
      </c>
      <c r="Y405" t="s">
        <v>521</v>
      </c>
      <c r="Z405" t="s">
        <v>37</v>
      </c>
      <c r="AA405" t="s">
        <v>48</v>
      </c>
      <c r="AB405" t="s">
        <v>37</v>
      </c>
      <c r="AC405" s="6" t="s">
        <v>37</v>
      </c>
      <c r="AD405" s="6" t="s">
        <v>37</v>
      </c>
      <c r="AE405" t="s">
        <v>37</v>
      </c>
      <c r="AF405" t="s">
        <v>37</v>
      </c>
      <c r="AG405" s="6" t="s">
        <v>37</v>
      </c>
      <c r="AH405" t="s">
        <v>37</v>
      </c>
      <c r="AI405" t="s">
        <v>37</v>
      </c>
      <c r="AJ405" t="str">
        <f t="shared" si="20"/>
        <v>2F7Y5WIXB013SL1ZU6</v>
      </c>
    </row>
    <row r="406" spans="1:36" ht="15" customHeight="1" x14ac:dyDescent="0.25">
      <c r="A406" t="s">
        <v>101</v>
      </c>
      <c r="B406" t="s">
        <v>37</v>
      </c>
      <c r="C406" t="s">
        <v>37</v>
      </c>
      <c r="D406" t="s">
        <v>38</v>
      </c>
      <c r="E406" s="4">
        <v>16</v>
      </c>
      <c r="F406" s="5">
        <v>2866.56</v>
      </c>
      <c r="G406" s="5" t="s">
        <v>39</v>
      </c>
      <c r="H406" s="5">
        <v>3396.8</v>
      </c>
      <c r="I406" s="5" t="s">
        <v>39</v>
      </c>
      <c r="J406" s="5">
        <v>97.463040000000007</v>
      </c>
      <c r="K406" s="5">
        <f t="shared" si="18"/>
        <v>6.0914400000000004</v>
      </c>
      <c r="L406" s="5">
        <f t="shared" si="19"/>
        <v>179.16</v>
      </c>
      <c r="M406" s="5" t="s">
        <v>39</v>
      </c>
      <c r="N406" s="5">
        <v>97.463040000000007</v>
      </c>
      <c r="O406" s="5" t="s">
        <v>39</v>
      </c>
      <c r="P406" t="s">
        <v>102</v>
      </c>
      <c r="Q406" t="s">
        <v>1011</v>
      </c>
      <c r="R406" t="s">
        <v>37</v>
      </c>
      <c r="S406" t="s">
        <v>1012</v>
      </c>
      <c r="T406" t="s">
        <v>43</v>
      </c>
      <c r="U406" t="s">
        <v>44</v>
      </c>
      <c r="V406">
        <v>267</v>
      </c>
      <c r="W406" t="s">
        <v>151</v>
      </c>
      <c r="X406" t="s">
        <v>152</v>
      </c>
      <c r="Y406" t="s">
        <v>1013</v>
      </c>
      <c r="Z406" t="s">
        <v>37</v>
      </c>
      <c r="AA406" t="s">
        <v>55</v>
      </c>
      <c r="AB406" t="s">
        <v>37</v>
      </c>
      <c r="AC406" s="6" t="s">
        <v>37</v>
      </c>
      <c r="AD406" s="6" t="s">
        <v>37</v>
      </c>
      <c r="AE406" t="s">
        <v>37</v>
      </c>
      <c r="AF406" t="s">
        <v>37</v>
      </c>
      <c r="AG406" s="6" t="s">
        <v>37</v>
      </c>
      <c r="AH406" t="s">
        <v>37</v>
      </c>
      <c r="AI406" t="s">
        <v>37</v>
      </c>
      <c r="AJ406" t="str">
        <f t="shared" si="20"/>
        <v>2M7QFTCOB07W6HKDNR</v>
      </c>
    </row>
    <row r="407" spans="1:36" ht="15" customHeight="1" x14ac:dyDescent="0.25">
      <c r="A407" t="s">
        <v>36</v>
      </c>
      <c r="B407" t="s">
        <v>37</v>
      </c>
      <c r="C407" t="s">
        <v>37</v>
      </c>
      <c r="D407" t="s">
        <v>38</v>
      </c>
      <c r="E407" s="4">
        <v>68</v>
      </c>
      <c r="F407" s="5">
        <v>5127.88</v>
      </c>
      <c r="G407" s="5" t="s">
        <v>39</v>
      </c>
      <c r="H407" s="5">
        <v>7524.2</v>
      </c>
      <c r="I407" s="5" t="s">
        <v>39</v>
      </c>
      <c r="J407" s="5">
        <v>174.34791999999999</v>
      </c>
      <c r="K407" s="5">
        <f t="shared" si="18"/>
        <v>2.5639399999999997</v>
      </c>
      <c r="L407" s="5">
        <f t="shared" si="19"/>
        <v>75.41</v>
      </c>
      <c r="M407" s="5" t="s">
        <v>39</v>
      </c>
      <c r="N407" s="5">
        <v>174.34791999999999</v>
      </c>
      <c r="O407" s="5" t="s">
        <v>39</v>
      </c>
      <c r="P407" t="s">
        <v>270</v>
      </c>
      <c r="Q407" t="s">
        <v>722</v>
      </c>
      <c r="R407" t="s">
        <v>37</v>
      </c>
      <c r="S407" t="s">
        <v>723</v>
      </c>
      <c r="T407" t="s">
        <v>43</v>
      </c>
      <c r="U407" t="s">
        <v>44</v>
      </c>
      <c r="V407">
        <v>147</v>
      </c>
      <c r="W407" t="s">
        <v>45</v>
      </c>
      <c r="X407" t="s">
        <v>60</v>
      </c>
      <c r="Y407" t="s">
        <v>724</v>
      </c>
      <c r="Z407" t="s">
        <v>37</v>
      </c>
      <c r="AA407" t="s">
        <v>95</v>
      </c>
      <c r="AB407" t="s">
        <v>37</v>
      </c>
      <c r="AC407" s="6" t="s">
        <v>37</v>
      </c>
      <c r="AD407" s="6" t="s">
        <v>37</v>
      </c>
      <c r="AE407" t="s">
        <v>37</v>
      </c>
      <c r="AF407" t="s">
        <v>37</v>
      </c>
      <c r="AG407" s="6" t="s">
        <v>37</v>
      </c>
      <c r="AH407" t="s">
        <v>37</v>
      </c>
      <c r="AI407" t="s">
        <v>37</v>
      </c>
      <c r="AJ407" t="str">
        <f t="shared" si="20"/>
        <v>1X4DXX4TB07W6FNF6N</v>
      </c>
    </row>
    <row r="408" spans="1:36" ht="15" customHeight="1" x14ac:dyDescent="0.25">
      <c r="A408" t="s">
        <v>36</v>
      </c>
      <c r="B408" t="s">
        <v>37</v>
      </c>
      <c r="C408" t="s">
        <v>37</v>
      </c>
      <c r="D408" t="s">
        <v>38</v>
      </c>
      <c r="E408" s="4">
        <v>16</v>
      </c>
      <c r="F408" s="5">
        <v>374.72</v>
      </c>
      <c r="G408" s="5" t="s">
        <v>39</v>
      </c>
      <c r="H408" s="5">
        <v>576.96</v>
      </c>
      <c r="I408" s="5" t="s">
        <v>39</v>
      </c>
      <c r="J408" s="5">
        <v>12.74048</v>
      </c>
      <c r="K408" s="5">
        <f t="shared" si="18"/>
        <v>0.79627999999999999</v>
      </c>
      <c r="L408" s="5">
        <f t="shared" si="19"/>
        <v>23.42</v>
      </c>
      <c r="M408" s="5" t="s">
        <v>39</v>
      </c>
      <c r="N408" s="5">
        <v>12.74048</v>
      </c>
      <c r="O408" s="5" t="s">
        <v>39</v>
      </c>
      <c r="P408" t="s">
        <v>297</v>
      </c>
      <c r="Q408" t="s">
        <v>362</v>
      </c>
      <c r="R408" t="s">
        <v>37</v>
      </c>
      <c r="S408" t="s">
        <v>363</v>
      </c>
      <c r="T408" t="s">
        <v>43</v>
      </c>
      <c r="U408" t="s">
        <v>44</v>
      </c>
      <c r="V408">
        <v>147</v>
      </c>
      <c r="W408" t="s">
        <v>45</v>
      </c>
      <c r="X408" t="s">
        <v>60</v>
      </c>
      <c r="Y408" t="s">
        <v>364</v>
      </c>
      <c r="Z408" t="s">
        <v>37</v>
      </c>
      <c r="AA408" t="s">
        <v>55</v>
      </c>
      <c r="AB408" t="s">
        <v>37</v>
      </c>
      <c r="AC408" s="6" t="s">
        <v>37</v>
      </c>
      <c r="AD408" s="6" t="s">
        <v>37</v>
      </c>
      <c r="AE408" t="s">
        <v>37</v>
      </c>
      <c r="AF408" t="s">
        <v>37</v>
      </c>
      <c r="AG408" s="6" t="s">
        <v>37</v>
      </c>
      <c r="AH408" t="s">
        <v>37</v>
      </c>
      <c r="AI408" t="s">
        <v>37</v>
      </c>
      <c r="AJ408" t="str">
        <f t="shared" si="20"/>
        <v>5KUAVFPZB01DKGAQNG</v>
      </c>
    </row>
    <row r="409" spans="1:36" ht="15" customHeight="1" x14ac:dyDescent="0.25">
      <c r="A409" t="s">
        <v>383</v>
      </c>
      <c r="B409" t="s">
        <v>37</v>
      </c>
      <c r="C409" t="s">
        <v>37</v>
      </c>
      <c r="D409" t="s">
        <v>38</v>
      </c>
      <c r="E409" s="4">
        <v>4</v>
      </c>
      <c r="F409" s="5">
        <v>179.8</v>
      </c>
      <c r="G409" s="5" t="s">
        <v>39</v>
      </c>
      <c r="H409" s="5">
        <v>213.08</v>
      </c>
      <c r="I409" s="5" t="s">
        <v>39</v>
      </c>
      <c r="J409" s="5">
        <v>6.1132</v>
      </c>
      <c r="K409" s="5">
        <f t="shared" si="18"/>
        <v>1.5283</v>
      </c>
      <c r="L409" s="5">
        <f t="shared" si="19"/>
        <v>44.95</v>
      </c>
      <c r="M409" s="5" t="s">
        <v>39</v>
      </c>
      <c r="N409" s="5">
        <v>6.1132</v>
      </c>
      <c r="O409" s="5" t="s">
        <v>39</v>
      </c>
      <c r="P409" t="s">
        <v>969</v>
      </c>
      <c r="Q409" t="s">
        <v>237</v>
      </c>
      <c r="R409" t="s">
        <v>37</v>
      </c>
      <c r="S409" t="s">
        <v>238</v>
      </c>
      <c r="T409" t="s">
        <v>43</v>
      </c>
      <c r="U409" t="s">
        <v>44</v>
      </c>
      <c r="V409">
        <v>23</v>
      </c>
      <c r="W409" t="s">
        <v>45</v>
      </c>
      <c r="X409" t="s">
        <v>239</v>
      </c>
      <c r="Y409" t="s">
        <v>240</v>
      </c>
      <c r="Z409" t="s">
        <v>37</v>
      </c>
      <c r="AA409" t="s">
        <v>95</v>
      </c>
      <c r="AB409" t="s">
        <v>37</v>
      </c>
      <c r="AC409" s="6" t="s">
        <v>37</v>
      </c>
      <c r="AD409" s="6" t="s">
        <v>37</v>
      </c>
      <c r="AE409" t="s">
        <v>37</v>
      </c>
      <c r="AF409" t="s">
        <v>37</v>
      </c>
      <c r="AG409" s="6" t="s">
        <v>37</v>
      </c>
      <c r="AH409" t="s">
        <v>37</v>
      </c>
      <c r="AI409" t="s">
        <v>37</v>
      </c>
      <c r="AJ409" t="str">
        <f t="shared" si="20"/>
        <v>1VBBCE3CB07W6HDNPG</v>
      </c>
    </row>
    <row r="410" spans="1:36" ht="15" customHeight="1" x14ac:dyDescent="0.25">
      <c r="A410" t="s">
        <v>96</v>
      </c>
      <c r="B410" t="s">
        <v>37</v>
      </c>
      <c r="C410" t="s">
        <v>37</v>
      </c>
      <c r="D410" t="s">
        <v>38</v>
      </c>
      <c r="E410" s="4">
        <v>8</v>
      </c>
      <c r="F410" s="5">
        <v>359.6</v>
      </c>
      <c r="G410" s="5" t="s">
        <v>39</v>
      </c>
      <c r="H410" s="5">
        <v>426.16</v>
      </c>
      <c r="I410" s="5" t="s">
        <v>39</v>
      </c>
      <c r="J410" s="5">
        <v>12.2264</v>
      </c>
      <c r="K410" s="5">
        <f t="shared" si="18"/>
        <v>1.5283</v>
      </c>
      <c r="L410" s="5">
        <f t="shared" si="19"/>
        <v>44.95</v>
      </c>
      <c r="M410" s="5" t="s">
        <v>39</v>
      </c>
      <c r="N410" s="5">
        <v>12.2264</v>
      </c>
      <c r="O410" s="5" t="s">
        <v>39</v>
      </c>
      <c r="P410" t="s">
        <v>969</v>
      </c>
      <c r="Q410" t="s">
        <v>237</v>
      </c>
      <c r="R410" t="s">
        <v>37</v>
      </c>
      <c r="S410" t="s">
        <v>238</v>
      </c>
      <c r="T410" t="s">
        <v>43</v>
      </c>
      <c r="U410" t="s">
        <v>44</v>
      </c>
      <c r="V410">
        <v>23</v>
      </c>
      <c r="W410" t="s">
        <v>45</v>
      </c>
      <c r="X410" t="s">
        <v>239</v>
      </c>
      <c r="Y410" t="s">
        <v>240</v>
      </c>
      <c r="Z410" t="s">
        <v>37</v>
      </c>
      <c r="AA410" t="s">
        <v>95</v>
      </c>
      <c r="AB410" t="s">
        <v>37</v>
      </c>
      <c r="AC410" s="6" t="s">
        <v>37</v>
      </c>
      <c r="AD410" s="6" t="s">
        <v>37</v>
      </c>
      <c r="AE410" t="s">
        <v>37</v>
      </c>
      <c r="AF410" t="s">
        <v>37</v>
      </c>
      <c r="AG410" s="6" t="s">
        <v>37</v>
      </c>
      <c r="AH410" t="s">
        <v>37</v>
      </c>
      <c r="AI410" t="s">
        <v>37</v>
      </c>
      <c r="AJ410" t="str">
        <f t="shared" si="20"/>
        <v>1VBBCE3CB07W6HDNPG</v>
      </c>
    </row>
    <row r="411" spans="1:36" ht="15" customHeight="1" x14ac:dyDescent="0.25">
      <c r="A411" t="s">
        <v>76</v>
      </c>
      <c r="B411" t="s">
        <v>37</v>
      </c>
      <c r="C411" t="s">
        <v>37</v>
      </c>
      <c r="D411" t="s">
        <v>38</v>
      </c>
      <c r="E411" s="4">
        <v>132</v>
      </c>
      <c r="F411" s="5">
        <v>9680.8799999999992</v>
      </c>
      <c r="G411" s="5" t="s">
        <v>39</v>
      </c>
      <c r="H411" s="5">
        <v>15688.2</v>
      </c>
      <c r="I411" s="5" t="s">
        <v>39</v>
      </c>
      <c r="J411" s="5">
        <v>329.14992000000001</v>
      </c>
      <c r="K411" s="5">
        <f t="shared" si="18"/>
        <v>2.49356</v>
      </c>
      <c r="L411" s="5">
        <f t="shared" si="19"/>
        <v>73.339999999999989</v>
      </c>
      <c r="M411" s="5" t="s">
        <v>39</v>
      </c>
      <c r="N411" s="5">
        <v>329.14992000000001</v>
      </c>
      <c r="O411" s="5" t="s">
        <v>39</v>
      </c>
      <c r="P411" t="s">
        <v>177</v>
      </c>
      <c r="Q411" t="s">
        <v>401</v>
      </c>
      <c r="R411" t="s">
        <v>37</v>
      </c>
      <c r="S411" t="s">
        <v>402</v>
      </c>
      <c r="T411" t="s">
        <v>43</v>
      </c>
      <c r="U411" t="s">
        <v>44</v>
      </c>
      <c r="V411">
        <v>147</v>
      </c>
      <c r="W411" t="s">
        <v>45</v>
      </c>
      <c r="X411" t="s">
        <v>46</v>
      </c>
      <c r="Y411" t="s">
        <v>403</v>
      </c>
      <c r="Z411" t="s">
        <v>37</v>
      </c>
      <c r="AA411" t="s">
        <v>55</v>
      </c>
      <c r="AB411" t="s">
        <v>37</v>
      </c>
      <c r="AC411" s="6" t="s">
        <v>37</v>
      </c>
      <c r="AD411" s="6" t="s">
        <v>37</v>
      </c>
      <c r="AE411" t="s">
        <v>37</v>
      </c>
      <c r="AF411" t="s">
        <v>37</v>
      </c>
      <c r="AG411" s="6" t="s">
        <v>37</v>
      </c>
      <c r="AH411" t="s">
        <v>37</v>
      </c>
      <c r="AI411" t="s">
        <v>37</v>
      </c>
      <c r="AJ411" t="str">
        <f t="shared" si="20"/>
        <v>4F3XMHTVB07G5XJLWK</v>
      </c>
    </row>
    <row r="412" spans="1:36" ht="15" customHeight="1" x14ac:dyDescent="0.25">
      <c r="A412" t="s">
        <v>127</v>
      </c>
      <c r="B412" t="s">
        <v>37</v>
      </c>
      <c r="C412" t="s">
        <v>37</v>
      </c>
      <c r="D412" t="s">
        <v>38</v>
      </c>
      <c r="E412" s="4">
        <v>0</v>
      </c>
      <c r="F412" s="5">
        <v>0</v>
      </c>
      <c r="G412" s="5" t="s">
        <v>39</v>
      </c>
      <c r="H412" s="5">
        <v>0</v>
      </c>
      <c r="I412" s="5" t="s">
        <v>39</v>
      </c>
      <c r="J412" s="5">
        <v>0</v>
      </c>
      <c r="K412" s="5" t="e">
        <f t="shared" si="18"/>
        <v>#DIV/0!</v>
      </c>
      <c r="L412" s="5" t="e">
        <f t="shared" si="19"/>
        <v>#DIV/0!</v>
      </c>
      <c r="M412" s="5" t="s">
        <v>39</v>
      </c>
      <c r="N412" s="5">
        <v>0</v>
      </c>
      <c r="O412" s="5" t="s">
        <v>39</v>
      </c>
      <c r="P412" t="s">
        <v>128</v>
      </c>
      <c r="Q412" t="s">
        <v>869</v>
      </c>
      <c r="R412" t="s">
        <v>37</v>
      </c>
      <c r="S412" t="s">
        <v>870</v>
      </c>
      <c r="T412" t="s">
        <v>43</v>
      </c>
      <c r="U412" t="s">
        <v>44</v>
      </c>
      <c r="V412">
        <v>147</v>
      </c>
      <c r="W412" t="s">
        <v>45</v>
      </c>
      <c r="X412" t="s">
        <v>60</v>
      </c>
      <c r="Y412" t="s">
        <v>871</v>
      </c>
      <c r="Z412" t="s">
        <v>37</v>
      </c>
      <c r="AA412" t="s">
        <v>55</v>
      </c>
      <c r="AB412" t="s">
        <v>37</v>
      </c>
      <c r="AC412" s="6" t="s">
        <v>37</v>
      </c>
      <c r="AD412" s="6" t="s">
        <v>37</v>
      </c>
      <c r="AE412" t="s">
        <v>37</v>
      </c>
      <c r="AF412" t="s">
        <v>37</v>
      </c>
      <c r="AG412" s="6" t="s">
        <v>37</v>
      </c>
      <c r="AH412" t="s">
        <v>37</v>
      </c>
      <c r="AI412" t="s">
        <v>37</v>
      </c>
      <c r="AJ412" t="str">
        <f t="shared" si="20"/>
        <v>7RAC5F9EB07W5JKWTH</v>
      </c>
    </row>
    <row r="413" spans="1:36" ht="15" customHeight="1" x14ac:dyDescent="0.25">
      <c r="A413" t="s">
        <v>36</v>
      </c>
      <c r="B413" t="s">
        <v>37</v>
      </c>
      <c r="C413" t="s">
        <v>37</v>
      </c>
      <c r="D413" t="s">
        <v>38</v>
      </c>
      <c r="E413" s="4">
        <v>4</v>
      </c>
      <c r="F413" s="5">
        <v>805.44</v>
      </c>
      <c r="G413" s="5" t="s">
        <v>39</v>
      </c>
      <c r="H413" s="5">
        <v>980.32</v>
      </c>
      <c r="I413" s="5" t="s">
        <v>39</v>
      </c>
      <c r="J413" s="5">
        <v>27.38496</v>
      </c>
      <c r="K413" s="5">
        <f t="shared" si="18"/>
        <v>6.8462399999999999</v>
      </c>
      <c r="L413" s="5">
        <f t="shared" si="19"/>
        <v>201.36</v>
      </c>
      <c r="M413" s="5" t="s">
        <v>39</v>
      </c>
      <c r="N413" s="5">
        <v>27.38496</v>
      </c>
      <c r="O413" s="5" t="s">
        <v>39</v>
      </c>
      <c r="P413" t="s">
        <v>1014</v>
      </c>
      <c r="Q413" t="s">
        <v>1015</v>
      </c>
      <c r="R413" t="s">
        <v>37</v>
      </c>
      <c r="S413" t="s">
        <v>1016</v>
      </c>
      <c r="T413" t="s">
        <v>43</v>
      </c>
      <c r="U413" t="s">
        <v>44</v>
      </c>
      <c r="V413">
        <v>198</v>
      </c>
      <c r="W413" t="s">
        <v>1017</v>
      </c>
      <c r="X413" t="s">
        <v>1018</v>
      </c>
      <c r="Y413" t="s">
        <v>1019</v>
      </c>
      <c r="Z413" t="s">
        <v>37</v>
      </c>
      <c r="AA413" t="s">
        <v>1020</v>
      </c>
      <c r="AB413" t="s">
        <v>37</v>
      </c>
      <c r="AC413" s="6" t="s">
        <v>37</v>
      </c>
      <c r="AD413" s="6" t="s">
        <v>37</v>
      </c>
      <c r="AE413" t="s">
        <v>37</v>
      </c>
      <c r="AF413" t="s">
        <v>37</v>
      </c>
      <c r="AG413" s="6" t="s">
        <v>37</v>
      </c>
      <c r="AH413" t="s">
        <v>37</v>
      </c>
      <c r="AI413" t="s">
        <v>37</v>
      </c>
      <c r="AJ413" t="str">
        <f t="shared" si="20"/>
        <v>4QG6L28MB07W7MQTQD</v>
      </c>
    </row>
    <row r="414" spans="1:36" ht="15" customHeight="1" x14ac:dyDescent="0.25">
      <c r="A414" t="s">
        <v>101</v>
      </c>
      <c r="B414" t="s">
        <v>37</v>
      </c>
      <c r="C414" t="s">
        <v>37</v>
      </c>
      <c r="D414" t="s">
        <v>38</v>
      </c>
      <c r="E414" s="4">
        <v>52</v>
      </c>
      <c r="F414" s="5">
        <v>5460</v>
      </c>
      <c r="G414" s="5" t="s">
        <v>39</v>
      </c>
      <c r="H414" s="5">
        <v>9163.9599999999991</v>
      </c>
      <c r="I414" s="5" t="s">
        <v>39</v>
      </c>
      <c r="J414" s="5">
        <v>185.64</v>
      </c>
      <c r="K414" s="5">
        <f t="shared" si="18"/>
        <v>3.57</v>
      </c>
      <c r="L414" s="5">
        <f t="shared" si="19"/>
        <v>105</v>
      </c>
      <c r="M414" s="5" t="s">
        <v>39</v>
      </c>
      <c r="N414" s="5">
        <v>185.64</v>
      </c>
      <c r="O414" s="5" t="s">
        <v>39</v>
      </c>
      <c r="P414" t="s">
        <v>102</v>
      </c>
      <c r="Q414" t="s">
        <v>196</v>
      </c>
      <c r="R414" t="s">
        <v>37</v>
      </c>
      <c r="S414" t="s">
        <v>197</v>
      </c>
      <c r="T414" t="s">
        <v>43</v>
      </c>
      <c r="U414" t="s">
        <v>44</v>
      </c>
      <c r="V414">
        <v>147</v>
      </c>
      <c r="W414" t="s">
        <v>45</v>
      </c>
      <c r="X414" t="s">
        <v>46</v>
      </c>
      <c r="Y414" t="s">
        <v>198</v>
      </c>
      <c r="Z414" t="s">
        <v>37</v>
      </c>
      <c r="AA414" t="s">
        <v>95</v>
      </c>
      <c r="AB414" t="s">
        <v>37</v>
      </c>
      <c r="AC414" s="6" t="s">
        <v>37</v>
      </c>
      <c r="AD414" s="6" t="s">
        <v>37</v>
      </c>
      <c r="AE414" t="s">
        <v>37</v>
      </c>
      <c r="AF414" t="s">
        <v>37</v>
      </c>
      <c r="AG414" s="6" t="s">
        <v>37</v>
      </c>
      <c r="AH414" t="s">
        <v>37</v>
      </c>
      <c r="AI414" t="s">
        <v>37</v>
      </c>
      <c r="AJ414" t="str">
        <f t="shared" si="20"/>
        <v>2M7QFTCOB07MTY7N22</v>
      </c>
    </row>
    <row r="415" spans="1:36" ht="15" customHeight="1" x14ac:dyDescent="0.25">
      <c r="A415" t="s">
        <v>56</v>
      </c>
      <c r="B415" t="s">
        <v>37</v>
      </c>
      <c r="C415" t="s">
        <v>37</v>
      </c>
      <c r="D415" t="s">
        <v>38</v>
      </c>
      <c r="E415" s="4">
        <v>6</v>
      </c>
      <c r="F415" s="5">
        <v>158.1</v>
      </c>
      <c r="G415" s="5" t="s">
        <v>39</v>
      </c>
      <c r="H415" s="5">
        <v>236.04</v>
      </c>
      <c r="I415" s="5" t="s">
        <v>39</v>
      </c>
      <c r="J415" s="5">
        <v>5.3754</v>
      </c>
      <c r="K415" s="5">
        <f t="shared" si="18"/>
        <v>0.89590000000000003</v>
      </c>
      <c r="L415" s="5">
        <f t="shared" si="19"/>
        <v>26.349999999999998</v>
      </c>
      <c r="M415" s="5" t="s">
        <v>39</v>
      </c>
      <c r="N415" s="5">
        <v>5.3754</v>
      </c>
      <c r="O415" s="5" t="s">
        <v>39</v>
      </c>
      <c r="P415" t="s">
        <v>57</v>
      </c>
      <c r="Q415" t="s">
        <v>1021</v>
      </c>
      <c r="R415" t="s">
        <v>37</v>
      </c>
      <c r="S415" t="s">
        <v>1022</v>
      </c>
      <c r="T415" t="s">
        <v>43</v>
      </c>
      <c r="U415" t="s">
        <v>44</v>
      </c>
      <c r="V415">
        <v>147</v>
      </c>
      <c r="W415" t="s">
        <v>45</v>
      </c>
      <c r="X415" t="s">
        <v>60</v>
      </c>
      <c r="Y415" t="s">
        <v>1023</v>
      </c>
      <c r="Z415" t="s">
        <v>37</v>
      </c>
      <c r="AA415" t="s">
        <v>55</v>
      </c>
      <c r="AB415" t="s">
        <v>37</v>
      </c>
      <c r="AC415" s="6" t="s">
        <v>37</v>
      </c>
      <c r="AD415" s="6" t="s">
        <v>37</v>
      </c>
      <c r="AE415" t="s">
        <v>37</v>
      </c>
      <c r="AF415" t="s">
        <v>37</v>
      </c>
      <c r="AG415" s="6" t="s">
        <v>37</v>
      </c>
      <c r="AH415" t="s">
        <v>37</v>
      </c>
      <c r="AI415" t="s">
        <v>37</v>
      </c>
      <c r="AJ415" t="str">
        <f t="shared" si="20"/>
        <v>3GBCH66MB00NP797AE</v>
      </c>
    </row>
    <row r="416" spans="1:36" ht="15" customHeight="1" x14ac:dyDescent="0.25">
      <c r="A416" t="s">
        <v>101</v>
      </c>
      <c r="B416" t="s">
        <v>37</v>
      </c>
      <c r="C416" t="s">
        <v>37</v>
      </c>
      <c r="D416" t="s">
        <v>38</v>
      </c>
      <c r="E416" s="4">
        <v>20</v>
      </c>
      <c r="F416" s="5">
        <v>644.20000000000005</v>
      </c>
      <c r="G416" s="5" t="s">
        <v>39</v>
      </c>
      <c r="H416" s="5">
        <v>967</v>
      </c>
      <c r="I416" s="5" t="s">
        <v>39</v>
      </c>
      <c r="J416" s="5">
        <v>21.902799999999999</v>
      </c>
      <c r="K416" s="5">
        <f t="shared" si="18"/>
        <v>1.09514</v>
      </c>
      <c r="L416" s="5">
        <f t="shared" si="19"/>
        <v>32.21</v>
      </c>
      <c r="M416" s="5" t="s">
        <v>39</v>
      </c>
      <c r="N416" s="5">
        <v>21.902799999999999</v>
      </c>
      <c r="O416" s="5" t="s">
        <v>39</v>
      </c>
      <c r="P416" t="s">
        <v>72</v>
      </c>
      <c r="Q416" t="s">
        <v>1024</v>
      </c>
      <c r="R416" t="s">
        <v>37</v>
      </c>
      <c r="S416" t="s">
        <v>1025</v>
      </c>
      <c r="T416" t="s">
        <v>43</v>
      </c>
      <c r="U416" t="s">
        <v>44</v>
      </c>
      <c r="V416">
        <v>147</v>
      </c>
      <c r="W416" t="s">
        <v>45</v>
      </c>
      <c r="X416" t="s">
        <v>60</v>
      </c>
      <c r="Y416" t="s">
        <v>1026</v>
      </c>
      <c r="Z416" t="s">
        <v>37</v>
      </c>
      <c r="AA416" t="s">
        <v>48</v>
      </c>
      <c r="AB416" t="s">
        <v>37</v>
      </c>
      <c r="AC416" s="6" t="s">
        <v>37</v>
      </c>
      <c r="AD416" s="6" t="s">
        <v>37</v>
      </c>
      <c r="AE416" t="s">
        <v>37</v>
      </c>
      <c r="AF416" t="s">
        <v>37</v>
      </c>
      <c r="AG416" s="6" t="s">
        <v>37</v>
      </c>
      <c r="AH416" t="s">
        <v>37</v>
      </c>
      <c r="AI416" t="s">
        <v>37</v>
      </c>
      <c r="AJ416" t="str">
        <f t="shared" si="20"/>
        <v>4GF112AEB00Y0PP7B8</v>
      </c>
    </row>
    <row r="417" spans="1:36" ht="15" customHeight="1" x14ac:dyDescent="0.25">
      <c r="A417" t="s">
        <v>36</v>
      </c>
      <c r="B417" t="s">
        <v>37</v>
      </c>
      <c r="C417" t="s">
        <v>37</v>
      </c>
      <c r="D417" t="s">
        <v>38</v>
      </c>
      <c r="E417" s="4">
        <v>6</v>
      </c>
      <c r="F417" s="5">
        <v>399.96</v>
      </c>
      <c r="G417" s="5" t="s">
        <v>39</v>
      </c>
      <c r="H417" s="5">
        <v>511.44</v>
      </c>
      <c r="I417" s="5" t="s">
        <v>39</v>
      </c>
      <c r="J417" s="5">
        <v>13.59864</v>
      </c>
      <c r="K417" s="5">
        <f t="shared" si="18"/>
        <v>2.2664399999999998</v>
      </c>
      <c r="L417" s="5">
        <f t="shared" si="19"/>
        <v>66.66</v>
      </c>
      <c r="M417" s="5" t="s">
        <v>39</v>
      </c>
      <c r="N417" s="5">
        <v>13.59864</v>
      </c>
      <c r="O417" s="5" t="s">
        <v>39</v>
      </c>
      <c r="P417" t="s">
        <v>89</v>
      </c>
      <c r="Q417" t="s">
        <v>1027</v>
      </c>
      <c r="R417" t="s">
        <v>1028</v>
      </c>
      <c r="S417" t="s">
        <v>1029</v>
      </c>
      <c r="T417" t="s">
        <v>43</v>
      </c>
      <c r="U417" t="s">
        <v>44</v>
      </c>
      <c r="V417">
        <v>147</v>
      </c>
      <c r="W417" t="s">
        <v>45</v>
      </c>
      <c r="X417" t="s">
        <v>53</v>
      </c>
      <c r="Y417" t="s">
        <v>1030</v>
      </c>
      <c r="Z417" t="s">
        <v>37</v>
      </c>
      <c r="AA417" t="s">
        <v>55</v>
      </c>
      <c r="AB417" t="s">
        <v>37</v>
      </c>
      <c r="AC417" s="6" t="s">
        <v>37</v>
      </c>
      <c r="AD417" s="6" t="s">
        <v>37</v>
      </c>
      <c r="AE417" t="s">
        <v>37</v>
      </c>
      <c r="AF417" t="s">
        <v>37</v>
      </c>
      <c r="AG417" s="6" t="s">
        <v>37</v>
      </c>
      <c r="AH417" t="s">
        <v>37</v>
      </c>
      <c r="AI417" t="s">
        <v>37</v>
      </c>
      <c r="AJ417" t="str">
        <f t="shared" si="20"/>
        <v>2W68T8TOB071ZFMC9Q</v>
      </c>
    </row>
    <row r="418" spans="1:36" ht="15" customHeight="1" x14ac:dyDescent="0.25">
      <c r="A418" t="s">
        <v>411</v>
      </c>
      <c r="B418" t="s">
        <v>37</v>
      </c>
      <c r="C418" t="s">
        <v>37</v>
      </c>
      <c r="D418" t="s">
        <v>38</v>
      </c>
      <c r="E418" s="4">
        <v>20</v>
      </c>
      <c r="F418" s="5">
        <v>187.2</v>
      </c>
      <c r="G418" s="5" t="s">
        <v>39</v>
      </c>
      <c r="H418" s="5">
        <v>278.60000000000002</v>
      </c>
      <c r="I418" s="5" t="s">
        <v>39</v>
      </c>
      <c r="J418" s="5">
        <v>6.3647999999999998</v>
      </c>
      <c r="K418" s="5">
        <f t="shared" si="18"/>
        <v>0.31823999999999997</v>
      </c>
      <c r="L418" s="5">
        <f t="shared" si="19"/>
        <v>9.36</v>
      </c>
      <c r="M418" s="5" t="s">
        <v>39</v>
      </c>
      <c r="N418" s="5">
        <v>6.3647999999999998</v>
      </c>
      <c r="O418" s="5" t="s">
        <v>39</v>
      </c>
      <c r="P418" t="s">
        <v>522</v>
      </c>
      <c r="Q418" t="s">
        <v>1031</v>
      </c>
      <c r="R418" t="s">
        <v>37</v>
      </c>
      <c r="S418" t="s">
        <v>1032</v>
      </c>
      <c r="T418" t="s">
        <v>43</v>
      </c>
      <c r="U418" t="s">
        <v>44</v>
      </c>
      <c r="V418">
        <v>147</v>
      </c>
      <c r="W418" t="s">
        <v>45</v>
      </c>
      <c r="X418" t="s">
        <v>60</v>
      </c>
      <c r="Y418" t="s">
        <v>1033</v>
      </c>
      <c r="Z418" t="s">
        <v>37</v>
      </c>
      <c r="AA418" t="s">
        <v>55</v>
      </c>
      <c r="AB418" t="s">
        <v>37</v>
      </c>
      <c r="AC418" s="6" t="s">
        <v>37</v>
      </c>
      <c r="AD418" s="6" t="s">
        <v>37</v>
      </c>
      <c r="AE418" t="s">
        <v>37</v>
      </c>
      <c r="AF418" t="s">
        <v>37</v>
      </c>
      <c r="AG418" s="6" t="s">
        <v>37</v>
      </c>
      <c r="AH418" t="s">
        <v>37</v>
      </c>
      <c r="AI418" t="s">
        <v>37</v>
      </c>
      <c r="AJ418" t="str">
        <f t="shared" si="20"/>
        <v>24EUBTHXB00BT8QIJ4</v>
      </c>
    </row>
    <row r="419" spans="1:36" ht="15" customHeight="1" x14ac:dyDescent="0.25">
      <c r="A419" t="s">
        <v>118</v>
      </c>
      <c r="B419" t="s">
        <v>37</v>
      </c>
      <c r="C419" t="s">
        <v>37</v>
      </c>
      <c r="D419" t="s">
        <v>38</v>
      </c>
      <c r="E419" s="4">
        <v>132</v>
      </c>
      <c r="F419" s="5">
        <v>4637.16</v>
      </c>
      <c r="G419" s="5" t="s">
        <v>39</v>
      </c>
      <c r="H419" s="5">
        <v>5624.52</v>
      </c>
      <c r="I419" s="5" t="s">
        <v>39</v>
      </c>
      <c r="J419" s="5">
        <v>157.66344000000001</v>
      </c>
      <c r="K419" s="5">
        <f t="shared" si="18"/>
        <v>1.19442</v>
      </c>
      <c r="L419" s="5">
        <f t="shared" si="19"/>
        <v>35.129999999999995</v>
      </c>
      <c r="M419" s="5" t="s">
        <v>39</v>
      </c>
      <c r="N419" s="5">
        <v>157.66344000000001</v>
      </c>
      <c r="O419" s="5" t="s">
        <v>39</v>
      </c>
      <c r="P419" t="s">
        <v>154</v>
      </c>
      <c r="Q419" t="s">
        <v>996</v>
      </c>
      <c r="R419" t="s">
        <v>37</v>
      </c>
      <c r="S419" t="s">
        <v>997</v>
      </c>
      <c r="T419" t="s">
        <v>43</v>
      </c>
      <c r="U419" t="s">
        <v>44</v>
      </c>
      <c r="V419">
        <v>147</v>
      </c>
      <c r="W419" t="s">
        <v>45</v>
      </c>
      <c r="X419" t="s">
        <v>60</v>
      </c>
      <c r="Y419" t="s">
        <v>998</v>
      </c>
      <c r="Z419" t="s">
        <v>37</v>
      </c>
      <c r="AA419" t="s">
        <v>55</v>
      </c>
      <c r="AB419" t="s">
        <v>37</v>
      </c>
      <c r="AC419" s="6" t="s">
        <v>37</v>
      </c>
      <c r="AD419" s="6" t="s">
        <v>37</v>
      </c>
      <c r="AE419" t="s">
        <v>37</v>
      </c>
      <c r="AF419" t="s">
        <v>37</v>
      </c>
      <c r="AG419" s="6" t="s">
        <v>37</v>
      </c>
      <c r="AH419" t="s">
        <v>37</v>
      </c>
      <c r="AI419" t="s">
        <v>37</v>
      </c>
      <c r="AJ419" t="str">
        <f t="shared" si="20"/>
        <v>1KW92RHQB07VCS1895</v>
      </c>
    </row>
    <row r="420" spans="1:36" ht="15" customHeight="1" x14ac:dyDescent="0.25">
      <c r="A420" t="s">
        <v>96</v>
      </c>
      <c r="B420" t="s">
        <v>37</v>
      </c>
      <c r="C420" t="s">
        <v>37</v>
      </c>
      <c r="D420" t="s">
        <v>38</v>
      </c>
      <c r="E420" s="4">
        <v>16</v>
      </c>
      <c r="F420" s="5">
        <v>2134.7199999999998</v>
      </c>
      <c r="G420" s="5" t="s">
        <v>39</v>
      </c>
      <c r="H420" s="5">
        <v>3016.32</v>
      </c>
      <c r="I420" s="5" t="s">
        <v>39</v>
      </c>
      <c r="J420" s="5">
        <v>72.580479999999994</v>
      </c>
      <c r="K420" s="5">
        <f t="shared" si="18"/>
        <v>4.5362799999999996</v>
      </c>
      <c r="L420" s="5">
        <f t="shared" si="19"/>
        <v>133.41999999999999</v>
      </c>
      <c r="M420" s="5" t="s">
        <v>39</v>
      </c>
      <c r="N420" s="5">
        <v>72.580479999999994</v>
      </c>
      <c r="O420" s="5" t="s">
        <v>39</v>
      </c>
      <c r="P420" t="s">
        <v>148</v>
      </c>
      <c r="Q420" t="s">
        <v>257</v>
      </c>
      <c r="R420" t="s">
        <v>37</v>
      </c>
      <c r="S420" t="s">
        <v>258</v>
      </c>
      <c r="T420" t="s">
        <v>43</v>
      </c>
      <c r="U420" t="s">
        <v>44</v>
      </c>
      <c r="V420">
        <v>147</v>
      </c>
      <c r="W420" t="s">
        <v>45</v>
      </c>
      <c r="X420" t="s">
        <v>60</v>
      </c>
      <c r="Y420" t="s">
        <v>259</v>
      </c>
      <c r="Z420" t="s">
        <v>37</v>
      </c>
      <c r="AA420" t="s">
        <v>55</v>
      </c>
      <c r="AB420" t="s">
        <v>37</v>
      </c>
      <c r="AC420" s="6" t="s">
        <v>37</v>
      </c>
      <c r="AD420" s="6" t="s">
        <v>37</v>
      </c>
      <c r="AE420" t="s">
        <v>37</v>
      </c>
      <c r="AF420" t="s">
        <v>37</v>
      </c>
      <c r="AG420" s="6" t="s">
        <v>37</v>
      </c>
      <c r="AH420" t="s">
        <v>37</v>
      </c>
      <c r="AI420" t="s">
        <v>37</v>
      </c>
      <c r="AJ420" t="str">
        <f t="shared" si="20"/>
        <v>5FPQ9KSZB07W6JNF81</v>
      </c>
    </row>
    <row r="421" spans="1:36" ht="15" customHeight="1" x14ac:dyDescent="0.25">
      <c r="A421" t="s">
        <v>118</v>
      </c>
      <c r="B421" t="s">
        <v>37</v>
      </c>
      <c r="C421" t="s">
        <v>37</v>
      </c>
      <c r="D421" t="s">
        <v>38</v>
      </c>
      <c r="E421" s="4">
        <v>10</v>
      </c>
      <c r="F421" s="5">
        <v>263.5</v>
      </c>
      <c r="G421" s="5" t="s">
        <v>39</v>
      </c>
      <c r="H421" s="5">
        <v>393.4</v>
      </c>
      <c r="I421" s="5" t="s">
        <v>39</v>
      </c>
      <c r="J421" s="5">
        <v>8.9589999999999996</v>
      </c>
      <c r="K421" s="5">
        <f t="shared" si="18"/>
        <v>0.89589999999999992</v>
      </c>
      <c r="L421" s="5">
        <f t="shared" si="19"/>
        <v>26.35</v>
      </c>
      <c r="M421" s="5" t="s">
        <v>39</v>
      </c>
      <c r="N421" s="5">
        <v>8.9589999999999996</v>
      </c>
      <c r="O421" s="5" t="s">
        <v>39</v>
      </c>
      <c r="P421" t="s">
        <v>141</v>
      </c>
      <c r="Q421" t="s">
        <v>1034</v>
      </c>
      <c r="R421" t="s">
        <v>37</v>
      </c>
      <c r="S421" t="s">
        <v>1035</v>
      </c>
      <c r="T421" t="s">
        <v>43</v>
      </c>
      <c r="U421" t="s">
        <v>44</v>
      </c>
      <c r="V421">
        <v>147</v>
      </c>
      <c r="W421" t="s">
        <v>45</v>
      </c>
      <c r="X421" t="s">
        <v>53</v>
      </c>
      <c r="Y421" t="s">
        <v>1036</v>
      </c>
      <c r="Z421" t="s">
        <v>37</v>
      </c>
      <c r="AA421" t="s">
        <v>48</v>
      </c>
      <c r="AB421" t="s">
        <v>37</v>
      </c>
      <c r="AC421" s="6" t="s">
        <v>37</v>
      </c>
      <c r="AD421" s="6" t="s">
        <v>37</v>
      </c>
      <c r="AE421" t="s">
        <v>37</v>
      </c>
      <c r="AF421" t="s">
        <v>37</v>
      </c>
      <c r="AG421" s="6" t="s">
        <v>37</v>
      </c>
      <c r="AH421" t="s">
        <v>37</v>
      </c>
      <c r="AI421" t="s">
        <v>37</v>
      </c>
      <c r="AJ421" t="str">
        <f t="shared" si="20"/>
        <v>56UO2L2IB01K7GEA3O</v>
      </c>
    </row>
    <row r="422" spans="1:36" ht="15" customHeight="1" x14ac:dyDescent="0.25">
      <c r="A422" t="s">
        <v>101</v>
      </c>
      <c r="B422" t="s">
        <v>37</v>
      </c>
      <c r="C422" t="s">
        <v>37</v>
      </c>
      <c r="D422" t="s">
        <v>38</v>
      </c>
      <c r="E422" s="4">
        <v>92</v>
      </c>
      <c r="F422" s="5">
        <v>6885.28</v>
      </c>
      <c r="G422" s="5" t="s">
        <v>39</v>
      </c>
      <c r="H422" s="5">
        <v>10481.56</v>
      </c>
      <c r="I422" s="5" t="s">
        <v>39</v>
      </c>
      <c r="J422" s="5">
        <v>234.09952000000001</v>
      </c>
      <c r="K422" s="5">
        <f t="shared" si="18"/>
        <v>2.5445600000000002</v>
      </c>
      <c r="L422" s="5">
        <f t="shared" si="19"/>
        <v>74.84</v>
      </c>
      <c r="M422" s="5" t="s">
        <v>39</v>
      </c>
      <c r="N422" s="5">
        <v>234.09952000000001</v>
      </c>
      <c r="O422" s="5" t="s">
        <v>39</v>
      </c>
      <c r="P422" t="s">
        <v>748</v>
      </c>
      <c r="Q422" t="s">
        <v>765</v>
      </c>
      <c r="R422" t="s">
        <v>37</v>
      </c>
      <c r="S422" t="s">
        <v>766</v>
      </c>
      <c r="T422" t="s">
        <v>43</v>
      </c>
      <c r="U422" t="s">
        <v>44</v>
      </c>
      <c r="V422">
        <v>147</v>
      </c>
      <c r="W422" t="s">
        <v>45</v>
      </c>
      <c r="X422" t="s">
        <v>60</v>
      </c>
      <c r="Y422" t="s">
        <v>767</v>
      </c>
      <c r="Z422" t="s">
        <v>37</v>
      </c>
      <c r="AA422" t="s">
        <v>55</v>
      </c>
      <c r="AB422" t="s">
        <v>37</v>
      </c>
      <c r="AC422" s="6" t="s">
        <v>37</v>
      </c>
      <c r="AD422" s="6" t="s">
        <v>37</v>
      </c>
      <c r="AE422" t="s">
        <v>37</v>
      </c>
      <c r="AF422" t="s">
        <v>37</v>
      </c>
      <c r="AG422" s="6" t="s">
        <v>37</v>
      </c>
      <c r="AH422" t="s">
        <v>37</v>
      </c>
      <c r="AI422" t="s">
        <v>37</v>
      </c>
      <c r="AJ422" t="str">
        <f t="shared" si="20"/>
        <v>74WI6EYDB07W6JJSV7</v>
      </c>
    </row>
    <row r="423" spans="1:36" ht="15" customHeight="1" x14ac:dyDescent="0.25">
      <c r="A423" t="s">
        <v>88</v>
      </c>
      <c r="B423" t="s">
        <v>37</v>
      </c>
      <c r="C423" t="s">
        <v>37</v>
      </c>
      <c r="D423" t="s">
        <v>38</v>
      </c>
      <c r="E423" s="4">
        <v>392</v>
      </c>
      <c r="F423" s="5">
        <v>11477.76</v>
      </c>
      <c r="G423" s="5" t="s">
        <v>39</v>
      </c>
      <c r="H423" s="5">
        <v>16703.12</v>
      </c>
      <c r="I423" s="5" t="s">
        <v>39</v>
      </c>
      <c r="J423" s="5">
        <v>390.24383999999998</v>
      </c>
      <c r="K423" s="5">
        <f t="shared" si="18"/>
        <v>0.99551999999999996</v>
      </c>
      <c r="L423" s="5">
        <f t="shared" si="19"/>
        <v>29.28</v>
      </c>
      <c r="M423" s="5" t="s">
        <v>39</v>
      </c>
      <c r="N423" s="5">
        <v>390.24383999999998</v>
      </c>
      <c r="O423" s="5" t="s">
        <v>39</v>
      </c>
      <c r="P423" t="s">
        <v>133</v>
      </c>
      <c r="Q423" t="s">
        <v>1037</v>
      </c>
      <c r="R423" t="s">
        <v>37</v>
      </c>
      <c r="S423" t="s">
        <v>1038</v>
      </c>
      <c r="T423" t="s">
        <v>43</v>
      </c>
      <c r="U423" t="s">
        <v>44</v>
      </c>
      <c r="V423">
        <v>147</v>
      </c>
      <c r="W423" t="s">
        <v>45</v>
      </c>
      <c r="X423" t="s">
        <v>1039</v>
      </c>
      <c r="Y423" t="s">
        <v>1040</v>
      </c>
      <c r="Z423" t="s">
        <v>37</v>
      </c>
      <c r="AA423" t="s">
        <v>55</v>
      </c>
      <c r="AB423" t="s">
        <v>37</v>
      </c>
      <c r="AC423" s="6" t="s">
        <v>37</v>
      </c>
      <c r="AD423" s="6" t="s">
        <v>37</v>
      </c>
      <c r="AE423" t="s">
        <v>37</v>
      </c>
      <c r="AF423" t="s">
        <v>37</v>
      </c>
      <c r="AG423" s="6" t="s">
        <v>37</v>
      </c>
      <c r="AH423" t="s">
        <v>37</v>
      </c>
      <c r="AI423" t="s">
        <v>37</v>
      </c>
      <c r="AJ423" t="str">
        <f t="shared" si="20"/>
        <v>36BT7GGLB07W4DG827</v>
      </c>
    </row>
    <row r="424" spans="1:36" ht="15" customHeight="1" x14ac:dyDescent="0.25">
      <c r="A424" t="s">
        <v>36</v>
      </c>
      <c r="B424" t="s">
        <v>37</v>
      </c>
      <c r="C424" t="s">
        <v>37</v>
      </c>
      <c r="D424" t="s">
        <v>38</v>
      </c>
      <c r="E424" s="4">
        <v>4</v>
      </c>
      <c r="F424" s="5">
        <v>293.36</v>
      </c>
      <c r="G424" s="5" t="s">
        <v>39</v>
      </c>
      <c r="H424" s="5">
        <v>475.4</v>
      </c>
      <c r="I424" s="5" t="s">
        <v>39</v>
      </c>
      <c r="J424" s="5">
        <v>9.97424</v>
      </c>
      <c r="K424" s="5">
        <f t="shared" si="18"/>
        <v>2.49356</v>
      </c>
      <c r="L424" s="5">
        <f t="shared" si="19"/>
        <v>73.34</v>
      </c>
      <c r="M424" s="5" t="s">
        <v>39</v>
      </c>
      <c r="N424" s="5">
        <v>9.97424</v>
      </c>
      <c r="O424" s="5" t="s">
        <v>39</v>
      </c>
      <c r="P424" t="s">
        <v>119</v>
      </c>
      <c r="Q424" t="s">
        <v>1041</v>
      </c>
      <c r="R424" t="s">
        <v>37</v>
      </c>
      <c r="S424" t="s">
        <v>1042</v>
      </c>
      <c r="T424" t="s">
        <v>43</v>
      </c>
      <c r="U424" t="s">
        <v>44</v>
      </c>
      <c r="V424">
        <v>147</v>
      </c>
      <c r="W424" t="s">
        <v>45</v>
      </c>
      <c r="X424" t="s">
        <v>53</v>
      </c>
      <c r="Y424" t="s">
        <v>1043</v>
      </c>
      <c r="Z424" t="s">
        <v>37</v>
      </c>
      <c r="AA424" t="s">
        <v>55</v>
      </c>
      <c r="AB424" t="s">
        <v>37</v>
      </c>
      <c r="AC424" s="6" t="s">
        <v>37</v>
      </c>
      <c r="AD424" s="6" t="s">
        <v>37</v>
      </c>
      <c r="AE424" t="s">
        <v>37</v>
      </c>
      <c r="AF424" t="s">
        <v>37</v>
      </c>
      <c r="AG424" s="6" t="s">
        <v>37</v>
      </c>
      <c r="AH424" t="s">
        <v>37</v>
      </c>
      <c r="AI424" t="s">
        <v>37</v>
      </c>
      <c r="AJ424" t="str">
        <f t="shared" si="20"/>
        <v>31DJDC7QB07W6JLFZ2</v>
      </c>
    </row>
    <row r="425" spans="1:36" ht="15" customHeight="1" x14ac:dyDescent="0.25">
      <c r="A425" t="s">
        <v>101</v>
      </c>
      <c r="B425" t="s">
        <v>37</v>
      </c>
      <c r="C425" t="s">
        <v>37</v>
      </c>
      <c r="D425" t="s">
        <v>38</v>
      </c>
      <c r="E425" s="4">
        <v>64</v>
      </c>
      <c r="F425" s="5">
        <v>5312</v>
      </c>
      <c r="G425" s="5" t="s">
        <v>39</v>
      </c>
      <c r="H425" s="5">
        <v>6294.4</v>
      </c>
      <c r="I425" s="5" t="s">
        <v>39</v>
      </c>
      <c r="J425" s="5">
        <v>180.608</v>
      </c>
      <c r="K425" s="5">
        <f t="shared" si="18"/>
        <v>2.8220000000000001</v>
      </c>
      <c r="L425" s="5">
        <f t="shared" si="19"/>
        <v>83</v>
      </c>
      <c r="M425" s="5" t="s">
        <v>39</v>
      </c>
      <c r="N425" s="5">
        <v>180.608</v>
      </c>
      <c r="O425" s="5" t="s">
        <v>39</v>
      </c>
      <c r="P425" t="s">
        <v>102</v>
      </c>
      <c r="Q425" t="s">
        <v>1044</v>
      </c>
      <c r="R425" t="s">
        <v>1045</v>
      </c>
      <c r="S425" t="s">
        <v>1046</v>
      </c>
      <c r="T425" t="s">
        <v>43</v>
      </c>
      <c r="U425" t="s">
        <v>44</v>
      </c>
      <c r="V425">
        <v>267</v>
      </c>
      <c r="W425" t="s">
        <v>151</v>
      </c>
      <c r="X425" t="s">
        <v>152</v>
      </c>
      <c r="Y425" t="s">
        <v>1047</v>
      </c>
      <c r="Z425" t="s">
        <v>37</v>
      </c>
      <c r="AA425" t="s">
        <v>95</v>
      </c>
      <c r="AB425" t="s">
        <v>37</v>
      </c>
      <c r="AC425" s="6" t="s">
        <v>37</v>
      </c>
      <c r="AD425" s="6" t="s">
        <v>37</v>
      </c>
      <c r="AE425" t="s">
        <v>37</v>
      </c>
      <c r="AF425" t="s">
        <v>37</v>
      </c>
      <c r="AG425" s="6" t="s">
        <v>37</v>
      </c>
      <c r="AH425" t="s">
        <v>37</v>
      </c>
      <c r="AI425" t="s">
        <v>37</v>
      </c>
      <c r="AJ425" t="str">
        <f t="shared" si="20"/>
        <v>2M7QFTCOB07DTTGZ7M</v>
      </c>
    </row>
    <row r="426" spans="1:36" ht="15" customHeight="1" x14ac:dyDescent="0.25">
      <c r="A426" t="s">
        <v>49</v>
      </c>
      <c r="B426" t="s">
        <v>37</v>
      </c>
      <c r="C426" t="s">
        <v>37</v>
      </c>
      <c r="D426" t="s">
        <v>38</v>
      </c>
      <c r="E426" s="4">
        <v>48</v>
      </c>
      <c r="F426" s="5">
        <v>3339.84</v>
      </c>
      <c r="G426" s="5" t="s">
        <v>39</v>
      </c>
      <c r="H426" s="5">
        <v>4917.6000000000004</v>
      </c>
      <c r="I426" s="5" t="s">
        <v>39</v>
      </c>
      <c r="J426" s="5">
        <v>113.55456</v>
      </c>
      <c r="K426" s="5">
        <f t="shared" si="18"/>
        <v>2.36572</v>
      </c>
      <c r="L426" s="5">
        <f t="shared" si="19"/>
        <v>69.58</v>
      </c>
      <c r="M426" s="5" t="s">
        <v>39</v>
      </c>
      <c r="N426" s="5">
        <v>113.55456</v>
      </c>
      <c r="O426" s="5" t="s">
        <v>39</v>
      </c>
      <c r="P426" t="s">
        <v>128</v>
      </c>
      <c r="Q426" t="s">
        <v>869</v>
      </c>
      <c r="R426" t="s">
        <v>37</v>
      </c>
      <c r="S426" t="s">
        <v>870</v>
      </c>
      <c r="T426" t="s">
        <v>43</v>
      </c>
      <c r="U426" t="s">
        <v>44</v>
      </c>
      <c r="V426">
        <v>147</v>
      </c>
      <c r="W426" t="s">
        <v>45</v>
      </c>
      <c r="X426" t="s">
        <v>60</v>
      </c>
      <c r="Y426" t="s">
        <v>871</v>
      </c>
      <c r="Z426" t="s">
        <v>37</v>
      </c>
      <c r="AA426" t="s">
        <v>55</v>
      </c>
      <c r="AB426" t="s">
        <v>37</v>
      </c>
      <c r="AC426" s="6" t="s">
        <v>37</v>
      </c>
      <c r="AD426" s="6" t="s">
        <v>37</v>
      </c>
      <c r="AE426" t="s">
        <v>37</v>
      </c>
      <c r="AF426" t="s">
        <v>37</v>
      </c>
      <c r="AG426" s="6" t="s">
        <v>37</v>
      </c>
      <c r="AH426" t="s">
        <v>37</v>
      </c>
      <c r="AI426" t="s">
        <v>37</v>
      </c>
      <c r="AJ426" t="str">
        <f t="shared" si="20"/>
        <v>7RAC5F9EB07W5JKWTH</v>
      </c>
    </row>
    <row r="427" spans="1:36" ht="15" customHeight="1" x14ac:dyDescent="0.25">
      <c r="A427" t="s">
        <v>49</v>
      </c>
      <c r="B427" t="s">
        <v>37</v>
      </c>
      <c r="C427" t="s">
        <v>37</v>
      </c>
      <c r="D427" t="s">
        <v>38</v>
      </c>
      <c r="E427" s="4">
        <v>0</v>
      </c>
      <c r="F427" s="5">
        <v>0</v>
      </c>
      <c r="G427" s="5" t="s">
        <v>39</v>
      </c>
      <c r="H427" s="5">
        <v>0</v>
      </c>
      <c r="I427" s="5" t="s">
        <v>39</v>
      </c>
      <c r="J427" s="5">
        <v>0</v>
      </c>
      <c r="K427" s="5" t="e">
        <f t="shared" si="18"/>
        <v>#DIV/0!</v>
      </c>
      <c r="L427" s="5" t="e">
        <f t="shared" si="19"/>
        <v>#DIV/0!</v>
      </c>
      <c r="M427" s="5" t="s">
        <v>39</v>
      </c>
      <c r="N427" s="5">
        <v>0</v>
      </c>
      <c r="O427" s="5" t="s">
        <v>39</v>
      </c>
      <c r="P427" t="s">
        <v>106</v>
      </c>
      <c r="Q427" t="s">
        <v>287</v>
      </c>
      <c r="R427" t="s">
        <v>37</v>
      </c>
      <c r="S427" t="s">
        <v>288</v>
      </c>
      <c r="T427" t="s">
        <v>43</v>
      </c>
      <c r="U427" t="s">
        <v>44</v>
      </c>
      <c r="V427">
        <v>147</v>
      </c>
      <c r="W427" t="s">
        <v>45</v>
      </c>
      <c r="X427" t="s">
        <v>239</v>
      </c>
      <c r="Y427" t="s">
        <v>289</v>
      </c>
      <c r="Z427" t="s">
        <v>37</v>
      </c>
      <c r="AA427" t="s">
        <v>95</v>
      </c>
      <c r="AB427" t="s">
        <v>37</v>
      </c>
      <c r="AC427" s="6" t="s">
        <v>37</v>
      </c>
      <c r="AD427" s="6" t="s">
        <v>37</v>
      </c>
      <c r="AE427" t="s">
        <v>37</v>
      </c>
      <c r="AF427" t="s">
        <v>37</v>
      </c>
      <c r="AG427" s="6" t="s">
        <v>37</v>
      </c>
      <c r="AH427" t="s">
        <v>37</v>
      </c>
      <c r="AI427" t="s">
        <v>37</v>
      </c>
      <c r="AJ427" t="str">
        <f t="shared" si="20"/>
        <v>2CLMXQWQB00ZOZZM4U</v>
      </c>
    </row>
    <row r="428" spans="1:36" ht="15" customHeight="1" x14ac:dyDescent="0.25">
      <c r="A428" t="s">
        <v>118</v>
      </c>
      <c r="B428" t="s">
        <v>37</v>
      </c>
      <c r="C428" t="s">
        <v>37</v>
      </c>
      <c r="D428" t="s">
        <v>38</v>
      </c>
      <c r="E428" s="4">
        <v>348</v>
      </c>
      <c r="F428" s="5">
        <v>27359.759999999998</v>
      </c>
      <c r="G428" s="5" t="s">
        <v>39</v>
      </c>
      <c r="H428" s="5">
        <v>44209.919999999998</v>
      </c>
      <c r="I428" s="5" t="s">
        <v>39</v>
      </c>
      <c r="J428" s="5">
        <v>930.23184000000003</v>
      </c>
      <c r="K428" s="5">
        <f t="shared" si="18"/>
        <v>2.6730800000000001</v>
      </c>
      <c r="L428" s="5">
        <f t="shared" si="19"/>
        <v>78.61999999999999</v>
      </c>
      <c r="M428" s="5" t="s">
        <v>39</v>
      </c>
      <c r="N428" s="5">
        <v>930.23184000000003</v>
      </c>
      <c r="O428" s="5" t="s">
        <v>39</v>
      </c>
      <c r="P428" t="s">
        <v>1048</v>
      </c>
      <c r="Q428" t="s">
        <v>1049</v>
      </c>
      <c r="R428" t="s">
        <v>37</v>
      </c>
      <c r="S428" t="s">
        <v>1050</v>
      </c>
      <c r="T428" t="s">
        <v>43</v>
      </c>
      <c r="U428" t="s">
        <v>44</v>
      </c>
      <c r="V428">
        <v>147</v>
      </c>
      <c r="W428" t="s">
        <v>45</v>
      </c>
      <c r="X428" t="s">
        <v>46</v>
      </c>
      <c r="Y428" t="s">
        <v>1051</v>
      </c>
      <c r="Z428" t="s">
        <v>37</v>
      </c>
      <c r="AA428" t="s">
        <v>48</v>
      </c>
      <c r="AB428" t="s">
        <v>37</v>
      </c>
      <c r="AC428" s="6" t="s">
        <v>37</v>
      </c>
      <c r="AD428" s="6" t="s">
        <v>37</v>
      </c>
      <c r="AE428" t="s">
        <v>37</v>
      </c>
      <c r="AF428" t="s">
        <v>37</v>
      </c>
      <c r="AG428" s="6" t="s">
        <v>37</v>
      </c>
      <c r="AH428" t="s">
        <v>37</v>
      </c>
      <c r="AI428" t="s">
        <v>37</v>
      </c>
      <c r="AJ428" t="str">
        <f t="shared" si="20"/>
        <v>7YGRCVCKB074C9FYP8</v>
      </c>
    </row>
    <row r="429" spans="1:36" ht="15" customHeight="1" x14ac:dyDescent="0.25">
      <c r="A429" t="s">
        <v>76</v>
      </c>
      <c r="B429" t="s">
        <v>37</v>
      </c>
      <c r="C429" t="s">
        <v>37</v>
      </c>
      <c r="D429" t="s">
        <v>38</v>
      </c>
      <c r="E429" s="4">
        <v>10</v>
      </c>
      <c r="F429" s="5">
        <v>105.3</v>
      </c>
      <c r="G429" s="5" t="s">
        <v>39</v>
      </c>
      <c r="H429" s="5">
        <v>163.9</v>
      </c>
      <c r="I429" s="5" t="s">
        <v>39</v>
      </c>
      <c r="J429" s="5">
        <v>3.5802</v>
      </c>
      <c r="K429" s="5">
        <f t="shared" si="18"/>
        <v>0.35802</v>
      </c>
      <c r="L429" s="5">
        <f t="shared" si="19"/>
        <v>10.53</v>
      </c>
      <c r="M429" s="5" t="s">
        <v>39</v>
      </c>
      <c r="N429" s="5">
        <v>3.5802</v>
      </c>
      <c r="O429" s="5" t="s">
        <v>39</v>
      </c>
      <c r="P429" t="s">
        <v>72</v>
      </c>
      <c r="Q429" t="s">
        <v>990</v>
      </c>
      <c r="R429" t="s">
        <v>37</v>
      </c>
      <c r="S429" t="s">
        <v>991</v>
      </c>
      <c r="T429" t="s">
        <v>43</v>
      </c>
      <c r="U429" t="s">
        <v>44</v>
      </c>
      <c r="V429">
        <v>147</v>
      </c>
      <c r="W429" t="s">
        <v>45</v>
      </c>
      <c r="X429" t="s">
        <v>53</v>
      </c>
      <c r="Y429" t="s">
        <v>992</v>
      </c>
      <c r="Z429" t="s">
        <v>37</v>
      </c>
      <c r="AA429" t="s">
        <v>55</v>
      </c>
      <c r="AB429" t="s">
        <v>37</v>
      </c>
      <c r="AC429" s="6" t="s">
        <v>37</v>
      </c>
      <c r="AD429" s="6" t="s">
        <v>37</v>
      </c>
      <c r="AE429" t="s">
        <v>37</v>
      </c>
      <c r="AF429" t="s">
        <v>37</v>
      </c>
      <c r="AG429" s="6" t="s">
        <v>37</v>
      </c>
      <c r="AH429" t="s">
        <v>37</v>
      </c>
      <c r="AI429" t="s">
        <v>37</v>
      </c>
      <c r="AJ429" t="str">
        <f t="shared" si="20"/>
        <v>4GF112AEB07W6J6W4P</v>
      </c>
    </row>
    <row r="430" spans="1:36" ht="15" customHeight="1" x14ac:dyDescent="0.25">
      <c r="A430" t="s">
        <v>127</v>
      </c>
      <c r="B430" t="s">
        <v>37</v>
      </c>
      <c r="C430" t="s">
        <v>37</v>
      </c>
      <c r="D430" t="s">
        <v>38</v>
      </c>
      <c r="E430" s="4">
        <v>10</v>
      </c>
      <c r="F430" s="5">
        <v>163.9</v>
      </c>
      <c r="G430" s="5" t="s">
        <v>39</v>
      </c>
      <c r="H430" s="5">
        <v>245.8</v>
      </c>
      <c r="I430" s="5" t="s">
        <v>39</v>
      </c>
      <c r="J430" s="5">
        <v>5.5726000000000004</v>
      </c>
      <c r="K430" s="5">
        <f t="shared" si="18"/>
        <v>0.55726000000000009</v>
      </c>
      <c r="L430" s="5">
        <f t="shared" si="19"/>
        <v>16.39</v>
      </c>
      <c r="M430" s="5" t="s">
        <v>39</v>
      </c>
      <c r="N430" s="5">
        <v>5.5726000000000004</v>
      </c>
      <c r="O430" s="5" t="s">
        <v>39</v>
      </c>
      <c r="P430" t="s">
        <v>67</v>
      </c>
      <c r="Q430" t="s">
        <v>163</v>
      </c>
      <c r="R430" t="s">
        <v>164</v>
      </c>
      <c r="S430" t="s">
        <v>165</v>
      </c>
      <c r="T430" t="s">
        <v>43</v>
      </c>
      <c r="U430" t="s">
        <v>44</v>
      </c>
      <c r="V430">
        <v>147</v>
      </c>
      <c r="W430" t="s">
        <v>45</v>
      </c>
      <c r="X430" t="s">
        <v>53</v>
      </c>
      <c r="Y430" t="s">
        <v>166</v>
      </c>
      <c r="Z430" t="s">
        <v>37</v>
      </c>
      <c r="AA430" t="s">
        <v>48</v>
      </c>
      <c r="AB430" t="s">
        <v>37</v>
      </c>
      <c r="AC430" s="6" t="s">
        <v>37</v>
      </c>
      <c r="AD430" s="6" t="s">
        <v>37</v>
      </c>
      <c r="AE430" t="s">
        <v>37</v>
      </c>
      <c r="AF430" t="s">
        <v>37</v>
      </c>
      <c r="AG430" s="6" t="s">
        <v>37</v>
      </c>
      <c r="AH430" t="s">
        <v>37</v>
      </c>
      <c r="AI430" t="s">
        <v>37</v>
      </c>
      <c r="AJ430" t="str">
        <f t="shared" si="20"/>
        <v>2TMBDXBKB01K7GEG9W</v>
      </c>
    </row>
    <row r="431" spans="1:36" ht="15" customHeight="1" x14ac:dyDescent="0.25">
      <c r="A431" t="s">
        <v>101</v>
      </c>
      <c r="B431" t="s">
        <v>37</v>
      </c>
      <c r="C431" t="s">
        <v>37</v>
      </c>
      <c r="D431" t="s">
        <v>38</v>
      </c>
      <c r="E431" s="4">
        <v>16</v>
      </c>
      <c r="F431" s="5">
        <v>468.48</v>
      </c>
      <c r="G431" s="5" t="s">
        <v>39</v>
      </c>
      <c r="H431" s="5">
        <v>708</v>
      </c>
      <c r="I431" s="5" t="s">
        <v>39</v>
      </c>
      <c r="J431" s="5">
        <v>15.928319999999999</v>
      </c>
      <c r="K431" s="5">
        <f t="shared" si="18"/>
        <v>0.99551999999999996</v>
      </c>
      <c r="L431" s="5">
        <f t="shared" si="19"/>
        <v>29.28</v>
      </c>
      <c r="M431" s="5" t="s">
        <v>39</v>
      </c>
      <c r="N431" s="5">
        <v>15.928319999999999</v>
      </c>
      <c r="O431" s="5" t="s">
        <v>39</v>
      </c>
      <c r="P431" t="s">
        <v>1052</v>
      </c>
      <c r="Q431" t="s">
        <v>1053</v>
      </c>
      <c r="R431" t="s">
        <v>37</v>
      </c>
      <c r="S431" t="s">
        <v>1054</v>
      </c>
      <c r="T431" t="s">
        <v>43</v>
      </c>
      <c r="U431" t="s">
        <v>44</v>
      </c>
      <c r="V431">
        <v>23</v>
      </c>
      <c r="W431" t="s">
        <v>218</v>
      </c>
      <c r="X431" t="s">
        <v>219</v>
      </c>
      <c r="Y431" t="s">
        <v>1055</v>
      </c>
      <c r="Z431" t="s">
        <v>37</v>
      </c>
      <c r="AA431" t="s">
        <v>95</v>
      </c>
      <c r="AB431" t="s">
        <v>37</v>
      </c>
      <c r="AC431" s="6" t="s">
        <v>37</v>
      </c>
      <c r="AD431" s="6" t="s">
        <v>37</v>
      </c>
      <c r="AE431" t="s">
        <v>37</v>
      </c>
      <c r="AF431" t="s">
        <v>37</v>
      </c>
      <c r="AG431" s="6" t="s">
        <v>37</v>
      </c>
      <c r="AH431" t="s">
        <v>37</v>
      </c>
      <c r="AI431" t="s">
        <v>37</v>
      </c>
      <c r="AJ431" t="str">
        <f t="shared" si="20"/>
        <v>6MI6OEVJB07W4DH6G4</v>
      </c>
    </row>
    <row r="432" spans="1:36" ht="15" customHeight="1" x14ac:dyDescent="0.25">
      <c r="A432" t="s">
        <v>88</v>
      </c>
      <c r="B432" t="s">
        <v>37</v>
      </c>
      <c r="C432" t="s">
        <v>37</v>
      </c>
      <c r="D432" t="s">
        <v>38</v>
      </c>
      <c r="E432" s="4">
        <v>420</v>
      </c>
      <c r="F432" s="5">
        <v>6883.8</v>
      </c>
      <c r="G432" s="5" t="s">
        <v>39</v>
      </c>
      <c r="H432" s="5">
        <v>10323.6</v>
      </c>
      <c r="I432" s="5" t="s">
        <v>39</v>
      </c>
      <c r="J432" s="5">
        <v>234.04920000000001</v>
      </c>
      <c r="K432" s="5">
        <f t="shared" si="18"/>
        <v>0.55725999999999998</v>
      </c>
      <c r="L432" s="5">
        <f t="shared" si="19"/>
        <v>16.39</v>
      </c>
      <c r="M432" s="5" t="s">
        <v>39</v>
      </c>
      <c r="N432" s="5">
        <v>234.04920000000001</v>
      </c>
      <c r="O432" s="5" t="s">
        <v>39</v>
      </c>
      <c r="P432" t="s">
        <v>67</v>
      </c>
      <c r="Q432" t="s">
        <v>163</v>
      </c>
      <c r="R432" t="s">
        <v>164</v>
      </c>
      <c r="S432" t="s">
        <v>165</v>
      </c>
      <c r="T432" t="s">
        <v>43</v>
      </c>
      <c r="U432" t="s">
        <v>44</v>
      </c>
      <c r="V432">
        <v>147</v>
      </c>
      <c r="W432" t="s">
        <v>45</v>
      </c>
      <c r="X432" t="s">
        <v>53</v>
      </c>
      <c r="Y432" t="s">
        <v>166</v>
      </c>
      <c r="Z432" t="s">
        <v>37</v>
      </c>
      <c r="AA432" t="s">
        <v>48</v>
      </c>
      <c r="AB432" t="s">
        <v>37</v>
      </c>
      <c r="AC432" s="6" t="s">
        <v>37</v>
      </c>
      <c r="AD432" s="6" t="s">
        <v>37</v>
      </c>
      <c r="AE432" t="s">
        <v>37</v>
      </c>
      <c r="AF432" t="s">
        <v>37</v>
      </c>
      <c r="AG432" s="6" t="s">
        <v>37</v>
      </c>
      <c r="AH432" t="s">
        <v>37</v>
      </c>
      <c r="AI432" t="s">
        <v>37</v>
      </c>
      <c r="AJ432" t="str">
        <f t="shared" si="20"/>
        <v>2TMBDXBKB01K7GEG9W</v>
      </c>
    </row>
    <row r="433" spans="1:36" ht="15" customHeight="1" x14ac:dyDescent="0.25">
      <c r="A433" t="s">
        <v>36</v>
      </c>
      <c r="B433" t="s">
        <v>37</v>
      </c>
      <c r="C433" t="s">
        <v>37</v>
      </c>
      <c r="D433" t="s">
        <v>38</v>
      </c>
      <c r="E433" s="4">
        <v>80</v>
      </c>
      <c r="F433" s="5">
        <v>1311.2</v>
      </c>
      <c r="G433" s="5" t="s">
        <v>39</v>
      </c>
      <c r="H433" s="5">
        <v>1704</v>
      </c>
      <c r="I433" s="5" t="s">
        <v>39</v>
      </c>
      <c r="J433" s="5">
        <v>44.580800000000004</v>
      </c>
      <c r="K433" s="5">
        <f t="shared" si="18"/>
        <v>0.55726000000000009</v>
      </c>
      <c r="L433" s="5">
        <f t="shared" si="19"/>
        <v>16.39</v>
      </c>
      <c r="M433" s="5" t="s">
        <v>39</v>
      </c>
      <c r="N433" s="5">
        <v>44.580800000000004</v>
      </c>
      <c r="O433" s="5" t="s">
        <v>39</v>
      </c>
      <c r="P433" t="s">
        <v>119</v>
      </c>
      <c r="Q433" t="s">
        <v>941</v>
      </c>
      <c r="R433" t="s">
        <v>37</v>
      </c>
      <c r="S433" t="s">
        <v>942</v>
      </c>
      <c r="T433" t="s">
        <v>43</v>
      </c>
      <c r="U433" t="s">
        <v>44</v>
      </c>
      <c r="V433">
        <v>147</v>
      </c>
      <c r="W433" t="s">
        <v>45</v>
      </c>
      <c r="X433" t="s">
        <v>53</v>
      </c>
      <c r="Y433" t="s">
        <v>943</v>
      </c>
      <c r="Z433" t="s">
        <v>37</v>
      </c>
      <c r="AA433" t="s">
        <v>55</v>
      </c>
      <c r="AB433" t="s">
        <v>37</v>
      </c>
      <c r="AC433" s="6" t="s">
        <v>37</v>
      </c>
      <c r="AD433" s="6" t="s">
        <v>37</v>
      </c>
      <c r="AE433" t="s">
        <v>37</v>
      </c>
      <c r="AF433" t="s">
        <v>37</v>
      </c>
      <c r="AG433" s="6" t="s">
        <v>37</v>
      </c>
      <c r="AH433" t="s">
        <v>37</v>
      </c>
      <c r="AI433" t="s">
        <v>37</v>
      </c>
      <c r="AJ433" t="str">
        <f t="shared" si="20"/>
        <v>31DJDC7QB07VFJT9NM</v>
      </c>
    </row>
    <row r="434" spans="1:36" ht="15" customHeight="1" x14ac:dyDescent="0.25">
      <c r="A434" t="s">
        <v>127</v>
      </c>
      <c r="B434" t="s">
        <v>37</v>
      </c>
      <c r="C434" t="s">
        <v>37</v>
      </c>
      <c r="D434" t="s">
        <v>38</v>
      </c>
      <c r="E434" s="4">
        <v>10</v>
      </c>
      <c r="F434" s="5">
        <v>163.9</v>
      </c>
      <c r="G434" s="5" t="s">
        <v>39</v>
      </c>
      <c r="H434" s="5">
        <v>213</v>
      </c>
      <c r="I434" s="5" t="s">
        <v>39</v>
      </c>
      <c r="J434" s="5">
        <v>5.5726000000000004</v>
      </c>
      <c r="K434" s="5">
        <f t="shared" si="18"/>
        <v>0.55726000000000009</v>
      </c>
      <c r="L434" s="5">
        <f t="shared" si="19"/>
        <v>16.39</v>
      </c>
      <c r="M434" s="5" t="s">
        <v>39</v>
      </c>
      <c r="N434" s="5">
        <v>5.5726000000000004</v>
      </c>
      <c r="O434" s="5" t="s">
        <v>39</v>
      </c>
      <c r="P434" t="s">
        <v>119</v>
      </c>
      <c r="Q434" t="s">
        <v>941</v>
      </c>
      <c r="R434" t="s">
        <v>37</v>
      </c>
      <c r="S434" t="s">
        <v>942</v>
      </c>
      <c r="T434" t="s">
        <v>43</v>
      </c>
      <c r="U434" t="s">
        <v>44</v>
      </c>
      <c r="V434">
        <v>147</v>
      </c>
      <c r="W434" t="s">
        <v>45</v>
      </c>
      <c r="X434" t="s">
        <v>53</v>
      </c>
      <c r="Y434" t="s">
        <v>943</v>
      </c>
      <c r="Z434" t="s">
        <v>37</v>
      </c>
      <c r="AA434" t="s">
        <v>55</v>
      </c>
      <c r="AB434" t="s">
        <v>37</v>
      </c>
      <c r="AC434" s="6" t="s">
        <v>37</v>
      </c>
      <c r="AD434" s="6" t="s">
        <v>37</v>
      </c>
      <c r="AE434" t="s">
        <v>37</v>
      </c>
      <c r="AF434" t="s">
        <v>37</v>
      </c>
      <c r="AG434" s="6" t="s">
        <v>37</v>
      </c>
      <c r="AH434" t="s">
        <v>37</v>
      </c>
      <c r="AI434" t="s">
        <v>37</v>
      </c>
      <c r="AJ434" t="str">
        <f t="shared" si="20"/>
        <v>31DJDC7QB07VFJT9NM</v>
      </c>
    </row>
    <row r="435" spans="1:36" ht="15" customHeight="1" x14ac:dyDescent="0.25">
      <c r="A435" t="s">
        <v>96</v>
      </c>
      <c r="B435" t="s">
        <v>37</v>
      </c>
      <c r="C435" t="s">
        <v>37</v>
      </c>
      <c r="D435" t="s">
        <v>38</v>
      </c>
      <c r="E435" s="4">
        <v>80</v>
      </c>
      <c r="F435" s="5">
        <v>1030.4000000000001</v>
      </c>
      <c r="G435" s="5" t="s">
        <v>39</v>
      </c>
      <c r="H435" s="5">
        <v>1572.8</v>
      </c>
      <c r="I435" s="5" t="s">
        <v>39</v>
      </c>
      <c r="J435" s="5">
        <v>35.0336</v>
      </c>
      <c r="K435" s="5">
        <f t="shared" si="18"/>
        <v>0.43791999999999998</v>
      </c>
      <c r="L435" s="5">
        <f t="shared" si="19"/>
        <v>12.88</v>
      </c>
      <c r="M435" s="5" t="s">
        <v>39</v>
      </c>
      <c r="N435" s="5">
        <v>35.0336</v>
      </c>
      <c r="O435" s="5" t="s">
        <v>39</v>
      </c>
      <c r="P435" t="s">
        <v>106</v>
      </c>
      <c r="Q435" t="s">
        <v>287</v>
      </c>
      <c r="R435" t="s">
        <v>37</v>
      </c>
      <c r="S435" t="s">
        <v>288</v>
      </c>
      <c r="T435" t="s">
        <v>43</v>
      </c>
      <c r="U435" t="s">
        <v>44</v>
      </c>
      <c r="V435">
        <v>147</v>
      </c>
      <c r="W435" t="s">
        <v>45</v>
      </c>
      <c r="X435" t="s">
        <v>239</v>
      </c>
      <c r="Y435" t="s">
        <v>289</v>
      </c>
      <c r="Z435" t="s">
        <v>37</v>
      </c>
      <c r="AA435" t="s">
        <v>95</v>
      </c>
      <c r="AB435" t="s">
        <v>37</v>
      </c>
      <c r="AC435" s="6" t="s">
        <v>37</v>
      </c>
      <c r="AD435" s="6" t="s">
        <v>37</v>
      </c>
      <c r="AE435" t="s">
        <v>37</v>
      </c>
      <c r="AF435" t="s">
        <v>37</v>
      </c>
      <c r="AG435" s="6" t="s">
        <v>37</v>
      </c>
      <c r="AH435" t="s">
        <v>37</v>
      </c>
      <c r="AI435" t="s">
        <v>37</v>
      </c>
      <c r="AJ435" t="str">
        <f t="shared" si="20"/>
        <v>2CLMXQWQB00ZOZZM4U</v>
      </c>
    </row>
    <row r="436" spans="1:36" ht="15" customHeight="1" x14ac:dyDescent="0.25">
      <c r="A436" t="s">
        <v>36</v>
      </c>
      <c r="B436" t="s">
        <v>37</v>
      </c>
      <c r="C436" t="s">
        <v>37</v>
      </c>
      <c r="D436" t="s">
        <v>38</v>
      </c>
      <c r="E436" s="4">
        <v>120</v>
      </c>
      <c r="F436" s="5">
        <v>9745.2000000000007</v>
      </c>
      <c r="G436" s="5" t="s">
        <v>39</v>
      </c>
      <c r="H436" s="5">
        <v>13671.6</v>
      </c>
      <c r="I436" s="5" t="s">
        <v>39</v>
      </c>
      <c r="J436" s="5">
        <v>331.33679999999998</v>
      </c>
      <c r="K436" s="5">
        <f t="shared" si="18"/>
        <v>2.7611399999999997</v>
      </c>
      <c r="L436" s="5">
        <f t="shared" si="19"/>
        <v>81.210000000000008</v>
      </c>
      <c r="M436" s="5" t="s">
        <v>39</v>
      </c>
      <c r="N436" s="5">
        <v>331.33679999999998</v>
      </c>
      <c r="O436" s="5" t="s">
        <v>39</v>
      </c>
      <c r="P436" t="s">
        <v>119</v>
      </c>
      <c r="Q436" t="s">
        <v>376</v>
      </c>
      <c r="R436" t="s">
        <v>37</v>
      </c>
      <c r="S436" t="s">
        <v>377</v>
      </c>
      <c r="T436" t="s">
        <v>43</v>
      </c>
      <c r="U436" t="s">
        <v>44</v>
      </c>
      <c r="V436">
        <v>147</v>
      </c>
      <c r="W436" t="s">
        <v>45</v>
      </c>
      <c r="X436" t="s">
        <v>356</v>
      </c>
      <c r="Y436" t="s">
        <v>378</v>
      </c>
      <c r="Z436" t="s">
        <v>37</v>
      </c>
      <c r="AA436" t="s">
        <v>55</v>
      </c>
      <c r="AB436" t="s">
        <v>37</v>
      </c>
      <c r="AC436" s="6" t="s">
        <v>37</v>
      </c>
      <c r="AD436" s="6" t="s">
        <v>37</v>
      </c>
      <c r="AE436" t="s">
        <v>37</v>
      </c>
      <c r="AF436" t="s">
        <v>37</v>
      </c>
      <c r="AG436" s="6" t="s">
        <v>37</v>
      </c>
      <c r="AH436" t="s">
        <v>37</v>
      </c>
      <c r="AI436" t="s">
        <v>37</v>
      </c>
      <c r="AJ436" t="str">
        <f t="shared" si="20"/>
        <v>31DJDC7QB07W6HVXXN</v>
      </c>
    </row>
    <row r="437" spans="1:36" ht="15" customHeight="1" x14ac:dyDescent="0.25">
      <c r="A437" t="s">
        <v>127</v>
      </c>
      <c r="B437" t="s">
        <v>37</v>
      </c>
      <c r="C437" t="s">
        <v>37</v>
      </c>
      <c r="D437" t="s">
        <v>38</v>
      </c>
      <c r="E437" s="4">
        <v>4</v>
      </c>
      <c r="F437" s="5">
        <v>324.83999999999997</v>
      </c>
      <c r="G437" s="5" t="s">
        <v>39</v>
      </c>
      <c r="H437" s="5">
        <v>455.72</v>
      </c>
      <c r="I437" s="5" t="s">
        <v>39</v>
      </c>
      <c r="J437" s="5">
        <v>11.044560000000001</v>
      </c>
      <c r="K437" s="5">
        <f t="shared" si="18"/>
        <v>2.7611400000000001</v>
      </c>
      <c r="L437" s="5">
        <f t="shared" si="19"/>
        <v>81.209999999999994</v>
      </c>
      <c r="M437" s="5" t="s">
        <v>39</v>
      </c>
      <c r="N437" s="5">
        <v>11.044560000000001</v>
      </c>
      <c r="O437" s="5" t="s">
        <v>39</v>
      </c>
      <c r="P437" t="s">
        <v>119</v>
      </c>
      <c r="Q437" t="s">
        <v>376</v>
      </c>
      <c r="R437" t="s">
        <v>37</v>
      </c>
      <c r="S437" t="s">
        <v>377</v>
      </c>
      <c r="T437" t="s">
        <v>43</v>
      </c>
      <c r="U437" t="s">
        <v>44</v>
      </c>
      <c r="V437">
        <v>147</v>
      </c>
      <c r="W437" t="s">
        <v>45</v>
      </c>
      <c r="X437" t="s">
        <v>356</v>
      </c>
      <c r="Y437" t="s">
        <v>378</v>
      </c>
      <c r="Z437" t="s">
        <v>37</v>
      </c>
      <c r="AA437" t="s">
        <v>55</v>
      </c>
      <c r="AB437" t="s">
        <v>37</v>
      </c>
      <c r="AC437" s="6" t="s">
        <v>37</v>
      </c>
      <c r="AD437" s="6" t="s">
        <v>37</v>
      </c>
      <c r="AE437" t="s">
        <v>37</v>
      </c>
      <c r="AF437" t="s">
        <v>37</v>
      </c>
      <c r="AG437" s="6" t="s">
        <v>37</v>
      </c>
      <c r="AH437" t="s">
        <v>37</v>
      </c>
      <c r="AI437" t="s">
        <v>37</v>
      </c>
      <c r="AJ437" t="str">
        <f t="shared" si="20"/>
        <v>31DJDC7QB07W6HVXXN</v>
      </c>
    </row>
    <row r="438" spans="1:36" ht="15" customHeight="1" x14ac:dyDescent="0.25">
      <c r="A438" t="s">
        <v>101</v>
      </c>
      <c r="B438" t="s">
        <v>37</v>
      </c>
      <c r="C438" t="s">
        <v>37</v>
      </c>
      <c r="D438" t="s">
        <v>38</v>
      </c>
      <c r="E438" s="4">
        <v>240</v>
      </c>
      <c r="F438" s="5">
        <v>16567.2</v>
      </c>
      <c r="G438" s="5" t="s">
        <v>39</v>
      </c>
      <c r="H438" s="5">
        <v>25377.599999999999</v>
      </c>
      <c r="I438" s="5" t="s">
        <v>39</v>
      </c>
      <c r="J438" s="5">
        <v>563.28480000000002</v>
      </c>
      <c r="K438" s="5">
        <f t="shared" si="18"/>
        <v>2.3470200000000001</v>
      </c>
      <c r="L438" s="5">
        <f t="shared" si="19"/>
        <v>69.03</v>
      </c>
      <c r="M438" s="5" t="s">
        <v>39</v>
      </c>
      <c r="N438" s="5">
        <v>563.28480000000002</v>
      </c>
      <c r="O438" s="5" t="s">
        <v>39</v>
      </c>
      <c r="P438" t="s">
        <v>748</v>
      </c>
      <c r="Q438" t="s">
        <v>599</v>
      </c>
      <c r="R438" t="s">
        <v>37</v>
      </c>
      <c r="S438" t="s">
        <v>600</v>
      </c>
      <c r="T438" t="s">
        <v>43</v>
      </c>
      <c r="U438" t="s">
        <v>44</v>
      </c>
      <c r="V438">
        <v>147</v>
      </c>
      <c r="W438" t="s">
        <v>45</v>
      </c>
      <c r="X438" t="s">
        <v>60</v>
      </c>
      <c r="Y438" t="s">
        <v>601</v>
      </c>
      <c r="Z438" t="s">
        <v>37</v>
      </c>
      <c r="AA438" t="s">
        <v>55</v>
      </c>
      <c r="AB438" t="s">
        <v>37</v>
      </c>
      <c r="AC438" s="6" t="s">
        <v>37</v>
      </c>
      <c r="AD438" s="6" t="s">
        <v>37</v>
      </c>
      <c r="AE438" t="s">
        <v>37</v>
      </c>
      <c r="AF438" t="s">
        <v>37</v>
      </c>
      <c r="AG438" s="6" t="s">
        <v>37</v>
      </c>
      <c r="AH438" t="s">
        <v>37</v>
      </c>
      <c r="AI438" t="s">
        <v>37</v>
      </c>
      <c r="AJ438" t="str">
        <f t="shared" si="20"/>
        <v>74WI6EYDB07W7KMK4Y</v>
      </c>
    </row>
    <row r="439" spans="1:36" ht="15" customHeight="1" x14ac:dyDescent="0.25">
      <c r="A439" t="s">
        <v>101</v>
      </c>
      <c r="B439" t="s">
        <v>37</v>
      </c>
      <c r="C439" t="s">
        <v>37</v>
      </c>
      <c r="D439" t="s">
        <v>38</v>
      </c>
      <c r="E439" s="4">
        <v>8</v>
      </c>
      <c r="F439" s="5">
        <v>460.08</v>
      </c>
      <c r="G439" s="5" t="s">
        <v>39</v>
      </c>
      <c r="H439" s="5">
        <v>780.32</v>
      </c>
      <c r="I439" s="5" t="s">
        <v>39</v>
      </c>
      <c r="J439" s="5">
        <v>15.642720000000001</v>
      </c>
      <c r="K439" s="5">
        <f t="shared" si="18"/>
        <v>1.9553400000000001</v>
      </c>
      <c r="L439" s="5">
        <f t="shared" si="19"/>
        <v>57.51</v>
      </c>
      <c r="M439" s="5" t="s">
        <v>39</v>
      </c>
      <c r="N439" s="5">
        <v>15.642720000000001</v>
      </c>
      <c r="O439" s="5" t="s">
        <v>39</v>
      </c>
      <c r="P439" t="s">
        <v>1056</v>
      </c>
      <c r="Q439" t="s">
        <v>1057</v>
      </c>
      <c r="R439" t="s">
        <v>37</v>
      </c>
      <c r="S439" t="s">
        <v>1058</v>
      </c>
      <c r="T439" t="s">
        <v>43</v>
      </c>
      <c r="U439" t="s">
        <v>44</v>
      </c>
      <c r="V439">
        <v>147</v>
      </c>
      <c r="W439" t="s">
        <v>45</v>
      </c>
      <c r="X439" t="s">
        <v>53</v>
      </c>
      <c r="Y439" t="s">
        <v>1059</v>
      </c>
      <c r="Z439" t="s">
        <v>37</v>
      </c>
      <c r="AA439" t="s">
        <v>55</v>
      </c>
      <c r="AB439" t="s">
        <v>37</v>
      </c>
      <c r="AC439" s="6" t="s">
        <v>37</v>
      </c>
      <c r="AD439" s="6" t="s">
        <v>37</v>
      </c>
      <c r="AE439" t="s">
        <v>37</v>
      </c>
      <c r="AF439" t="s">
        <v>37</v>
      </c>
      <c r="AG439" s="6" t="s">
        <v>37</v>
      </c>
      <c r="AH439" t="s">
        <v>37</v>
      </c>
      <c r="AI439" t="s">
        <v>37</v>
      </c>
      <c r="AJ439" t="str">
        <f t="shared" si="20"/>
        <v>3CWLEPWLB07S7CKTBR</v>
      </c>
    </row>
    <row r="440" spans="1:36" ht="15" customHeight="1" x14ac:dyDescent="0.25">
      <c r="A440" t="s">
        <v>101</v>
      </c>
      <c r="B440" t="s">
        <v>37</v>
      </c>
      <c r="C440" t="s">
        <v>37</v>
      </c>
      <c r="D440" t="s">
        <v>38</v>
      </c>
      <c r="E440" s="4">
        <v>10</v>
      </c>
      <c r="F440" s="5">
        <v>263.7</v>
      </c>
      <c r="G440" s="5" t="s">
        <v>39</v>
      </c>
      <c r="H440" s="5">
        <v>426.1</v>
      </c>
      <c r="I440" s="5" t="s">
        <v>39</v>
      </c>
      <c r="J440" s="5">
        <v>8.9657999999999998</v>
      </c>
      <c r="K440" s="5">
        <f t="shared" si="18"/>
        <v>0.89657999999999993</v>
      </c>
      <c r="L440" s="5">
        <f t="shared" si="19"/>
        <v>26.369999999999997</v>
      </c>
      <c r="M440" s="5" t="s">
        <v>39</v>
      </c>
      <c r="N440" s="5">
        <v>8.9657999999999998</v>
      </c>
      <c r="O440" s="5" t="s">
        <v>39</v>
      </c>
      <c r="P440" t="s">
        <v>102</v>
      </c>
      <c r="Q440" t="s">
        <v>1060</v>
      </c>
      <c r="R440" t="s">
        <v>37</v>
      </c>
      <c r="S440" t="s">
        <v>1061</v>
      </c>
      <c r="T440" t="s">
        <v>43</v>
      </c>
      <c r="U440" t="s">
        <v>44</v>
      </c>
      <c r="V440">
        <v>63</v>
      </c>
      <c r="W440" t="s">
        <v>45</v>
      </c>
      <c r="X440" t="s">
        <v>46</v>
      </c>
      <c r="Y440" t="s">
        <v>1062</v>
      </c>
      <c r="Z440" t="s">
        <v>37</v>
      </c>
      <c r="AA440" t="s">
        <v>307</v>
      </c>
      <c r="AB440" t="s">
        <v>37</v>
      </c>
      <c r="AC440" s="6" t="s">
        <v>37</v>
      </c>
      <c r="AD440" s="6" t="s">
        <v>37</v>
      </c>
      <c r="AE440" t="s">
        <v>37</v>
      </c>
      <c r="AF440" t="s">
        <v>37</v>
      </c>
      <c r="AG440" s="6" t="s">
        <v>37</v>
      </c>
      <c r="AH440" t="s">
        <v>37</v>
      </c>
      <c r="AI440" t="s">
        <v>37</v>
      </c>
      <c r="AJ440" t="str">
        <f t="shared" si="20"/>
        <v>2M7QFTCOB07W4DHKTB</v>
      </c>
    </row>
    <row r="441" spans="1:36" ht="15" customHeight="1" x14ac:dyDescent="0.25">
      <c r="A441" t="s">
        <v>49</v>
      </c>
      <c r="B441" t="s">
        <v>37</v>
      </c>
      <c r="C441" t="s">
        <v>37</v>
      </c>
      <c r="D441" t="s">
        <v>38</v>
      </c>
      <c r="E441" s="4">
        <v>336</v>
      </c>
      <c r="F441" s="5">
        <v>78785.279999999999</v>
      </c>
      <c r="G441" s="5" t="s">
        <v>39</v>
      </c>
      <c r="H441" s="5">
        <v>98871.360000000001</v>
      </c>
      <c r="I441" s="5" t="s">
        <v>39</v>
      </c>
      <c r="J441" s="5">
        <v>2678.6995200000001</v>
      </c>
      <c r="K441" s="5">
        <f t="shared" si="18"/>
        <v>7.9723200000000007</v>
      </c>
      <c r="L441" s="5">
        <f t="shared" si="19"/>
        <v>234.48</v>
      </c>
      <c r="M441" s="5" t="s">
        <v>39</v>
      </c>
      <c r="N441" s="5">
        <v>2678.6995200000001</v>
      </c>
      <c r="O441" s="5" t="s">
        <v>39</v>
      </c>
      <c r="P441" t="s">
        <v>128</v>
      </c>
      <c r="Q441" t="s">
        <v>1063</v>
      </c>
      <c r="R441" t="s">
        <v>37</v>
      </c>
      <c r="S441" t="s">
        <v>1064</v>
      </c>
      <c r="T441" t="s">
        <v>43</v>
      </c>
      <c r="U441" t="s">
        <v>44</v>
      </c>
      <c r="V441">
        <v>147</v>
      </c>
      <c r="W441" t="s">
        <v>45</v>
      </c>
      <c r="X441" t="s">
        <v>46</v>
      </c>
      <c r="Y441" t="s">
        <v>1065</v>
      </c>
      <c r="Z441" t="s">
        <v>37</v>
      </c>
      <c r="AA441" t="s">
        <v>55</v>
      </c>
      <c r="AB441" t="s">
        <v>37</v>
      </c>
      <c r="AC441" s="6" t="s">
        <v>37</v>
      </c>
      <c r="AD441" s="6" t="s">
        <v>37</v>
      </c>
      <c r="AE441" t="s">
        <v>37</v>
      </c>
      <c r="AF441" t="s">
        <v>37</v>
      </c>
      <c r="AG441" s="6" t="s">
        <v>37</v>
      </c>
      <c r="AH441" t="s">
        <v>37</v>
      </c>
      <c r="AI441" t="s">
        <v>37</v>
      </c>
      <c r="AJ441" t="str">
        <f t="shared" si="20"/>
        <v>7RAC5F9EB07TTB3SR2</v>
      </c>
    </row>
    <row r="442" spans="1:36" ht="15" customHeight="1" x14ac:dyDescent="0.25">
      <c r="A442" t="s">
        <v>118</v>
      </c>
      <c r="B442" t="s">
        <v>37</v>
      </c>
      <c r="C442" t="s">
        <v>37</v>
      </c>
      <c r="D442" t="s">
        <v>38</v>
      </c>
      <c r="E442" s="4">
        <v>8</v>
      </c>
      <c r="F442" s="5">
        <v>586.72</v>
      </c>
      <c r="G442" s="5" t="s">
        <v>39</v>
      </c>
      <c r="H442" s="5">
        <v>950.8</v>
      </c>
      <c r="I442" s="5" t="s">
        <v>39</v>
      </c>
      <c r="J442" s="5">
        <v>19.94848</v>
      </c>
      <c r="K442" s="5">
        <f t="shared" si="18"/>
        <v>2.49356</v>
      </c>
      <c r="L442" s="5">
        <f t="shared" si="19"/>
        <v>73.34</v>
      </c>
      <c r="M442" s="5" t="s">
        <v>39</v>
      </c>
      <c r="N442" s="5">
        <v>19.94848</v>
      </c>
      <c r="O442" s="5" t="s">
        <v>39</v>
      </c>
      <c r="P442" t="s">
        <v>462</v>
      </c>
      <c r="Q442" t="s">
        <v>1066</v>
      </c>
      <c r="R442" t="s">
        <v>37</v>
      </c>
      <c r="S442" t="s">
        <v>1067</v>
      </c>
      <c r="T442" t="s">
        <v>43</v>
      </c>
      <c r="U442" t="s">
        <v>44</v>
      </c>
      <c r="V442">
        <v>147</v>
      </c>
      <c r="W442" t="s">
        <v>45</v>
      </c>
      <c r="X442" t="s">
        <v>46</v>
      </c>
      <c r="Y442" t="s">
        <v>1068</v>
      </c>
      <c r="Z442" t="s">
        <v>37</v>
      </c>
      <c r="AA442" t="s">
        <v>55</v>
      </c>
      <c r="AB442" t="s">
        <v>37</v>
      </c>
      <c r="AC442" s="6" t="s">
        <v>37</v>
      </c>
      <c r="AD442" s="6" t="s">
        <v>37</v>
      </c>
      <c r="AE442" t="s">
        <v>37</v>
      </c>
      <c r="AF442" t="s">
        <v>37</v>
      </c>
      <c r="AG442" s="6" t="s">
        <v>37</v>
      </c>
      <c r="AH442" t="s">
        <v>37</v>
      </c>
      <c r="AI442" t="s">
        <v>37</v>
      </c>
      <c r="AJ442" t="str">
        <f t="shared" si="20"/>
        <v>17D6YHERB07HZQT8JG</v>
      </c>
    </row>
    <row r="443" spans="1:36" ht="15" customHeight="1" x14ac:dyDescent="0.25">
      <c r="A443" t="s">
        <v>36</v>
      </c>
      <c r="B443" t="s">
        <v>37</v>
      </c>
      <c r="C443" t="s">
        <v>37</v>
      </c>
      <c r="D443" t="s">
        <v>38</v>
      </c>
      <c r="E443" s="4">
        <v>20</v>
      </c>
      <c r="F443" s="5">
        <v>187.2</v>
      </c>
      <c r="G443" s="5" t="s">
        <v>39</v>
      </c>
      <c r="H443" s="5">
        <v>278.60000000000002</v>
      </c>
      <c r="I443" s="5" t="s">
        <v>39</v>
      </c>
      <c r="J443" s="5">
        <v>6.3647999999999998</v>
      </c>
      <c r="K443" s="5">
        <f t="shared" si="18"/>
        <v>0.31823999999999997</v>
      </c>
      <c r="L443" s="5">
        <f t="shared" si="19"/>
        <v>9.36</v>
      </c>
      <c r="M443" s="5" t="s">
        <v>39</v>
      </c>
      <c r="N443" s="5">
        <v>6.3647999999999998</v>
      </c>
      <c r="O443" s="5" t="s">
        <v>39</v>
      </c>
      <c r="P443" t="s">
        <v>1069</v>
      </c>
      <c r="Q443" t="s">
        <v>182</v>
      </c>
      <c r="R443" t="s">
        <v>183</v>
      </c>
      <c r="S443" t="s">
        <v>184</v>
      </c>
      <c r="T443" t="s">
        <v>43</v>
      </c>
      <c r="U443" t="s">
        <v>44</v>
      </c>
      <c r="V443">
        <v>147</v>
      </c>
      <c r="W443" t="s">
        <v>45</v>
      </c>
      <c r="X443" t="s">
        <v>53</v>
      </c>
      <c r="Y443" t="s">
        <v>185</v>
      </c>
      <c r="Z443" t="s">
        <v>37</v>
      </c>
      <c r="AA443" t="s">
        <v>48</v>
      </c>
      <c r="AB443" t="s">
        <v>37</v>
      </c>
      <c r="AC443" s="6" t="s">
        <v>37</v>
      </c>
      <c r="AD443" s="6" t="s">
        <v>37</v>
      </c>
      <c r="AE443" t="s">
        <v>37</v>
      </c>
      <c r="AF443" t="s">
        <v>37</v>
      </c>
      <c r="AG443" s="6" t="s">
        <v>37</v>
      </c>
      <c r="AH443" t="s">
        <v>37</v>
      </c>
      <c r="AI443" t="s">
        <v>37</v>
      </c>
      <c r="AJ443" t="str">
        <f t="shared" si="20"/>
        <v>2FPVCNJHB01A9HC69G</v>
      </c>
    </row>
    <row r="444" spans="1:36" ht="15" customHeight="1" x14ac:dyDescent="0.25">
      <c r="A444" t="s">
        <v>101</v>
      </c>
      <c r="B444" t="s">
        <v>37</v>
      </c>
      <c r="C444" t="s">
        <v>37</v>
      </c>
      <c r="D444" t="s">
        <v>38</v>
      </c>
      <c r="E444" s="4">
        <v>20</v>
      </c>
      <c r="F444" s="5">
        <v>878.4</v>
      </c>
      <c r="G444" s="5" t="s">
        <v>39</v>
      </c>
      <c r="H444" s="5">
        <v>1311.4</v>
      </c>
      <c r="I444" s="5" t="s">
        <v>39</v>
      </c>
      <c r="J444" s="5">
        <v>29.865600000000001</v>
      </c>
      <c r="K444" s="5">
        <f t="shared" si="18"/>
        <v>1.4932799999999999</v>
      </c>
      <c r="L444" s="5">
        <f t="shared" si="19"/>
        <v>43.92</v>
      </c>
      <c r="M444" s="5" t="s">
        <v>39</v>
      </c>
      <c r="N444" s="5">
        <v>29.865600000000001</v>
      </c>
      <c r="O444" s="5" t="s">
        <v>39</v>
      </c>
      <c r="P444" t="s">
        <v>748</v>
      </c>
      <c r="Q444" t="s">
        <v>893</v>
      </c>
      <c r="R444" t="s">
        <v>37</v>
      </c>
      <c r="S444" t="s">
        <v>894</v>
      </c>
      <c r="T444" t="s">
        <v>43</v>
      </c>
      <c r="U444" t="s">
        <v>44</v>
      </c>
      <c r="V444">
        <v>147</v>
      </c>
      <c r="W444" t="s">
        <v>45</v>
      </c>
      <c r="X444" t="s">
        <v>53</v>
      </c>
      <c r="Y444" t="s">
        <v>895</v>
      </c>
      <c r="Z444" t="s">
        <v>37</v>
      </c>
      <c r="AA444" t="s">
        <v>48</v>
      </c>
      <c r="AB444" t="s">
        <v>37</v>
      </c>
      <c r="AC444" s="6" t="s">
        <v>37</v>
      </c>
      <c r="AD444" s="6" t="s">
        <v>37</v>
      </c>
      <c r="AE444" t="s">
        <v>37</v>
      </c>
      <c r="AF444" t="s">
        <v>37</v>
      </c>
      <c r="AG444" s="6" t="s">
        <v>37</v>
      </c>
      <c r="AH444" t="s">
        <v>37</v>
      </c>
      <c r="AI444" t="s">
        <v>37</v>
      </c>
      <c r="AJ444" t="str">
        <f t="shared" si="20"/>
        <v>74WI6EYDB0797FYB3K</v>
      </c>
    </row>
    <row r="445" spans="1:36" ht="15" customHeight="1" x14ac:dyDescent="0.25">
      <c r="A445" t="s">
        <v>101</v>
      </c>
      <c r="B445" t="s">
        <v>37</v>
      </c>
      <c r="C445" t="s">
        <v>37</v>
      </c>
      <c r="D445" t="s">
        <v>38</v>
      </c>
      <c r="E445" s="4">
        <v>4</v>
      </c>
      <c r="F445" s="5">
        <v>301.64</v>
      </c>
      <c r="G445" s="5" t="s">
        <v>39</v>
      </c>
      <c r="H445" s="5">
        <v>442.6</v>
      </c>
      <c r="I445" s="5" t="s">
        <v>39</v>
      </c>
      <c r="J445" s="5">
        <v>10.25576</v>
      </c>
      <c r="K445" s="5">
        <f t="shared" si="18"/>
        <v>2.5639400000000001</v>
      </c>
      <c r="L445" s="5">
        <f t="shared" si="19"/>
        <v>75.41</v>
      </c>
      <c r="M445" s="5" t="s">
        <v>39</v>
      </c>
      <c r="N445" s="5">
        <v>10.25576</v>
      </c>
      <c r="O445" s="5" t="s">
        <v>39</v>
      </c>
      <c r="P445" t="s">
        <v>72</v>
      </c>
      <c r="Q445" t="s">
        <v>1070</v>
      </c>
      <c r="R445" t="s">
        <v>37</v>
      </c>
      <c r="S445" t="s">
        <v>1071</v>
      </c>
      <c r="T445" t="s">
        <v>43</v>
      </c>
      <c r="U445" t="s">
        <v>44</v>
      </c>
      <c r="V445">
        <v>147</v>
      </c>
      <c r="W445" t="s">
        <v>45</v>
      </c>
      <c r="X445" t="s">
        <v>60</v>
      </c>
      <c r="Y445" t="s">
        <v>1072</v>
      </c>
      <c r="Z445" t="s">
        <v>37</v>
      </c>
      <c r="AA445" t="s">
        <v>55</v>
      </c>
      <c r="AB445" t="s">
        <v>37</v>
      </c>
      <c r="AC445" s="6" t="s">
        <v>37</v>
      </c>
      <c r="AD445" s="6" t="s">
        <v>37</v>
      </c>
      <c r="AE445" t="s">
        <v>37</v>
      </c>
      <c r="AF445" t="s">
        <v>37</v>
      </c>
      <c r="AG445" s="6" t="s">
        <v>37</v>
      </c>
      <c r="AH445" t="s">
        <v>37</v>
      </c>
      <c r="AI445" t="s">
        <v>37</v>
      </c>
      <c r="AJ445" t="str">
        <f t="shared" si="20"/>
        <v>4GF112AEB07W5JK1JN</v>
      </c>
    </row>
    <row r="446" spans="1:36" ht="15" customHeight="1" x14ac:dyDescent="0.25">
      <c r="A446" t="s">
        <v>76</v>
      </c>
      <c r="B446" t="s">
        <v>37</v>
      </c>
      <c r="C446" t="s">
        <v>37</v>
      </c>
      <c r="D446" t="s">
        <v>38</v>
      </c>
      <c r="E446" s="4">
        <v>10</v>
      </c>
      <c r="F446" s="5">
        <v>175.6</v>
      </c>
      <c r="G446" s="5" t="s">
        <v>39</v>
      </c>
      <c r="H446" s="5">
        <v>270.39999999999998</v>
      </c>
      <c r="I446" s="5" t="s">
        <v>39</v>
      </c>
      <c r="J446" s="5">
        <v>5.9703999999999997</v>
      </c>
      <c r="K446" s="5">
        <f t="shared" si="18"/>
        <v>0.59704000000000002</v>
      </c>
      <c r="L446" s="5">
        <f t="shared" si="19"/>
        <v>17.559999999999999</v>
      </c>
      <c r="M446" s="5" t="s">
        <v>39</v>
      </c>
      <c r="N446" s="5">
        <v>5.9703999999999997</v>
      </c>
      <c r="O446" s="5" t="s">
        <v>39</v>
      </c>
      <c r="P446" t="s">
        <v>172</v>
      </c>
      <c r="Q446" t="s">
        <v>1073</v>
      </c>
      <c r="R446" t="s">
        <v>37</v>
      </c>
      <c r="S446" t="s">
        <v>1074</v>
      </c>
      <c r="T446" t="s">
        <v>43</v>
      </c>
      <c r="U446" t="s">
        <v>44</v>
      </c>
      <c r="V446">
        <v>147</v>
      </c>
      <c r="W446" t="s">
        <v>45</v>
      </c>
      <c r="X446" t="s">
        <v>60</v>
      </c>
      <c r="Y446" t="s">
        <v>958</v>
      </c>
      <c r="Z446" t="s">
        <v>37</v>
      </c>
      <c r="AA446" t="s">
        <v>55</v>
      </c>
      <c r="AB446" t="s">
        <v>37</v>
      </c>
      <c r="AC446" s="6" t="s">
        <v>37</v>
      </c>
      <c r="AD446" s="6" t="s">
        <v>37</v>
      </c>
      <c r="AE446" t="s">
        <v>37</v>
      </c>
      <c r="AF446" t="s">
        <v>37</v>
      </c>
      <c r="AG446" s="6" t="s">
        <v>37</v>
      </c>
      <c r="AH446" t="s">
        <v>37</v>
      </c>
      <c r="AI446" t="s">
        <v>37</v>
      </c>
      <c r="AJ446" t="str">
        <f t="shared" si="20"/>
        <v>2LZI7R4TB007C0YQLA</v>
      </c>
    </row>
    <row r="447" spans="1:36" ht="15" customHeight="1" x14ac:dyDescent="0.25">
      <c r="A447" t="s">
        <v>96</v>
      </c>
      <c r="B447" t="s">
        <v>37</v>
      </c>
      <c r="C447" t="s">
        <v>37</v>
      </c>
      <c r="D447" t="s">
        <v>38</v>
      </c>
      <c r="E447" s="4">
        <v>8</v>
      </c>
      <c r="F447" s="5">
        <v>257.68</v>
      </c>
      <c r="G447" s="5" t="s">
        <v>39</v>
      </c>
      <c r="H447" s="5">
        <v>386.8</v>
      </c>
      <c r="I447" s="5" t="s">
        <v>39</v>
      </c>
      <c r="J447" s="5">
        <v>8.76112</v>
      </c>
      <c r="K447" s="5">
        <f t="shared" si="18"/>
        <v>1.09514</v>
      </c>
      <c r="L447" s="5">
        <f t="shared" si="19"/>
        <v>32.21</v>
      </c>
      <c r="M447" s="5" t="s">
        <v>39</v>
      </c>
      <c r="N447" s="5">
        <v>8.76112</v>
      </c>
      <c r="O447" s="5" t="s">
        <v>39</v>
      </c>
      <c r="P447" t="s">
        <v>195</v>
      </c>
      <c r="Q447" t="s">
        <v>693</v>
      </c>
      <c r="R447" t="s">
        <v>37</v>
      </c>
      <c r="S447" t="s">
        <v>694</v>
      </c>
      <c r="T447" t="s">
        <v>43</v>
      </c>
      <c r="U447" t="s">
        <v>44</v>
      </c>
      <c r="V447">
        <v>147</v>
      </c>
      <c r="W447" t="s">
        <v>45</v>
      </c>
      <c r="X447" t="s">
        <v>60</v>
      </c>
      <c r="Y447" t="s">
        <v>695</v>
      </c>
      <c r="Z447" t="s">
        <v>37</v>
      </c>
      <c r="AA447" t="s">
        <v>55</v>
      </c>
      <c r="AB447" t="s">
        <v>37</v>
      </c>
      <c r="AC447" s="6" t="s">
        <v>37</v>
      </c>
      <c r="AD447" s="6" t="s">
        <v>37</v>
      </c>
      <c r="AE447" t="s">
        <v>37</v>
      </c>
      <c r="AF447" t="s">
        <v>37</v>
      </c>
      <c r="AG447" s="6" t="s">
        <v>37</v>
      </c>
      <c r="AH447" t="s">
        <v>37</v>
      </c>
      <c r="AI447" t="s">
        <v>37</v>
      </c>
      <c r="AJ447" t="str">
        <f t="shared" si="20"/>
        <v>5X1OU9ZGB00MWNDUDM</v>
      </c>
    </row>
    <row r="448" spans="1:36" ht="15" customHeight="1" x14ac:dyDescent="0.25">
      <c r="A448" t="s">
        <v>101</v>
      </c>
      <c r="B448" t="s">
        <v>37</v>
      </c>
      <c r="C448" t="s">
        <v>37</v>
      </c>
      <c r="D448" t="s">
        <v>38</v>
      </c>
      <c r="E448" s="4">
        <v>284</v>
      </c>
      <c r="F448" s="5">
        <v>13484.32</v>
      </c>
      <c r="G448" s="5" t="s">
        <v>39</v>
      </c>
      <c r="H448" s="5">
        <v>21646.48</v>
      </c>
      <c r="I448" s="5" t="s">
        <v>39</v>
      </c>
      <c r="J448" s="5">
        <v>458.46688</v>
      </c>
      <c r="K448" s="5">
        <f t="shared" si="18"/>
        <v>1.61432</v>
      </c>
      <c r="L448" s="5">
        <f t="shared" si="19"/>
        <v>47.48</v>
      </c>
      <c r="M448" s="5" t="s">
        <v>39</v>
      </c>
      <c r="N448" s="5">
        <v>458.46688</v>
      </c>
      <c r="O448" s="5" t="s">
        <v>39</v>
      </c>
      <c r="P448" t="s">
        <v>120</v>
      </c>
      <c r="Q448" t="s">
        <v>1075</v>
      </c>
      <c r="R448" t="s">
        <v>1076</v>
      </c>
      <c r="S448" t="s">
        <v>1077</v>
      </c>
      <c r="T448" t="s">
        <v>43</v>
      </c>
      <c r="U448" t="s">
        <v>44</v>
      </c>
      <c r="V448">
        <v>147</v>
      </c>
      <c r="W448" t="s">
        <v>45</v>
      </c>
      <c r="X448" t="s">
        <v>46</v>
      </c>
      <c r="Y448" t="s">
        <v>1078</v>
      </c>
      <c r="Z448" t="s">
        <v>37</v>
      </c>
      <c r="AA448" t="s">
        <v>55</v>
      </c>
      <c r="AB448" t="s">
        <v>37</v>
      </c>
      <c r="AC448" s="6" t="s">
        <v>37</v>
      </c>
      <c r="AD448" s="6" t="s">
        <v>37</v>
      </c>
      <c r="AE448" t="s">
        <v>37</v>
      </c>
      <c r="AF448" t="s">
        <v>37</v>
      </c>
      <c r="AG448" s="6" t="s">
        <v>37</v>
      </c>
      <c r="AH448" t="s">
        <v>37</v>
      </c>
      <c r="AI448" t="s">
        <v>37</v>
      </c>
      <c r="AJ448" t="str">
        <f t="shared" si="20"/>
        <v>5MWU8WTDB07GS6ZB7T</v>
      </c>
    </row>
    <row r="449" spans="1:36" ht="15" customHeight="1" x14ac:dyDescent="0.25">
      <c r="A449" t="s">
        <v>96</v>
      </c>
      <c r="B449" t="s">
        <v>37</v>
      </c>
      <c r="C449" t="s">
        <v>37</v>
      </c>
      <c r="D449" t="s">
        <v>38</v>
      </c>
      <c r="E449" s="4">
        <v>230</v>
      </c>
      <c r="F449" s="5">
        <v>6060.5</v>
      </c>
      <c r="G449" s="5" t="s">
        <v>39</v>
      </c>
      <c r="H449" s="5">
        <v>9048.2000000000007</v>
      </c>
      <c r="I449" s="5" t="s">
        <v>39</v>
      </c>
      <c r="J449" s="5">
        <v>206.05699999999999</v>
      </c>
      <c r="K449" s="5">
        <f t="shared" si="18"/>
        <v>0.89589999999999992</v>
      </c>
      <c r="L449" s="5">
        <f t="shared" si="19"/>
        <v>26.35</v>
      </c>
      <c r="M449" s="5" t="s">
        <v>39</v>
      </c>
      <c r="N449" s="5">
        <v>206.05699999999999</v>
      </c>
      <c r="O449" s="5" t="s">
        <v>39</v>
      </c>
      <c r="P449" t="s">
        <v>969</v>
      </c>
      <c r="Q449" t="s">
        <v>1079</v>
      </c>
      <c r="R449" t="s">
        <v>37</v>
      </c>
      <c r="S449" t="s">
        <v>1080</v>
      </c>
      <c r="T449" t="s">
        <v>43</v>
      </c>
      <c r="U449" t="s">
        <v>44</v>
      </c>
      <c r="V449">
        <v>147</v>
      </c>
      <c r="W449" t="s">
        <v>45</v>
      </c>
      <c r="X449" t="s">
        <v>53</v>
      </c>
      <c r="Y449" t="s">
        <v>1081</v>
      </c>
      <c r="Z449" t="s">
        <v>37</v>
      </c>
      <c r="AA449" t="s">
        <v>55</v>
      </c>
      <c r="AB449" t="s">
        <v>37</v>
      </c>
      <c r="AC449" s="6" t="s">
        <v>37</v>
      </c>
      <c r="AD449" s="6" t="s">
        <v>37</v>
      </c>
      <c r="AE449" t="s">
        <v>37</v>
      </c>
      <c r="AF449" t="s">
        <v>37</v>
      </c>
      <c r="AG449" s="6" t="s">
        <v>37</v>
      </c>
      <c r="AH449" t="s">
        <v>37</v>
      </c>
      <c r="AI449" t="s">
        <v>37</v>
      </c>
      <c r="AJ449" t="str">
        <f t="shared" si="20"/>
        <v>1VBBCE3CB01K7GEAFC</v>
      </c>
    </row>
    <row r="450" spans="1:36" ht="15" customHeight="1" x14ac:dyDescent="0.25">
      <c r="A450" t="s">
        <v>49</v>
      </c>
      <c r="B450" t="s">
        <v>37</v>
      </c>
      <c r="C450" t="s">
        <v>37</v>
      </c>
      <c r="D450" t="s">
        <v>38</v>
      </c>
      <c r="E450" s="4">
        <v>10</v>
      </c>
      <c r="F450" s="5">
        <v>263.5</v>
      </c>
      <c r="G450" s="5" t="s">
        <v>39</v>
      </c>
      <c r="H450" s="5">
        <v>393.4</v>
      </c>
      <c r="I450" s="5" t="s">
        <v>39</v>
      </c>
      <c r="J450" s="5">
        <v>8.9589999999999996</v>
      </c>
      <c r="K450" s="5">
        <f t="shared" si="18"/>
        <v>0.89589999999999992</v>
      </c>
      <c r="L450" s="5">
        <f t="shared" si="19"/>
        <v>26.35</v>
      </c>
      <c r="M450" s="5" t="s">
        <v>39</v>
      </c>
      <c r="N450" s="5">
        <v>8.9589999999999996</v>
      </c>
      <c r="O450" s="5" t="s">
        <v>39</v>
      </c>
      <c r="P450" t="s">
        <v>969</v>
      </c>
      <c r="Q450" t="s">
        <v>1079</v>
      </c>
      <c r="R450" t="s">
        <v>37</v>
      </c>
      <c r="S450" t="s">
        <v>1080</v>
      </c>
      <c r="T450" t="s">
        <v>43</v>
      </c>
      <c r="U450" t="s">
        <v>44</v>
      </c>
      <c r="V450">
        <v>147</v>
      </c>
      <c r="W450" t="s">
        <v>45</v>
      </c>
      <c r="X450" t="s">
        <v>53</v>
      </c>
      <c r="Y450" t="s">
        <v>1081</v>
      </c>
      <c r="Z450" t="s">
        <v>37</v>
      </c>
      <c r="AA450" t="s">
        <v>55</v>
      </c>
      <c r="AB450" t="s">
        <v>37</v>
      </c>
      <c r="AC450" s="6" t="s">
        <v>37</v>
      </c>
      <c r="AD450" s="6" t="s">
        <v>37</v>
      </c>
      <c r="AE450" t="s">
        <v>37</v>
      </c>
      <c r="AF450" t="s">
        <v>37</v>
      </c>
      <c r="AG450" s="6" t="s">
        <v>37</v>
      </c>
      <c r="AH450" t="s">
        <v>37</v>
      </c>
      <c r="AI450" t="s">
        <v>37</v>
      </c>
      <c r="AJ450" t="str">
        <f t="shared" si="20"/>
        <v>1VBBCE3CB01K7GEAFC</v>
      </c>
    </row>
    <row r="451" spans="1:36" ht="15" customHeight="1" x14ac:dyDescent="0.25">
      <c r="A451" t="s">
        <v>176</v>
      </c>
      <c r="B451" t="s">
        <v>37</v>
      </c>
      <c r="C451" t="s">
        <v>37</v>
      </c>
      <c r="D451" t="s">
        <v>38</v>
      </c>
      <c r="E451" s="4">
        <v>4</v>
      </c>
      <c r="F451" s="5">
        <v>189.92</v>
      </c>
      <c r="G451" s="5" t="s">
        <v>39</v>
      </c>
      <c r="H451" s="5">
        <v>304.88</v>
      </c>
      <c r="I451" s="5" t="s">
        <v>39</v>
      </c>
      <c r="J451" s="5">
        <v>6.4572799999999999</v>
      </c>
      <c r="K451" s="5">
        <f t="shared" ref="K451:K514" si="21">J451/E451</f>
        <v>1.61432</v>
      </c>
      <c r="L451" s="5">
        <f t="shared" ref="L451:L514" si="22">F451/E451</f>
        <v>47.48</v>
      </c>
      <c r="M451" s="5" t="s">
        <v>39</v>
      </c>
      <c r="N451" s="5">
        <v>6.4572799999999999</v>
      </c>
      <c r="O451" s="5" t="s">
        <v>39</v>
      </c>
      <c r="P451" t="s">
        <v>120</v>
      </c>
      <c r="Q451" t="s">
        <v>1075</v>
      </c>
      <c r="R451" t="s">
        <v>1076</v>
      </c>
      <c r="S451" t="s">
        <v>1077</v>
      </c>
      <c r="T451" t="s">
        <v>43</v>
      </c>
      <c r="U451" t="s">
        <v>44</v>
      </c>
      <c r="V451">
        <v>147</v>
      </c>
      <c r="W451" t="s">
        <v>45</v>
      </c>
      <c r="X451" t="s">
        <v>46</v>
      </c>
      <c r="Y451" t="s">
        <v>1078</v>
      </c>
      <c r="Z451" t="s">
        <v>37</v>
      </c>
      <c r="AA451" t="s">
        <v>55</v>
      </c>
      <c r="AB451" t="s">
        <v>37</v>
      </c>
      <c r="AC451" s="6" t="s">
        <v>37</v>
      </c>
      <c r="AD451" s="6" t="s">
        <v>37</v>
      </c>
      <c r="AE451" t="s">
        <v>37</v>
      </c>
      <c r="AF451" t="s">
        <v>37</v>
      </c>
      <c r="AG451" s="6" t="s">
        <v>37</v>
      </c>
      <c r="AH451" t="s">
        <v>37</v>
      </c>
      <c r="AI451" t="s">
        <v>37</v>
      </c>
      <c r="AJ451" t="str">
        <f t="shared" ref="AJ451:AJ514" si="23">P451&amp;Q451</f>
        <v>5MWU8WTDB07GS6ZB7T</v>
      </c>
    </row>
    <row r="452" spans="1:36" ht="15" customHeight="1" x14ac:dyDescent="0.25">
      <c r="A452" t="s">
        <v>118</v>
      </c>
      <c r="B452" t="s">
        <v>37</v>
      </c>
      <c r="C452" t="s">
        <v>37</v>
      </c>
      <c r="D452" t="s">
        <v>38</v>
      </c>
      <c r="E452" s="4">
        <v>16</v>
      </c>
      <c r="F452" s="5">
        <v>1104.48</v>
      </c>
      <c r="G452" s="5" t="s">
        <v>39</v>
      </c>
      <c r="H452" s="5">
        <v>1691.84</v>
      </c>
      <c r="I452" s="5" t="s">
        <v>39</v>
      </c>
      <c r="J452" s="5">
        <v>37.552320000000002</v>
      </c>
      <c r="K452" s="5">
        <f t="shared" si="21"/>
        <v>2.3470200000000001</v>
      </c>
      <c r="L452" s="5">
        <f t="shared" si="22"/>
        <v>69.03</v>
      </c>
      <c r="M452" s="5" t="s">
        <v>39</v>
      </c>
      <c r="N452" s="5">
        <v>37.552320000000002</v>
      </c>
      <c r="O452" s="5" t="s">
        <v>39</v>
      </c>
      <c r="P452" t="s">
        <v>202</v>
      </c>
      <c r="Q452" t="s">
        <v>328</v>
      </c>
      <c r="R452" t="s">
        <v>37</v>
      </c>
      <c r="S452" t="s">
        <v>329</v>
      </c>
      <c r="T452" t="s">
        <v>43</v>
      </c>
      <c r="U452" t="s">
        <v>44</v>
      </c>
      <c r="V452">
        <v>147</v>
      </c>
      <c r="W452" t="s">
        <v>45</v>
      </c>
      <c r="X452" t="s">
        <v>239</v>
      </c>
      <c r="Y452" t="s">
        <v>330</v>
      </c>
      <c r="Z452" t="s">
        <v>37</v>
      </c>
      <c r="AA452" t="s">
        <v>55</v>
      </c>
      <c r="AB452" t="s">
        <v>37</v>
      </c>
      <c r="AC452" s="6" t="s">
        <v>37</v>
      </c>
      <c r="AD452" s="6" t="s">
        <v>37</v>
      </c>
      <c r="AE452" t="s">
        <v>37</v>
      </c>
      <c r="AF452" t="s">
        <v>37</v>
      </c>
      <c r="AG452" s="6" t="s">
        <v>37</v>
      </c>
      <c r="AH452" t="s">
        <v>37</v>
      </c>
      <c r="AI452" t="s">
        <v>37</v>
      </c>
      <c r="AJ452" t="str">
        <f t="shared" si="23"/>
        <v>39TAD6PCB07MM4V7NR</v>
      </c>
    </row>
    <row r="453" spans="1:36" ht="15" customHeight="1" x14ac:dyDescent="0.25">
      <c r="A453" t="s">
        <v>127</v>
      </c>
      <c r="B453" t="s">
        <v>37</v>
      </c>
      <c r="C453" t="s">
        <v>37</v>
      </c>
      <c r="D453" t="s">
        <v>38</v>
      </c>
      <c r="E453" s="4">
        <v>0</v>
      </c>
      <c r="F453" s="5">
        <v>0</v>
      </c>
      <c r="G453" s="5" t="s">
        <v>39</v>
      </c>
      <c r="H453" s="5">
        <v>0</v>
      </c>
      <c r="I453" s="5" t="s">
        <v>39</v>
      </c>
      <c r="J453" s="5">
        <v>0</v>
      </c>
      <c r="K453" s="5" t="e">
        <f t="shared" si="21"/>
        <v>#DIV/0!</v>
      </c>
      <c r="L453" s="5" t="e">
        <f t="shared" si="22"/>
        <v>#DIV/0!</v>
      </c>
      <c r="M453" s="5" t="s">
        <v>39</v>
      </c>
      <c r="N453" s="5">
        <v>0</v>
      </c>
      <c r="O453" s="5" t="s">
        <v>39</v>
      </c>
      <c r="P453" t="s">
        <v>133</v>
      </c>
      <c r="Q453" t="s">
        <v>223</v>
      </c>
      <c r="R453" t="s">
        <v>37</v>
      </c>
      <c r="S453" t="s">
        <v>224</v>
      </c>
      <c r="T453" t="s">
        <v>43</v>
      </c>
      <c r="U453" t="s">
        <v>44</v>
      </c>
      <c r="V453">
        <v>147</v>
      </c>
      <c r="W453" t="s">
        <v>45</v>
      </c>
      <c r="X453" t="s">
        <v>53</v>
      </c>
      <c r="Y453" t="s">
        <v>225</v>
      </c>
      <c r="Z453" t="s">
        <v>37</v>
      </c>
      <c r="AA453" t="s">
        <v>55</v>
      </c>
      <c r="AB453" t="s">
        <v>37</v>
      </c>
      <c r="AC453" s="6" t="s">
        <v>37</v>
      </c>
      <c r="AD453" s="6" t="s">
        <v>37</v>
      </c>
      <c r="AE453" t="s">
        <v>37</v>
      </c>
      <c r="AF453" t="s">
        <v>37</v>
      </c>
      <c r="AG453" s="6" t="s">
        <v>37</v>
      </c>
      <c r="AH453" t="s">
        <v>37</v>
      </c>
      <c r="AI453" t="s">
        <v>37</v>
      </c>
      <c r="AJ453" t="str">
        <f t="shared" si="23"/>
        <v>36BT7GGLB07W4DHKTD</v>
      </c>
    </row>
    <row r="454" spans="1:36" ht="15" customHeight="1" x14ac:dyDescent="0.25">
      <c r="A454" t="s">
        <v>36</v>
      </c>
      <c r="B454" t="s">
        <v>37</v>
      </c>
      <c r="C454" t="s">
        <v>37</v>
      </c>
      <c r="D454" t="s">
        <v>38</v>
      </c>
      <c r="E454" s="4">
        <v>576</v>
      </c>
      <c r="F454" s="5">
        <v>48320.639999999999</v>
      </c>
      <c r="G454" s="5" t="s">
        <v>39</v>
      </c>
      <c r="H454" s="5">
        <v>77898.240000000005</v>
      </c>
      <c r="I454" s="5" t="s">
        <v>39</v>
      </c>
      <c r="J454" s="5">
        <v>1642.90176</v>
      </c>
      <c r="K454" s="5">
        <f t="shared" si="21"/>
        <v>2.8522599999999998</v>
      </c>
      <c r="L454" s="5">
        <f t="shared" si="22"/>
        <v>83.89</v>
      </c>
      <c r="M454" s="5" t="s">
        <v>39</v>
      </c>
      <c r="N454" s="5">
        <v>1642.90176</v>
      </c>
      <c r="O454" s="5" t="s">
        <v>39</v>
      </c>
      <c r="P454" t="s">
        <v>133</v>
      </c>
      <c r="Q454" t="s">
        <v>223</v>
      </c>
      <c r="R454" t="s">
        <v>37</v>
      </c>
      <c r="S454" t="s">
        <v>224</v>
      </c>
      <c r="T454" t="s">
        <v>43</v>
      </c>
      <c r="U454" t="s">
        <v>44</v>
      </c>
      <c r="V454">
        <v>147</v>
      </c>
      <c r="W454" t="s">
        <v>45</v>
      </c>
      <c r="X454" t="s">
        <v>53</v>
      </c>
      <c r="Y454" t="s">
        <v>225</v>
      </c>
      <c r="Z454" t="s">
        <v>37</v>
      </c>
      <c r="AA454" t="s">
        <v>55</v>
      </c>
      <c r="AB454" t="s">
        <v>37</v>
      </c>
      <c r="AC454" s="6" t="s">
        <v>37</v>
      </c>
      <c r="AD454" s="6" t="s">
        <v>37</v>
      </c>
      <c r="AE454" t="s">
        <v>37</v>
      </c>
      <c r="AF454" t="s">
        <v>37</v>
      </c>
      <c r="AG454" s="6" t="s">
        <v>37</v>
      </c>
      <c r="AH454" t="s">
        <v>37</v>
      </c>
      <c r="AI454" t="s">
        <v>37</v>
      </c>
      <c r="AJ454" t="str">
        <f t="shared" si="23"/>
        <v>36BT7GGLB07W4DHKTD</v>
      </c>
    </row>
    <row r="455" spans="1:36" ht="15" customHeight="1" x14ac:dyDescent="0.25">
      <c r="A455" t="s">
        <v>88</v>
      </c>
      <c r="B455" t="s">
        <v>37</v>
      </c>
      <c r="C455" t="s">
        <v>37</v>
      </c>
      <c r="D455" t="s">
        <v>38</v>
      </c>
      <c r="E455" s="4">
        <v>8</v>
      </c>
      <c r="F455" s="5">
        <v>671.12</v>
      </c>
      <c r="G455" s="5" t="s">
        <v>39</v>
      </c>
      <c r="H455" s="5">
        <v>1081.92</v>
      </c>
      <c r="I455" s="5" t="s">
        <v>39</v>
      </c>
      <c r="J455" s="5">
        <v>22.818079999999998</v>
      </c>
      <c r="K455" s="5">
        <f t="shared" si="21"/>
        <v>2.8522599999999998</v>
      </c>
      <c r="L455" s="5">
        <f t="shared" si="22"/>
        <v>83.89</v>
      </c>
      <c r="M455" s="5" t="s">
        <v>39</v>
      </c>
      <c r="N455" s="5">
        <v>22.818079999999998</v>
      </c>
      <c r="O455" s="5" t="s">
        <v>39</v>
      </c>
      <c r="P455" t="s">
        <v>133</v>
      </c>
      <c r="Q455" t="s">
        <v>223</v>
      </c>
      <c r="R455" t="s">
        <v>37</v>
      </c>
      <c r="S455" t="s">
        <v>224</v>
      </c>
      <c r="T455" t="s">
        <v>43</v>
      </c>
      <c r="U455" t="s">
        <v>44</v>
      </c>
      <c r="V455">
        <v>147</v>
      </c>
      <c r="W455" t="s">
        <v>45</v>
      </c>
      <c r="X455" t="s">
        <v>53</v>
      </c>
      <c r="Y455" t="s">
        <v>225</v>
      </c>
      <c r="Z455" t="s">
        <v>37</v>
      </c>
      <c r="AA455" t="s">
        <v>55</v>
      </c>
      <c r="AB455" t="s">
        <v>37</v>
      </c>
      <c r="AC455" s="6" t="s">
        <v>37</v>
      </c>
      <c r="AD455" s="6" t="s">
        <v>37</v>
      </c>
      <c r="AE455" t="s">
        <v>37</v>
      </c>
      <c r="AF455" t="s">
        <v>37</v>
      </c>
      <c r="AG455" s="6" t="s">
        <v>37</v>
      </c>
      <c r="AH455" t="s">
        <v>37</v>
      </c>
      <c r="AI455" t="s">
        <v>37</v>
      </c>
      <c r="AJ455" t="str">
        <f t="shared" si="23"/>
        <v>36BT7GGLB07W4DHKTD</v>
      </c>
    </row>
    <row r="456" spans="1:36" ht="15" customHeight="1" x14ac:dyDescent="0.25">
      <c r="A456" t="s">
        <v>110</v>
      </c>
      <c r="B456" t="s">
        <v>37</v>
      </c>
      <c r="C456" t="s">
        <v>37</v>
      </c>
      <c r="D456" t="s">
        <v>38</v>
      </c>
      <c r="E456" s="4">
        <v>4</v>
      </c>
      <c r="F456" s="5">
        <v>293.36</v>
      </c>
      <c r="G456" s="5" t="s">
        <v>39</v>
      </c>
      <c r="H456" s="5">
        <v>475.4</v>
      </c>
      <c r="I456" s="5" t="s">
        <v>39</v>
      </c>
      <c r="J456" s="5">
        <v>9.97424</v>
      </c>
      <c r="K456" s="5">
        <f t="shared" si="21"/>
        <v>2.49356</v>
      </c>
      <c r="L456" s="5">
        <f t="shared" si="22"/>
        <v>73.34</v>
      </c>
      <c r="M456" s="5" t="s">
        <v>39</v>
      </c>
      <c r="N456" s="5">
        <v>9.97424</v>
      </c>
      <c r="O456" s="5" t="s">
        <v>39</v>
      </c>
      <c r="P456" t="s">
        <v>120</v>
      </c>
      <c r="Q456" t="s">
        <v>401</v>
      </c>
      <c r="R456" t="s">
        <v>37</v>
      </c>
      <c r="S456" t="s">
        <v>402</v>
      </c>
      <c r="T456" t="s">
        <v>43</v>
      </c>
      <c r="U456" t="s">
        <v>44</v>
      </c>
      <c r="V456">
        <v>147</v>
      </c>
      <c r="W456" t="s">
        <v>45</v>
      </c>
      <c r="X456" t="s">
        <v>46</v>
      </c>
      <c r="Y456" t="s">
        <v>403</v>
      </c>
      <c r="Z456" t="s">
        <v>37</v>
      </c>
      <c r="AA456" t="s">
        <v>55</v>
      </c>
      <c r="AB456" t="s">
        <v>37</v>
      </c>
      <c r="AC456" s="6" t="s">
        <v>37</v>
      </c>
      <c r="AD456" s="6" t="s">
        <v>37</v>
      </c>
      <c r="AE456" t="s">
        <v>37</v>
      </c>
      <c r="AF456" t="s">
        <v>37</v>
      </c>
      <c r="AG456" s="6" t="s">
        <v>37</v>
      </c>
      <c r="AH456" t="s">
        <v>37</v>
      </c>
      <c r="AI456" t="s">
        <v>37</v>
      </c>
      <c r="AJ456" t="str">
        <f t="shared" si="23"/>
        <v>5MWU8WTDB07G5XJLWK</v>
      </c>
    </row>
    <row r="457" spans="1:36" ht="15" customHeight="1" x14ac:dyDescent="0.25">
      <c r="A457" t="s">
        <v>101</v>
      </c>
      <c r="B457" t="s">
        <v>37</v>
      </c>
      <c r="C457" t="s">
        <v>37</v>
      </c>
      <c r="D457" t="s">
        <v>38</v>
      </c>
      <c r="E457" s="4">
        <v>12</v>
      </c>
      <c r="F457" s="5">
        <v>140.52000000000001</v>
      </c>
      <c r="G457" s="5" t="s">
        <v>39</v>
      </c>
      <c r="H457" s="5">
        <v>140.52000000000001</v>
      </c>
      <c r="I457" s="5" t="s">
        <v>39</v>
      </c>
      <c r="J457" s="5">
        <v>4.7776800000000001</v>
      </c>
      <c r="K457" s="5">
        <f t="shared" si="21"/>
        <v>0.39813999999999999</v>
      </c>
      <c r="L457" s="5">
        <f t="shared" si="22"/>
        <v>11.71</v>
      </c>
      <c r="M457" s="5" t="s">
        <v>39</v>
      </c>
      <c r="N457" s="5">
        <v>4.7776800000000001</v>
      </c>
      <c r="O457" s="5" t="s">
        <v>39</v>
      </c>
      <c r="P457" t="s">
        <v>120</v>
      </c>
      <c r="Q457" t="s">
        <v>1082</v>
      </c>
      <c r="R457" t="s">
        <v>37</v>
      </c>
      <c r="S457" t="s">
        <v>1083</v>
      </c>
      <c r="T457" t="s">
        <v>43</v>
      </c>
      <c r="U457" t="s">
        <v>44</v>
      </c>
      <c r="V457">
        <v>147</v>
      </c>
      <c r="W457" t="s">
        <v>281</v>
      </c>
      <c r="X457" t="s">
        <v>282</v>
      </c>
      <c r="Y457" t="s">
        <v>1084</v>
      </c>
      <c r="Z457" t="s">
        <v>37</v>
      </c>
      <c r="AA457" t="s">
        <v>55</v>
      </c>
      <c r="AB457" t="s">
        <v>37</v>
      </c>
      <c r="AC457" s="6" t="s">
        <v>37</v>
      </c>
      <c r="AD457" s="6" t="s">
        <v>37</v>
      </c>
      <c r="AE457" t="s">
        <v>37</v>
      </c>
      <c r="AF457" t="s">
        <v>37</v>
      </c>
      <c r="AG457" s="6" t="s">
        <v>37</v>
      </c>
      <c r="AH457" t="s">
        <v>37</v>
      </c>
      <c r="AI457" t="s">
        <v>37</v>
      </c>
      <c r="AJ457" t="str">
        <f t="shared" si="23"/>
        <v>5MWU8WTDB000XUQ2LI</v>
      </c>
    </row>
    <row r="458" spans="1:36" ht="15" customHeight="1" x14ac:dyDescent="0.25">
      <c r="A458" t="s">
        <v>101</v>
      </c>
      <c r="B458" t="s">
        <v>37</v>
      </c>
      <c r="C458" t="s">
        <v>37</v>
      </c>
      <c r="D458" t="s">
        <v>38</v>
      </c>
      <c r="E458" s="4">
        <v>80</v>
      </c>
      <c r="F458" s="5">
        <v>5867.2</v>
      </c>
      <c r="G458" s="5" t="s">
        <v>39</v>
      </c>
      <c r="H458" s="5">
        <v>9508</v>
      </c>
      <c r="I458" s="5" t="s">
        <v>39</v>
      </c>
      <c r="J458" s="5">
        <v>199.48480000000001</v>
      </c>
      <c r="K458" s="5">
        <f t="shared" si="21"/>
        <v>2.49356</v>
      </c>
      <c r="L458" s="5">
        <f t="shared" si="22"/>
        <v>73.34</v>
      </c>
      <c r="M458" s="5" t="s">
        <v>39</v>
      </c>
      <c r="N458" s="5">
        <v>199.48480000000001</v>
      </c>
      <c r="O458" s="5" t="s">
        <v>39</v>
      </c>
      <c r="P458" t="s">
        <v>120</v>
      </c>
      <c r="Q458" t="s">
        <v>401</v>
      </c>
      <c r="R458" t="s">
        <v>37</v>
      </c>
      <c r="S458" t="s">
        <v>402</v>
      </c>
      <c r="T458" t="s">
        <v>43</v>
      </c>
      <c r="U458" t="s">
        <v>44</v>
      </c>
      <c r="V458">
        <v>147</v>
      </c>
      <c r="W458" t="s">
        <v>45</v>
      </c>
      <c r="X458" t="s">
        <v>46</v>
      </c>
      <c r="Y458" t="s">
        <v>403</v>
      </c>
      <c r="Z458" t="s">
        <v>37</v>
      </c>
      <c r="AA458" t="s">
        <v>55</v>
      </c>
      <c r="AB458" t="s">
        <v>37</v>
      </c>
      <c r="AC458" s="6" t="s">
        <v>37</v>
      </c>
      <c r="AD458" s="6" t="s">
        <v>37</v>
      </c>
      <c r="AE458" t="s">
        <v>37</v>
      </c>
      <c r="AF458" t="s">
        <v>37</v>
      </c>
      <c r="AG458" s="6" t="s">
        <v>37</v>
      </c>
      <c r="AH458" t="s">
        <v>37</v>
      </c>
      <c r="AI458" t="s">
        <v>37</v>
      </c>
      <c r="AJ458" t="str">
        <f t="shared" si="23"/>
        <v>5MWU8WTDB07G5XJLWK</v>
      </c>
    </row>
    <row r="459" spans="1:36" ht="15" customHeight="1" x14ac:dyDescent="0.25">
      <c r="A459" t="s">
        <v>62</v>
      </c>
      <c r="B459" t="s">
        <v>37</v>
      </c>
      <c r="C459" t="s">
        <v>37</v>
      </c>
      <c r="D459" t="s">
        <v>38</v>
      </c>
      <c r="E459" s="4">
        <v>8</v>
      </c>
      <c r="F459" s="5">
        <v>257.68</v>
      </c>
      <c r="G459" s="5" t="s">
        <v>39</v>
      </c>
      <c r="H459" s="5">
        <v>386.8</v>
      </c>
      <c r="I459" s="5" t="s">
        <v>39</v>
      </c>
      <c r="J459" s="5">
        <v>8.76112</v>
      </c>
      <c r="K459" s="5">
        <f t="shared" si="21"/>
        <v>1.09514</v>
      </c>
      <c r="L459" s="5">
        <f t="shared" si="22"/>
        <v>32.21</v>
      </c>
      <c r="M459" s="5" t="s">
        <v>39</v>
      </c>
      <c r="N459" s="5">
        <v>8.76112</v>
      </c>
      <c r="O459" s="5" t="s">
        <v>39</v>
      </c>
      <c r="P459" t="s">
        <v>968</v>
      </c>
      <c r="Q459" t="s">
        <v>716</v>
      </c>
      <c r="R459" t="s">
        <v>37</v>
      </c>
      <c r="S459" t="s">
        <v>717</v>
      </c>
      <c r="T459" t="s">
        <v>43</v>
      </c>
      <c r="U459" t="s">
        <v>44</v>
      </c>
      <c r="V459">
        <v>147</v>
      </c>
      <c r="W459" t="s">
        <v>45</v>
      </c>
      <c r="X459" t="s">
        <v>60</v>
      </c>
      <c r="Y459" t="s">
        <v>718</v>
      </c>
      <c r="Z459" t="s">
        <v>37</v>
      </c>
      <c r="AA459" t="s">
        <v>55</v>
      </c>
      <c r="AB459" t="s">
        <v>37</v>
      </c>
      <c r="AC459" s="6" t="s">
        <v>37</v>
      </c>
      <c r="AD459" s="6" t="s">
        <v>37</v>
      </c>
      <c r="AE459" t="s">
        <v>37</v>
      </c>
      <c r="AF459" t="s">
        <v>37</v>
      </c>
      <c r="AG459" s="6" t="s">
        <v>37</v>
      </c>
      <c r="AH459" t="s">
        <v>37</v>
      </c>
      <c r="AI459" t="s">
        <v>37</v>
      </c>
      <c r="AJ459" t="str">
        <f t="shared" si="23"/>
        <v>7LA8DZCZB07W6JKH1B</v>
      </c>
    </row>
    <row r="460" spans="1:36" ht="15" customHeight="1" x14ac:dyDescent="0.25">
      <c r="A460" t="s">
        <v>101</v>
      </c>
      <c r="B460" t="s">
        <v>37</v>
      </c>
      <c r="C460" t="s">
        <v>37</v>
      </c>
      <c r="D460" t="s">
        <v>38</v>
      </c>
      <c r="E460" s="4">
        <v>8</v>
      </c>
      <c r="F460" s="5">
        <v>281.04000000000002</v>
      </c>
      <c r="G460" s="5" t="s">
        <v>39</v>
      </c>
      <c r="H460" s="5">
        <v>406.48</v>
      </c>
      <c r="I460" s="5" t="s">
        <v>39</v>
      </c>
      <c r="J460" s="5">
        <v>9.5553600000000003</v>
      </c>
      <c r="K460" s="5">
        <f t="shared" si="21"/>
        <v>1.19442</v>
      </c>
      <c r="L460" s="5">
        <f t="shared" si="22"/>
        <v>35.130000000000003</v>
      </c>
      <c r="M460" s="5" t="s">
        <v>39</v>
      </c>
      <c r="N460" s="5">
        <v>9.5553600000000003</v>
      </c>
      <c r="O460" s="5" t="s">
        <v>39</v>
      </c>
      <c r="P460" t="s">
        <v>274</v>
      </c>
      <c r="Q460" t="s">
        <v>1085</v>
      </c>
      <c r="R460" t="s">
        <v>37</v>
      </c>
      <c r="S460" t="s">
        <v>1086</v>
      </c>
      <c r="T460" t="s">
        <v>43</v>
      </c>
      <c r="U460" t="s">
        <v>44</v>
      </c>
      <c r="V460">
        <v>147</v>
      </c>
      <c r="W460" t="s">
        <v>45</v>
      </c>
      <c r="X460" t="s">
        <v>60</v>
      </c>
      <c r="Y460" t="s">
        <v>1087</v>
      </c>
      <c r="Z460" t="s">
        <v>37</v>
      </c>
      <c r="AA460" t="s">
        <v>55</v>
      </c>
      <c r="AB460" t="s">
        <v>37</v>
      </c>
      <c r="AC460" s="6" t="s">
        <v>37</v>
      </c>
      <c r="AD460" s="6" t="s">
        <v>37</v>
      </c>
      <c r="AE460" t="s">
        <v>37</v>
      </c>
      <c r="AF460" t="s">
        <v>37</v>
      </c>
      <c r="AG460" s="6" t="s">
        <v>37</v>
      </c>
      <c r="AH460" t="s">
        <v>37</v>
      </c>
      <c r="AI460" t="s">
        <v>37</v>
      </c>
      <c r="AJ460" t="str">
        <f t="shared" si="23"/>
        <v>4LYATDUXB07W4DHCS5</v>
      </c>
    </row>
    <row r="461" spans="1:36" ht="15" customHeight="1" x14ac:dyDescent="0.25">
      <c r="A461" t="s">
        <v>101</v>
      </c>
      <c r="B461" t="s">
        <v>37</v>
      </c>
      <c r="C461" t="s">
        <v>37</v>
      </c>
      <c r="D461" t="s">
        <v>38</v>
      </c>
      <c r="E461" s="4">
        <v>4</v>
      </c>
      <c r="F461" s="5">
        <v>179.8</v>
      </c>
      <c r="G461" s="5" t="s">
        <v>39</v>
      </c>
      <c r="H461" s="5">
        <v>213.08</v>
      </c>
      <c r="I461" s="5" t="s">
        <v>39</v>
      </c>
      <c r="J461" s="5">
        <v>6.1132</v>
      </c>
      <c r="K461" s="5">
        <f t="shared" si="21"/>
        <v>1.5283</v>
      </c>
      <c r="L461" s="5">
        <f t="shared" si="22"/>
        <v>44.95</v>
      </c>
      <c r="M461" s="5" t="s">
        <v>39</v>
      </c>
      <c r="N461" s="5">
        <v>6.1132</v>
      </c>
      <c r="O461" s="5" t="s">
        <v>39</v>
      </c>
      <c r="P461" t="s">
        <v>320</v>
      </c>
      <c r="Q461" t="s">
        <v>459</v>
      </c>
      <c r="R461" t="s">
        <v>37</v>
      </c>
      <c r="S461" t="s">
        <v>460</v>
      </c>
      <c r="T461" t="s">
        <v>43</v>
      </c>
      <c r="U461" t="s">
        <v>44</v>
      </c>
      <c r="V461">
        <v>23</v>
      </c>
      <c r="W461" t="s">
        <v>45</v>
      </c>
      <c r="X461" t="s">
        <v>239</v>
      </c>
      <c r="Y461" t="s">
        <v>461</v>
      </c>
      <c r="Z461" t="s">
        <v>37</v>
      </c>
      <c r="AA461" t="s">
        <v>95</v>
      </c>
      <c r="AB461" t="s">
        <v>37</v>
      </c>
      <c r="AC461" s="6" t="s">
        <v>37</v>
      </c>
      <c r="AD461" s="6" t="s">
        <v>37</v>
      </c>
      <c r="AE461" t="s">
        <v>37</v>
      </c>
      <c r="AF461" t="s">
        <v>37</v>
      </c>
      <c r="AG461" s="6" t="s">
        <v>37</v>
      </c>
      <c r="AH461" t="s">
        <v>37</v>
      </c>
      <c r="AI461" t="s">
        <v>37</v>
      </c>
      <c r="AJ461" t="str">
        <f t="shared" si="23"/>
        <v>8BG295LIB07W5JKLRF</v>
      </c>
    </row>
    <row r="462" spans="1:36" ht="15" customHeight="1" x14ac:dyDescent="0.25">
      <c r="A462" t="s">
        <v>118</v>
      </c>
      <c r="B462" t="s">
        <v>37</v>
      </c>
      <c r="C462" t="s">
        <v>37</v>
      </c>
      <c r="D462" t="s">
        <v>38</v>
      </c>
      <c r="E462" s="4">
        <v>144</v>
      </c>
      <c r="F462" s="5">
        <v>9940.32</v>
      </c>
      <c r="G462" s="5" t="s">
        <v>39</v>
      </c>
      <c r="H462" s="5">
        <v>15226.56</v>
      </c>
      <c r="I462" s="5" t="s">
        <v>39</v>
      </c>
      <c r="J462" s="5">
        <v>337.97088000000002</v>
      </c>
      <c r="K462" s="5">
        <f t="shared" si="21"/>
        <v>2.3470200000000001</v>
      </c>
      <c r="L462" s="5">
        <f t="shared" si="22"/>
        <v>69.03</v>
      </c>
      <c r="M462" s="5" t="s">
        <v>39</v>
      </c>
      <c r="N462" s="5">
        <v>337.97088000000002</v>
      </c>
      <c r="O462" s="5" t="s">
        <v>39</v>
      </c>
      <c r="P462" t="s">
        <v>119</v>
      </c>
      <c r="Q462" t="s">
        <v>599</v>
      </c>
      <c r="R462" t="s">
        <v>37</v>
      </c>
      <c r="S462" t="s">
        <v>600</v>
      </c>
      <c r="T462" t="s">
        <v>43</v>
      </c>
      <c r="U462" t="s">
        <v>44</v>
      </c>
      <c r="V462">
        <v>147</v>
      </c>
      <c r="W462" t="s">
        <v>45</v>
      </c>
      <c r="X462" t="s">
        <v>60</v>
      </c>
      <c r="Y462" t="s">
        <v>601</v>
      </c>
      <c r="Z462" t="s">
        <v>37</v>
      </c>
      <c r="AA462" t="s">
        <v>55</v>
      </c>
      <c r="AB462" t="s">
        <v>37</v>
      </c>
      <c r="AC462" s="6" t="s">
        <v>37</v>
      </c>
      <c r="AD462" s="6" t="s">
        <v>37</v>
      </c>
      <c r="AE462" t="s">
        <v>37</v>
      </c>
      <c r="AF462" t="s">
        <v>37</v>
      </c>
      <c r="AG462" s="6" t="s">
        <v>37</v>
      </c>
      <c r="AH462" t="s">
        <v>37</v>
      </c>
      <c r="AI462" t="s">
        <v>37</v>
      </c>
      <c r="AJ462" t="str">
        <f t="shared" si="23"/>
        <v>31DJDC7QB07W7KMK4Y</v>
      </c>
    </row>
    <row r="463" spans="1:36" ht="15" customHeight="1" x14ac:dyDescent="0.25">
      <c r="A463" t="s">
        <v>36</v>
      </c>
      <c r="B463" t="s">
        <v>37</v>
      </c>
      <c r="C463" t="s">
        <v>37</v>
      </c>
      <c r="D463" t="s">
        <v>38</v>
      </c>
      <c r="E463" s="4">
        <v>8</v>
      </c>
      <c r="F463" s="5">
        <v>445.12</v>
      </c>
      <c r="G463" s="5" t="s">
        <v>39</v>
      </c>
      <c r="H463" s="5">
        <v>655.68</v>
      </c>
      <c r="I463" s="5" t="s">
        <v>39</v>
      </c>
      <c r="J463" s="5">
        <v>15.134080000000001</v>
      </c>
      <c r="K463" s="5">
        <f t="shared" si="21"/>
        <v>1.8917600000000001</v>
      </c>
      <c r="L463" s="5">
        <f t="shared" si="22"/>
        <v>55.64</v>
      </c>
      <c r="M463" s="5" t="s">
        <v>39</v>
      </c>
      <c r="N463" s="5">
        <v>15.134080000000001</v>
      </c>
      <c r="O463" s="5" t="s">
        <v>39</v>
      </c>
      <c r="P463" t="s">
        <v>1088</v>
      </c>
      <c r="Q463" t="s">
        <v>1089</v>
      </c>
      <c r="R463" t="s">
        <v>1090</v>
      </c>
      <c r="S463" t="s">
        <v>1091</v>
      </c>
      <c r="T463" t="s">
        <v>43</v>
      </c>
      <c r="U463" t="s">
        <v>44</v>
      </c>
      <c r="V463">
        <v>147</v>
      </c>
      <c r="W463" t="s">
        <v>45</v>
      </c>
      <c r="X463" t="s">
        <v>60</v>
      </c>
      <c r="Y463" t="s">
        <v>1092</v>
      </c>
      <c r="Z463" t="s">
        <v>37</v>
      </c>
      <c r="AA463" t="s">
        <v>95</v>
      </c>
      <c r="AB463" t="s">
        <v>37</v>
      </c>
      <c r="AC463" s="6" t="s">
        <v>37</v>
      </c>
      <c r="AD463" s="6" t="s">
        <v>37</v>
      </c>
      <c r="AE463" t="s">
        <v>37</v>
      </c>
      <c r="AF463" t="s">
        <v>37</v>
      </c>
      <c r="AG463" s="6" t="s">
        <v>37</v>
      </c>
      <c r="AH463" t="s">
        <v>37</v>
      </c>
      <c r="AI463" t="s">
        <v>37</v>
      </c>
      <c r="AJ463" t="str">
        <f t="shared" si="23"/>
        <v>8ISKBUCSB00AIIIKPQ</v>
      </c>
    </row>
    <row r="464" spans="1:36" ht="15" customHeight="1" x14ac:dyDescent="0.25">
      <c r="A464" t="s">
        <v>76</v>
      </c>
      <c r="B464" t="s">
        <v>37</v>
      </c>
      <c r="C464" t="s">
        <v>37</v>
      </c>
      <c r="D464" t="s">
        <v>38</v>
      </c>
      <c r="E464" s="4">
        <v>188</v>
      </c>
      <c r="F464" s="5">
        <v>14177.08</v>
      </c>
      <c r="G464" s="5" t="s">
        <v>39</v>
      </c>
      <c r="H464" s="5">
        <v>20802.2</v>
      </c>
      <c r="I464" s="5" t="s">
        <v>39</v>
      </c>
      <c r="J464" s="5">
        <v>482.02071999999998</v>
      </c>
      <c r="K464" s="5">
        <f t="shared" si="21"/>
        <v>2.5639400000000001</v>
      </c>
      <c r="L464" s="5">
        <f t="shared" si="22"/>
        <v>75.41</v>
      </c>
      <c r="M464" s="5" t="s">
        <v>39</v>
      </c>
      <c r="N464" s="5">
        <v>482.02071999999998</v>
      </c>
      <c r="O464" s="5" t="s">
        <v>39</v>
      </c>
      <c r="P464" t="s">
        <v>63</v>
      </c>
      <c r="Q464" t="s">
        <v>1093</v>
      </c>
      <c r="R464" t="s">
        <v>37</v>
      </c>
      <c r="S464" t="s">
        <v>1094</v>
      </c>
      <c r="T464" t="s">
        <v>43</v>
      </c>
      <c r="U464" t="s">
        <v>44</v>
      </c>
      <c r="V464">
        <v>147</v>
      </c>
      <c r="W464" t="s">
        <v>45</v>
      </c>
      <c r="X464" t="s">
        <v>53</v>
      </c>
      <c r="Y464" t="s">
        <v>1095</v>
      </c>
      <c r="Z464" t="s">
        <v>37</v>
      </c>
      <c r="AA464" t="s">
        <v>55</v>
      </c>
      <c r="AB464" t="s">
        <v>37</v>
      </c>
      <c r="AC464" s="6" t="s">
        <v>37</v>
      </c>
      <c r="AD464" s="6" t="s">
        <v>37</v>
      </c>
      <c r="AE464" t="s">
        <v>37</v>
      </c>
      <c r="AF464" t="s">
        <v>37</v>
      </c>
      <c r="AG464" s="6" t="s">
        <v>37</v>
      </c>
      <c r="AH464" t="s">
        <v>37</v>
      </c>
      <c r="AI464" t="s">
        <v>37</v>
      </c>
      <c r="AJ464" t="str">
        <f t="shared" si="23"/>
        <v>7H9X1Z6SB07W6H4R4G</v>
      </c>
    </row>
    <row r="465" spans="1:36" ht="15" customHeight="1" x14ac:dyDescent="0.25">
      <c r="A465" t="s">
        <v>118</v>
      </c>
      <c r="B465" t="s">
        <v>37</v>
      </c>
      <c r="C465" t="s">
        <v>37</v>
      </c>
      <c r="D465" t="s">
        <v>38</v>
      </c>
      <c r="E465" s="4">
        <v>129</v>
      </c>
      <c r="F465" s="5">
        <v>29199.15</v>
      </c>
      <c r="G465" s="5" t="s">
        <v>39</v>
      </c>
      <c r="H465" s="5">
        <v>46419.360000000001</v>
      </c>
      <c r="I465" s="5" t="s">
        <v>39</v>
      </c>
      <c r="J465" s="5">
        <v>992.77110000000005</v>
      </c>
      <c r="K465" s="5">
        <f t="shared" si="21"/>
        <v>7.6959</v>
      </c>
      <c r="L465" s="5">
        <f t="shared" si="22"/>
        <v>226.35000000000002</v>
      </c>
      <c r="M465" s="5" t="s">
        <v>39</v>
      </c>
      <c r="N465" s="5">
        <v>992.77110000000005</v>
      </c>
      <c r="O465" s="5" t="s">
        <v>39</v>
      </c>
      <c r="P465" t="s">
        <v>752</v>
      </c>
      <c r="Q465" t="s">
        <v>1096</v>
      </c>
      <c r="R465" t="s">
        <v>37</v>
      </c>
      <c r="S465" t="s">
        <v>82</v>
      </c>
      <c r="T465" t="s">
        <v>43</v>
      </c>
      <c r="U465" t="s">
        <v>44</v>
      </c>
      <c r="V465">
        <v>147</v>
      </c>
      <c r="W465" t="s">
        <v>45</v>
      </c>
      <c r="X465" t="s">
        <v>46</v>
      </c>
      <c r="Y465" t="s">
        <v>1097</v>
      </c>
      <c r="Z465" t="s">
        <v>37</v>
      </c>
      <c r="AA465" t="s">
        <v>55</v>
      </c>
      <c r="AB465" t="s">
        <v>37</v>
      </c>
      <c r="AC465" s="6" t="s">
        <v>37</v>
      </c>
      <c r="AD465" s="6" t="s">
        <v>37</v>
      </c>
      <c r="AE465" t="s">
        <v>37</v>
      </c>
      <c r="AF465" t="s">
        <v>37</v>
      </c>
      <c r="AG465" s="6" t="s">
        <v>37</v>
      </c>
      <c r="AH465" t="s">
        <v>37</v>
      </c>
      <c r="AI465" t="s">
        <v>37</v>
      </c>
      <c r="AJ465" t="str">
        <f t="shared" si="23"/>
        <v>4TBDRH5TB07W4DG81W</v>
      </c>
    </row>
    <row r="466" spans="1:36" ht="15" customHeight="1" x14ac:dyDescent="0.25">
      <c r="A466" t="s">
        <v>101</v>
      </c>
      <c r="B466" t="s">
        <v>37</v>
      </c>
      <c r="C466" t="s">
        <v>37</v>
      </c>
      <c r="D466" t="s">
        <v>38</v>
      </c>
      <c r="E466" s="4">
        <v>0</v>
      </c>
      <c r="F466" s="5">
        <v>0</v>
      </c>
      <c r="G466" s="5" t="s">
        <v>39</v>
      </c>
      <c r="H466" s="5">
        <v>0</v>
      </c>
      <c r="I466" s="5" t="s">
        <v>39</v>
      </c>
      <c r="J466" s="5">
        <v>0</v>
      </c>
      <c r="K466" s="5" t="e">
        <f t="shared" si="21"/>
        <v>#DIV/0!</v>
      </c>
      <c r="L466" s="5" t="e">
        <f t="shared" si="22"/>
        <v>#DIV/0!</v>
      </c>
      <c r="M466" s="5" t="s">
        <v>39</v>
      </c>
      <c r="N466" s="5">
        <v>0</v>
      </c>
      <c r="O466" s="5" t="s">
        <v>39</v>
      </c>
      <c r="P466" t="s">
        <v>133</v>
      </c>
      <c r="Q466" t="s">
        <v>223</v>
      </c>
      <c r="R466" t="s">
        <v>37</v>
      </c>
      <c r="S466" t="s">
        <v>224</v>
      </c>
      <c r="T466" t="s">
        <v>43</v>
      </c>
      <c r="U466" t="s">
        <v>44</v>
      </c>
      <c r="V466">
        <v>147</v>
      </c>
      <c r="W466" t="s">
        <v>45</v>
      </c>
      <c r="X466" t="s">
        <v>53</v>
      </c>
      <c r="Y466" t="s">
        <v>225</v>
      </c>
      <c r="Z466" t="s">
        <v>37</v>
      </c>
      <c r="AA466" t="s">
        <v>55</v>
      </c>
      <c r="AB466" t="s">
        <v>37</v>
      </c>
      <c r="AC466" s="6" t="s">
        <v>37</v>
      </c>
      <c r="AD466" s="6" t="s">
        <v>37</v>
      </c>
      <c r="AE466" t="s">
        <v>37</v>
      </c>
      <c r="AF466" t="s">
        <v>37</v>
      </c>
      <c r="AG466" s="6" t="s">
        <v>37</v>
      </c>
      <c r="AH466" t="s">
        <v>37</v>
      </c>
      <c r="AI466" t="s">
        <v>37</v>
      </c>
      <c r="AJ466" t="str">
        <f t="shared" si="23"/>
        <v>36BT7GGLB07W4DHKTD</v>
      </c>
    </row>
    <row r="467" spans="1:36" ht="15" customHeight="1" x14ac:dyDescent="0.25">
      <c r="A467" t="s">
        <v>127</v>
      </c>
      <c r="B467" t="s">
        <v>37</v>
      </c>
      <c r="C467" t="s">
        <v>37</v>
      </c>
      <c r="D467" t="s">
        <v>38</v>
      </c>
      <c r="E467" s="4">
        <v>4</v>
      </c>
      <c r="F467" s="5">
        <v>299.36</v>
      </c>
      <c r="G467" s="5" t="s">
        <v>39</v>
      </c>
      <c r="H467" s="5">
        <v>455.72</v>
      </c>
      <c r="I467" s="5" t="s">
        <v>39</v>
      </c>
      <c r="J467" s="5">
        <v>10.178240000000001</v>
      </c>
      <c r="K467" s="5">
        <f t="shared" si="21"/>
        <v>2.5445600000000002</v>
      </c>
      <c r="L467" s="5">
        <f t="shared" si="22"/>
        <v>74.84</v>
      </c>
      <c r="M467" s="5" t="s">
        <v>39</v>
      </c>
      <c r="N467" s="5">
        <v>10.178240000000001</v>
      </c>
      <c r="O467" s="5" t="s">
        <v>39</v>
      </c>
      <c r="P467" t="s">
        <v>40</v>
      </c>
      <c r="Q467" t="s">
        <v>472</v>
      </c>
      <c r="R467" t="s">
        <v>37</v>
      </c>
      <c r="S467" t="s">
        <v>473</v>
      </c>
      <c r="T467" t="s">
        <v>43</v>
      </c>
      <c r="U467" t="s">
        <v>44</v>
      </c>
      <c r="V467">
        <v>147</v>
      </c>
      <c r="W467" t="s">
        <v>92</v>
      </c>
      <c r="X467" t="s">
        <v>433</v>
      </c>
      <c r="Y467" t="s">
        <v>474</v>
      </c>
      <c r="Z467" t="s">
        <v>37</v>
      </c>
      <c r="AA467" t="s">
        <v>55</v>
      </c>
      <c r="AB467" t="s">
        <v>37</v>
      </c>
      <c r="AC467" s="6" t="s">
        <v>37</v>
      </c>
      <c r="AD467" s="6" t="s">
        <v>37</v>
      </c>
      <c r="AE467" t="s">
        <v>37</v>
      </c>
      <c r="AF467" t="s">
        <v>37</v>
      </c>
      <c r="AG467" s="6" t="s">
        <v>37</v>
      </c>
      <c r="AH467" t="s">
        <v>37</v>
      </c>
      <c r="AI467" t="s">
        <v>37</v>
      </c>
      <c r="AJ467" t="str">
        <f t="shared" si="23"/>
        <v>4A3KDTEZB07W6JLQCY</v>
      </c>
    </row>
    <row r="468" spans="1:36" ht="15" customHeight="1" x14ac:dyDescent="0.25">
      <c r="A468" t="s">
        <v>231</v>
      </c>
      <c r="B468" t="s">
        <v>37</v>
      </c>
      <c r="C468" t="s">
        <v>37</v>
      </c>
      <c r="D468" t="s">
        <v>38</v>
      </c>
      <c r="E468" s="4">
        <v>0</v>
      </c>
      <c r="F468" s="5">
        <v>0</v>
      </c>
      <c r="G468" s="5" t="s">
        <v>39</v>
      </c>
      <c r="H468" s="5">
        <v>0</v>
      </c>
      <c r="I468" s="5" t="s">
        <v>39</v>
      </c>
      <c r="J468" s="5">
        <v>0</v>
      </c>
      <c r="K468" s="5" t="e">
        <f t="shared" si="21"/>
        <v>#DIV/0!</v>
      </c>
      <c r="L468" s="5" t="e">
        <f t="shared" si="22"/>
        <v>#DIV/0!</v>
      </c>
      <c r="M468" s="5" t="s">
        <v>39</v>
      </c>
      <c r="N468" s="5">
        <v>0</v>
      </c>
      <c r="O468" s="5" t="s">
        <v>39</v>
      </c>
      <c r="P468" t="s">
        <v>1098</v>
      </c>
      <c r="Q468" t="s">
        <v>1099</v>
      </c>
      <c r="R468" t="s">
        <v>37</v>
      </c>
      <c r="S468" t="s">
        <v>1100</v>
      </c>
      <c r="T468" t="s">
        <v>43</v>
      </c>
      <c r="U468" t="s">
        <v>44</v>
      </c>
      <c r="V468">
        <v>147</v>
      </c>
      <c r="W468" t="s">
        <v>45</v>
      </c>
      <c r="X468" t="s">
        <v>60</v>
      </c>
      <c r="Y468" t="s">
        <v>1101</v>
      </c>
      <c r="Z468" t="s">
        <v>37</v>
      </c>
      <c r="AA468" t="s">
        <v>48</v>
      </c>
      <c r="AB468" t="s">
        <v>37</v>
      </c>
      <c r="AC468" s="6" t="s">
        <v>37</v>
      </c>
      <c r="AD468" s="6" t="s">
        <v>37</v>
      </c>
      <c r="AE468" t="s">
        <v>37</v>
      </c>
      <c r="AF468" t="s">
        <v>37</v>
      </c>
      <c r="AG468" s="6" t="s">
        <v>37</v>
      </c>
      <c r="AH468" t="s">
        <v>37</v>
      </c>
      <c r="AI468" t="s">
        <v>37</v>
      </c>
      <c r="AJ468" t="str">
        <f t="shared" si="23"/>
        <v>6JD3FE7OB00O8K42LQ</v>
      </c>
    </row>
    <row r="469" spans="1:36" ht="15" customHeight="1" x14ac:dyDescent="0.25">
      <c r="A469" t="s">
        <v>96</v>
      </c>
      <c r="B469" t="s">
        <v>37</v>
      </c>
      <c r="C469" t="s">
        <v>37</v>
      </c>
      <c r="D469" t="s">
        <v>38</v>
      </c>
      <c r="E469" s="4">
        <v>0</v>
      </c>
      <c r="F469" s="5">
        <v>0</v>
      </c>
      <c r="G469" s="5" t="s">
        <v>39</v>
      </c>
      <c r="H469" s="5">
        <v>0</v>
      </c>
      <c r="I469" s="5" t="s">
        <v>39</v>
      </c>
      <c r="J469" s="5">
        <v>0</v>
      </c>
      <c r="K469" s="5" t="e">
        <f t="shared" si="21"/>
        <v>#DIV/0!</v>
      </c>
      <c r="L469" s="5" t="e">
        <f t="shared" si="22"/>
        <v>#DIV/0!</v>
      </c>
      <c r="M469" s="5" t="s">
        <v>39</v>
      </c>
      <c r="N469" s="5">
        <v>0</v>
      </c>
      <c r="O469" s="5" t="s">
        <v>39</v>
      </c>
      <c r="P469" t="s">
        <v>1098</v>
      </c>
      <c r="Q469" t="s">
        <v>1099</v>
      </c>
      <c r="R469" t="s">
        <v>37</v>
      </c>
      <c r="S469" t="s">
        <v>1100</v>
      </c>
      <c r="T469" t="s">
        <v>43</v>
      </c>
      <c r="U469" t="s">
        <v>44</v>
      </c>
      <c r="V469">
        <v>147</v>
      </c>
      <c r="W469" t="s">
        <v>45</v>
      </c>
      <c r="X469" t="s">
        <v>60</v>
      </c>
      <c r="Y469" t="s">
        <v>1101</v>
      </c>
      <c r="Z469" t="s">
        <v>37</v>
      </c>
      <c r="AA469" t="s">
        <v>48</v>
      </c>
      <c r="AB469" t="s">
        <v>37</v>
      </c>
      <c r="AC469" s="6" t="s">
        <v>37</v>
      </c>
      <c r="AD469" s="6" t="s">
        <v>37</v>
      </c>
      <c r="AE469" t="s">
        <v>37</v>
      </c>
      <c r="AF469" t="s">
        <v>37</v>
      </c>
      <c r="AG469" s="6" t="s">
        <v>37</v>
      </c>
      <c r="AH469" t="s">
        <v>37</v>
      </c>
      <c r="AI469" t="s">
        <v>37</v>
      </c>
      <c r="AJ469" t="str">
        <f t="shared" si="23"/>
        <v>6JD3FE7OB00O8K42LQ</v>
      </c>
    </row>
    <row r="470" spans="1:36" ht="15" customHeight="1" x14ac:dyDescent="0.25">
      <c r="A470" t="s">
        <v>36</v>
      </c>
      <c r="B470" t="s">
        <v>37</v>
      </c>
      <c r="C470" t="s">
        <v>37</v>
      </c>
      <c r="D470" t="s">
        <v>38</v>
      </c>
      <c r="E470" s="4">
        <v>8</v>
      </c>
      <c r="F470" s="5">
        <v>324.8</v>
      </c>
      <c r="G470" s="5" t="s">
        <v>39</v>
      </c>
      <c r="H470" s="5">
        <v>472.08</v>
      </c>
      <c r="I470" s="5" t="s">
        <v>39</v>
      </c>
      <c r="J470" s="5">
        <v>11.043200000000001</v>
      </c>
      <c r="K470" s="5">
        <f t="shared" si="21"/>
        <v>1.3804000000000001</v>
      </c>
      <c r="L470" s="5">
        <f t="shared" si="22"/>
        <v>40.6</v>
      </c>
      <c r="M470" s="5" t="s">
        <v>39</v>
      </c>
      <c r="N470" s="5">
        <v>11.043200000000001</v>
      </c>
      <c r="O470" s="5" t="s">
        <v>39</v>
      </c>
      <c r="P470" t="s">
        <v>128</v>
      </c>
      <c r="Q470" t="s">
        <v>68</v>
      </c>
      <c r="R470" t="s">
        <v>37</v>
      </c>
      <c r="S470" t="s">
        <v>69</v>
      </c>
      <c r="T470" t="s">
        <v>43</v>
      </c>
      <c r="U470" t="s">
        <v>44</v>
      </c>
      <c r="V470">
        <v>147</v>
      </c>
      <c r="W470" t="s">
        <v>45</v>
      </c>
      <c r="X470" t="s">
        <v>60</v>
      </c>
      <c r="Y470" t="s">
        <v>70</v>
      </c>
      <c r="Z470" t="s">
        <v>37</v>
      </c>
      <c r="AA470" t="s">
        <v>55</v>
      </c>
      <c r="AB470" t="s">
        <v>37</v>
      </c>
      <c r="AC470" s="6" t="s">
        <v>37</v>
      </c>
      <c r="AD470" s="6" t="s">
        <v>37</v>
      </c>
      <c r="AE470" t="s">
        <v>37</v>
      </c>
      <c r="AF470" t="s">
        <v>37</v>
      </c>
      <c r="AG470" s="6" t="s">
        <v>37</v>
      </c>
      <c r="AH470" t="s">
        <v>37</v>
      </c>
      <c r="AI470" t="s">
        <v>37</v>
      </c>
      <c r="AJ470" t="str">
        <f t="shared" si="23"/>
        <v>7RAC5F9EB07W4DHZLS</v>
      </c>
    </row>
    <row r="471" spans="1:36" ht="15" customHeight="1" x14ac:dyDescent="0.25">
      <c r="A471" t="s">
        <v>162</v>
      </c>
      <c r="B471" t="s">
        <v>37</v>
      </c>
      <c r="C471" t="s">
        <v>37</v>
      </c>
      <c r="D471" t="s">
        <v>38</v>
      </c>
      <c r="E471" s="4">
        <v>10</v>
      </c>
      <c r="F471" s="5">
        <v>163.9</v>
      </c>
      <c r="G471" s="5" t="s">
        <v>39</v>
      </c>
      <c r="H471" s="5">
        <v>245.8</v>
      </c>
      <c r="I471" s="5" t="s">
        <v>39</v>
      </c>
      <c r="J471" s="5">
        <v>5.5726000000000004</v>
      </c>
      <c r="K471" s="5">
        <f t="shared" si="21"/>
        <v>0.55726000000000009</v>
      </c>
      <c r="L471" s="5">
        <f t="shared" si="22"/>
        <v>16.39</v>
      </c>
      <c r="M471" s="5" t="s">
        <v>39</v>
      </c>
      <c r="N471" s="5">
        <v>5.5726000000000004</v>
      </c>
      <c r="O471" s="5" t="s">
        <v>39</v>
      </c>
      <c r="P471" t="s">
        <v>67</v>
      </c>
      <c r="Q471" t="s">
        <v>163</v>
      </c>
      <c r="R471" t="s">
        <v>164</v>
      </c>
      <c r="S471" t="s">
        <v>165</v>
      </c>
      <c r="T471" t="s">
        <v>43</v>
      </c>
      <c r="U471" t="s">
        <v>44</v>
      </c>
      <c r="V471">
        <v>147</v>
      </c>
      <c r="W471" t="s">
        <v>45</v>
      </c>
      <c r="X471" t="s">
        <v>53</v>
      </c>
      <c r="Y471" t="s">
        <v>166</v>
      </c>
      <c r="Z471" t="s">
        <v>37</v>
      </c>
      <c r="AA471" t="s">
        <v>48</v>
      </c>
      <c r="AB471" t="s">
        <v>37</v>
      </c>
      <c r="AC471" s="6" t="s">
        <v>37</v>
      </c>
      <c r="AD471" s="6" t="s">
        <v>37</v>
      </c>
      <c r="AE471" t="s">
        <v>37</v>
      </c>
      <c r="AF471" t="s">
        <v>37</v>
      </c>
      <c r="AG471" s="6" t="s">
        <v>37</v>
      </c>
      <c r="AH471" t="s">
        <v>37</v>
      </c>
      <c r="AI471" t="s">
        <v>37</v>
      </c>
      <c r="AJ471" t="str">
        <f t="shared" si="23"/>
        <v>2TMBDXBKB01K7GEG9W</v>
      </c>
    </row>
    <row r="472" spans="1:36" ht="15" customHeight="1" x14ac:dyDescent="0.25">
      <c r="A472" t="s">
        <v>62</v>
      </c>
      <c r="B472" t="s">
        <v>37</v>
      </c>
      <c r="C472" t="s">
        <v>37</v>
      </c>
      <c r="D472" t="s">
        <v>38</v>
      </c>
      <c r="E472" s="4">
        <v>680</v>
      </c>
      <c r="F472" s="5">
        <v>51278.8</v>
      </c>
      <c r="G472" s="5" t="s">
        <v>39</v>
      </c>
      <c r="H472" s="5">
        <v>75242</v>
      </c>
      <c r="I472" s="5" t="s">
        <v>39</v>
      </c>
      <c r="J472" s="5">
        <v>1743.4792</v>
      </c>
      <c r="K472" s="5">
        <f t="shared" si="21"/>
        <v>2.5639400000000001</v>
      </c>
      <c r="L472" s="5">
        <f t="shared" si="22"/>
        <v>75.410000000000011</v>
      </c>
      <c r="M472" s="5" t="s">
        <v>39</v>
      </c>
      <c r="N472" s="5">
        <v>1743.4792</v>
      </c>
      <c r="O472" s="5" t="s">
        <v>39</v>
      </c>
      <c r="P472" t="s">
        <v>63</v>
      </c>
      <c r="Q472" t="s">
        <v>1093</v>
      </c>
      <c r="R472" t="s">
        <v>37</v>
      </c>
      <c r="S472" t="s">
        <v>1094</v>
      </c>
      <c r="T472" t="s">
        <v>43</v>
      </c>
      <c r="U472" t="s">
        <v>44</v>
      </c>
      <c r="V472">
        <v>147</v>
      </c>
      <c r="W472" t="s">
        <v>45</v>
      </c>
      <c r="X472" t="s">
        <v>53</v>
      </c>
      <c r="Y472" t="s">
        <v>1095</v>
      </c>
      <c r="Z472" t="s">
        <v>37</v>
      </c>
      <c r="AA472" t="s">
        <v>55</v>
      </c>
      <c r="AB472" t="s">
        <v>37</v>
      </c>
      <c r="AC472" s="6" t="s">
        <v>37</v>
      </c>
      <c r="AD472" s="6" t="s">
        <v>37</v>
      </c>
      <c r="AE472" t="s">
        <v>37</v>
      </c>
      <c r="AF472" t="s">
        <v>37</v>
      </c>
      <c r="AG472" s="6" t="s">
        <v>37</v>
      </c>
      <c r="AH472" t="s">
        <v>37</v>
      </c>
      <c r="AI472" t="s">
        <v>37</v>
      </c>
      <c r="AJ472" t="str">
        <f t="shared" si="23"/>
        <v>7H9X1Z6SB07W6H4R4G</v>
      </c>
    </row>
    <row r="473" spans="1:36" ht="15" customHeight="1" x14ac:dyDescent="0.25">
      <c r="A473" t="s">
        <v>49</v>
      </c>
      <c r="B473" t="s">
        <v>37</v>
      </c>
      <c r="C473" t="s">
        <v>37</v>
      </c>
      <c r="D473" t="s">
        <v>38</v>
      </c>
      <c r="E473" s="4">
        <v>70</v>
      </c>
      <c r="F473" s="5">
        <v>1844.5</v>
      </c>
      <c r="G473" s="5" t="s">
        <v>39</v>
      </c>
      <c r="H473" s="5">
        <v>2753.8</v>
      </c>
      <c r="I473" s="5" t="s">
        <v>39</v>
      </c>
      <c r="J473" s="5">
        <v>62.713000000000001</v>
      </c>
      <c r="K473" s="5">
        <f t="shared" si="21"/>
        <v>0.89590000000000003</v>
      </c>
      <c r="L473" s="5">
        <f t="shared" si="22"/>
        <v>26.35</v>
      </c>
      <c r="M473" s="5" t="s">
        <v>39</v>
      </c>
      <c r="N473" s="5">
        <v>62.713000000000001</v>
      </c>
      <c r="O473" s="5" t="s">
        <v>39</v>
      </c>
      <c r="P473" t="s">
        <v>128</v>
      </c>
      <c r="Q473" t="s">
        <v>687</v>
      </c>
      <c r="R473" t="s">
        <v>37</v>
      </c>
      <c r="S473" t="s">
        <v>688</v>
      </c>
      <c r="T473" t="s">
        <v>43</v>
      </c>
      <c r="U473" t="s">
        <v>44</v>
      </c>
      <c r="V473">
        <v>147</v>
      </c>
      <c r="W473" t="s">
        <v>45</v>
      </c>
      <c r="X473" t="s">
        <v>53</v>
      </c>
      <c r="Y473" t="s">
        <v>689</v>
      </c>
      <c r="Z473" t="s">
        <v>37</v>
      </c>
      <c r="AA473" t="s">
        <v>48</v>
      </c>
      <c r="AB473" t="s">
        <v>37</v>
      </c>
      <c r="AC473" s="6" t="s">
        <v>37</v>
      </c>
      <c r="AD473" s="6" t="s">
        <v>37</v>
      </c>
      <c r="AE473" t="s">
        <v>37</v>
      </c>
      <c r="AF473" t="s">
        <v>37</v>
      </c>
      <c r="AG473" s="6" t="s">
        <v>37</v>
      </c>
      <c r="AH473" t="s">
        <v>37</v>
      </c>
      <c r="AI473" t="s">
        <v>37</v>
      </c>
      <c r="AJ473" t="str">
        <f t="shared" si="23"/>
        <v>7RAC5F9EB01K7GEAEI</v>
      </c>
    </row>
    <row r="474" spans="1:36" ht="15" customHeight="1" x14ac:dyDescent="0.25">
      <c r="A474" t="s">
        <v>101</v>
      </c>
      <c r="B474" t="s">
        <v>37</v>
      </c>
      <c r="C474" t="s">
        <v>37</v>
      </c>
      <c r="D474" t="s">
        <v>38</v>
      </c>
      <c r="E474" s="4">
        <v>2</v>
      </c>
      <c r="F474" s="5">
        <v>188.88</v>
      </c>
      <c r="G474" s="5" t="s">
        <v>39</v>
      </c>
      <c r="H474" s="5">
        <v>303.26</v>
      </c>
      <c r="I474" s="5" t="s">
        <v>39</v>
      </c>
      <c r="J474" s="5">
        <v>6.4219200000000001</v>
      </c>
      <c r="K474" s="5">
        <f t="shared" si="21"/>
        <v>3.21096</v>
      </c>
      <c r="L474" s="5">
        <f t="shared" si="22"/>
        <v>94.44</v>
      </c>
      <c r="M474" s="5" t="s">
        <v>39</v>
      </c>
      <c r="N474" s="5">
        <v>6.4219200000000001</v>
      </c>
      <c r="O474" s="5" t="s">
        <v>39</v>
      </c>
      <c r="P474" t="s">
        <v>102</v>
      </c>
      <c r="Q474" t="s">
        <v>663</v>
      </c>
      <c r="R474" t="s">
        <v>37</v>
      </c>
      <c r="S474" t="s">
        <v>664</v>
      </c>
      <c r="T474" t="s">
        <v>43</v>
      </c>
      <c r="U474" t="s">
        <v>44</v>
      </c>
      <c r="V474">
        <v>147</v>
      </c>
      <c r="W474" t="s">
        <v>45</v>
      </c>
      <c r="X474" t="s">
        <v>46</v>
      </c>
      <c r="Y474" t="s">
        <v>665</v>
      </c>
      <c r="Z474" t="s">
        <v>37</v>
      </c>
      <c r="AA474" t="s">
        <v>48</v>
      </c>
      <c r="AB474" t="s">
        <v>37</v>
      </c>
      <c r="AC474" s="6" t="s">
        <v>37</v>
      </c>
      <c r="AD474" s="6" t="s">
        <v>37</v>
      </c>
      <c r="AE474" t="s">
        <v>37</v>
      </c>
      <c r="AF474" t="s">
        <v>37</v>
      </c>
      <c r="AG474" s="6" t="s">
        <v>37</v>
      </c>
      <c r="AH474" t="s">
        <v>37</v>
      </c>
      <c r="AI474" t="s">
        <v>37</v>
      </c>
      <c r="AJ474" t="str">
        <f t="shared" si="23"/>
        <v>2M7QFTCOB01M9EWQ2W</v>
      </c>
    </row>
    <row r="475" spans="1:36" ht="15" customHeight="1" x14ac:dyDescent="0.25">
      <c r="A475" t="s">
        <v>127</v>
      </c>
      <c r="B475" t="s">
        <v>37</v>
      </c>
      <c r="C475" t="s">
        <v>37</v>
      </c>
      <c r="D475" t="s">
        <v>38</v>
      </c>
      <c r="E475" s="4">
        <v>10</v>
      </c>
      <c r="F475" s="5">
        <v>93.6</v>
      </c>
      <c r="G475" s="5" t="s">
        <v>39</v>
      </c>
      <c r="H475" s="5">
        <v>139.30000000000001</v>
      </c>
      <c r="I475" s="5" t="s">
        <v>39</v>
      </c>
      <c r="J475" s="5">
        <v>3.1823999999999999</v>
      </c>
      <c r="K475" s="5">
        <f t="shared" si="21"/>
        <v>0.31823999999999997</v>
      </c>
      <c r="L475" s="5">
        <f t="shared" si="22"/>
        <v>9.36</v>
      </c>
      <c r="M475" s="5" t="s">
        <v>39</v>
      </c>
      <c r="N475" s="5">
        <v>3.1823999999999999</v>
      </c>
      <c r="O475" s="5" t="s">
        <v>39</v>
      </c>
      <c r="P475" t="s">
        <v>128</v>
      </c>
      <c r="Q475" t="s">
        <v>84</v>
      </c>
      <c r="R475" t="s">
        <v>85</v>
      </c>
      <c r="S475" t="s">
        <v>86</v>
      </c>
      <c r="T475" t="s">
        <v>43</v>
      </c>
      <c r="U475" t="s">
        <v>44</v>
      </c>
      <c r="V475">
        <v>147</v>
      </c>
      <c r="W475" t="s">
        <v>45</v>
      </c>
      <c r="X475" t="s">
        <v>53</v>
      </c>
      <c r="Y475" t="s">
        <v>87</v>
      </c>
      <c r="Z475" t="s">
        <v>37</v>
      </c>
      <c r="AA475" t="s">
        <v>48</v>
      </c>
      <c r="AB475" t="s">
        <v>37</v>
      </c>
      <c r="AC475" s="6" t="s">
        <v>37</v>
      </c>
      <c r="AD475" s="6" t="s">
        <v>37</v>
      </c>
      <c r="AE475" t="s">
        <v>37</v>
      </c>
      <c r="AF475" t="s">
        <v>37</v>
      </c>
      <c r="AG475" s="6" t="s">
        <v>37</v>
      </c>
      <c r="AH475" t="s">
        <v>37</v>
      </c>
      <c r="AI475" t="s">
        <v>37</v>
      </c>
      <c r="AJ475" t="str">
        <f t="shared" si="23"/>
        <v>7RAC5F9EB01A9GXEOI</v>
      </c>
    </row>
    <row r="476" spans="1:36" ht="15" customHeight="1" x14ac:dyDescent="0.25">
      <c r="A476" t="s">
        <v>36</v>
      </c>
      <c r="B476" t="s">
        <v>37</v>
      </c>
      <c r="C476" t="s">
        <v>37</v>
      </c>
      <c r="D476" t="s">
        <v>38</v>
      </c>
      <c r="E476" s="4">
        <v>328</v>
      </c>
      <c r="F476" s="5">
        <v>24734.48</v>
      </c>
      <c r="G476" s="5" t="s">
        <v>39</v>
      </c>
      <c r="H476" s="5">
        <v>36293.199999999997</v>
      </c>
      <c r="I476" s="5" t="s">
        <v>39</v>
      </c>
      <c r="J476" s="5">
        <v>840.97231999999997</v>
      </c>
      <c r="K476" s="5">
        <f t="shared" si="21"/>
        <v>2.5639400000000001</v>
      </c>
      <c r="L476" s="5">
        <f t="shared" si="22"/>
        <v>75.41</v>
      </c>
      <c r="M476" s="5" t="s">
        <v>39</v>
      </c>
      <c r="N476" s="5">
        <v>840.97231999999997</v>
      </c>
      <c r="O476" s="5" t="s">
        <v>39</v>
      </c>
      <c r="P476" t="s">
        <v>119</v>
      </c>
      <c r="Q476" t="s">
        <v>1093</v>
      </c>
      <c r="R476" t="s">
        <v>37</v>
      </c>
      <c r="S476" t="s">
        <v>1094</v>
      </c>
      <c r="T476" t="s">
        <v>43</v>
      </c>
      <c r="U476" t="s">
        <v>44</v>
      </c>
      <c r="V476">
        <v>147</v>
      </c>
      <c r="W476" t="s">
        <v>45</v>
      </c>
      <c r="X476" t="s">
        <v>53</v>
      </c>
      <c r="Y476" t="s">
        <v>1095</v>
      </c>
      <c r="Z476" t="s">
        <v>37</v>
      </c>
      <c r="AA476" t="s">
        <v>55</v>
      </c>
      <c r="AB476" t="s">
        <v>37</v>
      </c>
      <c r="AC476" s="6" t="s">
        <v>37</v>
      </c>
      <c r="AD476" s="6" t="s">
        <v>37</v>
      </c>
      <c r="AE476" t="s">
        <v>37</v>
      </c>
      <c r="AF476" t="s">
        <v>37</v>
      </c>
      <c r="AG476" s="6" t="s">
        <v>37</v>
      </c>
      <c r="AH476" t="s">
        <v>37</v>
      </c>
      <c r="AI476" t="s">
        <v>37</v>
      </c>
      <c r="AJ476" t="str">
        <f t="shared" si="23"/>
        <v>31DJDC7QB07W6H4R4G</v>
      </c>
    </row>
    <row r="477" spans="1:36" ht="15" customHeight="1" x14ac:dyDescent="0.25">
      <c r="A477" t="s">
        <v>56</v>
      </c>
      <c r="B477" t="s">
        <v>37</v>
      </c>
      <c r="C477" t="s">
        <v>37</v>
      </c>
      <c r="D477" t="s">
        <v>38</v>
      </c>
      <c r="E477" s="4">
        <v>0</v>
      </c>
      <c r="F477" s="5">
        <v>0</v>
      </c>
      <c r="G477" s="5" t="s">
        <v>39</v>
      </c>
      <c r="H477" s="5">
        <v>0</v>
      </c>
      <c r="I477" s="5" t="s">
        <v>39</v>
      </c>
      <c r="J477" s="5">
        <v>0</v>
      </c>
      <c r="K477" s="5" t="e">
        <f t="shared" si="21"/>
        <v>#DIV/0!</v>
      </c>
      <c r="L477" s="5" t="e">
        <f t="shared" si="22"/>
        <v>#DIV/0!</v>
      </c>
      <c r="M477" s="5" t="s">
        <v>39</v>
      </c>
      <c r="N477" s="5">
        <v>0</v>
      </c>
      <c r="O477" s="5" t="s">
        <v>39</v>
      </c>
      <c r="P477" t="s">
        <v>67</v>
      </c>
      <c r="Q477" t="s">
        <v>163</v>
      </c>
      <c r="R477" t="s">
        <v>164</v>
      </c>
      <c r="S477" t="s">
        <v>165</v>
      </c>
      <c r="T477" t="s">
        <v>43</v>
      </c>
      <c r="U477" t="s">
        <v>44</v>
      </c>
      <c r="V477">
        <v>147</v>
      </c>
      <c r="W477" t="s">
        <v>45</v>
      </c>
      <c r="X477" t="s">
        <v>53</v>
      </c>
      <c r="Y477" t="s">
        <v>166</v>
      </c>
      <c r="Z477" t="s">
        <v>37</v>
      </c>
      <c r="AA477" t="s">
        <v>48</v>
      </c>
      <c r="AB477" t="s">
        <v>37</v>
      </c>
      <c r="AC477" s="6" t="s">
        <v>37</v>
      </c>
      <c r="AD477" s="6" t="s">
        <v>37</v>
      </c>
      <c r="AE477" t="s">
        <v>37</v>
      </c>
      <c r="AF477" t="s">
        <v>37</v>
      </c>
      <c r="AG477" s="6" t="s">
        <v>37</v>
      </c>
      <c r="AH477" t="s">
        <v>37</v>
      </c>
      <c r="AI477" t="s">
        <v>37</v>
      </c>
      <c r="AJ477" t="str">
        <f t="shared" si="23"/>
        <v>2TMBDXBKB01K7GEG9W</v>
      </c>
    </row>
    <row r="478" spans="1:36" ht="15" customHeight="1" x14ac:dyDescent="0.25">
      <c r="A478" t="s">
        <v>88</v>
      </c>
      <c r="B478" t="s">
        <v>37</v>
      </c>
      <c r="C478" t="s">
        <v>37</v>
      </c>
      <c r="D478" t="s">
        <v>38</v>
      </c>
      <c r="E478" s="4">
        <v>6</v>
      </c>
      <c r="F478" s="5">
        <v>174</v>
      </c>
      <c r="G478" s="5" t="s">
        <v>39</v>
      </c>
      <c r="H478" s="5">
        <v>265.5</v>
      </c>
      <c r="I478" s="5" t="s">
        <v>39</v>
      </c>
      <c r="J478" s="5">
        <v>5.9160000000000004</v>
      </c>
      <c r="K478" s="5">
        <f t="shared" si="21"/>
        <v>0.9860000000000001</v>
      </c>
      <c r="L478" s="5">
        <f t="shared" si="22"/>
        <v>29</v>
      </c>
      <c r="M478" s="5" t="s">
        <v>39</v>
      </c>
      <c r="N478" s="5">
        <v>5.9160000000000004</v>
      </c>
      <c r="O478" s="5" t="s">
        <v>39</v>
      </c>
      <c r="P478" t="s">
        <v>40</v>
      </c>
      <c r="Q478" t="s">
        <v>1102</v>
      </c>
      <c r="R478" t="s">
        <v>37</v>
      </c>
      <c r="S478" t="s">
        <v>1103</v>
      </c>
      <c r="T478" t="s">
        <v>43</v>
      </c>
      <c r="U478" t="s">
        <v>44</v>
      </c>
      <c r="V478">
        <v>147</v>
      </c>
      <c r="W478" t="s">
        <v>45</v>
      </c>
      <c r="X478" t="s">
        <v>60</v>
      </c>
      <c r="Y478" t="s">
        <v>1104</v>
      </c>
      <c r="Z478" t="s">
        <v>37</v>
      </c>
      <c r="AA478" t="s">
        <v>55</v>
      </c>
      <c r="AB478" t="s">
        <v>37</v>
      </c>
      <c r="AC478" s="6" t="s">
        <v>37</v>
      </c>
      <c r="AD478" s="6" t="s">
        <v>37</v>
      </c>
      <c r="AE478" t="s">
        <v>37</v>
      </c>
      <c r="AF478" t="s">
        <v>37</v>
      </c>
      <c r="AG478" s="6" t="s">
        <v>37</v>
      </c>
      <c r="AH478" t="s">
        <v>37</v>
      </c>
      <c r="AI478" t="s">
        <v>37</v>
      </c>
      <c r="AJ478" t="str">
        <f t="shared" si="23"/>
        <v>4A3KDTEZB07W7KJC28</v>
      </c>
    </row>
    <row r="479" spans="1:36" ht="15" customHeight="1" x14ac:dyDescent="0.25">
      <c r="A479" t="s">
        <v>96</v>
      </c>
      <c r="B479" t="s">
        <v>37</v>
      </c>
      <c r="C479" t="s">
        <v>37</v>
      </c>
      <c r="D479" t="s">
        <v>38</v>
      </c>
      <c r="E479" s="4">
        <v>76</v>
      </c>
      <c r="F479" s="5">
        <v>3006.56</v>
      </c>
      <c r="G479" s="5" t="s">
        <v>39</v>
      </c>
      <c r="H479" s="5">
        <v>4983.32</v>
      </c>
      <c r="I479" s="5" t="s">
        <v>39</v>
      </c>
      <c r="J479" s="5">
        <v>102.22304</v>
      </c>
      <c r="K479" s="5">
        <f t="shared" si="21"/>
        <v>1.34504</v>
      </c>
      <c r="L479" s="5">
        <f t="shared" si="22"/>
        <v>39.56</v>
      </c>
      <c r="M479" s="5" t="s">
        <v>39</v>
      </c>
      <c r="N479" s="5">
        <v>102.22304</v>
      </c>
      <c r="O479" s="5" t="s">
        <v>39</v>
      </c>
      <c r="P479" t="s">
        <v>222</v>
      </c>
      <c r="Q479" t="s">
        <v>1105</v>
      </c>
      <c r="R479" t="s">
        <v>37</v>
      </c>
      <c r="S479" t="s">
        <v>1106</v>
      </c>
      <c r="T479" t="s">
        <v>43</v>
      </c>
      <c r="U479" t="s">
        <v>44</v>
      </c>
      <c r="V479">
        <v>147</v>
      </c>
      <c r="W479" t="s">
        <v>45</v>
      </c>
      <c r="X479" t="s">
        <v>53</v>
      </c>
      <c r="Y479" t="s">
        <v>1107</v>
      </c>
      <c r="Z479" t="s">
        <v>37</v>
      </c>
      <c r="AA479" t="s">
        <v>55</v>
      </c>
      <c r="AB479" t="s">
        <v>37</v>
      </c>
      <c r="AC479" s="6" t="s">
        <v>37</v>
      </c>
      <c r="AD479" s="6" t="s">
        <v>37</v>
      </c>
      <c r="AE479" t="s">
        <v>37</v>
      </c>
      <c r="AF479" t="s">
        <v>37</v>
      </c>
      <c r="AG479" s="6" t="s">
        <v>37</v>
      </c>
      <c r="AH479" t="s">
        <v>37</v>
      </c>
      <c r="AI479" t="s">
        <v>37</v>
      </c>
      <c r="AJ479" t="str">
        <f t="shared" si="23"/>
        <v>2F7Y5WIXB07SCMTKGB</v>
      </c>
    </row>
    <row r="480" spans="1:36" ht="15" customHeight="1" x14ac:dyDescent="0.25">
      <c r="A480" t="s">
        <v>96</v>
      </c>
      <c r="B480" t="s">
        <v>37</v>
      </c>
      <c r="C480" t="s">
        <v>37</v>
      </c>
      <c r="D480" t="s">
        <v>38</v>
      </c>
      <c r="E480" s="4">
        <v>60</v>
      </c>
      <c r="F480" s="5">
        <v>379.2</v>
      </c>
      <c r="G480" s="5" t="s">
        <v>39</v>
      </c>
      <c r="H480" s="5">
        <v>639</v>
      </c>
      <c r="I480" s="5" t="s">
        <v>39</v>
      </c>
      <c r="J480" s="5">
        <v>12.892799999999999</v>
      </c>
      <c r="K480" s="5">
        <f t="shared" si="21"/>
        <v>0.21487999999999999</v>
      </c>
      <c r="L480" s="5">
        <f t="shared" si="22"/>
        <v>6.3199999999999994</v>
      </c>
      <c r="M480" s="5" t="s">
        <v>39</v>
      </c>
      <c r="N480" s="5">
        <v>12.892799999999999</v>
      </c>
      <c r="O480" s="5" t="s">
        <v>39</v>
      </c>
      <c r="P480" t="s">
        <v>106</v>
      </c>
      <c r="Q480" t="s">
        <v>981</v>
      </c>
      <c r="R480" t="s">
        <v>37</v>
      </c>
      <c r="S480" t="s">
        <v>982</v>
      </c>
      <c r="T480" t="s">
        <v>43</v>
      </c>
      <c r="U480" t="s">
        <v>44</v>
      </c>
      <c r="V480">
        <v>147</v>
      </c>
      <c r="W480" t="s">
        <v>45</v>
      </c>
      <c r="X480" t="s">
        <v>53</v>
      </c>
      <c r="Y480" t="s">
        <v>983</v>
      </c>
      <c r="Z480" t="s">
        <v>37</v>
      </c>
      <c r="AA480" t="s">
        <v>95</v>
      </c>
      <c r="AB480" t="s">
        <v>37</v>
      </c>
      <c r="AC480" s="6" t="s">
        <v>37</v>
      </c>
      <c r="AD480" s="6" t="s">
        <v>37</v>
      </c>
      <c r="AE480" t="s">
        <v>37</v>
      </c>
      <c r="AF480" t="s">
        <v>37</v>
      </c>
      <c r="AG480" s="6" t="s">
        <v>37</v>
      </c>
      <c r="AH480" t="s">
        <v>37</v>
      </c>
      <c r="AI480" t="s">
        <v>37</v>
      </c>
      <c r="AJ480" t="str">
        <f t="shared" si="23"/>
        <v>2CLMXQWQB07W6JPM9P</v>
      </c>
    </row>
    <row r="481" spans="1:36" ht="15" customHeight="1" x14ac:dyDescent="0.25">
      <c r="A481" t="s">
        <v>62</v>
      </c>
      <c r="B481" t="s">
        <v>37</v>
      </c>
      <c r="C481" t="s">
        <v>37</v>
      </c>
      <c r="D481" t="s">
        <v>38</v>
      </c>
      <c r="E481" s="4">
        <v>352</v>
      </c>
      <c r="F481" s="5">
        <v>11337.92</v>
      </c>
      <c r="G481" s="5" t="s">
        <v>39</v>
      </c>
      <c r="H481" s="5">
        <v>17019.2</v>
      </c>
      <c r="I481" s="5" t="s">
        <v>39</v>
      </c>
      <c r="J481" s="5">
        <v>385.48928000000001</v>
      </c>
      <c r="K481" s="5">
        <f t="shared" si="21"/>
        <v>1.09514</v>
      </c>
      <c r="L481" s="5">
        <f t="shared" si="22"/>
        <v>32.21</v>
      </c>
      <c r="M481" s="5" t="s">
        <v>39</v>
      </c>
      <c r="N481" s="5">
        <v>385.48928000000001</v>
      </c>
      <c r="O481" s="5" t="s">
        <v>39</v>
      </c>
      <c r="P481" t="s">
        <v>426</v>
      </c>
      <c r="Q481" t="s">
        <v>1108</v>
      </c>
      <c r="R481" t="s">
        <v>37</v>
      </c>
      <c r="S481" t="s">
        <v>1109</v>
      </c>
      <c r="T481" t="s">
        <v>43</v>
      </c>
      <c r="U481" t="s">
        <v>44</v>
      </c>
      <c r="V481">
        <v>147</v>
      </c>
      <c r="W481" t="s">
        <v>45</v>
      </c>
      <c r="X481" t="s">
        <v>356</v>
      </c>
      <c r="Y481" t="s">
        <v>1110</v>
      </c>
      <c r="Z481" t="s">
        <v>37</v>
      </c>
      <c r="AA481" t="s">
        <v>55</v>
      </c>
      <c r="AB481" t="s">
        <v>37</v>
      </c>
      <c r="AC481" s="6" t="s">
        <v>37</v>
      </c>
      <c r="AD481" s="6" t="s">
        <v>37</v>
      </c>
      <c r="AE481" t="s">
        <v>37</v>
      </c>
      <c r="AF481" t="s">
        <v>37</v>
      </c>
      <c r="AG481" s="6" t="s">
        <v>37</v>
      </c>
      <c r="AH481" t="s">
        <v>37</v>
      </c>
      <c r="AI481" t="s">
        <v>37</v>
      </c>
      <c r="AJ481" t="str">
        <f t="shared" si="23"/>
        <v>3IQS66UGB07W5JKKHL</v>
      </c>
    </row>
    <row r="482" spans="1:36" ht="15" customHeight="1" x14ac:dyDescent="0.25">
      <c r="A482" t="s">
        <v>36</v>
      </c>
      <c r="B482" t="s">
        <v>37</v>
      </c>
      <c r="C482" t="s">
        <v>37</v>
      </c>
      <c r="D482" t="s">
        <v>38</v>
      </c>
      <c r="E482" s="4">
        <v>8</v>
      </c>
      <c r="F482" s="5">
        <v>257.68</v>
      </c>
      <c r="G482" s="5" t="s">
        <v>39</v>
      </c>
      <c r="H482" s="5">
        <v>257.68</v>
      </c>
      <c r="I482" s="5" t="s">
        <v>39</v>
      </c>
      <c r="J482" s="5">
        <v>8.76112</v>
      </c>
      <c r="K482" s="5">
        <f t="shared" si="21"/>
        <v>1.09514</v>
      </c>
      <c r="L482" s="5">
        <f t="shared" si="22"/>
        <v>32.21</v>
      </c>
      <c r="M482" s="5" t="s">
        <v>39</v>
      </c>
      <c r="N482" s="5">
        <v>8.76112</v>
      </c>
      <c r="O482" s="5" t="s">
        <v>39</v>
      </c>
      <c r="P482" t="s">
        <v>270</v>
      </c>
      <c r="Q482" t="s">
        <v>1111</v>
      </c>
      <c r="R482" t="s">
        <v>37</v>
      </c>
      <c r="S482" t="s">
        <v>1112</v>
      </c>
      <c r="T482" t="s">
        <v>318</v>
      </c>
      <c r="U482" t="s">
        <v>44</v>
      </c>
      <c r="V482">
        <v>147</v>
      </c>
      <c r="W482" t="s">
        <v>45</v>
      </c>
      <c r="X482" t="s">
        <v>60</v>
      </c>
      <c r="Y482" t="s">
        <v>1113</v>
      </c>
      <c r="Z482" t="s">
        <v>37</v>
      </c>
      <c r="AA482" t="s">
        <v>55</v>
      </c>
      <c r="AB482" t="s">
        <v>37</v>
      </c>
      <c r="AC482" s="6" t="s">
        <v>37</v>
      </c>
      <c r="AD482" s="6" t="s">
        <v>37</v>
      </c>
      <c r="AE482" t="s">
        <v>37</v>
      </c>
      <c r="AF482" t="s">
        <v>37</v>
      </c>
      <c r="AG482" s="6" t="s">
        <v>37</v>
      </c>
      <c r="AH482" t="s">
        <v>37</v>
      </c>
      <c r="AI482" t="s">
        <v>37</v>
      </c>
      <c r="AJ482" t="str">
        <f t="shared" si="23"/>
        <v>1X4DXX4TB07W4DH1Y2</v>
      </c>
    </row>
    <row r="483" spans="1:36" ht="15" customHeight="1" x14ac:dyDescent="0.25">
      <c r="A483" t="s">
        <v>36</v>
      </c>
      <c r="B483" t="s">
        <v>37</v>
      </c>
      <c r="C483" t="s">
        <v>37</v>
      </c>
      <c r="D483" t="s">
        <v>38</v>
      </c>
      <c r="E483" s="4">
        <v>8</v>
      </c>
      <c r="F483" s="5">
        <v>257.68</v>
      </c>
      <c r="G483" s="5" t="s">
        <v>39</v>
      </c>
      <c r="H483" s="5">
        <v>386.8</v>
      </c>
      <c r="I483" s="5" t="s">
        <v>39</v>
      </c>
      <c r="J483" s="5">
        <v>8.76112</v>
      </c>
      <c r="K483" s="5">
        <f t="shared" si="21"/>
        <v>1.09514</v>
      </c>
      <c r="L483" s="5">
        <f t="shared" si="22"/>
        <v>32.21</v>
      </c>
      <c r="M483" s="5" t="s">
        <v>39</v>
      </c>
      <c r="N483" s="5">
        <v>8.76112</v>
      </c>
      <c r="O483" s="5" t="s">
        <v>39</v>
      </c>
      <c r="P483" t="s">
        <v>67</v>
      </c>
      <c r="Q483" t="s">
        <v>192</v>
      </c>
      <c r="R483" t="s">
        <v>37</v>
      </c>
      <c r="S483" t="s">
        <v>193</v>
      </c>
      <c r="T483" t="s">
        <v>43</v>
      </c>
      <c r="U483" t="s">
        <v>44</v>
      </c>
      <c r="V483">
        <v>147</v>
      </c>
      <c r="W483" t="s">
        <v>45</v>
      </c>
      <c r="X483" t="s">
        <v>60</v>
      </c>
      <c r="Y483" t="s">
        <v>194</v>
      </c>
      <c r="Z483" t="s">
        <v>37</v>
      </c>
      <c r="AA483" t="s">
        <v>55</v>
      </c>
      <c r="AB483" t="s">
        <v>37</v>
      </c>
      <c r="AC483" s="6" t="s">
        <v>37</v>
      </c>
      <c r="AD483" s="6" t="s">
        <v>37</v>
      </c>
      <c r="AE483" t="s">
        <v>37</v>
      </c>
      <c r="AF483" t="s">
        <v>37</v>
      </c>
      <c r="AG483" s="6" t="s">
        <v>37</v>
      </c>
      <c r="AH483" t="s">
        <v>37</v>
      </c>
      <c r="AI483" t="s">
        <v>37</v>
      </c>
      <c r="AJ483" t="str">
        <f t="shared" si="23"/>
        <v>2TMBDXBKB07W5JKPFG</v>
      </c>
    </row>
    <row r="484" spans="1:36" ht="15" customHeight="1" x14ac:dyDescent="0.25">
      <c r="A484" t="s">
        <v>162</v>
      </c>
      <c r="B484" t="s">
        <v>37</v>
      </c>
      <c r="C484" t="s">
        <v>37</v>
      </c>
      <c r="D484" t="s">
        <v>38</v>
      </c>
      <c r="E484" s="4">
        <v>4</v>
      </c>
      <c r="F484" s="5">
        <v>301.64</v>
      </c>
      <c r="G484" s="5" t="s">
        <v>39</v>
      </c>
      <c r="H484" s="5">
        <v>442.6</v>
      </c>
      <c r="I484" s="5" t="s">
        <v>39</v>
      </c>
      <c r="J484" s="5">
        <v>10.25576</v>
      </c>
      <c r="K484" s="5">
        <f t="shared" si="21"/>
        <v>2.5639400000000001</v>
      </c>
      <c r="L484" s="5">
        <f t="shared" si="22"/>
        <v>75.41</v>
      </c>
      <c r="M484" s="5" t="s">
        <v>39</v>
      </c>
      <c r="N484" s="5">
        <v>10.25576</v>
      </c>
      <c r="O484" s="5" t="s">
        <v>39</v>
      </c>
      <c r="P484" t="s">
        <v>119</v>
      </c>
      <c r="Q484" t="s">
        <v>1093</v>
      </c>
      <c r="R484" t="s">
        <v>37</v>
      </c>
      <c r="S484" t="s">
        <v>1094</v>
      </c>
      <c r="T484" t="s">
        <v>43</v>
      </c>
      <c r="U484" t="s">
        <v>44</v>
      </c>
      <c r="V484">
        <v>147</v>
      </c>
      <c r="W484" t="s">
        <v>45</v>
      </c>
      <c r="X484" t="s">
        <v>53</v>
      </c>
      <c r="Y484" t="s">
        <v>1095</v>
      </c>
      <c r="Z484" t="s">
        <v>37</v>
      </c>
      <c r="AA484" t="s">
        <v>55</v>
      </c>
      <c r="AB484" t="s">
        <v>37</v>
      </c>
      <c r="AC484" s="6" t="s">
        <v>37</v>
      </c>
      <c r="AD484" s="6" t="s">
        <v>37</v>
      </c>
      <c r="AE484" t="s">
        <v>37</v>
      </c>
      <c r="AF484" t="s">
        <v>37</v>
      </c>
      <c r="AG484" s="6" t="s">
        <v>37</v>
      </c>
      <c r="AH484" t="s">
        <v>37</v>
      </c>
      <c r="AI484" t="s">
        <v>37</v>
      </c>
      <c r="AJ484" t="str">
        <f t="shared" si="23"/>
        <v>31DJDC7QB07W6H4R4G</v>
      </c>
    </row>
    <row r="485" spans="1:36" ht="15" customHeight="1" x14ac:dyDescent="0.25">
      <c r="A485" t="s">
        <v>76</v>
      </c>
      <c r="B485" t="s">
        <v>37</v>
      </c>
      <c r="C485" t="s">
        <v>37</v>
      </c>
      <c r="D485" t="s">
        <v>38</v>
      </c>
      <c r="E485" s="4">
        <v>16</v>
      </c>
      <c r="F485" s="5">
        <v>1549.28</v>
      </c>
      <c r="G485" s="5" t="s">
        <v>39</v>
      </c>
      <c r="H485" s="5">
        <v>1836</v>
      </c>
      <c r="I485" s="5" t="s">
        <v>39</v>
      </c>
      <c r="J485" s="5">
        <v>52.675519999999999</v>
      </c>
      <c r="K485" s="5">
        <f t="shared" si="21"/>
        <v>3.2922199999999999</v>
      </c>
      <c r="L485" s="5">
        <f t="shared" si="22"/>
        <v>96.83</v>
      </c>
      <c r="M485" s="5" t="s">
        <v>39</v>
      </c>
      <c r="N485" s="5">
        <v>52.675519999999999</v>
      </c>
      <c r="O485" s="5" t="s">
        <v>39</v>
      </c>
      <c r="P485" t="s">
        <v>1114</v>
      </c>
      <c r="Q485" t="s">
        <v>275</v>
      </c>
      <c r="R485" t="s">
        <v>276</v>
      </c>
      <c r="S485" t="s">
        <v>277</v>
      </c>
      <c r="T485" t="s">
        <v>43</v>
      </c>
      <c r="U485" t="s">
        <v>44</v>
      </c>
      <c r="V485">
        <v>267</v>
      </c>
      <c r="W485" t="s">
        <v>151</v>
      </c>
      <c r="X485" t="s">
        <v>152</v>
      </c>
      <c r="Y485" t="s">
        <v>278</v>
      </c>
      <c r="Z485" t="s">
        <v>37</v>
      </c>
      <c r="AA485" t="s">
        <v>95</v>
      </c>
      <c r="AB485" t="s">
        <v>37</v>
      </c>
      <c r="AC485" s="6" t="s">
        <v>37</v>
      </c>
      <c r="AD485" s="6" t="s">
        <v>37</v>
      </c>
      <c r="AE485" t="s">
        <v>37</v>
      </c>
      <c r="AF485" t="s">
        <v>37</v>
      </c>
      <c r="AG485" s="6" t="s">
        <v>37</v>
      </c>
      <c r="AH485" t="s">
        <v>37</v>
      </c>
      <c r="AI485" t="s">
        <v>37</v>
      </c>
      <c r="AJ485" t="str">
        <f t="shared" si="23"/>
        <v>4KLKWTOEB002VA464S</v>
      </c>
    </row>
    <row r="486" spans="1:36" ht="15" customHeight="1" x14ac:dyDescent="0.25">
      <c r="A486" t="s">
        <v>101</v>
      </c>
      <c r="B486" t="s">
        <v>37</v>
      </c>
      <c r="C486" t="s">
        <v>37</v>
      </c>
      <c r="D486" t="s">
        <v>38</v>
      </c>
      <c r="E486" s="4">
        <v>16</v>
      </c>
      <c r="F486" s="5">
        <v>515.36</v>
      </c>
      <c r="G486" s="5" t="s">
        <v>39</v>
      </c>
      <c r="H486" s="5">
        <v>773.6</v>
      </c>
      <c r="I486" s="5" t="s">
        <v>39</v>
      </c>
      <c r="J486" s="5">
        <v>17.52224</v>
      </c>
      <c r="K486" s="5">
        <f t="shared" si="21"/>
        <v>1.09514</v>
      </c>
      <c r="L486" s="5">
        <f t="shared" si="22"/>
        <v>32.21</v>
      </c>
      <c r="M486" s="5" t="s">
        <v>39</v>
      </c>
      <c r="N486" s="5">
        <v>17.52224</v>
      </c>
      <c r="O486" s="5" t="s">
        <v>39</v>
      </c>
      <c r="P486" t="s">
        <v>72</v>
      </c>
      <c r="Q486" t="s">
        <v>1115</v>
      </c>
      <c r="R486" t="s">
        <v>37</v>
      </c>
      <c r="S486" t="s">
        <v>1116</v>
      </c>
      <c r="T486" t="s">
        <v>773</v>
      </c>
      <c r="U486" t="s">
        <v>44</v>
      </c>
      <c r="V486">
        <v>147</v>
      </c>
      <c r="W486" t="s">
        <v>45</v>
      </c>
      <c r="X486" t="s">
        <v>356</v>
      </c>
      <c r="Y486" t="s">
        <v>1117</v>
      </c>
      <c r="Z486" t="s">
        <v>37</v>
      </c>
      <c r="AA486" t="s">
        <v>55</v>
      </c>
      <c r="AB486" t="s">
        <v>37</v>
      </c>
      <c r="AC486" s="6" t="s">
        <v>37</v>
      </c>
      <c r="AD486" s="6" t="s">
        <v>37</v>
      </c>
      <c r="AE486" t="s">
        <v>37</v>
      </c>
      <c r="AF486" t="s">
        <v>37</v>
      </c>
      <c r="AG486" s="6" t="s">
        <v>37</v>
      </c>
      <c r="AH486" t="s">
        <v>37</v>
      </c>
      <c r="AI486" t="s">
        <v>37</v>
      </c>
      <c r="AJ486" t="str">
        <f t="shared" si="23"/>
        <v>4GF112AEB07W4DH8JM</v>
      </c>
    </row>
    <row r="487" spans="1:36" ht="15" customHeight="1" x14ac:dyDescent="0.25">
      <c r="A487" t="s">
        <v>36</v>
      </c>
      <c r="B487" t="s">
        <v>37</v>
      </c>
      <c r="C487" t="s">
        <v>37</v>
      </c>
      <c r="D487" t="s">
        <v>38</v>
      </c>
      <c r="E487" s="4">
        <v>8</v>
      </c>
      <c r="F487" s="5">
        <v>210.96</v>
      </c>
      <c r="G487" s="5" t="s">
        <v>39</v>
      </c>
      <c r="H487" s="5">
        <v>340.88</v>
      </c>
      <c r="I487" s="5" t="s">
        <v>39</v>
      </c>
      <c r="J487" s="5">
        <v>7.1726400000000003</v>
      </c>
      <c r="K487" s="5">
        <f t="shared" si="21"/>
        <v>0.89658000000000004</v>
      </c>
      <c r="L487" s="5">
        <f t="shared" si="22"/>
        <v>26.37</v>
      </c>
      <c r="M487" s="5" t="s">
        <v>39</v>
      </c>
      <c r="N487" s="5">
        <v>7.1726400000000003</v>
      </c>
      <c r="O487" s="5" t="s">
        <v>39</v>
      </c>
      <c r="P487" t="s">
        <v>365</v>
      </c>
      <c r="Q487" t="s">
        <v>914</v>
      </c>
      <c r="R487" t="s">
        <v>37</v>
      </c>
      <c r="S487" t="s">
        <v>915</v>
      </c>
      <c r="T487" t="s">
        <v>43</v>
      </c>
      <c r="U487" t="s">
        <v>44</v>
      </c>
      <c r="V487">
        <v>147</v>
      </c>
      <c r="W487" t="s">
        <v>45</v>
      </c>
      <c r="X487" t="s">
        <v>53</v>
      </c>
      <c r="Y487" t="s">
        <v>916</v>
      </c>
      <c r="Z487" t="s">
        <v>37</v>
      </c>
      <c r="AA487" t="s">
        <v>95</v>
      </c>
      <c r="AB487" t="s">
        <v>37</v>
      </c>
      <c r="AC487" s="6" t="s">
        <v>37</v>
      </c>
      <c r="AD487" s="6" t="s">
        <v>37</v>
      </c>
      <c r="AE487" t="s">
        <v>37</v>
      </c>
      <c r="AF487" t="s">
        <v>37</v>
      </c>
      <c r="AG487" s="6" t="s">
        <v>37</v>
      </c>
      <c r="AH487" t="s">
        <v>37</v>
      </c>
      <c r="AI487" t="s">
        <v>37</v>
      </c>
      <c r="AJ487" t="str">
        <f t="shared" si="23"/>
        <v>3KYCEHVHB07W4DHG24</v>
      </c>
    </row>
    <row r="488" spans="1:36" ht="15" customHeight="1" x14ac:dyDescent="0.25">
      <c r="A488" t="s">
        <v>88</v>
      </c>
      <c r="B488" t="s">
        <v>37</v>
      </c>
      <c r="C488" t="s">
        <v>37</v>
      </c>
      <c r="D488" t="s">
        <v>38</v>
      </c>
      <c r="E488" s="4">
        <v>40</v>
      </c>
      <c r="F488" s="5">
        <v>1288.4000000000001</v>
      </c>
      <c r="G488" s="5" t="s">
        <v>39</v>
      </c>
      <c r="H488" s="5">
        <v>1288.4000000000001</v>
      </c>
      <c r="I488" s="5" t="s">
        <v>39</v>
      </c>
      <c r="J488" s="5">
        <v>43.805599999999998</v>
      </c>
      <c r="K488" s="5">
        <f t="shared" si="21"/>
        <v>1.09514</v>
      </c>
      <c r="L488" s="5">
        <f t="shared" si="22"/>
        <v>32.21</v>
      </c>
      <c r="M488" s="5" t="s">
        <v>39</v>
      </c>
      <c r="N488" s="5">
        <v>43.805599999999998</v>
      </c>
      <c r="O488" s="5" t="s">
        <v>39</v>
      </c>
      <c r="P488" t="s">
        <v>133</v>
      </c>
      <c r="Q488" t="s">
        <v>1111</v>
      </c>
      <c r="R488" t="s">
        <v>37</v>
      </c>
      <c r="S488" t="s">
        <v>1112</v>
      </c>
      <c r="T488" t="s">
        <v>318</v>
      </c>
      <c r="U488" t="s">
        <v>44</v>
      </c>
      <c r="V488">
        <v>147</v>
      </c>
      <c r="W488" t="s">
        <v>45</v>
      </c>
      <c r="X488" t="s">
        <v>60</v>
      </c>
      <c r="Y488" t="s">
        <v>1113</v>
      </c>
      <c r="Z488" t="s">
        <v>37</v>
      </c>
      <c r="AA488" t="s">
        <v>55</v>
      </c>
      <c r="AB488" t="s">
        <v>37</v>
      </c>
      <c r="AC488" s="6" t="s">
        <v>37</v>
      </c>
      <c r="AD488" s="6" t="s">
        <v>37</v>
      </c>
      <c r="AE488" t="s">
        <v>37</v>
      </c>
      <c r="AF488" t="s">
        <v>37</v>
      </c>
      <c r="AG488" s="6" t="s">
        <v>37</v>
      </c>
      <c r="AH488" t="s">
        <v>37</v>
      </c>
      <c r="AI488" t="s">
        <v>37</v>
      </c>
      <c r="AJ488" t="str">
        <f t="shared" si="23"/>
        <v>36BT7GGLB07W4DH1Y2</v>
      </c>
    </row>
    <row r="489" spans="1:36" ht="15" customHeight="1" x14ac:dyDescent="0.25">
      <c r="A489" t="s">
        <v>36</v>
      </c>
      <c r="B489" t="s">
        <v>37</v>
      </c>
      <c r="C489" t="s">
        <v>37</v>
      </c>
      <c r="D489" t="s">
        <v>38</v>
      </c>
      <c r="E489" s="4">
        <v>8</v>
      </c>
      <c r="F489" s="5">
        <v>359.6</v>
      </c>
      <c r="G489" s="5" t="s">
        <v>39</v>
      </c>
      <c r="H489" s="5">
        <v>458.96</v>
      </c>
      <c r="I489" s="5" t="s">
        <v>39</v>
      </c>
      <c r="J489" s="5">
        <v>12.2264</v>
      </c>
      <c r="K489" s="5">
        <f t="shared" si="21"/>
        <v>1.5283</v>
      </c>
      <c r="L489" s="5">
        <f t="shared" si="22"/>
        <v>44.95</v>
      </c>
      <c r="M489" s="5" t="s">
        <v>39</v>
      </c>
      <c r="N489" s="5">
        <v>12.2264</v>
      </c>
      <c r="O489" s="5" t="s">
        <v>39</v>
      </c>
      <c r="P489" t="s">
        <v>119</v>
      </c>
      <c r="Q489" t="s">
        <v>1118</v>
      </c>
      <c r="R489" t="s">
        <v>1119</v>
      </c>
      <c r="S489" t="s">
        <v>1120</v>
      </c>
      <c r="T489" t="s">
        <v>43</v>
      </c>
      <c r="U489" t="s">
        <v>44</v>
      </c>
      <c r="V489">
        <v>147</v>
      </c>
      <c r="W489" t="s">
        <v>45</v>
      </c>
      <c r="X489" t="s">
        <v>46</v>
      </c>
      <c r="Y489" t="s">
        <v>1121</v>
      </c>
      <c r="Z489" t="s">
        <v>37</v>
      </c>
      <c r="AA489" t="s">
        <v>307</v>
      </c>
      <c r="AB489" t="s">
        <v>37</v>
      </c>
      <c r="AC489" s="6" t="s">
        <v>37</v>
      </c>
      <c r="AD489" s="6" t="s">
        <v>37</v>
      </c>
      <c r="AE489" t="s">
        <v>37</v>
      </c>
      <c r="AF489" t="s">
        <v>37</v>
      </c>
      <c r="AG489" s="6" t="s">
        <v>37</v>
      </c>
      <c r="AH489" t="s">
        <v>37</v>
      </c>
      <c r="AI489" t="s">
        <v>37</v>
      </c>
      <c r="AJ489" t="str">
        <f t="shared" si="23"/>
        <v>31DJDC7QB014S0DVDK</v>
      </c>
    </row>
    <row r="490" spans="1:36" ht="15" customHeight="1" x14ac:dyDescent="0.25">
      <c r="A490" t="s">
        <v>36</v>
      </c>
      <c r="B490" t="s">
        <v>37</v>
      </c>
      <c r="C490" t="s">
        <v>37</v>
      </c>
      <c r="D490" t="s">
        <v>38</v>
      </c>
      <c r="E490" s="4">
        <v>4</v>
      </c>
      <c r="F490" s="5">
        <v>322.56</v>
      </c>
      <c r="G490" s="5" t="s">
        <v>39</v>
      </c>
      <c r="H490" s="5">
        <v>475.4</v>
      </c>
      <c r="I490" s="5" t="s">
        <v>39</v>
      </c>
      <c r="J490" s="5">
        <v>10.967040000000001</v>
      </c>
      <c r="K490" s="5">
        <f t="shared" si="21"/>
        <v>2.7417600000000002</v>
      </c>
      <c r="L490" s="5">
        <f t="shared" si="22"/>
        <v>80.64</v>
      </c>
      <c r="M490" s="5" t="s">
        <v>39</v>
      </c>
      <c r="N490" s="5">
        <v>10.967040000000001</v>
      </c>
      <c r="O490" s="5" t="s">
        <v>39</v>
      </c>
      <c r="P490" t="s">
        <v>119</v>
      </c>
      <c r="Q490" t="s">
        <v>1122</v>
      </c>
      <c r="R490" t="s">
        <v>37</v>
      </c>
      <c r="S490" t="s">
        <v>1123</v>
      </c>
      <c r="T490" t="s">
        <v>43</v>
      </c>
      <c r="U490" t="s">
        <v>44</v>
      </c>
      <c r="V490">
        <v>147</v>
      </c>
      <c r="W490" t="s">
        <v>45</v>
      </c>
      <c r="X490" t="s">
        <v>239</v>
      </c>
      <c r="Y490" t="s">
        <v>1124</v>
      </c>
      <c r="Z490" t="s">
        <v>37</v>
      </c>
      <c r="AA490" t="s">
        <v>95</v>
      </c>
      <c r="AB490" t="s">
        <v>37</v>
      </c>
      <c r="AC490" s="6" t="s">
        <v>37</v>
      </c>
      <c r="AD490" s="6" t="s">
        <v>37</v>
      </c>
      <c r="AE490" t="s">
        <v>37</v>
      </c>
      <c r="AF490" t="s">
        <v>37</v>
      </c>
      <c r="AG490" s="6" t="s">
        <v>37</v>
      </c>
      <c r="AH490" t="s">
        <v>37</v>
      </c>
      <c r="AI490" t="s">
        <v>37</v>
      </c>
      <c r="AJ490" t="str">
        <f t="shared" si="23"/>
        <v>31DJDC7QB07W7J6RBC</v>
      </c>
    </row>
    <row r="491" spans="1:36" ht="15" customHeight="1" x14ac:dyDescent="0.25">
      <c r="A491" t="s">
        <v>36</v>
      </c>
      <c r="B491" t="s">
        <v>37</v>
      </c>
      <c r="C491" t="s">
        <v>37</v>
      </c>
      <c r="D491" t="s">
        <v>38</v>
      </c>
      <c r="E491" s="4">
        <v>4</v>
      </c>
      <c r="F491" s="5">
        <v>252.92</v>
      </c>
      <c r="G491" s="5" t="s">
        <v>39</v>
      </c>
      <c r="H491" s="5">
        <v>390.16</v>
      </c>
      <c r="I491" s="5" t="s">
        <v>39</v>
      </c>
      <c r="J491" s="5">
        <v>8.5992800000000003</v>
      </c>
      <c r="K491" s="5">
        <f t="shared" si="21"/>
        <v>2.1498200000000001</v>
      </c>
      <c r="L491" s="5">
        <f t="shared" si="22"/>
        <v>63.23</v>
      </c>
      <c r="M491" s="5" t="s">
        <v>39</v>
      </c>
      <c r="N491" s="5">
        <v>8.5992800000000003</v>
      </c>
      <c r="O491" s="5" t="s">
        <v>39</v>
      </c>
      <c r="P491" t="s">
        <v>119</v>
      </c>
      <c r="Q491" t="s">
        <v>1125</v>
      </c>
      <c r="R491" t="s">
        <v>37</v>
      </c>
      <c r="S491" t="s">
        <v>1126</v>
      </c>
      <c r="T491" t="s">
        <v>43</v>
      </c>
      <c r="U491" t="s">
        <v>44</v>
      </c>
      <c r="V491">
        <v>147</v>
      </c>
      <c r="W491" t="s">
        <v>45</v>
      </c>
      <c r="X491" t="s">
        <v>60</v>
      </c>
      <c r="Y491" t="s">
        <v>1127</v>
      </c>
      <c r="Z491" t="s">
        <v>37</v>
      </c>
      <c r="AA491" t="s">
        <v>55</v>
      </c>
      <c r="AB491" t="s">
        <v>37</v>
      </c>
      <c r="AC491" s="6" t="s">
        <v>37</v>
      </c>
      <c r="AD491" s="6" t="s">
        <v>37</v>
      </c>
      <c r="AE491" t="s">
        <v>37</v>
      </c>
      <c r="AF491" t="s">
        <v>37</v>
      </c>
      <c r="AG491" s="6" t="s">
        <v>37</v>
      </c>
      <c r="AH491" t="s">
        <v>37</v>
      </c>
      <c r="AI491" t="s">
        <v>37</v>
      </c>
      <c r="AJ491" t="str">
        <f t="shared" si="23"/>
        <v>31DJDC7QB07W7LXYTR</v>
      </c>
    </row>
    <row r="492" spans="1:36" ht="15" customHeight="1" x14ac:dyDescent="0.25">
      <c r="A492" t="s">
        <v>96</v>
      </c>
      <c r="B492" t="s">
        <v>37</v>
      </c>
      <c r="C492" t="s">
        <v>37</v>
      </c>
      <c r="D492" t="s">
        <v>38</v>
      </c>
      <c r="E492" s="4">
        <v>80</v>
      </c>
      <c r="F492" s="5">
        <v>1311.2</v>
      </c>
      <c r="G492" s="5" t="s">
        <v>39</v>
      </c>
      <c r="H492" s="5">
        <v>1966.4</v>
      </c>
      <c r="I492" s="5" t="s">
        <v>39</v>
      </c>
      <c r="J492" s="5">
        <v>44.580800000000004</v>
      </c>
      <c r="K492" s="5">
        <f t="shared" si="21"/>
        <v>0.55726000000000009</v>
      </c>
      <c r="L492" s="5">
        <f t="shared" si="22"/>
        <v>16.39</v>
      </c>
      <c r="M492" s="5" t="s">
        <v>39</v>
      </c>
      <c r="N492" s="5">
        <v>44.580800000000004</v>
      </c>
      <c r="O492" s="5" t="s">
        <v>39</v>
      </c>
      <c r="P492" t="s">
        <v>222</v>
      </c>
      <c r="Q492" t="s">
        <v>1128</v>
      </c>
      <c r="R492" t="s">
        <v>37</v>
      </c>
      <c r="S492" t="s">
        <v>1129</v>
      </c>
      <c r="T492" t="s">
        <v>43</v>
      </c>
      <c r="U492" t="s">
        <v>44</v>
      </c>
      <c r="V492">
        <v>147</v>
      </c>
      <c r="W492" t="s">
        <v>45</v>
      </c>
      <c r="X492" t="s">
        <v>53</v>
      </c>
      <c r="Y492" t="s">
        <v>1130</v>
      </c>
      <c r="Z492" t="s">
        <v>37</v>
      </c>
      <c r="AA492" t="s">
        <v>55</v>
      </c>
      <c r="AB492" t="s">
        <v>37</v>
      </c>
      <c r="AC492" s="6" t="s">
        <v>37</v>
      </c>
      <c r="AD492" s="6" t="s">
        <v>37</v>
      </c>
      <c r="AE492" t="s">
        <v>37</v>
      </c>
      <c r="AF492" t="s">
        <v>37</v>
      </c>
      <c r="AG492" s="6" t="s">
        <v>37</v>
      </c>
      <c r="AH492" t="s">
        <v>37</v>
      </c>
      <c r="AI492" t="s">
        <v>37</v>
      </c>
      <c r="AJ492" t="str">
        <f t="shared" si="23"/>
        <v>2F7Y5WIXB07W4DJ16Z</v>
      </c>
    </row>
    <row r="493" spans="1:36" ht="15" customHeight="1" x14ac:dyDescent="0.25">
      <c r="A493" t="s">
        <v>36</v>
      </c>
      <c r="B493" t="s">
        <v>37</v>
      </c>
      <c r="C493" t="s">
        <v>37</v>
      </c>
      <c r="D493" t="s">
        <v>38</v>
      </c>
      <c r="E493" s="4">
        <v>48</v>
      </c>
      <c r="F493" s="5">
        <v>1493.76</v>
      </c>
      <c r="G493" s="5" t="s">
        <v>39</v>
      </c>
      <c r="H493" s="5">
        <v>1888.32</v>
      </c>
      <c r="I493" s="5" t="s">
        <v>39</v>
      </c>
      <c r="J493" s="5">
        <v>50.787840000000003</v>
      </c>
      <c r="K493" s="5">
        <f t="shared" si="21"/>
        <v>1.0580800000000001</v>
      </c>
      <c r="L493" s="5">
        <f t="shared" si="22"/>
        <v>31.12</v>
      </c>
      <c r="M493" s="5" t="s">
        <v>39</v>
      </c>
      <c r="N493" s="5">
        <v>50.787840000000003</v>
      </c>
      <c r="O493" s="5" t="s">
        <v>39</v>
      </c>
      <c r="P493" t="s">
        <v>270</v>
      </c>
      <c r="Q493" t="s">
        <v>1131</v>
      </c>
      <c r="R493" t="s">
        <v>37</v>
      </c>
      <c r="S493" t="s">
        <v>1132</v>
      </c>
      <c r="T493" t="s">
        <v>43</v>
      </c>
      <c r="U493" t="s">
        <v>44</v>
      </c>
      <c r="V493">
        <v>147</v>
      </c>
      <c r="W493" t="s">
        <v>45</v>
      </c>
      <c r="X493" t="s">
        <v>239</v>
      </c>
      <c r="Y493" t="s">
        <v>1133</v>
      </c>
      <c r="Z493" t="s">
        <v>37</v>
      </c>
      <c r="AA493" t="s">
        <v>55</v>
      </c>
      <c r="AB493" t="s">
        <v>37</v>
      </c>
      <c r="AC493" s="6" t="s">
        <v>37</v>
      </c>
      <c r="AD493" s="6" t="s">
        <v>37</v>
      </c>
      <c r="AE493" t="s">
        <v>37</v>
      </c>
      <c r="AF493" t="s">
        <v>37</v>
      </c>
      <c r="AG493" s="6" t="s">
        <v>37</v>
      </c>
      <c r="AH493" t="s">
        <v>37</v>
      </c>
      <c r="AI493" t="s">
        <v>37</v>
      </c>
      <c r="AJ493" t="str">
        <f t="shared" si="23"/>
        <v>1X4DXX4TB07W7KBRHZ</v>
      </c>
    </row>
    <row r="494" spans="1:36" ht="15" customHeight="1" x14ac:dyDescent="0.25">
      <c r="A494" t="s">
        <v>56</v>
      </c>
      <c r="B494" t="s">
        <v>37</v>
      </c>
      <c r="C494" t="s">
        <v>37</v>
      </c>
      <c r="D494" t="s">
        <v>38</v>
      </c>
      <c r="E494" s="4">
        <v>4</v>
      </c>
      <c r="F494" s="5">
        <v>140.52000000000001</v>
      </c>
      <c r="G494" s="5" t="s">
        <v>39</v>
      </c>
      <c r="H494" s="5">
        <v>213.08</v>
      </c>
      <c r="I494" s="5" t="s">
        <v>39</v>
      </c>
      <c r="J494" s="5">
        <v>4.7776800000000001</v>
      </c>
      <c r="K494" s="5">
        <f t="shared" si="21"/>
        <v>1.19442</v>
      </c>
      <c r="L494" s="5">
        <f t="shared" si="22"/>
        <v>35.130000000000003</v>
      </c>
      <c r="M494" s="5" t="s">
        <v>39</v>
      </c>
      <c r="N494" s="5">
        <v>4.7776800000000001</v>
      </c>
      <c r="O494" s="5" t="s">
        <v>39</v>
      </c>
      <c r="P494" t="s">
        <v>57</v>
      </c>
      <c r="Q494" t="s">
        <v>927</v>
      </c>
      <c r="R494" t="s">
        <v>37</v>
      </c>
      <c r="S494" t="s">
        <v>928</v>
      </c>
      <c r="T494" t="s">
        <v>43</v>
      </c>
      <c r="U494" t="s">
        <v>44</v>
      </c>
      <c r="V494">
        <v>147</v>
      </c>
      <c r="W494" t="s">
        <v>45</v>
      </c>
      <c r="X494" t="s">
        <v>60</v>
      </c>
      <c r="Y494" t="s">
        <v>929</v>
      </c>
      <c r="Z494" t="s">
        <v>37</v>
      </c>
      <c r="AA494" t="s">
        <v>55</v>
      </c>
      <c r="AB494" t="s">
        <v>37</v>
      </c>
      <c r="AC494" s="6" t="s">
        <v>37</v>
      </c>
      <c r="AD494" s="6" t="s">
        <v>37</v>
      </c>
      <c r="AE494" t="s">
        <v>37</v>
      </c>
      <c r="AF494" t="s">
        <v>37</v>
      </c>
      <c r="AG494" s="6" t="s">
        <v>37</v>
      </c>
      <c r="AH494" t="s">
        <v>37</v>
      </c>
      <c r="AI494" t="s">
        <v>37</v>
      </c>
      <c r="AJ494" t="str">
        <f t="shared" si="23"/>
        <v>3GBCH66MB00969DJO0</v>
      </c>
    </row>
    <row r="495" spans="1:36" ht="15" customHeight="1" x14ac:dyDescent="0.25">
      <c r="A495" t="s">
        <v>36</v>
      </c>
      <c r="B495" t="s">
        <v>37</v>
      </c>
      <c r="C495" t="s">
        <v>37</v>
      </c>
      <c r="D495" t="s">
        <v>38</v>
      </c>
      <c r="E495" s="4">
        <v>28</v>
      </c>
      <c r="F495" s="5">
        <v>3272.92</v>
      </c>
      <c r="G495" s="5" t="s">
        <v>39</v>
      </c>
      <c r="H495" s="5">
        <v>4108.16</v>
      </c>
      <c r="I495" s="5" t="s">
        <v>39</v>
      </c>
      <c r="J495" s="5">
        <v>111.27928</v>
      </c>
      <c r="K495" s="5">
        <f t="shared" si="21"/>
        <v>3.9742600000000001</v>
      </c>
      <c r="L495" s="5">
        <f t="shared" si="22"/>
        <v>116.89</v>
      </c>
      <c r="M495" s="5" t="s">
        <v>39</v>
      </c>
      <c r="N495" s="5">
        <v>111.27928</v>
      </c>
      <c r="O495" s="5" t="s">
        <v>39</v>
      </c>
      <c r="P495" t="s">
        <v>168</v>
      </c>
      <c r="Q495" t="s">
        <v>203</v>
      </c>
      <c r="R495" t="s">
        <v>37</v>
      </c>
      <c r="S495" t="s">
        <v>204</v>
      </c>
      <c r="T495" t="s">
        <v>43</v>
      </c>
      <c r="U495" t="s">
        <v>44</v>
      </c>
      <c r="V495">
        <v>147</v>
      </c>
      <c r="W495" t="s">
        <v>45</v>
      </c>
      <c r="X495" t="s">
        <v>46</v>
      </c>
      <c r="Y495" t="s">
        <v>205</v>
      </c>
      <c r="Z495" t="s">
        <v>37</v>
      </c>
      <c r="AA495" t="s">
        <v>55</v>
      </c>
      <c r="AB495" t="s">
        <v>37</v>
      </c>
      <c r="AC495" s="6" t="s">
        <v>37</v>
      </c>
      <c r="AD495" s="6" t="s">
        <v>37</v>
      </c>
      <c r="AE495" t="s">
        <v>37</v>
      </c>
      <c r="AF495" t="s">
        <v>37</v>
      </c>
      <c r="AG495" s="6" t="s">
        <v>37</v>
      </c>
      <c r="AH495" t="s">
        <v>37</v>
      </c>
      <c r="AI495" t="s">
        <v>37</v>
      </c>
      <c r="AJ495" t="str">
        <f t="shared" si="23"/>
        <v>2R6FMUZDB07PMKHMFS</v>
      </c>
    </row>
    <row r="496" spans="1:36" ht="15" customHeight="1" x14ac:dyDescent="0.25">
      <c r="A496" t="s">
        <v>36</v>
      </c>
      <c r="B496" t="s">
        <v>37</v>
      </c>
      <c r="C496" t="s">
        <v>37</v>
      </c>
      <c r="D496" t="s">
        <v>38</v>
      </c>
      <c r="E496" s="4">
        <v>28</v>
      </c>
      <c r="F496" s="5">
        <v>3678.64</v>
      </c>
      <c r="G496" s="5" t="s">
        <v>39</v>
      </c>
      <c r="H496" s="5">
        <v>6173.72</v>
      </c>
      <c r="I496" s="5" t="s">
        <v>39</v>
      </c>
      <c r="J496" s="5">
        <v>125.07375999999999</v>
      </c>
      <c r="K496" s="5">
        <f t="shared" si="21"/>
        <v>4.46692</v>
      </c>
      <c r="L496" s="5">
        <f t="shared" si="22"/>
        <v>131.38</v>
      </c>
      <c r="M496" s="5" t="s">
        <v>39</v>
      </c>
      <c r="N496" s="5">
        <v>125.07375999999999</v>
      </c>
      <c r="O496" s="5" t="s">
        <v>39</v>
      </c>
      <c r="P496" t="s">
        <v>1134</v>
      </c>
      <c r="Q496" t="s">
        <v>1135</v>
      </c>
      <c r="R496" t="s">
        <v>37</v>
      </c>
      <c r="S496" t="s">
        <v>1136</v>
      </c>
      <c r="T496" t="s">
        <v>43</v>
      </c>
      <c r="U496" t="s">
        <v>44</v>
      </c>
      <c r="V496">
        <v>147</v>
      </c>
      <c r="W496" t="s">
        <v>45</v>
      </c>
      <c r="X496" t="s">
        <v>46</v>
      </c>
      <c r="Y496" t="s">
        <v>1137</v>
      </c>
      <c r="Z496" t="s">
        <v>37</v>
      </c>
      <c r="AA496" t="s">
        <v>95</v>
      </c>
      <c r="AB496" t="s">
        <v>37</v>
      </c>
      <c r="AC496" s="6" t="s">
        <v>37</v>
      </c>
      <c r="AD496" s="6" t="s">
        <v>37</v>
      </c>
      <c r="AE496" t="s">
        <v>37</v>
      </c>
      <c r="AF496" t="s">
        <v>37</v>
      </c>
      <c r="AG496" s="6" t="s">
        <v>37</v>
      </c>
      <c r="AH496" t="s">
        <v>37</v>
      </c>
      <c r="AI496" t="s">
        <v>37</v>
      </c>
      <c r="AJ496" t="str">
        <f t="shared" si="23"/>
        <v>3T7ZSLFGB07W6H91JG</v>
      </c>
    </row>
    <row r="497" spans="1:36" ht="15" customHeight="1" x14ac:dyDescent="0.25">
      <c r="A497" t="s">
        <v>62</v>
      </c>
      <c r="B497" t="s">
        <v>37</v>
      </c>
      <c r="C497" t="s">
        <v>37</v>
      </c>
      <c r="D497" t="s">
        <v>38</v>
      </c>
      <c r="E497" s="4">
        <v>4</v>
      </c>
      <c r="F497" s="5">
        <v>301.64</v>
      </c>
      <c r="G497" s="5" t="s">
        <v>39</v>
      </c>
      <c r="H497" s="5">
        <v>442.6</v>
      </c>
      <c r="I497" s="5" t="s">
        <v>39</v>
      </c>
      <c r="J497" s="5">
        <v>10.25576</v>
      </c>
      <c r="K497" s="5">
        <f t="shared" si="21"/>
        <v>2.5639400000000001</v>
      </c>
      <c r="L497" s="5">
        <f t="shared" si="22"/>
        <v>75.41</v>
      </c>
      <c r="M497" s="5" t="s">
        <v>39</v>
      </c>
      <c r="N497" s="5">
        <v>10.25576</v>
      </c>
      <c r="O497" s="5" t="s">
        <v>39</v>
      </c>
      <c r="P497" t="s">
        <v>968</v>
      </c>
      <c r="Q497" t="s">
        <v>817</v>
      </c>
      <c r="R497" t="s">
        <v>37</v>
      </c>
      <c r="S497" t="s">
        <v>818</v>
      </c>
      <c r="T497" t="s">
        <v>43</v>
      </c>
      <c r="U497" t="s">
        <v>44</v>
      </c>
      <c r="V497">
        <v>147</v>
      </c>
      <c r="W497" t="s">
        <v>45</v>
      </c>
      <c r="X497" t="s">
        <v>60</v>
      </c>
      <c r="Y497" t="s">
        <v>819</v>
      </c>
      <c r="Z497" t="s">
        <v>37</v>
      </c>
      <c r="AA497" t="s">
        <v>55</v>
      </c>
      <c r="AB497" t="s">
        <v>37</v>
      </c>
      <c r="AC497" s="6" t="s">
        <v>37</v>
      </c>
      <c r="AD497" s="6" t="s">
        <v>37</v>
      </c>
      <c r="AE497" t="s">
        <v>37</v>
      </c>
      <c r="AF497" t="s">
        <v>37</v>
      </c>
      <c r="AG497" s="6" t="s">
        <v>37</v>
      </c>
      <c r="AH497" t="s">
        <v>37</v>
      </c>
      <c r="AI497" t="s">
        <v>37</v>
      </c>
      <c r="AJ497" t="str">
        <f t="shared" si="23"/>
        <v>7LA8DZCZB07W6HXZ5J</v>
      </c>
    </row>
    <row r="498" spans="1:36" ht="15" customHeight="1" x14ac:dyDescent="0.25">
      <c r="A498" t="s">
        <v>96</v>
      </c>
      <c r="B498" t="s">
        <v>37</v>
      </c>
      <c r="C498" t="s">
        <v>37</v>
      </c>
      <c r="D498" t="s">
        <v>38</v>
      </c>
      <c r="E498" s="4">
        <v>104</v>
      </c>
      <c r="F498" s="5">
        <v>4674.8</v>
      </c>
      <c r="G498" s="5" t="s">
        <v>39</v>
      </c>
      <c r="H498" s="5">
        <v>5966.48</v>
      </c>
      <c r="I498" s="5" t="s">
        <v>39</v>
      </c>
      <c r="J498" s="5">
        <v>158.94319999999999</v>
      </c>
      <c r="K498" s="5">
        <f t="shared" si="21"/>
        <v>1.5283</v>
      </c>
      <c r="L498" s="5">
        <f t="shared" si="22"/>
        <v>44.95</v>
      </c>
      <c r="M498" s="5" t="s">
        <v>39</v>
      </c>
      <c r="N498" s="5">
        <v>158.94319999999999</v>
      </c>
      <c r="O498" s="5" t="s">
        <v>39</v>
      </c>
      <c r="P498" t="s">
        <v>969</v>
      </c>
      <c r="Q498" t="s">
        <v>1138</v>
      </c>
      <c r="R498" t="s">
        <v>1139</v>
      </c>
      <c r="S498" t="s">
        <v>1140</v>
      </c>
      <c r="T498" t="s">
        <v>43</v>
      </c>
      <c r="U498" t="s">
        <v>44</v>
      </c>
      <c r="V498">
        <v>147</v>
      </c>
      <c r="W498" t="s">
        <v>45</v>
      </c>
      <c r="X498" t="s">
        <v>46</v>
      </c>
      <c r="Y498" t="s">
        <v>1141</v>
      </c>
      <c r="Z498" t="s">
        <v>37</v>
      </c>
      <c r="AA498" t="s">
        <v>307</v>
      </c>
      <c r="AB498" t="s">
        <v>37</v>
      </c>
      <c r="AC498" s="6" t="s">
        <v>37</v>
      </c>
      <c r="AD498" s="6" t="s">
        <v>37</v>
      </c>
      <c r="AE498" t="s">
        <v>37</v>
      </c>
      <c r="AF498" t="s">
        <v>37</v>
      </c>
      <c r="AG498" s="6" t="s">
        <v>37</v>
      </c>
      <c r="AH498" t="s">
        <v>37</v>
      </c>
      <c r="AI498" t="s">
        <v>37</v>
      </c>
      <c r="AJ498" t="str">
        <f t="shared" si="23"/>
        <v>1VBBCE3CB0711V7BV6</v>
      </c>
    </row>
    <row r="499" spans="1:36" ht="15" customHeight="1" x14ac:dyDescent="0.25">
      <c r="A499" t="s">
        <v>36</v>
      </c>
      <c r="B499" t="s">
        <v>37</v>
      </c>
      <c r="C499" t="s">
        <v>37</v>
      </c>
      <c r="D499" t="s">
        <v>38</v>
      </c>
      <c r="E499" s="4">
        <v>120</v>
      </c>
      <c r="F499" s="5">
        <v>7587.6</v>
      </c>
      <c r="G499" s="5" t="s">
        <v>39</v>
      </c>
      <c r="H499" s="5">
        <v>11704.8</v>
      </c>
      <c r="I499" s="5" t="s">
        <v>39</v>
      </c>
      <c r="J499" s="5">
        <v>257.97840000000002</v>
      </c>
      <c r="K499" s="5">
        <f t="shared" si="21"/>
        <v>2.1498200000000001</v>
      </c>
      <c r="L499" s="5">
        <f t="shared" si="22"/>
        <v>63.230000000000004</v>
      </c>
      <c r="M499" s="5" t="s">
        <v>39</v>
      </c>
      <c r="N499" s="5">
        <v>257.97840000000002</v>
      </c>
      <c r="O499" s="5" t="s">
        <v>39</v>
      </c>
      <c r="P499" t="s">
        <v>119</v>
      </c>
      <c r="Q499" t="s">
        <v>1142</v>
      </c>
      <c r="R499" t="s">
        <v>37</v>
      </c>
      <c r="S499" t="s">
        <v>1143</v>
      </c>
      <c r="T499" t="s">
        <v>43</v>
      </c>
      <c r="U499" t="s">
        <v>44</v>
      </c>
      <c r="V499">
        <v>147</v>
      </c>
      <c r="W499" t="s">
        <v>45</v>
      </c>
      <c r="X499" t="s">
        <v>60</v>
      </c>
      <c r="Y499" t="s">
        <v>1144</v>
      </c>
      <c r="Z499" t="s">
        <v>37</v>
      </c>
      <c r="AA499" t="s">
        <v>55</v>
      </c>
      <c r="AB499" t="s">
        <v>37</v>
      </c>
      <c r="AC499" s="6" t="s">
        <v>37</v>
      </c>
      <c r="AD499" s="6" t="s">
        <v>37</v>
      </c>
      <c r="AE499" t="s">
        <v>37</v>
      </c>
      <c r="AF499" t="s">
        <v>37</v>
      </c>
      <c r="AG499" s="6" t="s">
        <v>37</v>
      </c>
      <c r="AH499" t="s">
        <v>37</v>
      </c>
      <c r="AI499" t="s">
        <v>37</v>
      </c>
      <c r="AJ499" t="str">
        <f t="shared" si="23"/>
        <v>31DJDC7QB07W7LFHH9</v>
      </c>
    </row>
    <row r="500" spans="1:36" ht="15" customHeight="1" x14ac:dyDescent="0.25">
      <c r="A500" t="s">
        <v>49</v>
      </c>
      <c r="B500" t="s">
        <v>37</v>
      </c>
      <c r="C500" t="s">
        <v>37</v>
      </c>
      <c r="D500" t="s">
        <v>38</v>
      </c>
      <c r="E500" s="4">
        <v>100</v>
      </c>
      <c r="F500" s="5">
        <v>4495</v>
      </c>
      <c r="G500" s="5" t="s">
        <v>39</v>
      </c>
      <c r="H500" s="5">
        <v>5737</v>
      </c>
      <c r="I500" s="5" t="s">
        <v>39</v>
      </c>
      <c r="J500" s="5">
        <v>152.83000000000001</v>
      </c>
      <c r="K500" s="5">
        <f t="shared" si="21"/>
        <v>1.5283000000000002</v>
      </c>
      <c r="L500" s="5">
        <f t="shared" si="22"/>
        <v>44.95</v>
      </c>
      <c r="M500" s="5" t="s">
        <v>39</v>
      </c>
      <c r="N500" s="5">
        <v>152.83000000000001</v>
      </c>
      <c r="O500" s="5" t="s">
        <v>39</v>
      </c>
      <c r="P500" t="s">
        <v>969</v>
      </c>
      <c r="Q500" t="s">
        <v>1138</v>
      </c>
      <c r="R500" t="s">
        <v>1139</v>
      </c>
      <c r="S500" t="s">
        <v>1140</v>
      </c>
      <c r="T500" t="s">
        <v>43</v>
      </c>
      <c r="U500" t="s">
        <v>44</v>
      </c>
      <c r="V500">
        <v>147</v>
      </c>
      <c r="W500" t="s">
        <v>45</v>
      </c>
      <c r="X500" t="s">
        <v>46</v>
      </c>
      <c r="Y500" t="s">
        <v>1141</v>
      </c>
      <c r="Z500" t="s">
        <v>37</v>
      </c>
      <c r="AA500" t="s">
        <v>307</v>
      </c>
      <c r="AB500" t="s">
        <v>37</v>
      </c>
      <c r="AC500" s="6" t="s">
        <v>37</v>
      </c>
      <c r="AD500" s="6" t="s">
        <v>37</v>
      </c>
      <c r="AE500" t="s">
        <v>37</v>
      </c>
      <c r="AF500" t="s">
        <v>37</v>
      </c>
      <c r="AG500" s="6" t="s">
        <v>37</v>
      </c>
      <c r="AH500" t="s">
        <v>37</v>
      </c>
      <c r="AI500" t="s">
        <v>37</v>
      </c>
      <c r="AJ500" t="str">
        <f t="shared" si="23"/>
        <v>1VBBCE3CB0711V7BV6</v>
      </c>
    </row>
    <row r="501" spans="1:36" ht="15" customHeight="1" x14ac:dyDescent="0.25">
      <c r="A501" t="s">
        <v>36</v>
      </c>
      <c r="B501" t="s">
        <v>37</v>
      </c>
      <c r="C501" t="s">
        <v>37</v>
      </c>
      <c r="D501" t="s">
        <v>38</v>
      </c>
      <c r="E501" s="4">
        <v>32</v>
      </c>
      <c r="F501" s="5">
        <v>759.68</v>
      </c>
      <c r="G501" s="5" t="s">
        <v>39</v>
      </c>
      <c r="H501" s="5">
        <v>1258.8800000000001</v>
      </c>
      <c r="I501" s="5" t="s">
        <v>39</v>
      </c>
      <c r="J501" s="5">
        <v>25.82912</v>
      </c>
      <c r="K501" s="5">
        <f t="shared" si="21"/>
        <v>0.80715999999999999</v>
      </c>
      <c r="L501" s="5">
        <f t="shared" si="22"/>
        <v>23.74</v>
      </c>
      <c r="M501" s="5" t="s">
        <v>39</v>
      </c>
      <c r="N501" s="5">
        <v>25.82912</v>
      </c>
      <c r="O501" s="5" t="s">
        <v>39</v>
      </c>
      <c r="P501" t="s">
        <v>365</v>
      </c>
      <c r="Q501" t="s">
        <v>825</v>
      </c>
      <c r="R501" t="s">
        <v>37</v>
      </c>
      <c r="S501" t="s">
        <v>826</v>
      </c>
      <c r="T501" t="s">
        <v>43</v>
      </c>
      <c r="U501" t="s">
        <v>44</v>
      </c>
      <c r="V501">
        <v>147</v>
      </c>
      <c r="W501" t="s">
        <v>45</v>
      </c>
      <c r="X501" t="s">
        <v>53</v>
      </c>
      <c r="Y501" t="s">
        <v>123</v>
      </c>
      <c r="Z501" t="s">
        <v>37</v>
      </c>
      <c r="AA501" t="s">
        <v>95</v>
      </c>
      <c r="AB501" t="s">
        <v>37</v>
      </c>
      <c r="AC501" s="6" t="s">
        <v>37</v>
      </c>
      <c r="AD501" s="6" t="s">
        <v>37</v>
      </c>
      <c r="AE501" t="s">
        <v>37</v>
      </c>
      <c r="AF501" t="s">
        <v>37</v>
      </c>
      <c r="AG501" s="6" t="s">
        <v>37</v>
      </c>
      <c r="AH501" t="s">
        <v>37</v>
      </c>
      <c r="AI501" t="s">
        <v>37</v>
      </c>
      <c r="AJ501" t="str">
        <f t="shared" si="23"/>
        <v>3KYCEHVHB07W6JPVPF</v>
      </c>
    </row>
    <row r="502" spans="1:36" ht="15" customHeight="1" x14ac:dyDescent="0.25">
      <c r="A502" t="s">
        <v>411</v>
      </c>
      <c r="B502" t="s">
        <v>37</v>
      </c>
      <c r="C502" t="s">
        <v>37</v>
      </c>
      <c r="D502" t="s">
        <v>38</v>
      </c>
      <c r="E502" s="4">
        <v>416</v>
      </c>
      <c r="F502" s="5">
        <v>8528</v>
      </c>
      <c r="G502" s="5" t="s">
        <v>39</v>
      </c>
      <c r="H502" s="5">
        <v>12954.24</v>
      </c>
      <c r="I502" s="5" t="s">
        <v>39</v>
      </c>
      <c r="J502" s="5">
        <v>289.952</v>
      </c>
      <c r="K502" s="5">
        <f t="shared" si="21"/>
        <v>0.69699999999999995</v>
      </c>
      <c r="L502" s="5">
        <f t="shared" si="22"/>
        <v>20.5</v>
      </c>
      <c r="M502" s="5" t="s">
        <v>39</v>
      </c>
      <c r="N502" s="5">
        <v>289.952</v>
      </c>
      <c r="O502" s="5" t="s">
        <v>39</v>
      </c>
      <c r="P502" t="s">
        <v>412</v>
      </c>
      <c r="Q502" t="s">
        <v>567</v>
      </c>
      <c r="R502" t="s">
        <v>37</v>
      </c>
      <c r="S502" t="s">
        <v>568</v>
      </c>
      <c r="T502" t="s">
        <v>43</v>
      </c>
      <c r="U502" t="s">
        <v>44</v>
      </c>
      <c r="V502">
        <v>147</v>
      </c>
      <c r="W502" t="s">
        <v>45</v>
      </c>
      <c r="X502" t="s">
        <v>60</v>
      </c>
      <c r="Y502" t="s">
        <v>569</v>
      </c>
      <c r="Z502" t="s">
        <v>37</v>
      </c>
      <c r="AA502" t="s">
        <v>95</v>
      </c>
      <c r="AB502" t="s">
        <v>37</v>
      </c>
      <c r="AC502" s="6" t="s">
        <v>37</v>
      </c>
      <c r="AD502" s="6" t="s">
        <v>37</v>
      </c>
      <c r="AE502" t="s">
        <v>37</v>
      </c>
      <c r="AF502" t="s">
        <v>37</v>
      </c>
      <c r="AG502" s="6" t="s">
        <v>37</v>
      </c>
      <c r="AH502" t="s">
        <v>37</v>
      </c>
      <c r="AI502" t="s">
        <v>37</v>
      </c>
      <c r="AJ502" t="str">
        <f t="shared" si="23"/>
        <v>6JWFV3WKB006ZLK9SQ</v>
      </c>
    </row>
    <row r="503" spans="1:36" ht="15" customHeight="1" x14ac:dyDescent="0.25">
      <c r="A503" t="s">
        <v>36</v>
      </c>
      <c r="B503" t="s">
        <v>37</v>
      </c>
      <c r="C503" t="s">
        <v>37</v>
      </c>
      <c r="D503" t="s">
        <v>38</v>
      </c>
      <c r="E503" s="4">
        <v>4</v>
      </c>
      <c r="F503" s="5">
        <v>301.64</v>
      </c>
      <c r="G503" s="5" t="s">
        <v>39</v>
      </c>
      <c r="H503" s="5">
        <v>442.6</v>
      </c>
      <c r="I503" s="5" t="s">
        <v>39</v>
      </c>
      <c r="J503" s="5">
        <v>10.25576</v>
      </c>
      <c r="K503" s="5">
        <f t="shared" si="21"/>
        <v>2.5639400000000001</v>
      </c>
      <c r="L503" s="5">
        <f t="shared" si="22"/>
        <v>75.41</v>
      </c>
      <c r="M503" s="5" t="s">
        <v>39</v>
      </c>
      <c r="N503" s="5">
        <v>10.25576</v>
      </c>
      <c r="O503" s="5" t="s">
        <v>39</v>
      </c>
      <c r="P503" t="s">
        <v>133</v>
      </c>
      <c r="Q503" t="s">
        <v>1145</v>
      </c>
      <c r="R503" t="s">
        <v>37</v>
      </c>
      <c r="S503" t="s">
        <v>1146</v>
      </c>
      <c r="T503" t="s">
        <v>43</v>
      </c>
      <c r="U503" t="s">
        <v>44</v>
      </c>
      <c r="V503">
        <v>147</v>
      </c>
      <c r="W503" t="s">
        <v>45</v>
      </c>
      <c r="X503" t="s">
        <v>46</v>
      </c>
      <c r="Y503" t="s">
        <v>1147</v>
      </c>
      <c r="Z503" t="s">
        <v>37</v>
      </c>
      <c r="AA503" t="s">
        <v>55</v>
      </c>
      <c r="AB503" t="s">
        <v>37</v>
      </c>
      <c r="AC503" s="6" t="s">
        <v>37</v>
      </c>
      <c r="AD503" s="6" t="s">
        <v>37</v>
      </c>
      <c r="AE503" t="s">
        <v>37</v>
      </c>
      <c r="AF503" t="s">
        <v>37</v>
      </c>
      <c r="AG503" s="6" t="s">
        <v>37</v>
      </c>
      <c r="AH503" t="s">
        <v>37</v>
      </c>
      <c r="AI503" t="s">
        <v>37</v>
      </c>
      <c r="AJ503" t="str">
        <f t="shared" si="23"/>
        <v>36BT7GGLB07W6GNXZF</v>
      </c>
    </row>
    <row r="504" spans="1:36" ht="15" customHeight="1" x14ac:dyDescent="0.25">
      <c r="A504" t="s">
        <v>101</v>
      </c>
      <c r="B504" t="s">
        <v>37</v>
      </c>
      <c r="C504" t="s">
        <v>37</v>
      </c>
      <c r="D504" t="s">
        <v>38</v>
      </c>
      <c r="E504" s="4">
        <v>0</v>
      </c>
      <c r="F504" s="5">
        <v>0</v>
      </c>
      <c r="G504" s="5" t="s">
        <v>39</v>
      </c>
      <c r="H504" s="5">
        <v>0</v>
      </c>
      <c r="I504" s="5" t="s">
        <v>39</v>
      </c>
      <c r="J504" s="5">
        <v>0</v>
      </c>
      <c r="K504" s="5" t="e">
        <f t="shared" si="21"/>
        <v>#DIV/0!</v>
      </c>
      <c r="L504" s="5" t="e">
        <f t="shared" si="22"/>
        <v>#DIV/0!</v>
      </c>
      <c r="M504" s="5" t="s">
        <v>39</v>
      </c>
      <c r="N504" s="5">
        <v>0</v>
      </c>
      <c r="O504" s="5" t="s">
        <v>39</v>
      </c>
      <c r="P504" t="s">
        <v>270</v>
      </c>
      <c r="Q504" t="s">
        <v>513</v>
      </c>
      <c r="R504" t="s">
        <v>37</v>
      </c>
      <c r="S504" t="s">
        <v>514</v>
      </c>
      <c r="T504" t="s">
        <v>43</v>
      </c>
      <c r="U504" t="s">
        <v>44</v>
      </c>
      <c r="V504">
        <v>147</v>
      </c>
      <c r="W504" t="s">
        <v>45</v>
      </c>
      <c r="X504" t="s">
        <v>53</v>
      </c>
      <c r="Y504" t="s">
        <v>515</v>
      </c>
      <c r="Z504" t="s">
        <v>37</v>
      </c>
      <c r="AA504" t="s">
        <v>55</v>
      </c>
      <c r="AB504" t="s">
        <v>37</v>
      </c>
      <c r="AC504" s="6" t="s">
        <v>37</v>
      </c>
      <c r="AD504" s="6" t="s">
        <v>37</v>
      </c>
      <c r="AE504" t="s">
        <v>37</v>
      </c>
      <c r="AF504" t="s">
        <v>37</v>
      </c>
      <c r="AG504" s="6" t="s">
        <v>37</v>
      </c>
      <c r="AH504" t="s">
        <v>37</v>
      </c>
      <c r="AI504" t="s">
        <v>37</v>
      </c>
      <c r="AJ504" t="str">
        <f t="shared" si="23"/>
        <v>1X4DXX4TB074W227RK</v>
      </c>
    </row>
    <row r="505" spans="1:36" ht="15" customHeight="1" x14ac:dyDescent="0.25">
      <c r="A505" t="s">
        <v>118</v>
      </c>
      <c r="B505" t="s">
        <v>37</v>
      </c>
      <c r="C505" t="s">
        <v>37</v>
      </c>
      <c r="D505" t="s">
        <v>38</v>
      </c>
      <c r="E505" s="4">
        <v>2</v>
      </c>
      <c r="F505" s="5">
        <v>262.76</v>
      </c>
      <c r="G505" s="5" t="s">
        <v>39</v>
      </c>
      <c r="H505" s="5">
        <v>424.58</v>
      </c>
      <c r="I505" s="5" t="s">
        <v>39</v>
      </c>
      <c r="J505" s="5">
        <v>8.93384</v>
      </c>
      <c r="K505" s="5">
        <f t="shared" si="21"/>
        <v>4.46692</v>
      </c>
      <c r="L505" s="5">
        <f t="shared" si="22"/>
        <v>131.38</v>
      </c>
      <c r="M505" s="5" t="s">
        <v>39</v>
      </c>
      <c r="N505" s="5">
        <v>8.93384</v>
      </c>
      <c r="O505" s="5" t="s">
        <v>39</v>
      </c>
      <c r="P505" t="s">
        <v>462</v>
      </c>
      <c r="Q505" t="s">
        <v>1148</v>
      </c>
      <c r="R505" t="s">
        <v>37</v>
      </c>
      <c r="S505" t="s">
        <v>1149</v>
      </c>
      <c r="T505" t="s">
        <v>43</v>
      </c>
      <c r="U505" t="s">
        <v>44</v>
      </c>
      <c r="V505">
        <v>147</v>
      </c>
      <c r="W505" t="s">
        <v>45</v>
      </c>
      <c r="X505" t="s">
        <v>46</v>
      </c>
      <c r="Y505" t="s">
        <v>1150</v>
      </c>
      <c r="Z505" t="s">
        <v>37</v>
      </c>
      <c r="AA505" t="s">
        <v>95</v>
      </c>
      <c r="AB505" t="s">
        <v>37</v>
      </c>
      <c r="AC505" s="6" t="s">
        <v>37</v>
      </c>
      <c r="AD505" s="6" t="s">
        <v>37</v>
      </c>
      <c r="AE505" t="s">
        <v>37</v>
      </c>
      <c r="AF505" t="s">
        <v>37</v>
      </c>
      <c r="AG505" s="6" t="s">
        <v>37</v>
      </c>
      <c r="AH505" t="s">
        <v>37</v>
      </c>
      <c r="AI505" t="s">
        <v>37</v>
      </c>
      <c r="AJ505" t="str">
        <f t="shared" si="23"/>
        <v>17D6YHERB079VVQS1R</v>
      </c>
    </row>
    <row r="506" spans="1:36" ht="15" customHeight="1" x14ac:dyDescent="0.25">
      <c r="A506" t="s">
        <v>118</v>
      </c>
      <c r="B506" t="s">
        <v>37</v>
      </c>
      <c r="C506" t="s">
        <v>37</v>
      </c>
      <c r="D506" t="s">
        <v>38</v>
      </c>
      <c r="E506" s="4">
        <v>44</v>
      </c>
      <c r="F506" s="5">
        <v>721.16</v>
      </c>
      <c r="G506" s="5" t="s">
        <v>39</v>
      </c>
      <c r="H506" s="5">
        <v>1081.52</v>
      </c>
      <c r="I506" s="5" t="s">
        <v>39</v>
      </c>
      <c r="J506" s="5">
        <v>24.519439999999999</v>
      </c>
      <c r="K506" s="5">
        <f t="shared" si="21"/>
        <v>0.55725999999999998</v>
      </c>
      <c r="L506" s="5">
        <f t="shared" si="22"/>
        <v>16.39</v>
      </c>
      <c r="M506" s="5" t="s">
        <v>39</v>
      </c>
      <c r="N506" s="5">
        <v>24.519439999999999</v>
      </c>
      <c r="O506" s="5" t="s">
        <v>39</v>
      </c>
      <c r="P506" t="s">
        <v>537</v>
      </c>
      <c r="Q506" t="s">
        <v>854</v>
      </c>
      <c r="R506" t="s">
        <v>37</v>
      </c>
      <c r="S506" t="s">
        <v>855</v>
      </c>
      <c r="T506" t="s">
        <v>43</v>
      </c>
      <c r="U506" t="s">
        <v>44</v>
      </c>
      <c r="V506">
        <v>147</v>
      </c>
      <c r="W506" t="s">
        <v>45</v>
      </c>
      <c r="X506" t="s">
        <v>239</v>
      </c>
      <c r="Y506" t="s">
        <v>856</v>
      </c>
      <c r="Z506" t="s">
        <v>37</v>
      </c>
      <c r="AA506" t="s">
        <v>95</v>
      </c>
      <c r="AB506" t="s">
        <v>37</v>
      </c>
      <c r="AC506" s="6" t="s">
        <v>37</v>
      </c>
      <c r="AD506" s="6" t="s">
        <v>37</v>
      </c>
      <c r="AE506" t="s">
        <v>37</v>
      </c>
      <c r="AF506" t="s">
        <v>37</v>
      </c>
      <c r="AG506" s="6" t="s">
        <v>37</v>
      </c>
      <c r="AH506" t="s">
        <v>37</v>
      </c>
      <c r="AI506" t="s">
        <v>37</v>
      </c>
      <c r="AJ506" t="str">
        <f t="shared" si="23"/>
        <v>1LQM129ZB00ZOOKDU4</v>
      </c>
    </row>
    <row r="507" spans="1:36" ht="15" customHeight="1" x14ac:dyDescent="0.25">
      <c r="A507" t="s">
        <v>127</v>
      </c>
      <c r="B507" t="s">
        <v>37</v>
      </c>
      <c r="C507" t="s">
        <v>37</v>
      </c>
      <c r="D507" t="s">
        <v>38</v>
      </c>
      <c r="E507" s="4">
        <v>32</v>
      </c>
      <c r="F507" s="5">
        <v>656</v>
      </c>
      <c r="G507" s="5" t="s">
        <v>39</v>
      </c>
      <c r="H507" s="5">
        <v>1310.08</v>
      </c>
      <c r="I507" s="5" t="s">
        <v>39</v>
      </c>
      <c r="J507" s="5">
        <v>22.303999999999998</v>
      </c>
      <c r="K507" s="5">
        <f t="shared" si="21"/>
        <v>0.69699999999999995</v>
      </c>
      <c r="L507" s="5">
        <f t="shared" si="22"/>
        <v>20.5</v>
      </c>
      <c r="M507" s="5" t="s">
        <v>39</v>
      </c>
      <c r="N507" s="5">
        <v>22.303999999999998</v>
      </c>
      <c r="O507" s="5" t="s">
        <v>39</v>
      </c>
      <c r="P507" t="s">
        <v>119</v>
      </c>
      <c r="Q507" t="s">
        <v>129</v>
      </c>
      <c r="R507" t="s">
        <v>130</v>
      </c>
      <c r="S507" t="s">
        <v>131</v>
      </c>
      <c r="T507" t="s">
        <v>43</v>
      </c>
      <c r="U507" t="s">
        <v>44</v>
      </c>
      <c r="V507">
        <v>147</v>
      </c>
      <c r="W507" t="s">
        <v>45</v>
      </c>
      <c r="X507" t="s">
        <v>60</v>
      </c>
      <c r="Y507" t="s">
        <v>132</v>
      </c>
      <c r="Z507" t="s">
        <v>37</v>
      </c>
      <c r="AA507" t="s">
        <v>95</v>
      </c>
      <c r="AB507" t="s">
        <v>37</v>
      </c>
      <c r="AC507" s="6" t="s">
        <v>37</v>
      </c>
      <c r="AD507" s="6" t="s">
        <v>37</v>
      </c>
      <c r="AE507" t="s">
        <v>37</v>
      </c>
      <c r="AF507" t="s">
        <v>37</v>
      </c>
      <c r="AG507" s="6" t="s">
        <v>37</v>
      </c>
      <c r="AH507" t="s">
        <v>37</v>
      </c>
      <c r="AI507" t="s">
        <v>37</v>
      </c>
      <c r="AJ507" t="str">
        <f t="shared" si="23"/>
        <v>31DJDC7QB002L3TSLQ</v>
      </c>
    </row>
    <row r="508" spans="1:36" ht="15" customHeight="1" x14ac:dyDescent="0.25">
      <c r="A508" t="s">
        <v>36</v>
      </c>
      <c r="B508" t="s">
        <v>37</v>
      </c>
      <c r="C508" t="s">
        <v>37</v>
      </c>
      <c r="D508" t="s">
        <v>38</v>
      </c>
      <c r="E508" s="4">
        <v>4</v>
      </c>
      <c r="F508" s="5">
        <v>425.96</v>
      </c>
      <c r="G508" s="5" t="s">
        <v>39</v>
      </c>
      <c r="H508" s="5">
        <v>573.72</v>
      </c>
      <c r="I508" s="5" t="s">
        <v>39</v>
      </c>
      <c r="J508" s="5">
        <v>14.48264</v>
      </c>
      <c r="K508" s="5">
        <f t="shared" si="21"/>
        <v>3.62066</v>
      </c>
      <c r="L508" s="5">
        <f t="shared" si="22"/>
        <v>106.49</v>
      </c>
      <c r="M508" s="5" t="s">
        <v>39</v>
      </c>
      <c r="N508" s="5">
        <v>14.48264</v>
      </c>
      <c r="O508" s="5" t="s">
        <v>39</v>
      </c>
      <c r="P508" t="s">
        <v>67</v>
      </c>
      <c r="Q508" t="s">
        <v>1151</v>
      </c>
      <c r="R508" t="s">
        <v>37</v>
      </c>
      <c r="S508" t="s">
        <v>1152</v>
      </c>
      <c r="T508" t="s">
        <v>43</v>
      </c>
      <c r="U508" t="s">
        <v>44</v>
      </c>
      <c r="V508">
        <v>23</v>
      </c>
      <c r="W508" t="s">
        <v>281</v>
      </c>
      <c r="X508" t="s">
        <v>282</v>
      </c>
      <c r="Y508" t="s">
        <v>1153</v>
      </c>
      <c r="Z508" t="s">
        <v>37</v>
      </c>
      <c r="AA508" t="s">
        <v>95</v>
      </c>
      <c r="AB508" t="s">
        <v>37</v>
      </c>
      <c r="AC508" s="6" t="s">
        <v>37</v>
      </c>
      <c r="AD508" s="6" t="s">
        <v>37</v>
      </c>
      <c r="AE508" t="s">
        <v>37</v>
      </c>
      <c r="AF508" t="s">
        <v>37</v>
      </c>
      <c r="AG508" s="6" t="s">
        <v>37</v>
      </c>
      <c r="AH508" t="s">
        <v>37</v>
      </c>
      <c r="AI508" t="s">
        <v>37</v>
      </c>
      <c r="AJ508" t="str">
        <f t="shared" si="23"/>
        <v>2TMBDXBKB07G6LWTG6</v>
      </c>
    </row>
    <row r="509" spans="1:36" ht="15" customHeight="1" x14ac:dyDescent="0.25">
      <c r="A509" t="s">
        <v>62</v>
      </c>
      <c r="B509" t="s">
        <v>37</v>
      </c>
      <c r="C509" t="s">
        <v>37</v>
      </c>
      <c r="D509" t="s">
        <v>38</v>
      </c>
      <c r="E509" s="4">
        <v>28</v>
      </c>
      <c r="F509" s="5">
        <v>983.64</v>
      </c>
      <c r="G509" s="5" t="s">
        <v>39</v>
      </c>
      <c r="H509" s="5">
        <v>1422.68</v>
      </c>
      <c r="I509" s="5" t="s">
        <v>39</v>
      </c>
      <c r="J509" s="5">
        <v>33.443759999999997</v>
      </c>
      <c r="K509" s="5">
        <f t="shared" si="21"/>
        <v>1.1944199999999998</v>
      </c>
      <c r="L509" s="5">
        <f t="shared" si="22"/>
        <v>35.130000000000003</v>
      </c>
      <c r="M509" s="5" t="s">
        <v>39</v>
      </c>
      <c r="N509" s="5">
        <v>33.443759999999997</v>
      </c>
      <c r="O509" s="5" t="s">
        <v>39</v>
      </c>
      <c r="P509" t="s">
        <v>63</v>
      </c>
      <c r="Q509" t="s">
        <v>1154</v>
      </c>
      <c r="R509" t="s">
        <v>37</v>
      </c>
      <c r="S509" t="s">
        <v>1155</v>
      </c>
      <c r="T509" t="s">
        <v>43</v>
      </c>
      <c r="U509" t="s">
        <v>44</v>
      </c>
      <c r="V509">
        <v>147</v>
      </c>
      <c r="W509" t="s">
        <v>45</v>
      </c>
      <c r="X509" t="s">
        <v>60</v>
      </c>
      <c r="Y509" t="s">
        <v>1156</v>
      </c>
      <c r="Z509" t="s">
        <v>37</v>
      </c>
      <c r="AA509" t="s">
        <v>55</v>
      </c>
      <c r="AB509" t="s">
        <v>37</v>
      </c>
      <c r="AC509" s="6" t="s">
        <v>37</v>
      </c>
      <c r="AD509" s="6" t="s">
        <v>37</v>
      </c>
      <c r="AE509" t="s">
        <v>37</v>
      </c>
      <c r="AF509" t="s">
        <v>37</v>
      </c>
      <c r="AG509" s="6" t="s">
        <v>37</v>
      </c>
      <c r="AH509" t="s">
        <v>37</v>
      </c>
      <c r="AI509" t="s">
        <v>37</v>
      </c>
      <c r="AJ509" t="str">
        <f t="shared" si="23"/>
        <v>7H9X1Z6SB07VFVRZ6Y</v>
      </c>
    </row>
    <row r="510" spans="1:36" ht="15" customHeight="1" x14ac:dyDescent="0.25">
      <c r="A510" t="s">
        <v>62</v>
      </c>
      <c r="B510" t="s">
        <v>37</v>
      </c>
      <c r="C510" t="s">
        <v>37</v>
      </c>
      <c r="D510" t="s">
        <v>38</v>
      </c>
      <c r="E510" s="4">
        <v>240</v>
      </c>
      <c r="F510" s="5">
        <v>5620.8</v>
      </c>
      <c r="G510" s="5" t="s">
        <v>39</v>
      </c>
      <c r="H510" s="5">
        <v>8064</v>
      </c>
      <c r="I510" s="5" t="s">
        <v>39</v>
      </c>
      <c r="J510" s="5">
        <v>191.10720000000001</v>
      </c>
      <c r="K510" s="5">
        <f t="shared" si="21"/>
        <v>0.79627999999999999</v>
      </c>
      <c r="L510" s="5">
        <f t="shared" si="22"/>
        <v>23.42</v>
      </c>
      <c r="M510" s="5" t="s">
        <v>39</v>
      </c>
      <c r="N510" s="5">
        <v>191.10720000000001</v>
      </c>
      <c r="O510" s="5" t="s">
        <v>39</v>
      </c>
      <c r="P510" t="s">
        <v>426</v>
      </c>
      <c r="Q510" t="s">
        <v>648</v>
      </c>
      <c r="R510" t="s">
        <v>37</v>
      </c>
      <c r="S510" t="s">
        <v>649</v>
      </c>
      <c r="T510" t="s">
        <v>43</v>
      </c>
      <c r="U510" t="s">
        <v>44</v>
      </c>
      <c r="V510">
        <v>147</v>
      </c>
      <c r="W510" t="s">
        <v>45</v>
      </c>
      <c r="X510" t="s">
        <v>60</v>
      </c>
      <c r="Y510" t="s">
        <v>650</v>
      </c>
      <c r="Z510" t="s">
        <v>37</v>
      </c>
      <c r="AA510" t="s">
        <v>55</v>
      </c>
      <c r="AB510" t="s">
        <v>37</v>
      </c>
      <c r="AC510" s="6" t="s">
        <v>37</v>
      </c>
      <c r="AD510" s="6" t="s">
        <v>37</v>
      </c>
      <c r="AE510" t="s">
        <v>37</v>
      </c>
      <c r="AF510" t="s">
        <v>37</v>
      </c>
      <c r="AG510" s="6" t="s">
        <v>37</v>
      </c>
      <c r="AH510" t="s">
        <v>37</v>
      </c>
      <c r="AI510" t="s">
        <v>37</v>
      </c>
      <c r="AJ510" t="str">
        <f t="shared" si="23"/>
        <v>3IQS66UGB07W6GY66B</v>
      </c>
    </row>
    <row r="511" spans="1:36" ht="15" customHeight="1" x14ac:dyDescent="0.25">
      <c r="A511" t="s">
        <v>36</v>
      </c>
      <c r="B511" t="s">
        <v>37</v>
      </c>
      <c r="C511" t="s">
        <v>37</v>
      </c>
      <c r="D511" t="s">
        <v>38</v>
      </c>
      <c r="E511" s="4">
        <v>520</v>
      </c>
      <c r="F511" s="5">
        <v>10660</v>
      </c>
      <c r="G511" s="5" t="s">
        <v>39</v>
      </c>
      <c r="H511" s="5">
        <v>21288.799999999999</v>
      </c>
      <c r="I511" s="5" t="s">
        <v>39</v>
      </c>
      <c r="J511" s="5">
        <v>362.44</v>
      </c>
      <c r="K511" s="5">
        <f t="shared" si="21"/>
        <v>0.69699999999999995</v>
      </c>
      <c r="L511" s="5">
        <f t="shared" si="22"/>
        <v>20.5</v>
      </c>
      <c r="M511" s="5" t="s">
        <v>39</v>
      </c>
      <c r="N511" s="5">
        <v>362.44</v>
      </c>
      <c r="O511" s="5" t="s">
        <v>39</v>
      </c>
      <c r="P511" t="s">
        <v>119</v>
      </c>
      <c r="Q511" t="s">
        <v>129</v>
      </c>
      <c r="R511" t="s">
        <v>130</v>
      </c>
      <c r="S511" t="s">
        <v>131</v>
      </c>
      <c r="T511" t="s">
        <v>43</v>
      </c>
      <c r="U511" t="s">
        <v>44</v>
      </c>
      <c r="V511">
        <v>147</v>
      </c>
      <c r="W511" t="s">
        <v>45</v>
      </c>
      <c r="X511" t="s">
        <v>60</v>
      </c>
      <c r="Y511" t="s">
        <v>132</v>
      </c>
      <c r="Z511" t="s">
        <v>37</v>
      </c>
      <c r="AA511" t="s">
        <v>95</v>
      </c>
      <c r="AB511" t="s">
        <v>37</v>
      </c>
      <c r="AC511" s="6" t="s">
        <v>37</v>
      </c>
      <c r="AD511" s="6" t="s">
        <v>37</v>
      </c>
      <c r="AE511" t="s">
        <v>37</v>
      </c>
      <c r="AF511" t="s">
        <v>37</v>
      </c>
      <c r="AG511" s="6" t="s">
        <v>37</v>
      </c>
      <c r="AH511" t="s">
        <v>37</v>
      </c>
      <c r="AI511" t="s">
        <v>37</v>
      </c>
      <c r="AJ511" t="str">
        <f t="shared" si="23"/>
        <v>31DJDC7QB002L3TSLQ</v>
      </c>
    </row>
    <row r="512" spans="1:36" ht="15" customHeight="1" x14ac:dyDescent="0.25">
      <c r="A512" t="s">
        <v>162</v>
      </c>
      <c r="B512" t="s">
        <v>37</v>
      </c>
      <c r="C512" t="s">
        <v>37</v>
      </c>
      <c r="D512" t="s">
        <v>38</v>
      </c>
      <c r="E512" s="4">
        <v>0</v>
      </c>
      <c r="F512" s="5">
        <v>0</v>
      </c>
      <c r="G512" s="5" t="s">
        <v>39</v>
      </c>
      <c r="H512" s="5">
        <v>0</v>
      </c>
      <c r="I512" s="5" t="s">
        <v>39</v>
      </c>
      <c r="J512" s="5">
        <v>0</v>
      </c>
      <c r="K512" s="5" t="e">
        <f t="shared" si="21"/>
        <v>#DIV/0!</v>
      </c>
      <c r="L512" s="5" t="e">
        <f t="shared" si="22"/>
        <v>#DIV/0!</v>
      </c>
      <c r="M512" s="5" t="s">
        <v>39</v>
      </c>
      <c r="N512" s="5">
        <v>0</v>
      </c>
      <c r="O512" s="5" t="s">
        <v>39</v>
      </c>
      <c r="P512" t="s">
        <v>270</v>
      </c>
      <c r="Q512" t="s">
        <v>513</v>
      </c>
      <c r="R512" t="s">
        <v>37</v>
      </c>
      <c r="S512" t="s">
        <v>514</v>
      </c>
      <c r="T512" t="s">
        <v>43</v>
      </c>
      <c r="U512" t="s">
        <v>44</v>
      </c>
      <c r="V512">
        <v>147</v>
      </c>
      <c r="W512" t="s">
        <v>45</v>
      </c>
      <c r="X512" t="s">
        <v>53</v>
      </c>
      <c r="Y512" t="s">
        <v>515</v>
      </c>
      <c r="Z512" t="s">
        <v>37</v>
      </c>
      <c r="AA512" t="s">
        <v>55</v>
      </c>
      <c r="AB512" t="s">
        <v>37</v>
      </c>
      <c r="AC512" s="6" t="s">
        <v>37</v>
      </c>
      <c r="AD512" s="6" t="s">
        <v>37</v>
      </c>
      <c r="AE512" t="s">
        <v>37</v>
      </c>
      <c r="AF512" t="s">
        <v>37</v>
      </c>
      <c r="AG512" s="6" t="s">
        <v>37</v>
      </c>
      <c r="AH512" t="s">
        <v>37</v>
      </c>
      <c r="AI512" t="s">
        <v>37</v>
      </c>
      <c r="AJ512" t="str">
        <f t="shared" si="23"/>
        <v>1X4DXX4TB074W227RK</v>
      </c>
    </row>
    <row r="513" spans="1:36" ht="15" customHeight="1" x14ac:dyDescent="0.25">
      <c r="A513" t="s">
        <v>36</v>
      </c>
      <c r="B513" t="s">
        <v>37</v>
      </c>
      <c r="C513" t="s">
        <v>37</v>
      </c>
      <c r="D513" t="s">
        <v>38</v>
      </c>
      <c r="E513" s="4">
        <v>104</v>
      </c>
      <c r="F513" s="5">
        <v>12066.08</v>
      </c>
      <c r="G513" s="5" t="s">
        <v>39</v>
      </c>
      <c r="H513" s="5">
        <v>17048.72</v>
      </c>
      <c r="I513" s="5" t="s">
        <v>39</v>
      </c>
      <c r="J513" s="5">
        <v>410.24671999999998</v>
      </c>
      <c r="K513" s="5">
        <f t="shared" si="21"/>
        <v>3.94468</v>
      </c>
      <c r="L513" s="5">
        <f t="shared" si="22"/>
        <v>116.02</v>
      </c>
      <c r="M513" s="5" t="s">
        <v>39</v>
      </c>
      <c r="N513" s="5">
        <v>410.24671999999998</v>
      </c>
      <c r="O513" s="5" t="s">
        <v>39</v>
      </c>
      <c r="P513" t="s">
        <v>168</v>
      </c>
      <c r="Q513" t="s">
        <v>510</v>
      </c>
      <c r="R513" t="s">
        <v>37</v>
      </c>
      <c r="S513" t="s">
        <v>511</v>
      </c>
      <c r="T513" t="s">
        <v>43</v>
      </c>
      <c r="U513" t="s">
        <v>44</v>
      </c>
      <c r="V513">
        <v>147</v>
      </c>
      <c r="W513" t="s">
        <v>45</v>
      </c>
      <c r="X513" t="s">
        <v>60</v>
      </c>
      <c r="Y513" t="s">
        <v>512</v>
      </c>
      <c r="Z513" t="s">
        <v>37</v>
      </c>
      <c r="AA513" t="s">
        <v>55</v>
      </c>
      <c r="AB513" t="s">
        <v>37</v>
      </c>
      <c r="AC513" s="6" t="s">
        <v>37</v>
      </c>
      <c r="AD513" s="6" t="s">
        <v>37</v>
      </c>
      <c r="AE513" t="s">
        <v>37</v>
      </c>
      <c r="AF513" t="s">
        <v>37</v>
      </c>
      <c r="AG513" s="6" t="s">
        <v>37</v>
      </c>
      <c r="AH513" t="s">
        <v>37</v>
      </c>
      <c r="AI513" t="s">
        <v>37</v>
      </c>
      <c r="AJ513" t="str">
        <f t="shared" si="23"/>
        <v>2R6FMUZDB07W7M4MZP</v>
      </c>
    </row>
    <row r="514" spans="1:36" ht="15" customHeight="1" x14ac:dyDescent="0.25">
      <c r="A514" t="s">
        <v>62</v>
      </c>
      <c r="B514" t="s">
        <v>37</v>
      </c>
      <c r="C514" t="s">
        <v>37</v>
      </c>
      <c r="D514" t="s">
        <v>38</v>
      </c>
      <c r="E514" s="4">
        <v>20</v>
      </c>
      <c r="F514" s="5">
        <v>210.6</v>
      </c>
      <c r="G514" s="5" t="s">
        <v>39</v>
      </c>
      <c r="H514" s="5">
        <v>327.8</v>
      </c>
      <c r="I514" s="5" t="s">
        <v>39</v>
      </c>
      <c r="J514" s="5">
        <v>7.1604000000000001</v>
      </c>
      <c r="K514" s="5">
        <f t="shared" si="21"/>
        <v>0.35802</v>
      </c>
      <c r="L514" s="5">
        <f t="shared" si="22"/>
        <v>10.53</v>
      </c>
      <c r="M514" s="5" t="s">
        <v>39</v>
      </c>
      <c r="N514" s="5">
        <v>7.1604000000000001</v>
      </c>
      <c r="O514" s="5" t="s">
        <v>39</v>
      </c>
      <c r="P514" t="s">
        <v>63</v>
      </c>
      <c r="Q514" t="s">
        <v>1157</v>
      </c>
      <c r="R514" t="s">
        <v>37</v>
      </c>
      <c r="S514" t="s">
        <v>1158</v>
      </c>
      <c r="T514" t="s">
        <v>43</v>
      </c>
      <c r="U514" t="s">
        <v>44</v>
      </c>
      <c r="V514">
        <v>147</v>
      </c>
      <c r="W514" t="s">
        <v>45</v>
      </c>
      <c r="X514" t="s">
        <v>53</v>
      </c>
      <c r="Y514" t="s">
        <v>1159</v>
      </c>
      <c r="Z514" t="s">
        <v>37</v>
      </c>
      <c r="AA514" t="s">
        <v>55</v>
      </c>
      <c r="AB514" t="s">
        <v>37</v>
      </c>
      <c r="AC514" s="6" t="s">
        <v>37</v>
      </c>
      <c r="AD514" s="6" t="s">
        <v>37</v>
      </c>
      <c r="AE514" t="s">
        <v>37</v>
      </c>
      <c r="AF514" t="s">
        <v>37</v>
      </c>
      <c r="AG514" s="6" t="s">
        <v>37</v>
      </c>
      <c r="AH514" t="s">
        <v>37</v>
      </c>
      <c r="AI514" t="s">
        <v>37</v>
      </c>
      <c r="AJ514" t="str">
        <f t="shared" si="23"/>
        <v>7H9X1Z6SB07W4DH9CW</v>
      </c>
    </row>
    <row r="515" spans="1:36" ht="15" customHeight="1" x14ac:dyDescent="0.25">
      <c r="A515" t="s">
        <v>162</v>
      </c>
      <c r="B515" t="s">
        <v>37</v>
      </c>
      <c r="C515" t="s">
        <v>37</v>
      </c>
      <c r="D515" t="s">
        <v>38</v>
      </c>
      <c r="E515" s="4">
        <v>0</v>
      </c>
      <c r="F515" s="5">
        <v>0</v>
      </c>
      <c r="G515" s="5" t="s">
        <v>39</v>
      </c>
      <c r="H515" s="5">
        <v>0</v>
      </c>
      <c r="I515" s="5" t="s">
        <v>39</v>
      </c>
      <c r="J515" s="5">
        <v>0</v>
      </c>
      <c r="K515" s="5" t="e">
        <f t="shared" ref="K515:K578" si="24">J515/E515</f>
        <v>#DIV/0!</v>
      </c>
      <c r="L515" s="5" t="e">
        <f t="shared" ref="L515:L578" si="25">F515/E515</f>
        <v>#DIV/0!</v>
      </c>
      <c r="M515" s="5" t="s">
        <v>39</v>
      </c>
      <c r="N515" s="5">
        <v>0</v>
      </c>
      <c r="O515" s="5" t="s">
        <v>39</v>
      </c>
      <c r="P515" t="s">
        <v>365</v>
      </c>
      <c r="Q515" t="s">
        <v>825</v>
      </c>
      <c r="R515" t="s">
        <v>37</v>
      </c>
      <c r="S515" t="s">
        <v>826</v>
      </c>
      <c r="T515" t="s">
        <v>43</v>
      </c>
      <c r="U515" t="s">
        <v>44</v>
      </c>
      <c r="V515">
        <v>147</v>
      </c>
      <c r="W515" t="s">
        <v>45</v>
      </c>
      <c r="X515" t="s">
        <v>53</v>
      </c>
      <c r="Y515" t="s">
        <v>123</v>
      </c>
      <c r="Z515" t="s">
        <v>37</v>
      </c>
      <c r="AA515" t="s">
        <v>95</v>
      </c>
      <c r="AB515" t="s">
        <v>37</v>
      </c>
      <c r="AC515" s="6" t="s">
        <v>37</v>
      </c>
      <c r="AD515" s="6" t="s">
        <v>37</v>
      </c>
      <c r="AE515" t="s">
        <v>37</v>
      </c>
      <c r="AF515" t="s">
        <v>37</v>
      </c>
      <c r="AG515" s="6" t="s">
        <v>37</v>
      </c>
      <c r="AH515" t="s">
        <v>37</v>
      </c>
      <c r="AI515" t="s">
        <v>37</v>
      </c>
      <c r="AJ515" t="str">
        <f t="shared" ref="AJ515:AJ578" si="26">P515&amp;Q515</f>
        <v>3KYCEHVHB07W6JPVPF</v>
      </c>
    </row>
    <row r="516" spans="1:36" ht="15" customHeight="1" x14ac:dyDescent="0.25">
      <c r="A516" t="s">
        <v>56</v>
      </c>
      <c r="B516" t="s">
        <v>37</v>
      </c>
      <c r="C516" t="s">
        <v>37</v>
      </c>
      <c r="D516" t="s">
        <v>38</v>
      </c>
      <c r="E516" s="4">
        <v>8</v>
      </c>
      <c r="F516" s="5">
        <v>586.72</v>
      </c>
      <c r="G516" s="5" t="s">
        <v>39</v>
      </c>
      <c r="H516" s="5">
        <v>950.8</v>
      </c>
      <c r="I516" s="5" t="s">
        <v>39</v>
      </c>
      <c r="J516" s="5">
        <v>19.94848</v>
      </c>
      <c r="K516" s="5">
        <f t="shared" si="24"/>
        <v>2.49356</v>
      </c>
      <c r="L516" s="5">
        <f t="shared" si="25"/>
        <v>73.34</v>
      </c>
      <c r="M516" s="5" t="s">
        <v>39</v>
      </c>
      <c r="N516" s="5">
        <v>19.94848</v>
      </c>
      <c r="O516" s="5" t="s">
        <v>39</v>
      </c>
      <c r="P516" t="s">
        <v>290</v>
      </c>
      <c r="Q516" t="s">
        <v>1066</v>
      </c>
      <c r="R516" t="s">
        <v>37</v>
      </c>
      <c r="S516" t="s">
        <v>1067</v>
      </c>
      <c r="T516" t="s">
        <v>43</v>
      </c>
      <c r="U516" t="s">
        <v>44</v>
      </c>
      <c r="V516">
        <v>147</v>
      </c>
      <c r="W516" t="s">
        <v>45</v>
      </c>
      <c r="X516" t="s">
        <v>46</v>
      </c>
      <c r="Y516" t="s">
        <v>1068</v>
      </c>
      <c r="Z516" t="s">
        <v>37</v>
      </c>
      <c r="AA516" t="s">
        <v>55</v>
      </c>
      <c r="AB516" t="s">
        <v>37</v>
      </c>
      <c r="AC516" s="6" t="s">
        <v>37</v>
      </c>
      <c r="AD516" s="6" t="s">
        <v>37</v>
      </c>
      <c r="AE516" t="s">
        <v>37</v>
      </c>
      <c r="AF516" t="s">
        <v>37</v>
      </c>
      <c r="AG516" s="6" t="s">
        <v>37</v>
      </c>
      <c r="AH516" t="s">
        <v>37</v>
      </c>
      <c r="AI516" t="s">
        <v>37</v>
      </c>
      <c r="AJ516" t="str">
        <f t="shared" si="26"/>
        <v>8DUEXZHEB07HZQT8JG</v>
      </c>
    </row>
    <row r="517" spans="1:36" ht="15" customHeight="1" x14ac:dyDescent="0.25">
      <c r="A517" t="s">
        <v>101</v>
      </c>
      <c r="B517" t="s">
        <v>37</v>
      </c>
      <c r="C517" t="s">
        <v>37</v>
      </c>
      <c r="D517" t="s">
        <v>38</v>
      </c>
      <c r="E517" s="4">
        <v>4</v>
      </c>
      <c r="F517" s="5">
        <v>230.04</v>
      </c>
      <c r="G517" s="5" t="s">
        <v>39</v>
      </c>
      <c r="H517" s="5">
        <v>390.16</v>
      </c>
      <c r="I517" s="5" t="s">
        <v>39</v>
      </c>
      <c r="J517" s="5">
        <v>7.8213600000000003</v>
      </c>
      <c r="K517" s="5">
        <f t="shared" si="24"/>
        <v>1.9553400000000001</v>
      </c>
      <c r="L517" s="5">
        <f t="shared" si="25"/>
        <v>57.51</v>
      </c>
      <c r="M517" s="5" t="s">
        <v>39</v>
      </c>
      <c r="N517" s="5">
        <v>7.8213600000000003</v>
      </c>
      <c r="O517" s="5" t="s">
        <v>39</v>
      </c>
      <c r="P517" t="s">
        <v>120</v>
      </c>
      <c r="Q517" t="s">
        <v>745</v>
      </c>
      <c r="R517" t="s">
        <v>37</v>
      </c>
      <c r="S517" t="s">
        <v>746</v>
      </c>
      <c r="T517" t="s">
        <v>43</v>
      </c>
      <c r="U517" t="s">
        <v>44</v>
      </c>
      <c r="V517">
        <v>147</v>
      </c>
      <c r="W517" t="s">
        <v>45</v>
      </c>
      <c r="X517" t="s">
        <v>46</v>
      </c>
      <c r="Y517" t="s">
        <v>747</v>
      </c>
      <c r="Z517" t="s">
        <v>37</v>
      </c>
      <c r="AA517" t="s">
        <v>48</v>
      </c>
      <c r="AB517" t="s">
        <v>37</v>
      </c>
      <c r="AC517" s="6" t="s">
        <v>37</v>
      </c>
      <c r="AD517" s="6" t="s">
        <v>37</v>
      </c>
      <c r="AE517" t="s">
        <v>37</v>
      </c>
      <c r="AF517" t="s">
        <v>37</v>
      </c>
      <c r="AG517" s="6" t="s">
        <v>37</v>
      </c>
      <c r="AH517" t="s">
        <v>37</v>
      </c>
      <c r="AI517" t="s">
        <v>37</v>
      </c>
      <c r="AJ517" t="str">
        <f t="shared" si="26"/>
        <v>5MWU8WTDB01MFBNN9J</v>
      </c>
    </row>
    <row r="518" spans="1:36" ht="15" customHeight="1" x14ac:dyDescent="0.25">
      <c r="A518" t="s">
        <v>36</v>
      </c>
      <c r="B518" t="s">
        <v>37</v>
      </c>
      <c r="C518" t="s">
        <v>37</v>
      </c>
      <c r="D518" t="s">
        <v>38</v>
      </c>
      <c r="E518" s="4">
        <v>10</v>
      </c>
      <c r="F518" s="5">
        <v>93.6</v>
      </c>
      <c r="G518" s="5" t="s">
        <v>39</v>
      </c>
      <c r="H518" s="5">
        <v>139.30000000000001</v>
      </c>
      <c r="I518" s="5" t="s">
        <v>39</v>
      </c>
      <c r="J518" s="5">
        <v>3.1823999999999999</v>
      </c>
      <c r="K518" s="5">
        <f t="shared" si="24"/>
        <v>0.31823999999999997</v>
      </c>
      <c r="L518" s="5">
        <f t="shared" si="25"/>
        <v>9.36</v>
      </c>
      <c r="M518" s="5" t="s">
        <v>39</v>
      </c>
      <c r="N518" s="5">
        <v>3.1823999999999999</v>
      </c>
      <c r="O518" s="5" t="s">
        <v>39</v>
      </c>
      <c r="P518" t="s">
        <v>1160</v>
      </c>
      <c r="Q518" t="s">
        <v>938</v>
      </c>
      <c r="R518" t="s">
        <v>37</v>
      </c>
      <c r="S518" t="s">
        <v>939</v>
      </c>
      <c r="T518" t="s">
        <v>43</v>
      </c>
      <c r="U518" t="s">
        <v>44</v>
      </c>
      <c r="V518">
        <v>147</v>
      </c>
      <c r="W518" t="s">
        <v>45</v>
      </c>
      <c r="X518" t="s">
        <v>60</v>
      </c>
      <c r="Y518" t="s">
        <v>940</v>
      </c>
      <c r="Z518" t="s">
        <v>37</v>
      </c>
      <c r="AA518" t="s">
        <v>55</v>
      </c>
      <c r="AB518" t="s">
        <v>37</v>
      </c>
      <c r="AC518" s="6" t="s">
        <v>37</v>
      </c>
      <c r="AD518" s="6" t="s">
        <v>37</v>
      </c>
      <c r="AE518" t="s">
        <v>37</v>
      </c>
      <c r="AF518" t="s">
        <v>37</v>
      </c>
      <c r="AG518" s="6" t="s">
        <v>37</v>
      </c>
      <c r="AH518" t="s">
        <v>37</v>
      </c>
      <c r="AI518" t="s">
        <v>37</v>
      </c>
      <c r="AJ518" t="str">
        <f t="shared" si="26"/>
        <v>6MKSEO6MB0072AEZJI</v>
      </c>
    </row>
    <row r="519" spans="1:36" ht="15" customHeight="1" x14ac:dyDescent="0.25">
      <c r="A519" t="s">
        <v>36</v>
      </c>
      <c r="B519" t="s">
        <v>37</v>
      </c>
      <c r="C519" t="s">
        <v>37</v>
      </c>
      <c r="D519" t="s">
        <v>38</v>
      </c>
      <c r="E519" s="4">
        <v>32</v>
      </c>
      <c r="F519" s="5">
        <v>1030.72</v>
      </c>
      <c r="G519" s="5" t="s">
        <v>39</v>
      </c>
      <c r="H519" s="5">
        <v>1547.2</v>
      </c>
      <c r="I519" s="5" t="s">
        <v>39</v>
      </c>
      <c r="J519" s="5">
        <v>35.04448</v>
      </c>
      <c r="K519" s="5">
        <f t="shared" si="24"/>
        <v>1.09514</v>
      </c>
      <c r="L519" s="5">
        <f t="shared" si="25"/>
        <v>32.21</v>
      </c>
      <c r="M519" s="5" t="s">
        <v>39</v>
      </c>
      <c r="N519" s="5">
        <v>35.04448</v>
      </c>
      <c r="O519" s="5" t="s">
        <v>39</v>
      </c>
      <c r="P519" t="s">
        <v>270</v>
      </c>
      <c r="Q519" t="s">
        <v>354</v>
      </c>
      <c r="R519" t="s">
        <v>37</v>
      </c>
      <c r="S519" t="s">
        <v>355</v>
      </c>
      <c r="T519" t="s">
        <v>43</v>
      </c>
      <c r="U519" t="s">
        <v>44</v>
      </c>
      <c r="V519">
        <v>147</v>
      </c>
      <c r="W519" t="s">
        <v>45</v>
      </c>
      <c r="X519" t="s">
        <v>356</v>
      </c>
      <c r="Y519" t="s">
        <v>357</v>
      </c>
      <c r="Z519" t="s">
        <v>37</v>
      </c>
      <c r="AA519" t="s">
        <v>55</v>
      </c>
      <c r="AB519" t="s">
        <v>37</v>
      </c>
      <c r="AC519" s="6" t="s">
        <v>37</v>
      </c>
      <c r="AD519" s="6" t="s">
        <v>37</v>
      </c>
      <c r="AE519" t="s">
        <v>37</v>
      </c>
      <c r="AF519" t="s">
        <v>37</v>
      </c>
      <c r="AG519" s="6" t="s">
        <v>37</v>
      </c>
      <c r="AH519" t="s">
        <v>37</v>
      </c>
      <c r="AI519" t="s">
        <v>37</v>
      </c>
      <c r="AJ519" t="str">
        <f t="shared" si="26"/>
        <v>1X4DXX4TB07W6JM289</v>
      </c>
    </row>
    <row r="520" spans="1:36" ht="15" customHeight="1" x14ac:dyDescent="0.25">
      <c r="A520" t="s">
        <v>36</v>
      </c>
      <c r="B520" t="s">
        <v>37</v>
      </c>
      <c r="C520" t="s">
        <v>37</v>
      </c>
      <c r="D520" t="s">
        <v>38</v>
      </c>
      <c r="E520" s="4">
        <v>8</v>
      </c>
      <c r="F520" s="5">
        <v>835.28</v>
      </c>
      <c r="G520" s="5" t="s">
        <v>39</v>
      </c>
      <c r="H520" s="5">
        <v>1239.3599999999999</v>
      </c>
      <c r="I520" s="5" t="s">
        <v>39</v>
      </c>
      <c r="J520" s="5">
        <v>28.399519999999999</v>
      </c>
      <c r="K520" s="5">
        <f t="shared" si="24"/>
        <v>3.5499399999999999</v>
      </c>
      <c r="L520" s="5">
        <f t="shared" si="25"/>
        <v>104.41</v>
      </c>
      <c r="M520" s="5" t="s">
        <v>39</v>
      </c>
      <c r="N520" s="5">
        <v>28.399519999999999</v>
      </c>
      <c r="O520" s="5" t="s">
        <v>39</v>
      </c>
      <c r="P520" t="s">
        <v>365</v>
      </c>
      <c r="Q520" t="s">
        <v>1161</v>
      </c>
      <c r="R520" t="s">
        <v>37</v>
      </c>
      <c r="S520" t="s">
        <v>1162</v>
      </c>
      <c r="T520" t="s">
        <v>43</v>
      </c>
      <c r="U520" t="s">
        <v>44</v>
      </c>
      <c r="V520">
        <v>147</v>
      </c>
      <c r="W520" t="s">
        <v>45</v>
      </c>
      <c r="X520" t="s">
        <v>60</v>
      </c>
      <c r="Y520" t="s">
        <v>1163</v>
      </c>
      <c r="Z520" t="s">
        <v>37</v>
      </c>
      <c r="AA520" t="s">
        <v>55</v>
      </c>
      <c r="AB520" t="s">
        <v>37</v>
      </c>
      <c r="AC520" s="6" t="s">
        <v>37</v>
      </c>
      <c r="AD520" s="6" t="s">
        <v>37</v>
      </c>
      <c r="AE520" t="s">
        <v>37</v>
      </c>
      <c r="AF520" t="s">
        <v>37</v>
      </c>
      <c r="AG520" s="6" t="s">
        <v>37</v>
      </c>
      <c r="AH520" t="s">
        <v>37</v>
      </c>
      <c r="AI520" t="s">
        <v>37</v>
      </c>
      <c r="AJ520" t="str">
        <f t="shared" si="26"/>
        <v>3KYCEHVHB07W7M1LNM</v>
      </c>
    </row>
    <row r="521" spans="1:36" ht="15" customHeight="1" x14ac:dyDescent="0.25">
      <c r="A521" t="s">
        <v>36</v>
      </c>
      <c r="B521" t="s">
        <v>37</v>
      </c>
      <c r="C521" t="s">
        <v>37</v>
      </c>
      <c r="D521" t="s">
        <v>38</v>
      </c>
      <c r="E521" s="4">
        <v>8</v>
      </c>
      <c r="F521" s="5">
        <v>552.24</v>
      </c>
      <c r="G521" s="5" t="s">
        <v>39</v>
      </c>
      <c r="H521" s="5">
        <v>845.92</v>
      </c>
      <c r="I521" s="5" t="s">
        <v>39</v>
      </c>
      <c r="J521" s="5">
        <v>18.776160000000001</v>
      </c>
      <c r="K521" s="5">
        <f t="shared" si="24"/>
        <v>2.3470200000000001</v>
      </c>
      <c r="L521" s="5">
        <f t="shared" si="25"/>
        <v>69.03</v>
      </c>
      <c r="M521" s="5" t="s">
        <v>39</v>
      </c>
      <c r="N521" s="5">
        <v>18.776160000000001</v>
      </c>
      <c r="O521" s="5" t="s">
        <v>39</v>
      </c>
      <c r="P521" t="s">
        <v>67</v>
      </c>
      <c r="Q521" t="s">
        <v>1164</v>
      </c>
      <c r="R521" t="s">
        <v>37</v>
      </c>
      <c r="S521" t="s">
        <v>1165</v>
      </c>
      <c r="T521" t="s">
        <v>43</v>
      </c>
      <c r="U521" t="s">
        <v>44</v>
      </c>
      <c r="V521">
        <v>23</v>
      </c>
      <c r="W521" t="s">
        <v>218</v>
      </c>
      <c r="X521" t="s">
        <v>219</v>
      </c>
      <c r="Y521" t="s">
        <v>1166</v>
      </c>
      <c r="Z521" t="s">
        <v>37</v>
      </c>
      <c r="AA521" t="s">
        <v>95</v>
      </c>
      <c r="AB521" t="s">
        <v>37</v>
      </c>
      <c r="AC521" s="6" t="s">
        <v>37</v>
      </c>
      <c r="AD521" s="6" t="s">
        <v>37</v>
      </c>
      <c r="AE521" t="s">
        <v>37</v>
      </c>
      <c r="AF521" t="s">
        <v>37</v>
      </c>
      <c r="AG521" s="6" t="s">
        <v>37</v>
      </c>
      <c r="AH521" t="s">
        <v>37</v>
      </c>
      <c r="AI521" t="s">
        <v>37</v>
      </c>
      <c r="AJ521" t="str">
        <f t="shared" si="26"/>
        <v>2TMBDXBKB07W7JYN4P</v>
      </c>
    </row>
    <row r="522" spans="1:36" ht="15" customHeight="1" x14ac:dyDescent="0.25">
      <c r="A522" t="s">
        <v>88</v>
      </c>
      <c r="B522" t="s">
        <v>37</v>
      </c>
      <c r="C522" t="s">
        <v>37</v>
      </c>
      <c r="D522" t="s">
        <v>38</v>
      </c>
      <c r="E522" s="4">
        <v>5</v>
      </c>
      <c r="F522" s="5">
        <v>1131.75</v>
      </c>
      <c r="G522" s="5" t="s">
        <v>39</v>
      </c>
      <c r="H522" s="5">
        <v>1799.2</v>
      </c>
      <c r="I522" s="5" t="s">
        <v>39</v>
      </c>
      <c r="J522" s="5">
        <v>38.479500000000002</v>
      </c>
      <c r="K522" s="5">
        <f t="shared" si="24"/>
        <v>7.6959</v>
      </c>
      <c r="L522" s="5">
        <f t="shared" si="25"/>
        <v>226.35</v>
      </c>
      <c r="M522" s="5" t="s">
        <v>39</v>
      </c>
      <c r="N522" s="5">
        <v>38.479500000000002</v>
      </c>
      <c r="O522" s="5" t="s">
        <v>39</v>
      </c>
      <c r="P522" t="s">
        <v>1167</v>
      </c>
      <c r="Q522" t="s">
        <v>1096</v>
      </c>
      <c r="R522" t="s">
        <v>37</v>
      </c>
      <c r="S522" t="s">
        <v>82</v>
      </c>
      <c r="T522" t="s">
        <v>43</v>
      </c>
      <c r="U522" t="s">
        <v>44</v>
      </c>
      <c r="V522">
        <v>147</v>
      </c>
      <c r="W522" t="s">
        <v>45</v>
      </c>
      <c r="X522" t="s">
        <v>46</v>
      </c>
      <c r="Y522" t="s">
        <v>1097</v>
      </c>
      <c r="Z522" t="s">
        <v>37</v>
      </c>
      <c r="AA522" t="s">
        <v>55</v>
      </c>
      <c r="AB522" t="s">
        <v>37</v>
      </c>
      <c r="AC522" s="6" t="s">
        <v>37</v>
      </c>
      <c r="AD522" s="6" t="s">
        <v>37</v>
      </c>
      <c r="AE522" t="s">
        <v>37</v>
      </c>
      <c r="AF522" t="s">
        <v>37</v>
      </c>
      <c r="AG522" s="6" t="s">
        <v>37</v>
      </c>
      <c r="AH522" t="s">
        <v>37</v>
      </c>
      <c r="AI522" t="s">
        <v>37</v>
      </c>
      <c r="AJ522" t="str">
        <f t="shared" si="26"/>
        <v>6MN9HM7HB07W4DG81W</v>
      </c>
    </row>
    <row r="523" spans="1:36" ht="15" customHeight="1" x14ac:dyDescent="0.25">
      <c r="A523" t="s">
        <v>36</v>
      </c>
      <c r="B523" t="s">
        <v>37</v>
      </c>
      <c r="C523" t="s">
        <v>37</v>
      </c>
      <c r="D523" t="s">
        <v>38</v>
      </c>
      <c r="E523" s="4">
        <v>81</v>
      </c>
      <c r="F523" s="5">
        <v>18334.349999999999</v>
      </c>
      <c r="G523" s="5" t="s">
        <v>39</v>
      </c>
      <c r="H523" s="5">
        <v>29147.040000000001</v>
      </c>
      <c r="I523" s="5" t="s">
        <v>39</v>
      </c>
      <c r="J523" s="5">
        <v>623.36789999999996</v>
      </c>
      <c r="K523" s="5">
        <f t="shared" si="24"/>
        <v>7.6959</v>
      </c>
      <c r="L523" s="5">
        <f t="shared" si="25"/>
        <v>226.35</v>
      </c>
      <c r="M523" s="5" t="s">
        <v>39</v>
      </c>
      <c r="N523" s="5">
        <v>623.36789999999996</v>
      </c>
      <c r="O523" s="5" t="s">
        <v>39</v>
      </c>
      <c r="P523" t="s">
        <v>1167</v>
      </c>
      <c r="Q523" t="s">
        <v>1096</v>
      </c>
      <c r="R523" t="s">
        <v>37</v>
      </c>
      <c r="S523" t="s">
        <v>82</v>
      </c>
      <c r="T523" t="s">
        <v>43</v>
      </c>
      <c r="U523" t="s">
        <v>44</v>
      </c>
      <c r="V523">
        <v>147</v>
      </c>
      <c r="W523" t="s">
        <v>45</v>
      </c>
      <c r="X523" t="s">
        <v>46</v>
      </c>
      <c r="Y523" t="s">
        <v>1097</v>
      </c>
      <c r="Z523" t="s">
        <v>37</v>
      </c>
      <c r="AA523" t="s">
        <v>55</v>
      </c>
      <c r="AB523" t="s">
        <v>37</v>
      </c>
      <c r="AC523" s="6" t="s">
        <v>37</v>
      </c>
      <c r="AD523" s="6" t="s">
        <v>37</v>
      </c>
      <c r="AE523" t="s">
        <v>37</v>
      </c>
      <c r="AF523" t="s">
        <v>37</v>
      </c>
      <c r="AG523" s="6" t="s">
        <v>37</v>
      </c>
      <c r="AH523" t="s">
        <v>37</v>
      </c>
      <c r="AI523" t="s">
        <v>37</v>
      </c>
      <c r="AJ523" t="str">
        <f t="shared" si="26"/>
        <v>6MN9HM7HB07W4DG81W</v>
      </c>
    </row>
    <row r="524" spans="1:36" ht="15" customHeight="1" x14ac:dyDescent="0.25">
      <c r="A524" t="s">
        <v>36</v>
      </c>
      <c r="B524" t="s">
        <v>37</v>
      </c>
      <c r="C524" t="s">
        <v>37</v>
      </c>
      <c r="D524" t="s">
        <v>38</v>
      </c>
      <c r="E524" s="4">
        <v>8</v>
      </c>
      <c r="F524" s="5">
        <v>358.72</v>
      </c>
      <c r="G524" s="5" t="s">
        <v>39</v>
      </c>
      <c r="H524" s="5">
        <v>537.6</v>
      </c>
      <c r="I524" s="5" t="s">
        <v>39</v>
      </c>
      <c r="J524" s="5">
        <v>12.196479999999999</v>
      </c>
      <c r="K524" s="5">
        <f t="shared" si="24"/>
        <v>1.5245599999999999</v>
      </c>
      <c r="L524" s="5">
        <f t="shared" si="25"/>
        <v>44.84</v>
      </c>
      <c r="M524" s="5" t="s">
        <v>39</v>
      </c>
      <c r="N524" s="5">
        <v>12.196479999999999</v>
      </c>
      <c r="O524" s="5" t="s">
        <v>39</v>
      </c>
      <c r="P524" t="s">
        <v>40</v>
      </c>
      <c r="Q524" t="s">
        <v>1168</v>
      </c>
      <c r="R524" t="s">
        <v>37</v>
      </c>
      <c r="S524" t="s">
        <v>1169</v>
      </c>
      <c r="T524" t="s">
        <v>43</v>
      </c>
      <c r="U524" t="s">
        <v>44</v>
      </c>
      <c r="V524">
        <v>147</v>
      </c>
      <c r="W524" t="s">
        <v>45</v>
      </c>
      <c r="X524" t="s">
        <v>60</v>
      </c>
      <c r="Y524" t="s">
        <v>1170</v>
      </c>
      <c r="Z524" t="s">
        <v>37</v>
      </c>
      <c r="AA524" t="s">
        <v>48</v>
      </c>
      <c r="AB524" t="s">
        <v>37</v>
      </c>
      <c r="AC524" s="6" t="s">
        <v>37</v>
      </c>
      <c r="AD524" s="6" t="s">
        <v>37</v>
      </c>
      <c r="AE524" t="s">
        <v>37</v>
      </c>
      <c r="AF524" t="s">
        <v>37</v>
      </c>
      <c r="AG524" s="6" t="s">
        <v>37</v>
      </c>
      <c r="AH524" t="s">
        <v>37</v>
      </c>
      <c r="AI524" t="s">
        <v>37</v>
      </c>
      <c r="AJ524" t="str">
        <f t="shared" si="26"/>
        <v>4A3KDTEZB01L6L451Q</v>
      </c>
    </row>
    <row r="525" spans="1:36" ht="15" customHeight="1" x14ac:dyDescent="0.25">
      <c r="A525" t="s">
        <v>49</v>
      </c>
      <c r="B525" t="s">
        <v>37</v>
      </c>
      <c r="C525" t="s">
        <v>37</v>
      </c>
      <c r="D525" t="s">
        <v>38</v>
      </c>
      <c r="E525" s="4">
        <v>0</v>
      </c>
      <c r="F525" s="5">
        <v>0</v>
      </c>
      <c r="G525" s="5" t="s">
        <v>39</v>
      </c>
      <c r="H525" s="5">
        <v>0</v>
      </c>
      <c r="I525" s="5" t="s">
        <v>39</v>
      </c>
      <c r="J525" s="5">
        <v>0</v>
      </c>
      <c r="K525" s="5" t="e">
        <f t="shared" si="24"/>
        <v>#DIV/0!</v>
      </c>
      <c r="L525" s="5" t="e">
        <f t="shared" si="25"/>
        <v>#DIV/0!</v>
      </c>
      <c r="M525" s="5" t="s">
        <v>39</v>
      </c>
      <c r="N525" s="5">
        <v>0</v>
      </c>
      <c r="O525" s="5" t="s">
        <v>39</v>
      </c>
      <c r="P525" t="s">
        <v>412</v>
      </c>
      <c r="Q525" t="s">
        <v>567</v>
      </c>
      <c r="R525" t="s">
        <v>37</v>
      </c>
      <c r="S525" t="s">
        <v>568</v>
      </c>
      <c r="T525" t="s">
        <v>43</v>
      </c>
      <c r="U525" t="s">
        <v>44</v>
      </c>
      <c r="V525">
        <v>147</v>
      </c>
      <c r="W525" t="s">
        <v>45</v>
      </c>
      <c r="X525" t="s">
        <v>60</v>
      </c>
      <c r="Y525" t="s">
        <v>569</v>
      </c>
      <c r="Z525" t="s">
        <v>37</v>
      </c>
      <c r="AA525" t="s">
        <v>95</v>
      </c>
      <c r="AB525" t="s">
        <v>37</v>
      </c>
      <c r="AC525" s="6" t="s">
        <v>37</v>
      </c>
      <c r="AD525" s="6" t="s">
        <v>37</v>
      </c>
      <c r="AE525" t="s">
        <v>37</v>
      </c>
      <c r="AF525" t="s">
        <v>37</v>
      </c>
      <c r="AG525" s="6" t="s">
        <v>37</v>
      </c>
      <c r="AH525" t="s">
        <v>37</v>
      </c>
      <c r="AI525" t="s">
        <v>37</v>
      </c>
      <c r="AJ525" t="str">
        <f t="shared" si="26"/>
        <v>6JWFV3WKB006ZLK9SQ</v>
      </c>
    </row>
    <row r="526" spans="1:36" ht="15" customHeight="1" x14ac:dyDescent="0.25">
      <c r="A526" t="s">
        <v>36</v>
      </c>
      <c r="B526" t="s">
        <v>37</v>
      </c>
      <c r="C526" t="s">
        <v>37</v>
      </c>
      <c r="D526" t="s">
        <v>38</v>
      </c>
      <c r="E526" s="4">
        <v>0</v>
      </c>
      <c r="F526" s="5">
        <v>0</v>
      </c>
      <c r="G526" s="5" t="s">
        <v>39</v>
      </c>
      <c r="H526" s="5">
        <v>0</v>
      </c>
      <c r="I526" s="5" t="s">
        <v>39</v>
      </c>
      <c r="J526" s="5">
        <v>0</v>
      </c>
      <c r="K526" s="5" t="e">
        <f t="shared" si="24"/>
        <v>#DIV/0!</v>
      </c>
      <c r="L526" s="5" t="e">
        <f t="shared" si="25"/>
        <v>#DIV/0!</v>
      </c>
      <c r="M526" s="5" t="s">
        <v>39</v>
      </c>
      <c r="N526" s="5">
        <v>0</v>
      </c>
      <c r="O526" s="5" t="s">
        <v>39</v>
      </c>
      <c r="P526" t="s">
        <v>128</v>
      </c>
      <c r="Q526" t="s">
        <v>1171</v>
      </c>
      <c r="R526" t="s">
        <v>37</v>
      </c>
      <c r="S526" t="s">
        <v>1172</v>
      </c>
      <c r="T526" t="s">
        <v>43</v>
      </c>
      <c r="U526" t="s">
        <v>44</v>
      </c>
      <c r="V526">
        <v>147</v>
      </c>
      <c r="W526" t="s">
        <v>45</v>
      </c>
      <c r="X526" t="s">
        <v>46</v>
      </c>
      <c r="Y526" t="s">
        <v>1173</v>
      </c>
      <c r="Z526" t="s">
        <v>37</v>
      </c>
      <c r="AA526" t="s">
        <v>55</v>
      </c>
      <c r="AB526" t="s">
        <v>37</v>
      </c>
      <c r="AC526" s="6" t="s">
        <v>37</v>
      </c>
      <c r="AD526" s="6" t="s">
        <v>37</v>
      </c>
      <c r="AE526" t="s">
        <v>37</v>
      </c>
      <c r="AF526" t="s">
        <v>37</v>
      </c>
      <c r="AG526" s="6" t="s">
        <v>37</v>
      </c>
      <c r="AH526" t="s">
        <v>37</v>
      </c>
      <c r="AI526" t="s">
        <v>37</v>
      </c>
      <c r="AJ526" t="str">
        <f t="shared" si="26"/>
        <v>7RAC5F9EB07TTB3SRB</v>
      </c>
    </row>
    <row r="527" spans="1:36" ht="15" customHeight="1" x14ac:dyDescent="0.25">
      <c r="A527" t="s">
        <v>88</v>
      </c>
      <c r="B527" t="s">
        <v>37</v>
      </c>
      <c r="C527" t="s">
        <v>37</v>
      </c>
      <c r="D527" t="s">
        <v>38</v>
      </c>
      <c r="E527" s="4">
        <v>4</v>
      </c>
      <c r="F527" s="5">
        <v>272.24</v>
      </c>
      <c r="G527" s="5" t="s">
        <v>39</v>
      </c>
      <c r="H527" s="5">
        <v>442.6</v>
      </c>
      <c r="I527" s="5" t="s">
        <v>39</v>
      </c>
      <c r="J527" s="5">
        <v>9.2561599999999995</v>
      </c>
      <c r="K527" s="5">
        <f t="shared" si="24"/>
        <v>2.3140399999999999</v>
      </c>
      <c r="L527" s="5">
        <f t="shared" si="25"/>
        <v>68.06</v>
      </c>
      <c r="M527" s="5" t="s">
        <v>39</v>
      </c>
      <c r="N527" s="5">
        <v>9.2561599999999995</v>
      </c>
      <c r="O527" s="5" t="s">
        <v>39</v>
      </c>
      <c r="P527" t="s">
        <v>89</v>
      </c>
      <c r="Q527" t="s">
        <v>1174</v>
      </c>
      <c r="R527" t="s">
        <v>37</v>
      </c>
      <c r="S527" t="s">
        <v>1175</v>
      </c>
      <c r="T527" t="s">
        <v>43</v>
      </c>
      <c r="U527" t="s">
        <v>44</v>
      </c>
      <c r="V527">
        <v>147</v>
      </c>
      <c r="W527" t="s">
        <v>45</v>
      </c>
      <c r="X527" t="s">
        <v>46</v>
      </c>
      <c r="Y527" t="s">
        <v>1176</v>
      </c>
      <c r="Z527" t="s">
        <v>37</v>
      </c>
      <c r="AA527" t="s">
        <v>95</v>
      </c>
      <c r="AB527" t="s">
        <v>37</v>
      </c>
      <c r="AC527" s="6" t="s">
        <v>37</v>
      </c>
      <c r="AD527" s="6" t="s">
        <v>37</v>
      </c>
      <c r="AE527" t="s">
        <v>37</v>
      </c>
      <c r="AF527" t="s">
        <v>37</v>
      </c>
      <c r="AG527" s="6" t="s">
        <v>37</v>
      </c>
      <c r="AH527" t="s">
        <v>37</v>
      </c>
      <c r="AI527" t="s">
        <v>37</v>
      </c>
      <c r="AJ527" t="str">
        <f t="shared" si="26"/>
        <v>2W68T8TOB07W6HJPSW</v>
      </c>
    </row>
    <row r="528" spans="1:36" ht="15" customHeight="1" x14ac:dyDescent="0.25">
      <c r="A528" t="s">
        <v>36</v>
      </c>
      <c r="B528" t="s">
        <v>37</v>
      </c>
      <c r="C528" t="s">
        <v>37</v>
      </c>
      <c r="D528" t="s">
        <v>38</v>
      </c>
      <c r="E528" s="4">
        <v>10</v>
      </c>
      <c r="F528" s="5">
        <v>163.9</v>
      </c>
      <c r="G528" s="5" t="s">
        <v>39</v>
      </c>
      <c r="H528" s="5">
        <v>245.8</v>
      </c>
      <c r="I528" s="5" t="s">
        <v>39</v>
      </c>
      <c r="J528" s="5">
        <v>5.5726000000000004</v>
      </c>
      <c r="K528" s="5">
        <f t="shared" si="24"/>
        <v>0.55726000000000009</v>
      </c>
      <c r="L528" s="5">
        <f t="shared" si="25"/>
        <v>16.39</v>
      </c>
      <c r="M528" s="5" t="s">
        <v>39</v>
      </c>
      <c r="N528" s="5">
        <v>5.5726000000000004</v>
      </c>
      <c r="O528" s="5" t="s">
        <v>39</v>
      </c>
      <c r="P528" t="s">
        <v>141</v>
      </c>
      <c r="Q528" t="s">
        <v>1177</v>
      </c>
      <c r="R528" t="s">
        <v>37</v>
      </c>
      <c r="S528" t="s">
        <v>1178</v>
      </c>
      <c r="T528" t="s">
        <v>43</v>
      </c>
      <c r="U528" t="s">
        <v>44</v>
      </c>
      <c r="V528">
        <v>147</v>
      </c>
      <c r="W528" t="s">
        <v>45</v>
      </c>
      <c r="X528" t="s">
        <v>53</v>
      </c>
      <c r="Y528" t="s">
        <v>1179</v>
      </c>
      <c r="Z528" t="s">
        <v>37</v>
      </c>
      <c r="AA528" t="s">
        <v>48</v>
      </c>
      <c r="AB528" t="s">
        <v>37</v>
      </c>
      <c r="AC528" s="6" t="s">
        <v>37</v>
      </c>
      <c r="AD528" s="6" t="s">
        <v>37</v>
      </c>
      <c r="AE528" t="s">
        <v>37</v>
      </c>
      <c r="AF528" t="s">
        <v>37</v>
      </c>
      <c r="AG528" s="6" t="s">
        <v>37</v>
      </c>
      <c r="AH528" t="s">
        <v>37</v>
      </c>
      <c r="AI528" t="s">
        <v>37</v>
      </c>
      <c r="AJ528" t="str">
        <f t="shared" si="26"/>
        <v>56UO2L2IB01LCQTEXE</v>
      </c>
    </row>
    <row r="529" spans="1:36" ht="15" customHeight="1" x14ac:dyDescent="0.25">
      <c r="A529" t="s">
        <v>36</v>
      </c>
      <c r="B529" t="s">
        <v>37</v>
      </c>
      <c r="C529" t="s">
        <v>37</v>
      </c>
      <c r="D529" t="s">
        <v>38</v>
      </c>
      <c r="E529" s="4">
        <v>4</v>
      </c>
      <c r="F529" s="5">
        <v>371.24</v>
      </c>
      <c r="G529" s="5" t="s">
        <v>39</v>
      </c>
      <c r="H529" s="5">
        <v>524.55999999999995</v>
      </c>
      <c r="I529" s="5" t="s">
        <v>39</v>
      </c>
      <c r="J529" s="5">
        <v>12.622159999999999</v>
      </c>
      <c r="K529" s="5">
        <f t="shared" si="24"/>
        <v>3.1555399999999998</v>
      </c>
      <c r="L529" s="5">
        <f t="shared" si="25"/>
        <v>92.81</v>
      </c>
      <c r="M529" s="5" t="s">
        <v>39</v>
      </c>
      <c r="N529" s="5">
        <v>12.622159999999999</v>
      </c>
      <c r="O529" s="5" t="s">
        <v>39</v>
      </c>
      <c r="P529" t="s">
        <v>1134</v>
      </c>
      <c r="Q529" t="s">
        <v>1180</v>
      </c>
      <c r="R529" t="s">
        <v>37</v>
      </c>
      <c r="S529" t="s">
        <v>1181</v>
      </c>
      <c r="T529" t="s">
        <v>43</v>
      </c>
      <c r="U529" t="s">
        <v>44</v>
      </c>
      <c r="V529">
        <v>147</v>
      </c>
      <c r="W529" t="s">
        <v>45</v>
      </c>
      <c r="X529" t="s">
        <v>60</v>
      </c>
      <c r="Y529" t="s">
        <v>1182</v>
      </c>
      <c r="Z529" t="s">
        <v>37</v>
      </c>
      <c r="AA529" t="s">
        <v>55</v>
      </c>
      <c r="AB529" t="s">
        <v>37</v>
      </c>
      <c r="AC529" s="6" t="s">
        <v>37</v>
      </c>
      <c r="AD529" s="6" t="s">
        <v>37</v>
      </c>
      <c r="AE529" t="s">
        <v>37</v>
      </c>
      <c r="AF529" t="s">
        <v>37</v>
      </c>
      <c r="AG529" s="6" t="s">
        <v>37</v>
      </c>
      <c r="AH529" t="s">
        <v>37</v>
      </c>
      <c r="AI529" t="s">
        <v>37</v>
      </c>
      <c r="AJ529" t="str">
        <f t="shared" si="26"/>
        <v>3T7ZSLFGB07W7KV4GH</v>
      </c>
    </row>
    <row r="530" spans="1:36" ht="15" customHeight="1" x14ac:dyDescent="0.25">
      <c r="A530" t="s">
        <v>647</v>
      </c>
      <c r="B530" t="s">
        <v>37</v>
      </c>
      <c r="C530" t="s">
        <v>37</v>
      </c>
      <c r="D530" t="s">
        <v>38</v>
      </c>
      <c r="E530" s="4">
        <v>0</v>
      </c>
      <c r="F530" s="5">
        <v>0</v>
      </c>
      <c r="G530" s="5" t="s">
        <v>39</v>
      </c>
      <c r="H530" s="5">
        <v>0</v>
      </c>
      <c r="I530" s="5" t="s">
        <v>39</v>
      </c>
      <c r="J530" s="5">
        <v>0</v>
      </c>
      <c r="K530" s="5" t="e">
        <f t="shared" si="24"/>
        <v>#DIV/0!</v>
      </c>
      <c r="L530" s="5" t="e">
        <f t="shared" si="25"/>
        <v>#DIV/0!</v>
      </c>
      <c r="M530" s="5" t="s">
        <v>39</v>
      </c>
      <c r="N530" s="5">
        <v>0</v>
      </c>
      <c r="O530" s="5" t="s">
        <v>39</v>
      </c>
      <c r="P530" t="s">
        <v>270</v>
      </c>
      <c r="Q530" t="s">
        <v>513</v>
      </c>
      <c r="R530" t="s">
        <v>37</v>
      </c>
      <c r="S530" t="s">
        <v>514</v>
      </c>
      <c r="T530" t="s">
        <v>43</v>
      </c>
      <c r="U530" t="s">
        <v>44</v>
      </c>
      <c r="V530">
        <v>147</v>
      </c>
      <c r="W530" t="s">
        <v>45</v>
      </c>
      <c r="X530" t="s">
        <v>53</v>
      </c>
      <c r="Y530" t="s">
        <v>515</v>
      </c>
      <c r="Z530" t="s">
        <v>37</v>
      </c>
      <c r="AA530" t="s">
        <v>55</v>
      </c>
      <c r="AB530" t="s">
        <v>37</v>
      </c>
      <c r="AC530" s="6" t="s">
        <v>37</v>
      </c>
      <c r="AD530" s="6" t="s">
        <v>37</v>
      </c>
      <c r="AE530" t="s">
        <v>37</v>
      </c>
      <c r="AF530" t="s">
        <v>37</v>
      </c>
      <c r="AG530" s="6" t="s">
        <v>37</v>
      </c>
      <c r="AH530" t="s">
        <v>37</v>
      </c>
      <c r="AI530" t="s">
        <v>37</v>
      </c>
      <c r="AJ530" t="str">
        <f t="shared" si="26"/>
        <v>1X4DXX4TB074W227RK</v>
      </c>
    </row>
    <row r="531" spans="1:36" ht="15" customHeight="1" x14ac:dyDescent="0.25">
      <c r="A531" t="s">
        <v>96</v>
      </c>
      <c r="B531" t="s">
        <v>37</v>
      </c>
      <c r="C531" t="s">
        <v>37</v>
      </c>
      <c r="D531" t="s">
        <v>38</v>
      </c>
      <c r="E531" s="4">
        <v>8</v>
      </c>
      <c r="F531" s="5">
        <v>359.6</v>
      </c>
      <c r="G531" s="5" t="s">
        <v>39</v>
      </c>
      <c r="H531" s="5">
        <v>458.96</v>
      </c>
      <c r="I531" s="5" t="s">
        <v>39</v>
      </c>
      <c r="J531" s="5">
        <v>12.2264</v>
      </c>
      <c r="K531" s="5">
        <f t="shared" si="24"/>
        <v>1.5283</v>
      </c>
      <c r="L531" s="5">
        <f t="shared" si="25"/>
        <v>44.95</v>
      </c>
      <c r="M531" s="5" t="s">
        <v>39</v>
      </c>
      <c r="N531" s="5">
        <v>12.2264</v>
      </c>
      <c r="O531" s="5" t="s">
        <v>39</v>
      </c>
      <c r="P531" t="s">
        <v>195</v>
      </c>
      <c r="Q531" t="s">
        <v>1118</v>
      </c>
      <c r="R531" t="s">
        <v>1119</v>
      </c>
      <c r="S531" t="s">
        <v>1120</v>
      </c>
      <c r="T531" t="s">
        <v>43</v>
      </c>
      <c r="U531" t="s">
        <v>44</v>
      </c>
      <c r="V531">
        <v>147</v>
      </c>
      <c r="W531" t="s">
        <v>45</v>
      </c>
      <c r="X531" t="s">
        <v>46</v>
      </c>
      <c r="Y531" t="s">
        <v>1121</v>
      </c>
      <c r="Z531" t="s">
        <v>37</v>
      </c>
      <c r="AA531" t="s">
        <v>307</v>
      </c>
      <c r="AB531" t="s">
        <v>37</v>
      </c>
      <c r="AC531" s="6" t="s">
        <v>37</v>
      </c>
      <c r="AD531" s="6" t="s">
        <v>37</v>
      </c>
      <c r="AE531" t="s">
        <v>37</v>
      </c>
      <c r="AF531" t="s">
        <v>37</v>
      </c>
      <c r="AG531" s="6" t="s">
        <v>37</v>
      </c>
      <c r="AH531" t="s">
        <v>37</v>
      </c>
      <c r="AI531" t="s">
        <v>37</v>
      </c>
      <c r="AJ531" t="str">
        <f t="shared" si="26"/>
        <v>5X1OU9ZGB014S0DVDK</v>
      </c>
    </row>
    <row r="532" spans="1:36" ht="15" customHeight="1" x14ac:dyDescent="0.25">
      <c r="A532" t="s">
        <v>36</v>
      </c>
      <c r="B532" t="s">
        <v>37</v>
      </c>
      <c r="C532" t="s">
        <v>37</v>
      </c>
      <c r="D532" t="s">
        <v>38</v>
      </c>
      <c r="E532" s="4">
        <v>10</v>
      </c>
      <c r="F532" s="5">
        <v>163.9</v>
      </c>
      <c r="G532" s="5" t="s">
        <v>39</v>
      </c>
      <c r="H532" s="5">
        <v>245.8</v>
      </c>
      <c r="I532" s="5" t="s">
        <v>39</v>
      </c>
      <c r="J532" s="5">
        <v>5.5726000000000004</v>
      </c>
      <c r="K532" s="5">
        <f t="shared" si="24"/>
        <v>0.55726000000000009</v>
      </c>
      <c r="L532" s="5">
        <f t="shared" si="25"/>
        <v>16.39</v>
      </c>
      <c r="M532" s="5" t="s">
        <v>39</v>
      </c>
      <c r="N532" s="5">
        <v>5.5726000000000004</v>
      </c>
      <c r="O532" s="5" t="s">
        <v>39</v>
      </c>
      <c r="P532" t="s">
        <v>270</v>
      </c>
      <c r="Q532" t="s">
        <v>534</v>
      </c>
      <c r="R532" t="s">
        <v>37</v>
      </c>
      <c r="S532" t="s">
        <v>535</v>
      </c>
      <c r="T532" t="s">
        <v>43</v>
      </c>
      <c r="U532" t="s">
        <v>44</v>
      </c>
      <c r="V532">
        <v>147</v>
      </c>
      <c r="W532" t="s">
        <v>45</v>
      </c>
      <c r="X532" t="s">
        <v>53</v>
      </c>
      <c r="Y532" t="s">
        <v>536</v>
      </c>
      <c r="Z532" t="s">
        <v>37</v>
      </c>
      <c r="AA532" t="s">
        <v>55</v>
      </c>
      <c r="AB532" t="s">
        <v>37</v>
      </c>
      <c r="AC532" s="6" t="s">
        <v>37</v>
      </c>
      <c r="AD532" s="6" t="s">
        <v>37</v>
      </c>
      <c r="AE532" t="s">
        <v>37</v>
      </c>
      <c r="AF532" t="s">
        <v>37</v>
      </c>
      <c r="AG532" s="6" t="s">
        <v>37</v>
      </c>
      <c r="AH532" t="s">
        <v>37</v>
      </c>
      <c r="AI532" t="s">
        <v>37</v>
      </c>
      <c r="AJ532" t="str">
        <f t="shared" si="26"/>
        <v>1X4DXX4TB07W7LHVBL</v>
      </c>
    </row>
    <row r="533" spans="1:36" ht="15" customHeight="1" x14ac:dyDescent="0.25">
      <c r="A533" t="s">
        <v>56</v>
      </c>
      <c r="B533" t="s">
        <v>37</v>
      </c>
      <c r="C533" t="s">
        <v>37</v>
      </c>
      <c r="D533" t="s">
        <v>38</v>
      </c>
      <c r="E533" s="4">
        <v>16</v>
      </c>
      <c r="F533" s="5">
        <v>2270.88</v>
      </c>
      <c r="G533" s="5" t="s">
        <v>39</v>
      </c>
      <c r="H533" s="5">
        <v>3790.24</v>
      </c>
      <c r="I533" s="5" t="s">
        <v>39</v>
      </c>
      <c r="J533" s="5">
        <v>77.209919999999997</v>
      </c>
      <c r="K533" s="5">
        <f t="shared" si="24"/>
        <v>4.8256199999999998</v>
      </c>
      <c r="L533" s="5">
        <f t="shared" si="25"/>
        <v>141.93</v>
      </c>
      <c r="M533" s="5" t="s">
        <v>39</v>
      </c>
      <c r="N533" s="5">
        <v>77.209919999999997</v>
      </c>
      <c r="O533" s="5" t="s">
        <v>39</v>
      </c>
      <c r="P533" t="s">
        <v>57</v>
      </c>
      <c r="Q533" t="s">
        <v>1183</v>
      </c>
      <c r="R533" t="s">
        <v>37</v>
      </c>
      <c r="S533" t="s">
        <v>1184</v>
      </c>
      <c r="T533" t="s">
        <v>43</v>
      </c>
      <c r="U533" t="s">
        <v>44</v>
      </c>
      <c r="V533">
        <v>147</v>
      </c>
      <c r="W533" t="s">
        <v>45</v>
      </c>
      <c r="X533" t="s">
        <v>60</v>
      </c>
      <c r="Y533" t="s">
        <v>1185</v>
      </c>
      <c r="Z533" t="s">
        <v>37</v>
      </c>
      <c r="AA533" t="s">
        <v>55</v>
      </c>
      <c r="AB533" t="s">
        <v>37</v>
      </c>
      <c r="AC533" s="6" t="s">
        <v>37</v>
      </c>
      <c r="AD533" s="6" t="s">
        <v>37</v>
      </c>
      <c r="AE533" t="s">
        <v>37</v>
      </c>
      <c r="AF533" t="s">
        <v>37</v>
      </c>
      <c r="AG533" s="6" t="s">
        <v>37</v>
      </c>
      <c r="AH533" t="s">
        <v>37</v>
      </c>
      <c r="AI533" t="s">
        <v>37</v>
      </c>
      <c r="AJ533" t="str">
        <f t="shared" si="26"/>
        <v>3GBCH66MB07W1NZXRB</v>
      </c>
    </row>
    <row r="534" spans="1:36" ht="15" customHeight="1" x14ac:dyDescent="0.25">
      <c r="A534" t="s">
        <v>96</v>
      </c>
      <c r="B534" t="s">
        <v>37</v>
      </c>
      <c r="C534" t="s">
        <v>37</v>
      </c>
      <c r="D534" t="s">
        <v>38</v>
      </c>
      <c r="E534" s="4">
        <v>8</v>
      </c>
      <c r="F534" s="5">
        <v>257.68</v>
      </c>
      <c r="G534" s="5" t="s">
        <v>39</v>
      </c>
      <c r="H534" s="5">
        <v>386.8</v>
      </c>
      <c r="I534" s="5" t="s">
        <v>39</v>
      </c>
      <c r="J534" s="5">
        <v>8.76112</v>
      </c>
      <c r="K534" s="5">
        <f t="shared" si="24"/>
        <v>1.09514</v>
      </c>
      <c r="L534" s="5">
        <f t="shared" si="25"/>
        <v>32.21</v>
      </c>
      <c r="M534" s="5" t="s">
        <v>39</v>
      </c>
      <c r="N534" s="5">
        <v>8.76112</v>
      </c>
      <c r="O534" s="5" t="s">
        <v>39</v>
      </c>
      <c r="P534" t="s">
        <v>222</v>
      </c>
      <c r="Q534" t="s">
        <v>749</v>
      </c>
      <c r="R534" t="s">
        <v>37</v>
      </c>
      <c r="S534" t="s">
        <v>750</v>
      </c>
      <c r="T534" t="s">
        <v>43</v>
      </c>
      <c r="U534" t="s">
        <v>44</v>
      </c>
      <c r="V534">
        <v>147</v>
      </c>
      <c r="W534" t="s">
        <v>45</v>
      </c>
      <c r="X534" t="s">
        <v>60</v>
      </c>
      <c r="Y534" t="s">
        <v>751</v>
      </c>
      <c r="Z534" t="s">
        <v>37</v>
      </c>
      <c r="AA534" t="s">
        <v>55</v>
      </c>
      <c r="AB534" t="s">
        <v>37</v>
      </c>
      <c r="AC534" s="6" t="s">
        <v>37</v>
      </c>
      <c r="AD534" s="6" t="s">
        <v>37</v>
      </c>
      <c r="AE534" t="s">
        <v>37</v>
      </c>
      <c r="AF534" t="s">
        <v>37</v>
      </c>
      <c r="AG534" s="6" t="s">
        <v>37</v>
      </c>
      <c r="AH534" t="s">
        <v>37</v>
      </c>
      <c r="AI534" t="s">
        <v>37</v>
      </c>
      <c r="AJ534" t="str">
        <f t="shared" si="26"/>
        <v>2F7Y5WIXB07W5JHXF8</v>
      </c>
    </row>
    <row r="535" spans="1:36" ht="15" customHeight="1" x14ac:dyDescent="0.25">
      <c r="A535" t="s">
        <v>118</v>
      </c>
      <c r="B535" t="s">
        <v>37</v>
      </c>
      <c r="C535" t="s">
        <v>37</v>
      </c>
      <c r="D535" t="s">
        <v>38</v>
      </c>
      <c r="E535" s="4">
        <v>16</v>
      </c>
      <c r="F535" s="5">
        <v>1549.28</v>
      </c>
      <c r="G535" s="5" t="s">
        <v>39</v>
      </c>
      <c r="H535" s="5">
        <v>1836</v>
      </c>
      <c r="I535" s="5" t="s">
        <v>39</v>
      </c>
      <c r="J535" s="5">
        <v>52.675519999999999</v>
      </c>
      <c r="K535" s="5">
        <f t="shared" si="24"/>
        <v>3.2922199999999999</v>
      </c>
      <c r="L535" s="5">
        <f t="shared" si="25"/>
        <v>96.83</v>
      </c>
      <c r="M535" s="5" t="s">
        <v>39</v>
      </c>
      <c r="N535" s="5">
        <v>52.675519999999999</v>
      </c>
      <c r="O535" s="5" t="s">
        <v>39</v>
      </c>
      <c r="P535" t="s">
        <v>128</v>
      </c>
      <c r="Q535" t="s">
        <v>843</v>
      </c>
      <c r="R535" t="s">
        <v>844</v>
      </c>
      <c r="S535" t="s">
        <v>845</v>
      </c>
      <c r="T535" t="s">
        <v>43</v>
      </c>
      <c r="U535" t="s">
        <v>44</v>
      </c>
      <c r="V535">
        <v>267</v>
      </c>
      <c r="W535" t="s">
        <v>151</v>
      </c>
      <c r="X535" t="s">
        <v>152</v>
      </c>
      <c r="Y535" t="s">
        <v>846</v>
      </c>
      <c r="Z535" t="s">
        <v>37</v>
      </c>
      <c r="AA535" t="s">
        <v>95</v>
      </c>
      <c r="AB535" t="s">
        <v>37</v>
      </c>
      <c r="AC535" s="6" t="s">
        <v>37</v>
      </c>
      <c r="AD535" s="6" t="s">
        <v>37</v>
      </c>
      <c r="AE535" t="s">
        <v>37</v>
      </c>
      <c r="AF535" t="s">
        <v>37</v>
      </c>
      <c r="AG535" s="6" t="s">
        <v>37</v>
      </c>
      <c r="AH535" t="s">
        <v>37</v>
      </c>
      <c r="AI535" t="s">
        <v>37</v>
      </c>
      <c r="AJ535" t="str">
        <f t="shared" si="26"/>
        <v>7RAC5F9EB01LY6Z2M6</v>
      </c>
    </row>
    <row r="536" spans="1:36" ht="15" customHeight="1" x14ac:dyDescent="0.25">
      <c r="A536" t="s">
        <v>71</v>
      </c>
      <c r="B536" t="s">
        <v>37</v>
      </c>
      <c r="C536" t="s">
        <v>37</v>
      </c>
      <c r="D536" t="s">
        <v>38</v>
      </c>
      <c r="E536" s="4">
        <v>4</v>
      </c>
      <c r="F536" s="5">
        <v>293.36</v>
      </c>
      <c r="G536" s="5" t="s">
        <v>39</v>
      </c>
      <c r="H536" s="5">
        <v>475.4</v>
      </c>
      <c r="I536" s="5" t="s">
        <v>39</v>
      </c>
      <c r="J536" s="5">
        <v>9.97424</v>
      </c>
      <c r="K536" s="5">
        <f t="shared" si="24"/>
        <v>2.49356</v>
      </c>
      <c r="L536" s="5">
        <f t="shared" si="25"/>
        <v>73.34</v>
      </c>
      <c r="M536" s="5" t="s">
        <v>39</v>
      </c>
      <c r="N536" s="5">
        <v>9.97424</v>
      </c>
      <c r="O536" s="5" t="s">
        <v>39</v>
      </c>
      <c r="P536" t="s">
        <v>120</v>
      </c>
      <c r="Q536" t="s">
        <v>401</v>
      </c>
      <c r="R536" t="s">
        <v>37</v>
      </c>
      <c r="S536" t="s">
        <v>402</v>
      </c>
      <c r="T536" t="s">
        <v>43</v>
      </c>
      <c r="U536" t="s">
        <v>44</v>
      </c>
      <c r="V536">
        <v>147</v>
      </c>
      <c r="W536" t="s">
        <v>45</v>
      </c>
      <c r="X536" t="s">
        <v>46</v>
      </c>
      <c r="Y536" t="s">
        <v>403</v>
      </c>
      <c r="Z536" t="s">
        <v>37</v>
      </c>
      <c r="AA536" t="s">
        <v>55</v>
      </c>
      <c r="AB536" t="s">
        <v>37</v>
      </c>
      <c r="AC536" s="6" t="s">
        <v>37</v>
      </c>
      <c r="AD536" s="6" t="s">
        <v>37</v>
      </c>
      <c r="AE536" t="s">
        <v>37</v>
      </c>
      <c r="AF536" t="s">
        <v>37</v>
      </c>
      <c r="AG536" s="6" t="s">
        <v>37</v>
      </c>
      <c r="AH536" t="s">
        <v>37</v>
      </c>
      <c r="AI536" t="s">
        <v>37</v>
      </c>
      <c r="AJ536" t="str">
        <f t="shared" si="26"/>
        <v>5MWU8WTDB07G5XJLWK</v>
      </c>
    </row>
    <row r="537" spans="1:36" ht="15" customHeight="1" x14ac:dyDescent="0.25">
      <c r="A537" t="s">
        <v>101</v>
      </c>
      <c r="B537" t="s">
        <v>37</v>
      </c>
      <c r="C537" t="s">
        <v>37</v>
      </c>
      <c r="D537" t="s">
        <v>38</v>
      </c>
      <c r="E537" s="4">
        <v>48</v>
      </c>
      <c r="F537" s="5">
        <v>618.24</v>
      </c>
      <c r="G537" s="5" t="s">
        <v>39</v>
      </c>
      <c r="H537" s="5">
        <v>943.68</v>
      </c>
      <c r="I537" s="5" t="s">
        <v>39</v>
      </c>
      <c r="J537" s="5">
        <v>21.020160000000001</v>
      </c>
      <c r="K537" s="5">
        <f t="shared" si="24"/>
        <v>0.43792000000000003</v>
      </c>
      <c r="L537" s="5">
        <f t="shared" si="25"/>
        <v>12.88</v>
      </c>
      <c r="M537" s="5" t="s">
        <v>39</v>
      </c>
      <c r="N537" s="5">
        <v>21.020160000000001</v>
      </c>
      <c r="O537" s="5" t="s">
        <v>39</v>
      </c>
      <c r="P537" t="s">
        <v>120</v>
      </c>
      <c r="Q537" t="s">
        <v>287</v>
      </c>
      <c r="R537" t="s">
        <v>37</v>
      </c>
      <c r="S537" t="s">
        <v>288</v>
      </c>
      <c r="T537" t="s">
        <v>43</v>
      </c>
      <c r="U537" t="s">
        <v>44</v>
      </c>
      <c r="V537">
        <v>147</v>
      </c>
      <c r="W537" t="s">
        <v>45</v>
      </c>
      <c r="X537" t="s">
        <v>239</v>
      </c>
      <c r="Y537" t="s">
        <v>289</v>
      </c>
      <c r="Z537" t="s">
        <v>37</v>
      </c>
      <c r="AA537" t="s">
        <v>95</v>
      </c>
      <c r="AB537" t="s">
        <v>37</v>
      </c>
      <c r="AC537" s="6" t="s">
        <v>37</v>
      </c>
      <c r="AD537" s="6" t="s">
        <v>37</v>
      </c>
      <c r="AE537" t="s">
        <v>37</v>
      </c>
      <c r="AF537" t="s">
        <v>37</v>
      </c>
      <c r="AG537" s="6" t="s">
        <v>37</v>
      </c>
      <c r="AH537" t="s">
        <v>37</v>
      </c>
      <c r="AI537" t="s">
        <v>37</v>
      </c>
      <c r="AJ537" t="str">
        <f t="shared" si="26"/>
        <v>5MWU8WTDB00ZOZZM4U</v>
      </c>
    </row>
    <row r="538" spans="1:36" ht="15" customHeight="1" x14ac:dyDescent="0.25">
      <c r="A538" t="s">
        <v>101</v>
      </c>
      <c r="B538" t="s">
        <v>37</v>
      </c>
      <c r="C538" t="s">
        <v>37</v>
      </c>
      <c r="D538" t="s">
        <v>38</v>
      </c>
      <c r="E538" s="4">
        <v>4</v>
      </c>
      <c r="F538" s="5">
        <v>179.36</v>
      </c>
      <c r="G538" s="5" t="s">
        <v>39</v>
      </c>
      <c r="H538" s="5">
        <v>288.48</v>
      </c>
      <c r="I538" s="5" t="s">
        <v>39</v>
      </c>
      <c r="J538" s="5">
        <v>6.0982399999999997</v>
      </c>
      <c r="K538" s="5">
        <f t="shared" si="24"/>
        <v>1.5245599999999999</v>
      </c>
      <c r="L538" s="5">
        <f t="shared" si="25"/>
        <v>44.84</v>
      </c>
      <c r="M538" s="5" t="s">
        <v>39</v>
      </c>
      <c r="N538" s="5">
        <v>6.0982399999999997</v>
      </c>
      <c r="O538" s="5" t="s">
        <v>39</v>
      </c>
      <c r="P538" t="s">
        <v>274</v>
      </c>
      <c r="Q538" t="s">
        <v>984</v>
      </c>
      <c r="R538" t="s">
        <v>37</v>
      </c>
      <c r="S538" t="s">
        <v>985</v>
      </c>
      <c r="T538" t="s">
        <v>43</v>
      </c>
      <c r="U538" t="s">
        <v>44</v>
      </c>
      <c r="V538">
        <v>147</v>
      </c>
      <c r="W538" t="s">
        <v>45</v>
      </c>
      <c r="X538" t="s">
        <v>46</v>
      </c>
      <c r="Y538" t="s">
        <v>986</v>
      </c>
      <c r="Z538" t="s">
        <v>37</v>
      </c>
      <c r="AA538" t="s">
        <v>95</v>
      </c>
      <c r="AB538" t="s">
        <v>37</v>
      </c>
      <c r="AC538" s="6" t="s">
        <v>37</v>
      </c>
      <c r="AD538" s="6" t="s">
        <v>37</v>
      </c>
      <c r="AE538" t="s">
        <v>37</v>
      </c>
      <c r="AF538" t="s">
        <v>37</v>
      </c>
      <c r="AG538" s="6" t="s">
        <v>37</v>
      </c>
      <c r="AH538" t="s">
        <v>37</v>
      </c>
      <c r="AI538" t="s">
        <v>37</v>
      </c>
      <c r="AJ538" t="str">
        <f t="shared" si="26"/>
        <v>4LYATDUXB07W6JM35X</v>
      </c>
    </row>
    <row r="539" spans="1:36" ht="15" customHeight="1" x14ac:dyDescent="0.25">
      <c r="A539" t="s">
        <v>96</v>
      </c>
      <c r="B539" t="s">
        <v>37</v>
      </c>
      <c r="C539" t="s">
        <v>37</v>
      </c>
      <c r="D539" t="s">
        <v>38</v>
      </c>
      <c r="E539" s="4">
        <v>30</v>
      </c>
      <c r="F539" s="5">
        <v>790.5</v>
      </c>
      <c r="G539" s="5" t="s">
        <v>39</v>
      </c>
      <c r="H539" s="5">
        <v>1180.2</v>
      </c>
      <c r="I539" s="5" t="s">
        <v>39</v>
      </c>
      <c r="J539" s="5">
        <v>26.876999999999999</v>
      </c>
      <c r="K539" s="5">
        <f t="shared" si="24"/>
        <v>0.89589999999999992</v>
      </c>
      <c r="L539" s="5">
        <f t="shared" si="25"/>
        <v>26.35</v>
      </c>
      <c r="M539" s="5" t="s">
        <v>39</v>
      </c>
      <c r="N539" s="5">
        <v>26.876999999999999</v>
      </c>
      <c r="O539" s="5" t="s">
        <v>39</v>
      </c>
      <c r="P539" t="s">
        <v>50</v>
      </c>
      <c r="Q539" t="s">
        <v>1034</v>
      </c>
      <c r="R539" t="s">
        <v>37</v>
      </c>
      <c r="S539" t="s">
        <v>1035</v>
      </c>
      <c r="T539" t="s">
        <v>43</v>
      </c>
      <c r="U539" t="s">
        <v>44</v>
      </c>
      <c r="V539">
        <v>147</v>
      </c>
      <c r="W539" t="s">
        <v>45</v>
      </c>
      <c r="X539" t="s">
        <v>53</v>
      </c>
      <c r="Y539" t="s">
        <v>1036</v>
      </c>
      <c r="Z539" t="s">
        <v>37</v>
      </c>
      <c r="AA539" t="s">
        <v>48</v>
      </c>
      <c r="AB539" t="s">
        <v>37</v>
      </c>
      <c r="AC539" s="6" t="s">
        <v>37</v>
      </c>
      <c r="AD539" s="6" t="s">
        <v>37</v>
      </c>
      <c r="AE539" t="s">
        <v>37</v>
      </c>
      <c r="AF539" t="s">
        <v>37</v>
      </c>
      <c r="AG539" s="6" t="s">
        <v>37</v>
      </c>
      <c r="AH539" t="s">
        <v>37</v>
      </c>
      <c r="AI539" t="s">
        <v>37</v>
      </c>
      <c r="AJ539" t="str">
        <f t="shared" si="26"/>
        <v>3A946EXYB01K7GEA3O</v>
      </c>
    </row>
    <row r="540" spans="1:36" ht="15" customHeight="1" x14ac:dyDescent="0.25">
      <c r="A540" t="s">
        <v>36</v>
      </c>
      <c r="B540" t="s">
        <v>37</v>
      </c>
      <c r="C540" t="s">
        <v>37</v>
      </c>
      <c r="D540" t="s">
        <v>38</v>
      </c>
      <c r="E540" s="4">
        <v>68</v>
      </c>
      <c r="F540" s="5">
        <v>1972.68</v>
      </c>
      <c r="G540" s="5" t="s">
        <v>39</v>
      </c>
      <c r="H540" s="5">
        <v>3287.8</v>
      </c>
      <c r="I540" s="5" t="s">
        <v>39</v>
      </c>
      <c r="J540" s="5">
        <v>67.071119999999993</v>
      </c>
      <c r="K540" s="5">
        <f t="shared" si="24"/>
        <v>0.98633999999999988</v>
      </c>
      <c r="L540" s="5">
        <f t="shared" si="25"/>
        <v>29.01</v>
      </c>
      <c r="M540" s="5" t="s">
        <v>39</v>
      </c>
      <c r="N540" s="5">
        <v>67.071119999999993</v>
      </c>
      <c r="O540" s="5" t="s">
        <v>39</v>
      </c>
      <c r="P540" t="s">
        <v>119</v>
      </c>
      <c r="Q540" t="s">
        <v>1186</v>
      </c>
      <c r="R540" t="s">
        <v>37</v>
      </c>
      <c r="S540" t="s">
        <v>1187</v>
      </c>
      <c r="T540" t="s">
        <v>43</v>
      </c>
      <c r="U540" t="s">
        <v>44</v>
      </c>
      <c r="V540">
        <v>147</v>
      </c>
      <c r="W540" t="s">
        <v>45</v>
      </c>
      <c r="X540" t="s">
        <v>46</v>
      </c>
      <c r="Y540" t="s">
        <v>1188</v>
      </c>
      <c r="Z540" t="s">
        <v>37</v>
      </c>
      <c r="AA540" t="s">
        <v>48</v>
      </c>
      <c r="AB540" t="s">
        <v>37</v>
      </c>
      <c r="AC540" s="6" t="s">
        <v>37</v>
      </c>
      <c r="AD540" s="6" t="s">
        <v>37</v>
      </c>
      <c r="AE540" t="s">
        <v>37</v>
      </c>
      <c r="AF540" t="s">
        <v>37</v>
      </c>
      <c r="AG540" s="6" t="s">
        <v>37</v>
      </c>
      <c r="AH540" t="s">
        <v>37</v>
      </c>
      <c r="AI540" t="s">
        <v>37</v>
      </c>
      <c r="AJ540" t="str">
        <f t="shared" si="26"/>
        <v>31DJDC7QB00CJ5FP2C</v>
      </c>
    </row>
    <row r="541" spans="1:36" ht="15" customHeight="1" x14ac:dyDescent="0.25">
      <c r="A541" t="s">
        <v>49</v>
      </c>
      <c r="B541" t="s">
        <v>37</v>
      </c>
      <c r="C541" t="s">
        <v>37</v>
      </c>
      <c r="D541" t="s">
        <v>38</v>
      </c>
      <c r="E541" s="4">
        <v>16</v>
      </c>
      <c r="F541" s="5">
        <v>374.72</v>
      </c>
      <c r="G541" s="5" t="s">
        <v>39</v>
      </c>
      <c r="H541" s="5">
        <v>576.96</v>
      </c>
      <c r="I541" s="5" t="s">
        <v>39</v>
      </c>
      <c r="J541" s="5">
        <v>12.74048</v>
      </c>
      <c r="K541" s="5">
        <f t="shared" si="24"/>
        <v>0.79627999999999999</v>
      </c>
      <c r="L541" s="5">
        <f t="shared" si="25"/>
        <v>23.42</v>
      </c>
      <c r="M541" s="5" t="s">
        <v>39</v>
      </c>
      <c r="N541" s="5">
        <v>12.74048</v>
      </c>
      <c r="O541" s="5" t="s">
        <v>39</v>
      </c>
      <c r="P541" t="s">
        <v>106</v>
      </c>
      <c r="Q541" t="s">
        <v>1189</v>
      </c>
      <c r="R541" t="s">
        <v>1190</v>
      </c>
      <c r="S541" t="s">
        <v>1191</v>
      </c>
      <c r="T541" t="s">
        <v>43</v>
      </c>
      <c r="U541" t="s">
        <v>44</v>
      </c>
      <c r="V541">
        <v>147</v>
      </c>
      <c r="W541" t="s">
        <v>45</v>
      </c>
      <c r="X541" t="s">
        <v>239</v>
      </c>
      <c r="Y541" t="s">
        <v>1192</v>
      </c>
      <c r="Z541" t="s">
        <v>37</v>
      </c>
      <c r="AA541" t="s">
        <v>95</v>
      </c>
      <c r="AB541" t="s">
        <v>37</v>
      </c>
      <c r="AC541" s="6" t="s">
        <v>37</v>
      </c>
      <c r="AD541" s="6" t="s">
        <v>37</v>
      </c>
      <c r="AE541" t="s">
        <v>37</v>
      </c>
      <c r="AF541" t="s">
        <v>37</v>
      </c>
      <c r="AG541" s="6" t="s">
        <v>37</v>
      </c>
      <c r="AH541" t="s">
        <v>37</v>
      </c>
      <c r="AI541" t="s">
        <v>37</v>
      </c>
      <c r="AJ541" t="str">
        <f t="shared" si="26"/>
        <v>2CLMXQWQB01BGBJ8Y0</v>
      </c>
    </row>
    <row r="542" spans="1:36" ht="15" customHeight="1" x14ac:dyDescent="0.25">
      <c r="A542" t="s">
        <v>101</v>
      </c>
      <c r="B542" t="s">
        <v>37</v>
      </c>
      <c r="C542" t="s">
        <v>37</v>
      </c>
      <c r="D542" t="s">
        <v>38</v>
      </c>
      <c r="E542" s="4">
        <v>18</v>
      </c>
      <c r="F542" s="5">
        <v>527.04</v>
      </c>
      <c r="G542" s="5" t="s">
        <v>39</v>
      </c>
      <c r="H542" s="5">
        <v>796.5</v>
      </c>
      <c r="I542" s="5" t="s">
        <v>39</v>
      </c>
      <c r="J542" s="5">
        <v>17.919360000000001</v>
      </c>
      <c r="K542" s="5">
        <f t="shared" si="24"/>
        <v>0.99552000000000007</v>
      </c>
      <c r="L542" s="5">
        <f t="shared" si="25"/>
        <v>29.279999999999998</v>
      </c>
      <c r="M542" s="5" t="s">
        <v>39</v>
      </c>
      <c r="N542" s="5">
        <v>17.919360000000001</v>
      </c>
      <c r="O542" s="5" t="s">
        <v>39</v>
      </c>
      <c r="P542" t="s">
        <v>274</v>
      </c>
      <c r="Q542" t="s">
        <v>1193</v>
      </c>
      <c r="R542" t="s">
        <v>37</v>
      </c>
      <c r="S542" t="s">
        <v>1194</v>
      </c>
      <c r="T542" t="s">
        <v>43</v>
      </c>
      <c r="U542" t="s">
        <v>44</v>
      </c>
      <c r="V542">
        <v>147</v>
      </c>
      <c r="W542" t="s">
        <v>45</v>
      </c>
      <c r="X542" t="s">
        <v>60</v>
      </c>
      <c r="Y542" t="s">
        <v>1195</v>
      </c>
      <c r="Z542" t="s">
        <v>37</v>
      </c>
      <c r="AA542" t="s">
        <v>55</v>
      </c>
      <c r="AB542" t="s">
        <v>37</v>
      </c>
      <c r="AC542" s="6" t="s">
        <v>37</v>
      </c>
      <c r="AD542" s="6" t="s">
        <v>37</v>
      </c>
      <c r="AE542" t="s">
        <v>37</v>
      </c>
      <c r="AF542" t="s">
        <v>37</v>
      </c>
      <c r="AG542" s="6" t="s">
        <v>37</v>
      </c>
      <c r="AH542" t="s">
        <v>37</v>
      </c>
      <c r="AI542" t="s">
        <v>37</v>
      </c>
      <c r="AJ542" t="str">
        <f t="shared" si="26"/>
        <v>4LYATDUXB0056466CQ</v>
      </c>
    </row>
    <row r="543" spans="1:36" ht="15" customHeight="1" x14ac:dyDescent="0.25">
      <c r="A543" t="s">
        <v>36</v>
      </c>
      <c r="B543" t="s">
        <v>37</v>
      </c>
      <c r="C543" t="s">
        <v>37</v>
      </c>
      <c r="D543" t="s">
        <v>38</v>
      </c>
      <c r="E543" s="4">
        <v>232</v>
      </c>
      <c r="F543" s="5">
        <v>16149.52</v>
      </c>
      <c r="G543" s="5" t="s">
        <v>39</v>
      </c>
      <c r="H543" s="5">
        <v>23768.400000000001</v>
      </c>
      <c r="I543" s="5" t="s">
        <v>39</v>
      </c>
      <c r="J543" s="5">
        <v>549.08367999999996</v>
      </c>
      <c r="K543" s="5">
        <f t="shared" si="24"/>
        <v>2.3667399999999996</v>
      </c>
      <c r="L543" s="5">
        <f t="shared" si="25"/>
        <v>69.61</v>
      </c>
      <c r="M543" s="5" t="s">
        <v>39</v>
      </c>
      <c r="N543" s="5">
        <v>549.08367999999996</v>
      </c>
      <c r="O543" s="5" t="s">
        <v>39</v>
      </c>
      <c r="P543" t="s">
        <v>270</v>
      </c>
      <c r="Q543" t="s">
        <v>513</v>
      </c>
      <c r="R543" t="s">
        <v>37</v>
      </c>
      <c r="S543" t="s">
        <v>514</v>
      </c>
      <c r="T543" t="s">
        <v>43</v>
      </c>
      <c r="U543" t="s">
        <v>44</v>
      </c>
      <c r="V543">
        <v>147</v>
      </c>
      <c r="W543" t="s">
        <v>45</v>
      </c>
      <c r="X543" t="s">
        <v>53</v>
      </c>
      <c r="Y543" t="s">
        <v>515</v>
      </c>
      <c r="Z543" t="s">
        <v>37</v>
      </c>
      <c r="AA543" t="s">
        <v>55</v>
      </c>
      <c r="AB543" t="s">
        <v>37</v>
      </c>
      <c r="AC543" s="6" t="s">
        <v>37</v>
      </c>
      <c r="AD543" s="6" t="s">
        <v>37</v>
      </c>
      <c r="AE543" t="s">
        <v>37</v>
      </c>
      <c r="AF543" t="s">
        <v>37</v>
      </c>
      <c r="AG543" s="6" t="s">
        <v>37</v>
      </c>
      <c r="AH543" t="s">
        <v>37</v>
      </c>
      <c r="AI543" t="s">
        <v>37</v>
      </c>
      <c r="AJ543" t="str">
        <f t="shared" si="26"/>
        <v>1X4DXX4TB074W227RK</v>
      </c>
    </row>
    <row r="544" spans="1:36" ht="15" customHeight="1" x14ac:dyDescent="0.25">
      <c r="A544" t="s">
        <v>36</v>
      </c>
      <c r="B544" t="s">
        <v>37</v>
      </c>
      <c r="C544" t="s">
        <v>37</v>
      </c>
      <c r="D544" t="s">
        <v>38</v>
      </c>
      <c r="E544" s="4">
        <v>28</v>
      </c>
      <c r="F544" s="5">
        <v>1932.84</v>
      </c>
      <c r="G544" s="5" t="s">
        <v>39</v>
      </c>
      <c r="H544" s="5">
        <v>2960.72</v>
      </c>
      <c r="I544" s="5" t="s">
        <v>39</v>
      </c>
      <c r="J544" s="5">
        <v>65.716560000000001</v>
      </c>
      <c r="K544" s="5">
        <f t="shared" si="24"/>
        <v>2.3470200000000001</v>
      </c>
      <c r="L544" s="5">
        <f t="shared" si="25"/>
        <v>69.03</v>
      </c>
      <c r="M544" s="5" t="s">
        <v>39</v>
      </c>
      <c r="N544" s="5">
        <v>65.716560000000001</v>
      </c>
      <c r="O544" s="5" t="s">
        <v>39</v>
      </c>
      <c r="P544" t="s">
        <v>67</v>
      </c>
      <c r="Q544" t="s">
        <v>1196</v>
      </c>
      <c r="R544" t="s">
        <v>37</v>
      </c>
      <c r="S544" t="s">
        <v>1197</v>
      </c>
      <c r="T544" t="s">
        <v>43</v>
      </c>
      <c r="U544" t="s">
        <v>44</v>
      </c>
      <c r="V544">
        <v>147</v>
      </c>
      <c r="W544" t="s">
        <v>45</v>
      </c>
      <c r="X544" t="s">
        <v>60</v>
      </c>
      <c r="Y544" t="s">
        <v>1198</v>
      </c>
      <c r="Z544" t="s">
        <v>37</v>
      </c>
      <c r="AA544" t="s">
        <v>55</v>
      </c>
      <c r="AB544" t="s">
        <v>37</v>
      </c>
      <c r="AC544" s="6" t="s">
        <v>37</v>
      </c>
      <c r="AD544" s="6" t="s">
        <v>37</v>
      </c>
      <c r="AE544" t="s">
        <v>37</v>
      </c>
      <c r="AF544" t="s">
        <v>37</v>
      </c>
      <c r="AG544" s="6" t="s">
        <v>37</v>
      </c>
      <c r="AH544" t="s">
        <v>37</v>
      </c>
      <c r="AI544" t="s">
        <v>37</v>
      </c>
      <c r="AJ544" t="str">
        <f t="shared" si="26"/>
        <v>2TMBDXBKB07W5JK2S4</v>
      </c>
    </row>
    <row r="545" spans="1:36" ht="15" customHeight="1" x14ac:dyDescent="0.25">
      <c r="A545" t="s">
        <v>101</v>
      </c>
      <c r="B545" t="s">
        <v>37</v>
      </c>
      <c r="C545" t="s">
        <v>37</v>
      </c>
      <c r="D545" t="s">
        <v>38</v>
      </c>
      <c r="E545" s="4">
        <v>4</v>
      </c>
      <c r="F545" s="5">
        <v>402.76</v>
      </c>
      <c r="G545" s="5" t="s">
        <v>39</v>
      </c>
      <c r="H545" s="5">
        <v>475.4</v>
      </c>
      <c r="I545" s="5" t="s">
        <v>39</v>
      </c>
      <c r="J545" s="5">
        <v>13.69384</v>
      </c>
      <c r="K545" s="5">
        <f t="shared" si="24"/>
        <v>3.4234599999999999</v>
      </c>
      <c r="L545" s="5">
        <f t="shared" si="25"/>
        <v>100.69</v>
      </c>
      <c r="M545" s="5" t="s">
        <v>39</v>
      </c>
      <c r="N545" s="5">
        <v>13.69384</v>
      </c>
      <c r="O545" s="5" t="s">
        <v>39</v>
      </c>
      <c r="P545" t="s">
        <v>320</v>
      </c>
      <c r="Q545" t="s">
        <v>1199</v>
      </c>
      <c r="R545" t="s">
        <v>37</v>
      </c>
      <c r="S545" t="s">
        <v>1200</v>
      </c>
      <c r="T545" t="s">
        <v>43</v>
      </c>
      <c r="U545" t="s">
        <v>44</v>
      </c>
      <c r="V545">
        <v>147</v>
      </c>
      <c r="W545" t="s">
        <v>45</v>
      </c>
      <c r="X545" t="s">
        <v>46</v>
      </c>
      <c r="Y545" t="s">
        <v>1201</v>
      </c>
      <c r="Z545" t="s">
        <v>37</v>
      </c>
      <c r="AA545" t="s">
        <v>55</v>
      </c>
      <c r="AB545" t="s">
        <v>37</v>
      </c>
      <c r="AC545" s="6" t="s">
        <v>37</v>
      </c>
      <c r="AD545" s="6" t="s">
        <v>37</v>
      </c>
      <c r="AE545" t="s">
        <v>37</v>
      </c>
      <c r="AF545" t="s">
        <v>37</v>
      </c>
      <c r="AG545" s="6" t="s">
        <v>37</v>
      </c>
      <c r="AH545" t="s">
        <v>37</v>
      </c>
      <c r="AI545" t="s">
        <v>37</v>
      </c>
      <c r="AJ545" t="str">
        <f t="shared" si="26"/>
        <v>8BG295LIB07W6HT7X6</v>
      </c>
    </row>
    <row r="546" spans="1:36" ht="15" customHeight="1" x14ac:dyDescent="0.25">
      <c r="A546" t="s">
        <v>49</v>
      </c>
      <c r="B546" t="s">
        <v>37</v>
      </c>
      <c r="C546" t="s">
        <v>37</v>
      </c>
      <c r="D546" t="s">
        <v>38</v>
      </c>
      <c r="E546" s="4">
        <v>10</v>
      </c>
      <c r="F546" s="5">
        <v>234.2</v>
      </c>
      <c r="G546" s="5" t="s">
        <v>39</v>
      </c>
      <c r="H546" s="5">
        <v>336</v>
      </c>
      <c r="I546" s="5" t="s">
        <v>39</v>
      </c>
      <c r="J546" s="5">
        <v>7.9627999999999997</v>
      </c>
      <c r="K546" s="5">
        <f t="shared" si="24"/>
        <v>0.79627999999999999</v>
      </c>
      <c r="L546" s="5">
        <f t="shared" si="25"/>
        <v>23.419999999999998</v>
      </c>
      <c r="M546" s="5" t="s">
        <v>39</v>
      </c>
      <c r="N546" s="5">
        <v>7.9627999999999997</v>
      </c>
      <c r="O546" s="5" t="s">
        <v>39</v>
      </c>
      <c r="P546" t="s">
        <v>195</v>
      </c>
      <c r="Q546" t="s">
        <v>648</v>
      </c>
      <c r="R546" t="s">
        <v>37</v>
      </c>
      <c r="S546" t="s">
        <v>649</v>
      </c>
      <c r="T546" t="s">
        <v>43</v>
      </c>
      <c r="U546" t="s">
        <v>44</v>
      </c>
      <c r="V546">
        <v>147</v>
      </c>
      <c r="W546" t="s">
        <v>45</v>
      </c>
      <c r="X546" t="s">
        <v>60</v>
      </c>
      <c r="Y546" t="s">
        <v>650</v>
      </c>
      <c r="Z546" t="s">
        <v>37</v>
      </c>
      <c r="AA546" t="s">
        <v>55</v>
      </c>
      <c r="AB546" t="s">
        <v>37</v>
      </c>
      <c r="AC546" s="6" t="s">
        <v>37</v>
      </c>
      <c r="AD546" s="6" t="s">
        <v>37</v>
      </c>
      <c r="AE546" t="s">
        <v>37</v>
      </c>
      <c r="AF546" t="s">
        <v>37</v>
      </c>
      <c r="AG546" s="6" t="s">
        <v>37</v>
      </c>
      <c r="AH546" t="s">
        <v>37</v>
      </c>
      <c r="AI546" t="s">
        <v>37</v>
      </c>
      <c r="AJ546" t="str">
        <f t="shared" si="26"/>
        <v>5X1OU9ZGB07W6GY66B</v>
      </c>
    </row>
    <row r="547" spans="1:36" ht="15" customHeight="1" x14ac:dyDescent="0.25">
      <c r="A547" t="s">
        <v>96</v>
      </c>
      <c r="B547" t="s">
        <v>37</v>
      </c>
      <c r="C547" t="s">
        <v>37</v>
      </c>
      <c r="D547" t="s">
        <v>38</v>
      </c>
      <c r="E547" s="4">
        <v>144</v>
      </c>
      <c r="F547" s="5">
        <v>3372.48</v>
      </c>
      <c r="G547" s="5" t="s">
        <v>39</v>
      </c>
      <c r="H547" s="5">
        <v>5192.6400000000003</v>
      </c>
      <c r="I547" s="5" t="s">
        <v>39</v>
      </c>
      <c r="J547" s="5">
        <v>114.66432</v>
      </c>
      <c r="K547" s="5">
        <f t="shared" si="24"/>
        <v>0.79627999999999999</v>
      </c>
      <c r="L547" s="5">
        <f t="shared" si="25"/>
        <v>23.42</v>
      </c>
      <c r="M547" s="5" t="s">
        <v>39</v>
      </c>
      <c r="N547" s="5">
        <v>114.66432</v>
      </c>
      <c r="O547" s="5" t="s">
        <v>39</v>
      </c>
      <c r="P547" t="s">
        <v>106</v>
      </c>
      <c r="Q547" t="s">
        <v>1189</v>
      </c>
      <c r="R547" t="s">
        <v>1190</v>
      </c>
      <c r="S547" t="s">
        <v>1191</v>
      </c>
      <c r="T547" t="s">
        <v>43</v>
      </c>
      <c r="U547" t="s">
        <v>44</v>
      </c>
      <c r="V547">
        <v>147</v>
      </c>
      <c r="W547" t="s">
        <v>45</v>
      </c>
      <c r="X547" t="s">
        <v>239</v>
      </c>
      <c r="Y547" t="s">
        <v>1192</v>
      </c>
      <c r="Z547" t="s">
        <v>37</v>
      </c>
      <c r="AA547" t="s">
        <v>95</v>
      </c>
      <c r="AB547" t="s">
        <v>37</v>
      </c>
      <c r="AC547" s="6" t="s">
        <v>37</v>
      </c>
      <c r="AD547" s="6" t="s">
        <v>37</v>
      </c>
      <c r="AE547" t="s">
        <v>37</v>
      </c>
      <c r="AF547" t="s">
        <v>37</v>
      </c>
      <c r="AG547" s="6" t="s">
        <v>37</v>
      </c>
      <c r="AH547" t="s">
        <v>37</v>
      </c>
      <c r="AI547" t="s">
        <v>37</v>
      </c>
      <c r="AJ547" t="str">
        <f t="shared" si="26"/>
        <v>2CLMXQWQB01BGBJ8Y0</v>
      </c>
    </row>
    <row r="548" spans="1:36" ht="15" customHeight="1" x14ac:dyDescent="0.25">
      <c r="A548" t="s">
        <v>101</v>
      </c>
      <c r="B548" t="s">
        <v>37</v>
      </c>
      <c r="C548" t="s">
        <v>37</v>
      </c>
      <c r="D548" t="s">
        <v>38</v>
      </c>
      <c r="E548" s="4">
        <v>40</v>
      </c>
      <c r="F548" s="5">
        <v>1244.8</v>
      </c>
      <c r="G548" s="5" t="s">
        <v>39</v>
      </c>
      <c r="H548" s="5">
        <v>1573.6</v>
      </c>
      <c r="I548" s="5" t="s">
        <v>39</v>
      </c>
      <c r="J548" s="5">
        <v>42.3232</v>
      </c>
      <c r="K548" s="5">
        <f t="shared" si="24"/>
        <v>1.0580799999999999</v>
      </c>
      <c r="L548" s="5">
        <f t="shared" si="25"/>
        <v>31.119999999999997</v>
      </c>
      <c r="M548" s="5" t="s">
        <v>39</v>
      </c>
      <c r="N548" s="5">
        <v>42.3232</v>
      </c>
      <c r="O548" s="5" t="s">
        <v>39</v>
      </c>
      <c r="P548" t="s">
        <v>320</v>
      </c>
      <c r="Q548" t="s">
        <v>90</v>
      </c>
      <c r="R548" t="s">
        <v>37</v>
      </c>
      <c r="S548" t="s">
        <v>91</v>
      </c>
      <c r="T548" t="s">
        <v>43</v>
      </c>
      <c r="U548" t="s">
        <v>44</v>
      </c>
      <c r="V548">
        <v>147</v>
      </c>
      <c r="W548" t="s">
        <v>92</v>
      </c>
      <c r="X548" t="s">
        <v>93</v>
      </c>
      <c r="Y548" t="s">
        <v>94</v>
      </c>
      <c r="Z548" t="s">
        <v>37</v>
      </c>
      <c r="AA548" t="s">
        <v>95</v>
      </c>
      <c r="AB548" t="s">
        <v>37</v>
      </c>
      <c r="AC548" s="6" t="s">
        <v>37</v>
      </c>
      <c r="AD548" s="6" t="s">
        <v>37</v>
      </c>
      <c r="AE548" t="s">
        <v>37</v>
      </c>
      <c r="AF548" t="s">
        <v>37</v>
      </c>
      <c r="AG548" s="6" t="s">
        <v>37</v>
      </c>
      <c r="AH548" t="s">
        <v>37</v>
      </c>
      <c r="AI548" t="s">
        <v>37</v>
      </c>
      <c r="AJ548" t="str">
        <f t="shared" si="26"/>
        <v>8BG295LIB07W5JKBMG</v>
      </c>
    </row>
    <row r="549" spans="1:36" ht="15" customHeight="1" x14ac:dyDescent="0.25">
      <c r="A549" t="s">
        <v>101</v>
      </c>
      <c r="B549" t="s">
        <v>37</v>
      </c>
      <c r="C549" t="s">
        <v>37</v>
      </c>
      <c r="D549" t="s">
        <v>38</v>
      </c>
      <c r="E549" s="4">
        <v>50</v>
      </c>
      <c r="F549" s="5">
        <v>468</v>
      </c>
      <c r="G549" s="5" t="s">
        <v>39</v>
      </c>
      <c r="H549" s="5">
        <v>696.5</v>
      </c>
      <c r="I549" s="5" t="s">
        <v>39</v>
      </c>
      <c r="J549" s="5">
        <v>15.912000000000001</v>
      </c>
      <c r="K549" s="5">
        <f t="shared" si="24"/>
        <v>0.31824000000000002</v>
      </c>
      <c r="L549" s="5">
        <f t="shared" si="25"/>
        <v>9.36</v>
      </c>
      <c r="M549" s="5" t="s">
        <v>39</v>
      </c>
      <c r="N549" s="5">
        <v>15.912000000000001</v>
      </c>
      <c r="O549" s="5" t="s">
        <v>39</v>
      </c>
      <c r="P549" t="s">
        <v>274</v>
      </c>
      <c r="Q549" t="s">
        <v>1202</v>
      </c>
      <c r="R549" t="s">
        <v>37</v>
      </c>
      <c r="S549" t="s">
        <v>1203</v>
      </c>
      <c r="T549" t="s">
        <v>43</v>
      </c>
      <c r="U549" t="s">
        <v>44</v>
      </c>
      <c r="V549">
        <v>147</v>
      </c>
      <c r="W549" t="s">
        <v>45</v>
      </c>
      <c r="X549" t="s">
        <v>53</v>
      </c>
      <c r="Y549" t="s">
        <v>1204</v>
      </c>
      <c r="Z549" t="s">
        <v>37</v>
      </c>
      <c r="AA549" t="s">
        <v>48</v>
      </c>
      <c r="AB549" t="s">
        <v>37</v>
      </c>
      <c r="AC549" s="6" t="s">
        <v>37</v>
      </c>
      <c r="AD549" s="6" t="s">
        <v>37</v>
      </c>
      <c r="AE549" t="s">
        <v>37</v>
      </c>
      <c r="AF549" t="s">
        <v>37</v>
      </c>
      <c r="AG549" s="6" t="s">
        <v>37</v>
      </c>
      <c r="AH549" t="s">
        <v>37</v>
      </c>
      <c r="AI549" t="s">
        <v>37</v>
      </c>
      <c r="AJ549" t="str">
        <f t="shared" si="26"/>
        <v>4LYATDUXB019RPQML4</v>
      </c>
    </row>
    <row r="550" spans="1:36" ht="15" customHeight="1" x14ac:dyDescent="0.25">
      <c r="A550" t="s">
        <v>88</v>
      </c>
      <c r="B550" t="s">
        <v>37</v>
      </c>
      <c r="C550" t="s">
        <v>37</v>
      </c>
      <c r="D550" t="s">
        <v>38</v>
      </c>
      <c r="E550" s="4">
        <v>6</v>
      </c>
      <c r="F550" s="5">
        <v>382.98</v>
      </c>
      <c r="G550" s="5" t="s">
        <v>39</v>
      </c>
      <c r="H550" s="5">
        <v>472.08</v>
      </c>
      <c r="I550" s="5" t="s">
        <v>39</v>
      </c>
      <c r="J550" s="5">
        <v>13.021319999999999</v>
      </c>
      <c r="K550" s="5">
        <f t="shared" si="24"/>
        <v>2.17022</v>
      </c>
      <c r="L550" s="5">
        <f t="shared" si="25"/>
        <v>63.830000000000005</v>
      </c>
      <c r="M550" s="5" t="s">
        <v>39</v>
      </c>
      <c r="N550" s="5">
        <v>13.021319999999999</v>
      </c>
      <c r="O550" s="5" t="s">
        <v>39</v>
      </c>
      <c r="P550" t="s">
        <v>89</v>
      </c>
      <c r="Q550" t="s">
        <v>1205</v>
      </c>
      <c r="R550" t="s">
        <v>1206</v>
      </c>
      <c r="S550" t="s">
        <v>1207</v>
      </c>
      <c r="T550" t="s">
        <v>43</v>
      </c>
      <c r="U550" t="s">
        <v>44</v>
      </c>
      <c r="V550">
        <v>23</v>
      </c>
      <c r="W550" t="s">
        <v>281</v>
      </c>
      <c r="X550" t="s">
        <v>282</v>
      </c>
      <c r="Y550" t="s">
        <v>1208</v>
      </c>
      <c r="Z550" t="s">
        <v>37</v>
      </c>
      <c r="AA550" t="s">
        <v>55</v>
      </c>
      <c r="AB550" t="s">
        <v>37</v>
      </c>
      <c r="AC550" s="6" t="s">
        <v>37</v>
      </c>
      <c r="AD550" s="6" t="s">
        <v>37</v>
      </c>
      <c r="AE550" t="s">
        <v>37</v>
      </c>
      <c r="AF550" t="s">
        <v>37</v>
      </c>
      <c r="AG550" s="6" t="s">
        <v>37</v>
      </c>
      <c r="AH550" t="s">
        <v>37</v>
      </c>
      <c r="AI550" t="s">
        <v>37</v>
      </c>
      <c r="AJ550" t="str">
        <f t="shared" si="26"/>
        <v>2W68T8TOB08GX3XFYH</v>
      </c>
    </row>
    <row r="551" spans="1:36" ht="15" customHeight="1" x14ac:dyDescent="0.25">
      <c r="A551" t="s">
        <v>36</v>
      </c>
      <c r="B551" t="s">
        <v>37</v>
      </c>
      <c r="C551" t="s">
        <v>37</v>
      </c>
      <c r="D551" t="s">
        <v>38</v>
      </c>
      <c r="E551" s="4">
        <v>24</v>
      </c>
      <c r="F551" s="5">
        <v>773.04</v>
      </c>
      <c r="G551" s="5" t="s">
        <v>39</v>
      </c>
      <c r="H551" s="5">
        <v>773.04</v>
      </c>
      <c r="I551" s="5" t="s">
        <v>39</v>
      </c>
      <c r="J551" s="5">
        <v>26.283359999999998</v>
      </c>
      <c r="K551" s="5">
        <f t="shared" si="24"/>
        <v>1.09514</v>
      </c>
      <c r="L551" s="5">
        <f t="shared" si="25"/>
        <v>32.21</v>
      </c>
      <c r="M551" s="5" t="s">
        <v>39</v>
      </c>
      <c r="N551" s="5">
        <v>26.283359999999998</v>
      </c>
      <c r="O551" s="5" t="s">
        <v>39</v>
      </c>
      <c r="P551" t="s">
        <v>270</v>
      </c>
      <c r="Q551" t="s">
        <v>1209</v>
      </c>
      <c r="R551" t="s">
        <v>37</v>
      </c>
      <c r="S551" t="s">
        <v>1210</v>
      </c>
      <c r="T551" t="s">
        <v>1211</v>
      </c>
      <c r="U551" t="s">
        <v>44</v>
      </c>
      <c r="V551">
        <v>147</v>
      </c>
      <c r="W551" t="s">
        <v>45</v>
      </c>
      <c r="X551" t="s">
        <v>60</v>
      </c>
      <c r="Y551" t="s">
        <v>1212</v>
      </c>
      <c r="Z551" t="s">
        <v>37</v>
      </c>
      <c r="AA551" t="s">
        <v>55</v>
      </c>
      <c r="AB551" t="s">
        <v>37</v>
      </c>
      <c r="AC551" s="6" t="s">
        <v>37</v>
      </c>
      <c r="AD551" s="6" t="s">
        <v>37</v>
      </c>
      <c r="AE551" t="s">
        <v>37</v>
      </c>
      <c r="AF551" t="s">
        <v>37</v>
      </c>
      <c r="AG551" s="6" t="s">
        <v>37</v>
      </c>
      <c r="AH551" t="s">
        <v>37</v>
      </c>
      <c r="AI551" t="s">
        <v>37</v>
      </c>
      <c r="AJ551" t="str">
        <f t="shared" si="26"/>
        <v>1X4DXX4TB07W6HSPY6</v>
      </c>
    </row>
    <row r="552" spans="1:36" ht="15" customHeight="1" x14ac:dyDescent="0.25">
      <c r="A552" t="s">
        <v>76</v>
      </c>
      <c r="B552" t="s">
        <v>37</v>
      </c>
      <c r="C552" t="s">
        <v>37</v>
      </c>
      <c r="D552" t="s">
        <v>38</v>
      </c>
      <c r="E552" s="4">
        <v>96</v>
      </c>
      <c r="F552" s="5">
        <v>7239.36</v>
      </c>
      <c r="G552" s="5" t="s">
        <v>39</v>
      </c>
      <c r="H552" s="5">
        <v>10622.4</v>
      </c>
      <c r="I552" s="5" t="s">
        <v>39</v>
      </c>
      <c r="J552" s="5">
        <v>246.13824</v>
      </c>
      <c r="K552" s="5">
        <f t="shared" si="24"/>
        <v>2.5639400000000001</v>
      </c>
      <c r="L552" s="5">
        <f t="shared" si="25"/>
        <v>75.41</v>
      </c>
      <c r="M552" s="5" t="s">
        <v>39</v>
      </c>
      <c r="N552" s="5">
        <v>246.13824</v>
      </c>
      <c r="O552" s="5" t="s">
        <v>39</v>
      </c>
      <c r="P552" t="s">
        <v>63</v>
      </c>
      <c r="Q552" t="s">
        <v>487</v>
      </c>
      <c r="R552" t="s">
        <v>37</v>
      </c>
      <c r="S552" t="s">
        <v>488</v>
      </c>
      <c r="T552" t="s">
        <v>43</v>
      </c>
      <c r="U552" t="s">
        <v>44</v>
      </c>
      <c r="V552">
        <v>147</v>
      </c>
      <c r="W552" t="s">
        <v>45</v>
      </c>
      <c r="X552" t="s">
        <v>60</v>
      </c>
      <c r="Y552" t="s">
        <v>489</v>
      </c>
      <c r="Z552" t="s">
        <v>490</v>
      </c>
      <c r="AA552" t="s">
        <v>55</v>
      </c>
      <c r="AB552" t="s">
        <v>37</v>
      </c>
      <c r="AC552" s="6" t="s">
        <v>37</v>
      </c>
      <c r="AD552" s="6" t="s">
        <v>37</v>
      </c>
      <c r="AE552" t="s">
        <v>37</v>
      </c>
      <c r="AF552" t="s">
        <v>37</v>
      </c>
      <c r="AG552" s="6" t="s">
        <v>37</v>
      </c>
      <c r="AH552" t="s">
        <v>37</v>
      </c>
      <c r="AI552" t="s">
        <v>37</v>
      </c>
      <c r="AJ552" t="str">
        <f t="shared" si="26"/>
        <v>7H9X1Z6SB07W6JNG11</v>
      </c>
    </row>
    <row r="553" spans="1:36" ht="15" customHeight="1" x14ac:dyDescent="0.25">
      <c r="A553" t="s">
        <v>88</v>
      </c>
      <c r="B553" t="s">
        <v>37</v>
      </c>
      <c r="C553" t="s">
        <v>37</v>
      </c>
      <c r="D553" t="s">
        <v>38</v>
      </c>
      <c r="E553" s="4">
        <v>32</v>
      </c>
      <c r="F553" s="5">
        <v>2227.52</v>
      </c>
      <c r="G553" s="5" t="s">
        <v>39</v>
      </c>
      <c r="H553" s="5">
        <v>3278.4</v>
      </c>
      <c r="I553" s="5" t="s">
        <v>39</v>
      </c>
      <c r="J553" s="5">
        <v>75.735680000000002</v>
      </c>
      <c r="K553" s="5">
        <f t="shared" si="24"/>
        <v>2.3667400000000001</v>
      </c>
      <c r="L553" s="5">
        <f t="shared" si="25"/>
        <v>69.61</v>
      </c>
      <c r="M553" s="5" t="s">
        <v>39</v>
      </c>
      <c r="N553" s="5">
        <v>75.735680000000002</v>
      </c>
      <c r="O553" s="5" t="s">
        <v>39</v>
      </c>
      <c r="P553" t="s">
        <v>40</v>
      </c>
      <c r="Q553" t="s">
        <v>1213</v>
      </c>
      <c r="R553" t="s">
        <v>37</v>
      </c>
      <c r="S553" t="s">
        <v>1214</v>
      </c>
      <c r="T553" t="s">
        <v>43</v>
      </c>
      <c r="U553" t="s">
        <v>44</v>
      </c>
      <c r="V553">
        <v>147</v>
      </c>
      <c r="W553" t="s">
        <v>45</v>
      </c>
      <c r="X553" t="s">
        <v>53</v>
      </c>
      <c r="Y553" t="s">
        <v>1215</v>
      </c>
      <c r="Z553" t="s">
        <v>37</v>
      </c>
      <c r="AA553" t="s">
        <v>55</v>
      </c>
      <c r="AB553" t="s">
        <v>37</v>
      </c>
      <c r="AC553" s="6" t="s">
        <v>37</v>
      </c>
      <c r="AD553" s="6" t="s">
        <v>37</v>
      </c>
      <c r="AE553" t="s">
        <v>37</v>
      </c>
      <c r="AF553" t="s">
        <v>37</v>
      </c>
      <c r="AG553" s="6" t="s">
        <v>37</v>
      </c>
      <c r="AH553" t="s">
        <v>37</v>
      </c>
      <c r="AI553" t="s">
        <v>37</v>
      </c>
      <c r="AJ553" t="str">
        <f t="shared" si="26"/>
        <v>4A3KDTEZB0038NRMKW</v>
      </c>
    </row>
    <row r="554" spans="1:36" ht="15" customHeight="1" x14ac:dyDescent="0.25">
      <c r="A554" t="s">
        <v>101</v>
      </c>
      <c r="B554" t="s">
        <v>37</v>
      </c>
      <c r="C554" t="s">
        <v>37</v>
      </c>
      <c r="D554" t="s">
        <v>38</v>
      </c>
      <c r="E554" s="4">
        <v>16</v>
      </c>
      <c r="F554" s="5">
        <v>515.36</v>
      </c>
      <c r="G554" s="5" t="s">
        <v>39</v>
      </c>
      <c r="H554" s="5">
        <v>773.6</v>
      </c>
      <c r="I554" s="5" t="s">
        <v>39</v>
      </c>
      <c r="J554" s="5">
        <v>17.52224</v>
      </c>
      <c r="K554" s="5">
        <f t="shared" si="24"/>
        <v>1.09514</v>
      </c>
      <c r="L554" s="5">
        <f t="shared" si="25"/>
        <v>32.21</v>
      </c>
      <c r="M554" s="5" t="s">
        <v>39</v>
      </c>
      <c r="N554" s="5">
        <v>17.52224</v>
      </c>
      <c r="O554" s="5" t="s">
        <v>39</v>
      </c>
      <c r="P554" t="s">
        <v>102</v>
      </c>
      <c r="Q554" t="s">
        <v>1108</v>
      </c>
      <c r="R554" t="s">
        <v>37</v>
      </c>
      <c r="S554" t="s">
        <v>1109</v>
      </c>
      <c r="T554" t="s">
        <v>43</v>
      </c>
      <c r="U554" t="s">
        <v>44</v>
      </c>
      <c r="V554">
        <v>147</v>
      </c>
      <c r="W554" t="s">
        <v>45</v>
      </c>
      <c r="X554" t="s">
        <v>356</v>
      </c>
      <c r="Y554" t="s">
        <v>1110</v>
      </c>
      <c r="Z554" t="s">
        <v>37</v>
      </c>
      <c r="AA554" t="s">
        <v>55</v>
      </c>
      <c r="AB554" t="s">
        <v>37</v>
      </c>
      <c r="AC554" s="6" t="s">
        <v>37</v>
      </c>
      <c r="AD554" s="6" t="s">
        <v>37</v>
      </c>
      <c r="AE554" t="s">
        <v>37</v>
      </c>
      <c r="AF554" t="s">
        <v>37</v>
      </c>
      <c r="AG554" s="6" t="s">
        <v>37</v>
      </c>
      <c r="AH554" t="s">
        <v>37</v>
      </c>
      <c r="AI554" t="s">
        <v>37</v>
      </c>
      <c r="AJ554" t="str">
        <f t="shared" si="26"/>
        <v>2M7QFTCOB07W5JKKHL</v>
      </c>
    </row>
    <row r="555" spans="1:36" ht="15" customHeight="1" x14ac:dyDescent="0.25">
      <c r="A555" t="s">
        <v>101</v>
      </c>
      <c r="B555" t="s">
        <v>37</v>
      </c>
      <c r="C555" t="s">
        <v>37</v>
      </c>
      <c r="D555" t="s">
        <v>38</v>
      </c>
      <c r="E555" s="4">
        <v>372</v>
      </c>
      <c r="F555" s="5">
        <v>27282.48</v>
      </c>
      <c r="G555" s="5" t="s">
        <v>39</v>
      </c>
      <c r="H555" s="5">
        <v>41161.800000000003</v>
      </c>
      <c r="I555" s="5" t="s">
        <v>39</v>
      </c>
      <c r="J555" s="5">
        <v>927.60432000000003</v>
      </c>
      <c r="K555" s="5">
        <f t="shared" si="24"/>
        <v>2.49356</v>
      </c>
      <c r="L555" s="5">
        <f t="shared" si="25"/>
        <v>73.34</v>
      </c>
      <c r="M555" s="5" t="s">
        <v>39</v>
      </c>
      <c r="N555" s="5">
        <v>927.60432000000003</v>
      </c>
      <c r="O555" s="5" t="s">
        <v>39</v>
      </c>
      <c r="P555" t="s">
        <v>102</v>
      </c>
      <c r="Q555" t="s">
        <v>260</v>
      </c>
      <c r="R555" t="s">
        <v>37</v>
      </c>
      <c r="S555" t="s">
        <v>261</v>
      </c>
      <c r="T555" t="s">
        <v>43</v>
      </c>
      <c r="U555" t="s">
        <v>44</v>
      </c>
      <c r="V555">
        <v>147</v>
      </c>
      <c r="W555" t="s">
        <v>45</v>
      </c>
      <c r="X555" t="s">
        <v>46</v>
      </c>
      <c r="Y555" t="s">
        <v>262</v>
      </c>
      <c r="Z555" t="s">
        <v>37</v>
      </c>
      <c r="AA555" t="s">
        <v>55</v>
      </c>
      <c r="AB555" t="s">
        <v>37</v>
      </c>
      <c r="AC555" s="6" t="s">
        <v>37</v>
      </c>
      <c r="AD555" s="6" t="s">
        <v>37</v>
      </c>
      <c r="AE555" t="s">
        <v>37</v>
      </c>
      <c r="AF555" t="s">
        <v>37</v>
      </c>
      <c r="AG555" s="6" t="s">
        <v>37</v>
      </c>
      <c r="AH555" t="s">
        <v>37</v>
      </c>
      <c r="AI555" t="s">
        <v>37</v>
      </c>
      <c r="AJ555" t="str">
        <f t="shared" si="26"/>
        <v>2M7QFTCOB07TLX61W7</v>
      </c>
    </row>
    <row r="556" spans="1:36" ht="15" customHeight="1" x14ac:dyDescent="0.25">
      <c r="A556" t="s">
        <v>118</v>
      </c>
      <c r="B556" t="s">
        <v>37</v>
      </c>
      <c r="C556" t="s">
        <v>37</v>
      </c>
      <c r="D556" t="s">
        <v>38</v>
      </c>
      <c r="E556" s="4">
        <v>10</v>
      </c>
      <c r="F556" s="5">
        <v>292.8</v>
      </c>
      <c r="G556" s="5" t="s">
        <v>39</v>
      </c>
      <c r="H556" s="5">
        <v>442.5</v>
      </c>
      <c r="I556" s="5" t="s">
        <v>39</v>
      </c>
      <c r="J556" s="5">
        <v>9.9551999999999996</v>
      </c>
      <c r="K556" s="5">
        <f t="shared" si="24"/>
        <v>0.99551999999999996</v>
      </c>
      <c r="L556" s="5">
        <f t="shared" si="25"/>
        <v>29.28</v>
      </c>
      <c r="M556" s="5" t="s">
        <v>39</v>
      </c>
      <c r="N556" s="5">
        <v>9.9551999999999996</v>
      </c>
      <c r="O556" s="5" t="s">
        <v>39</v>
      </c>
      <c r="P556" t="s">
        <v>141</v>
      </c>
      <c r="Q556" t="s">
        <v>803</v>
      </c>
      <c r="R556" t="s">
        <v>37</v>
      </c>
      <c r="S556" t="s">
        <v>804</v>
      </c>
      <c r="T556" t="s">
        <v>43</v>
      </c>
      <c r="U556" t="s">
        <v>44</v>
      </c>
      <c r="V556">
        <v>147</v>
      </c>
      <c r="W556" t="s">
        <v>45</v>
      </c>
      <c r="X556" t="s">
        <v>53</v>
      </c>
      <c r="Y556" t="s">
        <v>805</v>
      </c>
      <c r="Z556" t="s">
        <v>37</v>
      </c>
      <c r="AA556" t="s">
        <v>55</v>
      </c>
      <c r="AB556" t="s">
        <v>37</v>
      </c>
      <c r="AC556" s="6" t="s">
        <v>37</v>
      </c>
      <c r="AD556" s="6" t="s">
        <v>37</v>
      </c>
      <c r="AE556" t="s">
        <v>37</v>
      </c>
      <c r="AF556" t="s">
        <v>37</v>
      </c>
      <c r="AG556" s="6" t="s">
        <v>37</v>
      </c>
      <c r="AH556" t="s">
        <v>37</v>
      </c>
      <c r="AI556" t="s">
        <v>37</v>
      </c>
      <c r="AJ556" t="str">
        <f t="shared" si="26"/>
        <v>56UO2L2IB07W5JJ85Z</v>
      </c>
    </row>
    <row r="557" spans="1:36" ht="15" customHeight="1" x14ac:dyDescent="0.25">
      <c r="A557" t="s">
        <v>76</v>
      </c>
      <c r="B557" t="s">
        <v>37</v>
      </c>
      <c r="C557" t="s">
        <v>37</v>
      </c>
      <c r="D557" t="s">
        <v>38</v>
      </c>
      <c r="E557" s="4">
        <v>210</v>
      </c>
      <c r="F557" s="5">
        <v>3441.9</v>
      </c>
      <c r="G557" s="5" t="s">
        <v>39</v>
      </c>
      <c r="H557" s="5">
        <v>5161.8</v>
      </c>
      <c r="I557" s="5" t="s">
        <v>39</v>
      </c>
      <c r="J557" s="5">
        <v>117.02460000000001</v>
      </c>
      <c r="K557" s="5">
        <f t="shared" si="24"/>
        <v>0.55725999999999998</v>
      </c>
      <c r="L557" s="5">
        <f t="shared" si="25"/>
        <v>16.39</v>
      </c>
      <c r="M557" s="5" t="s">
        <v>39</v>
      </c>
      <c r="N557" s="5">
        <v>117.02460000000001</v>
      </c>
      <c r="O557" s="5" t="s">
        <v>39</v>
      </c>
      <c r="P557" t="s">
        <v>63</v>
      </c>
      <c r="Q557" t="s">
        <v>930</v>
      </c>
      <c r="R557" t="s">
        <v>37</v>
      </c>
      <c r="S557" t="s">
        <v>931</v>
      </c>
      <c r="T557" t="s">
        <v>43</v>
      </c>
      <c r="U557" t="s">
        <v>44</v>
      </c>
      <c r="V557">
        <v>147</v>
      </c>
      <c r="W557" t="s">
        <v>45</v>
      </c>
      <c r="X557" t="s">
        <v>53</v>
      </c>
      <c r="Y557" t="s">
        <v>932</v>
      </c>
      <c r="Z557" t="s">
        <v>37</v>
      </c>
      <c r="AA557" t="s">
        <v>48</v>
      </c>
      <c r="AB557" t="s">
        <v>37</v>
      </c>
      <c r="AC557" s="6" t="s">
        <v>37</v>
      </c>
      <c r="AD557" s="6" t="s">
        <v>37</v>
      </c>
      <c r="AE557" t="s">
        <v>37</v>
      </c>
      <c r="AF557" t="s">
        <v>37</v>
      </c>
      <c r="AG557" s="6" t="s">
        <v>37</v>
      </c>
      <c r="AH557" t="s">
        <v>37</v>
      </c>
      <c r="AI557" t="s">
        <v>37</v>
      </c>
      <c r="AJ557" t="str">
        <f t="shared" si="26"/>
        <v>7H9X1Z6SB01K7GEFWK</v>
      </c>
    </row>
    <row r="558" spans="1:36" ht="15" customHeight="1" x14ac:dyDescent="0.25">
      <c r="A558" t="s">
        <v>76</v>
      </c>
      <c r="B558" t="s">
        <v>37</v>
      </c>
      <c r="C558" t="s">
        <v>37</v>
      </c>
      <c r="D558" t="s">
        <v>38</v>
      </c>
      <c r="E558" s="4">
        <v>44</v>
      </c>
      <c r="F558" s="5">
        <v>5780.72</v>
      </c>
      <c r="G558" s="5" t="s">
        <v>39</v>
      </c>
      <c r="H558" s="5">
        <v>9701.56</v>
      </c>
      <c r="I558" s="5" t="s">
        <v>39</v>
      </c>
      <c r="J558" s="5">
        <v>196.54447999999999</v>
      </c>
      <c r="K558" s="5">
        <f t="shared" si="24"/>
        <v>4.46692</v>
      </c>
      <c r="L558" s="5">
        <f t="shared" si="25"/>
        <v>131.38</v>
      </c>
      <c r="M558" s="5" t="s">
        <v>39</v>
      </c>
      <c r="N558" s="5">
        <v>196.54447999999999</v>
      </c>
      <c r="O558" s="5" t="s">
        <v>39</v>
      </c>
      <c r="P558" t="s">
        <v>968</v>
      </c>
      <c r="Q558" t="s">
        <v>1135</v>
      </c>
      <c r="R558" t="s">
        <v>37</v>
      </c>
      <c r="S558" t="s">
        <v>1136</v>
      </c>
      <c r="T558" t="s">
        <v>43</v>
      </c>
      <c r="U558" t="s">
        <v>44</v>
      </c>
      <c r="V558">
        <v>147</v>
      </c>
      <c r="W558" t="s">
        <v>45</v>
      </c>
      <c r="X558" t="s">
        <v>46</v>
      </c>
      <c r="Y558" t="s">
        <v>1137</v>
      </c>
      <c r="Z558" t="s">
        <v>37</v>
      </c>
      <c r="AA558" t="s">
        <v>95</v>
      </c>
      <c r="AB558" t="s">
        <v>37</v>
      </c>
      <c r="AC558" s="6" t="s">
        <v>37</v>
      </c>
      <c r="AD558" s="6" t="s">
        <v>37</v>
      </c>
      <c r="AE558" t="s">
        <v>37</v>
      </c>
      <c r="AF558" t="s">
        <v>37</v>
      </c>
      <c r="AG558" s="6" t="s">
        <v>37</v>
      </c>
      <c r="AH558" t="s">
        <v>37</v>
      </c>
      <c r="AI558" t="s">
        <v>37</v>
      </c>
      <c r="AJ558" t="str">
        <f t="shared" si="26"/>
        <v>7LA8DZCZB07W6H91JG</v>
      </c>
    </row>
    <row r="559" spans="1:36" ht="15" customHeight="1" x14ac:dyDescent="0.25">
      <c r="A559" t="s">
        <v>101</v>
      </c>
      <c r="B559" t="s">
        <v>37</v>
      </c>
      <c r="C559" t="s">
        <v>37</v>
      </c>
      <c r="D559" t="s">
        <v>38</v>
      </c>
      <c r="E559" s="4">
        <v>170</v>
      </c>
      <c r="F559" s="5">
        <v>1591.2</v>
      </c>
      <c r="G559" s="5" t="s">
        <v>39</v>
      </c>
      <c r="H559" s="5">
        <v>2368.1</v>
      </c>
      <c r="I559" s="5" t="s">
        <v>39</v>
      </c>
      <c r="J559" s="5">
        <v>54.1008</v>
      </c>
      <c r="K559" s="5">
        <f t="shared" si="24"/>
        <v>0.31824000000000002</v>
      </c>
      <c r="L559" s="5">
        <f t="shared" si="25"/>
        <v>9.36</v>
      </c>
      <c r="M559" s="5" t="s">
        <v>39</v>
      </c>
      <c r="N559" s="5">
        <v>54.1008</v>
      </c>
      <c r="O559" s="5" t="s">
        <v>39</v>
      </c>
      <c r="P559" t="s">
        <v>320</v>
      </c>
      <c r="Q559" t="s">
        <v>182</v>
      </c>
      <c r="R559" t="s">
        <v>183</v>
      </c>
      <c r="S559" t="s">
        <v>184</v>
      </c>
      <c r="T559" t="s">
        <v>43</v>
      </c>
      <c r="U559" t="s">
        <v>44</v>
      </c>
      <c r="V559">
        <v>147</v>
      </c>
      <c r="W559" t="s">
        <v>45</v>
      </c>
      <c r="X559" t="s">
        <v>53</v>
      </c>
      <c r="Y559" t="s">
        <v>185</v>
      </c>
      <c r="Z559" t="s">
        <v>37</v>
      </c>
      <c r="AA559" t="s">
        <v>48</v>
      </c>
      <c r="AB559" t="s">
        <v>37</v>
      </c>
      <c r="AC559" s="6" t="s">
        <v>37</v>
      </c>
      <c r="AD559" s="6" t="s">
        <v>37</v>
      </c>
      <c r="AE559" t="s">
        <v>37</v>
      </c>
      <c r="AF559" t="s">
        <v>37</v>
      </c>
      <c r="AG559" s="6" t="s">
        <v>37</v>
      </c>
      <c r="AH559" t="s">
        <v>37</v>
      </c>
      <c r="AI559" t="s">
        <v>37</v>
      </c>
      <c r="AJ559" t="str">
        <f t="shared" si="26"/>
        <v>8BG295LIB01A9HC69G</v>
      </c>
    </row>
    <row r="560" spans="1:36" ht="15" customHeight="1" x14ac:dyDescent="0.25">
      <c r="A560" t="s">
        <v>49</v>
      </c>
      <c r="B560" t="s">
        <v>37</v>
      </c>
      <c r="C560" t="s">
        <v>37</v>
      </c>
      <c r="D560" t="s">
        <v>38</v>
      </c>
      <c r="E560" s="4">
        <v>136</v>
      </c>
      <c r="F560" s="5">
        <v>6113.2</v>
      </c>
      <c r="G560" s="5" t="s">
        <v>39</v>
      </c>
      <c r="H560" s="5">
        <v>7802.32</v>
      </c>
      <c r="I560" s="5" t="s">
        <v>39</v>
      </c>
      <c r="J560" s="5">
        <v>207.84880000000001</v>
      </c>
      <c r="K560" s="5">
        <f t="shared" si="24"/>
        <v>1.5283</v>
      </c>
      <c r="L560" s="5">
        <f t="shared" si="25"/>
        <v>44.949999999999996</v>
      </c>
      <c r="M560" s="5" t="s">
        <v>39</v>
      </c>
      <c r="N560" s="5">
        <v>207.84880000000001</v>
      </c>
      <c r="O560" s="5" t="s">
        <v>39</v>
      </c>
      <c r="P560" t="s">
        <v>202</v>
      </c>
      <c r="Q560" t="s">
        <v>1138</v>
      </c>
      <c r="R560" t="s">
        <v>1139</v>
      </c>
      <c r="S560" t="s">
        <v>1140</v>
      </c>
      <c r="T560" t="s">
        <v>43</v>
      </c>
      <c r="U560" t="s">
        <v>44</v>
      </c>
      <c r="V560">
        <v>147</v>
      </c>
      <c r="W560" t="s">
        <v>45</v>
      </c>
      <c r="X560" t="s">
        <v>46</v>
      </c>
      <c r="Y560" t="s">
        <v>1141</v>
      </c>
      <c r="Z560" t="s">
        <v>37</v>
      </c>
      <c r="AA560" t="s">
        <v>307</v>
      </c>
      <c r="AB560" t="s">
        <v>37</v>
      </c>
      <c r="AC560" s="6" t="s">
        <v>37</v>
      </c>
      <c r="AD560" s="6" t="s">
        <v>37</v>
      </c>
      <c r="AE560" t="s">
        <v>37</v>
      </c>
      <c r="AF560" t="s">
        <v>37</v>
      </c>
      <c r="AG560" s="6" t="s">
        <v>37</v>
      </c>
      <c r="AH560" t="s">
        <v>37</v>
      </c>
      <c r="AI560" t="s">
        <v>37</v>
      </c>
      <c r="AJ560" t="str">
        <f t="shared" si="26"/>
        <v>39TAD6PCB0711V7BV6</v>
      </c>
    </row>
    <row r="561" spans="1:36" ht="15" customHeight="1" x14ac:dyDescent="0.25">
      <c r="A561" t="s">
        <v>176</v>
      </c>
      <c r="B561" t="s">
        <v>37</v>
      </c>
      <c r="C561" t="s">
        <v>37</v>
      </c>
      <c r="D561" t="s">
        <v>38</v>
      </c>
      <c r="E561" s="4">
        <v>10</v>
      </c>
      <c r="F561" s="5">
        <v>93.6</v>
      </c>
      <c r="G561" s="5" t="s">
        <v>39</v>
      </c>
      <c r="H561" s="5">
        <v>139.30000000000001</v>
      </c>
      <c r="I561" s="5" t="s">
        <v>39</v>
      </c>
      <c r="J561" s="5">
        <v>3.1823999999999999</v>
      </c>
      <c r="K561" s="5">
        <f t="shared" si="24"/>
        <v>0.31823999999999997</v>
      </c>
      <c r="L561" s="5">
        <f t="shared" si="25"/>
        <v>9.36</v>
      </c>
      <c r="M561" s="5" t="s">
        <v>39</v>
      </c>
      <c r="N561" s="5">
        <v>3.1823999999999999</v>
      </c>
      <c r="O561" s="5" t="s">
        <v>39</v>
      </c>
      <c r="P561" t="s">
        <v>320</v>
      </c>
      <c r="Q561" t="s">
        <v>182</v>
      </c>
      <c r="R561" t="s">
        <v>183</v>
      </c>
      <c r="S561" t="s">
        <v>184</v>
      </c>
      <c r="T561" t="s">
        <v>43</v>
      </c>
      <c r="U561" t="s">
        <v>44</v>
      </c>
      <c r="V561">
        <v>147</v>
      </c>
      <c r="W561" t="s">
        <v>45</v>
      </c>
      <c r="X561" t="s">
        <v>53</v>
      </c>
      <c r="Y561" t="s">
        <v>185</v>
      </c>
      <c r="Z561" t="s">
        <v>37</v>
      </c>
      <c r="AA561" t="s">
        <v>48</v>
      </c>
      <c r="AB561" t="s">
        <v>37</v>
      </c>
      <c r="AC561" s="6" t="s">
        <v>37</v>
      </c>
      <c r="AD561" s="6" t="s">
        <v>37</v>
      </c>
      <c r="AE561" t="s">
        <v>37</v>
      </c>
      <c r="AF561" t="s">
        <v>37</v>
      </c>
      <c r="AG561" s="6" t="s">
        <v>37</v>
      </c>
      <c r="AH561" t="s">
        <v>37</v>
      </c>
      <c r="AI561" t="s">
        <v>37</v>
      </c>
      <c r="AJ561" t="str">
        <f t="shared" si="26"/>
        <v>8BG295LIB01A9HC69G</v>
      </c>
    </row>
    <row r="562" spans="1:36" ht="15" customHeight="1" x14ac:dyDescent="0.25">
      <c r="A562" t="s">
        <v>62</v>
      </c>
      <c r="B562" t="s">
        <v>37</v>
      </c>
      <c r="C562" t="s">
        <v>37</v>
      </c>
      <c r="D562" t="s">
        <v>38</v>
      </c>
      <c r="E562" s="4">
        <v>1040</v>
      </c>
      <c r="F562" s="5">
        <v>48256</v>
      </c>
      <c r="G562" s="5" t="s">
        <v>39</v>
      </c>
      <c r="H562" s="5">
        <v>69888</v>
      </c>
      <c r="I562" s="5" t="s">
        <v>39</v>
      </c>
      <c r="J562" s="5">
        <v>1640.704</v>
      </c>
      <c r="K562" s="5">
        <f t="shared" si="24"/>
        <v>1.5775999999999999</v>
      </c>
      <c r="L562" s="5">
        <f t="shared" si="25"/>
        <v>46.4</v>
      </c>
      <c r="M562" s="5" t="s">
        <v>39</v>
      </c>
      <c r="N562" s="5">
        <v>1640.704</v>
      </c>
      <c r="O562" s="5" t="s">
        <v>39</v>
      </c>
      <c r="P562" t="s">
        <v>847</v>
      </c>
      <c r="Q562" t="s">
        <v>1216</v>
      </c>
      <c r="R562" t="s">
        <v>37</v>
      </c>
      <c r="S562" t="s">
        <v>1217</v>
      </c>
      <c r="T562" t="s">
        <v>43</v>
      </c>
      <c r="U562" t="s">
        <v>44</v>
      </c>
      <c r="V562">
        <v>147</v>
      </c>
      <c r="W562" t="s">
        <v>45</v>
      </c>
      <c r="X562" t="s">
        <v>53</v>
      </c>
      <c r="Y562" t="s">
        <v>1218</v>
      </c>
      <c r="Z562" t="s">
        <v>37</v>
      </c>
      <c r="AA562" t="s">
        <v>55</v>
      </c>
      <c r="AB562" t="s">
        <v>37</v>
      </c>
      <c r="AC562" s="6" t="s">
        <v>37</v>
      </c>
      <c r="AD562" s="6" t="s">
        <v>37</v>
      </c>
      <c r="AE562" t="s">
        <v>37</v>
      </c>
      <c r="AF562" t="s">
        <v>37</v>
      </c>
      <c r="AG562" s="6" t="s">
        <v>37</v>
      </c>
      <c r="AH562" t="s">
        <v>37</v>
      </c>
      <c r="AI562" t="s">
        <v>37</v>
      </c>
      <c r="AJ562" t="str">
        <f t="shared" si="26"/>
        <v>72DIHLCIB07W5JKHFR</v>
      </c>
    </row>
    <row r="563" spans="1:36" ht="15" customHeight="1" x14ac:dyDescent="0.25">
      <c r="A563" t="s">
        <v>36</v>
      </c>
      <c r="B563" t="s">
        <v>37</v>
      </c>
      <c r="C563" t="s">
        <v>37</v>
      </c>
      <c r="D563" t="s">
        <v>38</v>
      </c>
      <c r="E563" s="4">
        <v>10</v>
      </c>
      <c r="F563" s="5">
        <v>163.9</v>
      </c>
      <c r="G563" s="5" t="s">
        <v>39</v>
      </c>
      <c r="H563" s="5">
        <v>245.8</v>
      </c>
      <c r="I563" s="5" t="s">
        <v>39</v>
      </c>
      <c r="J563" s="5">
        <v>5.5726000000000004</v>
      </c>
      <c r="K563" s="5">
        <f t="shared" si="24"/>
        <v>0.55726000000000009</v>
      </c>
      <c r="L563" s="5">
        <f t="shared" si="25"/>
        <v>16.39</v>
      </c>
      <c r="M563" s="5" t="s">
        <v>39</v>
      </c>
      <c r="N563" s="5">
        <v>5.5726000000000004</v>
      </c>
      <c r="O563" s="5" t="s">
        <v>39</v>
      </c>
      <c r="P563" t="s">
        <v>270</v>
      </c>
      <c r="Q563" t="s">
        <v>1219</v>
      </c>
      <c r="R563" t="s">
        <v>37</v>
      </c>
      <c r="S563" t="s">
        <v>1220</v>
      </c>
      <c r="T563" t="s">
        <v>43</v>
      </c>
      <c r="U563" t="s">
        <v>44</v>
      </c>
      <c r="V563">
        <v>147</v>
      </c>
      <c r="W563" t="s">
        <v>45</v>
      </c>
      <c r="X563" t="s">
        <v>53</v>
      </c>
      <c r="Y563" t="s">
        <v>1221</v>
      </c>
      <c r="Z563" t="s">
        <v>37</v>
      </c>
      <c r="AA563" t="s">
        <v>55</v>
      </c>
      <c r="AB563" t="s">
        <v>37</v>
      </c>
      <c r="AC563" s="6" t="s">
        <v>37</v>
      </c>
      <c r="AD563" s="6" t="s">
        <v>37</v>
      </c>
      <c r="AE563" t="s">
        <v>37</v>
      </c>
      <c r="AF563" t="s">
        <v>37</v>
      </c>
      <c r="AG563" s="6" t="s">
        <v>37</v>
      </c>
      <c r="AH563" t="s">
        <v>37</v>
      </c>
      <c r="AI563" t="s">
        <v>37</v>
      </c>
      <c r="AJ563" t="str">
        <f t="shared" si="26"/>
        <v>1X4DXX4TB07W7MNYX5</v>
      </c>
    </row>
    <row r="564" spans="1:36" ht="15" customHeight="1" x14ac:dyDescent="0.25">
      <c r="A564" t="s">
        <v>127</v>
      </c>
      <c r="B564" t="s">
        <v>37</v>
      </c>
      <c r="C564" t="s">
        <v>37</v>
      </c>
      <c r="D564" t="s">
        <v>38</v>
      </c>
      <c r="E564" s="4">
        <v>10</v>
      </c>
      <c r="F564" s="5">
        <v>163.9</v>
      </c>
      <c r="G564" s="5" t="s">
        <v>39</v>
      </c>
      <c r="H564" s="5">
        <v>245.8</v>
      </c>
      <c r="I564" s="5" t="s">
        <v>39</v>
      </c>
      <c r="J564" s="5">
        <v>5.5726000000000004</v>
      </c>
      <c r="K564" s="5">
        <f t="shared" si="24"/>
        <v>0.55726000000000009</v>
      </c>
      <c r="L564" s="5">
        <f t="shared" si="25"/>
        <v>16.39</v>
      </c>
      <c r="M564" s="5" t="s">
        <v>39</v>
      </c>
      <c r="N564" s="5">
        <v>5.5726000000000004</v>
      </c>
      <c r="O564" s="5" t="s">
        <v>39</v>
      </c>
      <c r="P564" t="s">
        <v>270</v>
      </c>
      <c r="Q564" t="s">
        <v>1219</v>
      </c>
      <c r="R564" t="s">
        <v>37</v>
      </c>
      <c r="S564" t="s">
        <v>1220</v>
      </c>
      <c r="T564" t="s">
        <v>43</v>
      </c>
      <c r="U564" t="s">
        <v>44</v>
      </c>
      <c r="V564">
        <v>147</v>
      </c>
      <c r="W564" t="s">
        <v>45</v>
      </c>
      <c r="X564" t="s">
        <v>53</v>
      </c>
      <c r="Y564" t="s">
        <v>1221</v>
      </c>
      <c r="Z564" t="s">
        <v>37</v>
      </c>
      <c r="AA564" t="s">
        <v>55</v>
      </c>
      <c r="AB564" t="s">
        <v>37</v>
      </c>
      <c r="AC564" s="6" t="s">
        <v>37</v>
      </c>
      <c r="AD564" s="6" t="s">
        <v>37</v>
      </c>
      <c r="AE564" t="s">
        <v>37</v>
      </c>
      <c r="AF564" t="s">
        <v>37</v>
      </c>
      <c r="AG564" s="6" t="s">
        <v>37</v>
      </c>
      <c r="AH564" t="s">
        <v>37</v>
      </c>
      <c r="AI564" t="s">
        <v>37</v>
      </c>
      <c r="AJ564" t="str">
        <f t="shared" si="26"/>
        <v>1X4DXX4TB07W7MNYX5</v>
      </c>
    </row>
    <row r="565" spans="1:36" ht="15" customHeight="1" x14ac:dyDescent="0.25">
      <c r="A565" t="s">
        <v>118</v>
      </c>
      <c r="B565" t="s">
        <v>37</v>
      </c>
      <c r="C565" t="s">
        <v>37</v>
      </c>
      <c r="D565" t="s">
        <v>38</v>
      </c>
      <c r="E565" s="4">
        <v>8</v>
      </c>
      <c r="F565" s="5">
        <v>628.96</v>
      </c>
      <c r="G565" s="5" t="s">
        <v>39</v>
      </c>
      <c r="H565" s="5">
        <v>1016.32</v>
      </c>
      <c r="I565" s="5" t="s">
        <v>39</v>
      </c>
      <c r="J565" s="5">
        <v>21.384640000000001</v>
      </c>
      <c r="K565" s="5">
        <f t="shared" si="24"/>
        <v>2.6730800000000001</v>
      </c>
      <c r="L565" s="5">
        <f t="shared" si="25"/>
        <v>78.62</v>
      </c>
      <c r="M565" s="5" t="s">
        <v>39</v>
      </c>
      <c r="N565" s="5">
        <v>21.384640000000001</v>
      </c>
      <c r="O565" s="5" t="s">
        <v>39</v>
      </c>
      <c r="P565" t="s">
        <v>154</v>
      </c>
      <c r="Q565" t="s">
        <v>1222</v>
      </c>
      <c r="R565" t="s">
        <v>37</v>
      </c>
      <c r="S565" t="s">
        <v>1223</v>
      </c>
      <c r="T565" t="s">
        <v>43</v>
      </c>
      <c r="U565" t="s">
        <v>44</v>
      </c>
      <c r="V565">
        <v>147</v>
      </c>
      <c r="W565" t="s">
        <v>45</v>
      </c>
      <c r="X565" t="s">
        <v>46</v>
      </c>
      <c r="Y565" t="s">
        <v>1224</v>
      </c>
      <c r="Z565" t="s">
        <v>37</v>
      </c>
      <c r="AA565" t="s">
        <v>48</v>
      </c>
      <c r="AB565" t="s">
        <v>37</v>
      </c>
      <c r="AC565" s="6" t="s">
        <v>37</v>
      </c>
      <c r="AD565" s="6" t="s">
        <v>37</v>
      </c>
      <c r="AE565" t="s">
        <v>37</v>
      </c>
      <c r="AF565" t="s">
        <v>37</v>
      </c>
      <c r="AG565" s="6" t="s">
        <v>37</v>
      </c>
      <c r="AH565" t="s">
        <v>37</v>
      </c>
      <c r="AI565" t="s">
        <v>37</v>
      </c>
      <c r="AJ565" t="str">
        <f t="shared" si="26"/>
        <v>1KW92RHQB074C9LZVX</v>
      </c>
    </row>
    <row r="566" spans="1:36" ht="15" customHeight="1" x14ac:dyDescent="0.25">
      <c r="A566" t="s">
        <v>101</v>
      </c>
      <c r="B566" t="s">
        <v>37</v>
      </c>
      <c r="C566" t="s">
        <v>37</v>
      </c>
      <c r="D566" t="s">
        <v>38</v>
      </c>
      <c r="E566" s="4">
        <v>12</v>
      </c>
      <c r="F566" s="5">
        <v>514.32000000000005</v>
      </c>
      <c r="G566" s="5" t="s">
        <v>39</v>
      </c>
      <c r="H566" s="5">
        <v>708.12</v>
      </c>
      <c r="I566" s="5" t="s">
        <v>39</v>
      </c>
      <c r="J566" s="5">
        <v>17.486879999999999</v>
      </c>
      <c r="K566" s="5">
        <f t="shared" si="24"/>
        <v>1.4572399999999999</v>
      </c>
      <c r="L566" s="5">
        <f t="shared" si="25"/>
        <v>42.860000000000007</v>
      </c>
      <c r="M566" s="5" t="s">
        <v>39</v>
      </c>
      <c r="N566" s="5">
        <v>17.486879999999999</v>
      </c>
      <c r="O566" s="5" t="s">
        <v>39</v>
      </c>
      <c r="P566" t="s">
        <v>274</v>
      </c>
      <c r="Q566" t="s">
        <v>366</v>
      </c>
      <c r="R566" t="s">
        <v>37</v>
      </c>
      <c r="S566" t="s">
        <v>367</v>
      </c>
      <c r="T566" t="s">
        <v>43</v>
      </c>
      <c r="U566" t="s">
        <v>44</v>
      </c>
      <c r="V566">
        <v>147</v>
      </c>
      <c r="W566" t="s">
        <v>45</v>
      </c>
      <c r="X566" t="s">
        <v>368</v>
      </c>
      <c r="Y566" t="s">
        <v>369</v>
      </c>
      <c r="Z566" t="s">
        <v>37</v>
      </c>
      <c r="AA566" t="s">
        <v>48</v>
      </c>
      <c r="AB566" t="s">
        <v>37</v>
      </c>
      <c r="AC566" s="6" t="s">
        <v>37</v>
      </c>
      <c r="AD566" s="6" t="s">
        <v>37</v>
      </c>
      <c r="AE566" t="s">
        <v>37</v>
      </c>
      <c r="AF566" t="s">
        <v>37</v>
      </c>
      <c r="AG566" s="6" t="s">
        <v>37</v>
      </c>
      <c r="AH566" t="s">
        <v>37</v>
      </c>
      <c r="AI566" t="s">
        <v>37</v>
      </c>
      <c r="AJ566" t="str">
        <f t="shared" si="26"/>
        <v>4LYATDUXB07H3HGVDW</v>
      </c>
    </row>
    <row r="567" spans="1:36" ht="15" customHeight="1" x14ac:dyDescent="0.25">
      <c r="A567" t="s">
        <v>62</v>
      </c>
      <c r="B567" t="s">
        <v>37</v>
      </c>
      <c r="C567" t="s">
        <v>37</v>
      </c>
      <c r="D567" t="s">
        <v>38</v>
      </c>
      <c r="E567" s="4">
        <v>4</v>
      </c>
      <c r="F567" s="5">
        <v>276.12</v>
      </c>
      <c r="G567" s="5" t="s">
        <v>39</v>
      </c>
      <c r="H567" s="5">
        <v>422.96</v>
      </c>
      <c r="I567" s="5" t="s">
        <v>39</v>
      </c>
      <c r="J567" s="5">
        <v>9.3880800000000004</v>
      </c>
      <c r="K567" s="5">
        <f t="shared" si="24"/>
        <v>2.3470200000000001</v>
      </c>
      <c r="L567" s="5">
        <f t="shared" si="25"/>
        <v>69.03</v>
      </c>
      <c r="M567" s="5" t="s">
        <v>39</v>
      </c>
      <c r="N567" s="5">
        <v>9.3880800000000004</v>
      </c>
      <c r="O567" s="5" t="s">
        <v>39</v>
      </c>
      <c r="P567" t="s">
        <v>968</v>
      </c>
      <c r="Q567" t="s">
        <v>1225</v>
      </c>
      <c r="R567" t="s">
        <v>37</v>
      </c>
      <c r="S567" t="s">
        <v>1226</v>
      </c>
      <c r="T567" t="s">
        <v>43</v>
      </c>
      <c r="U567" t="s">
        <v>44</v>
      </c>
      <c r="V567">
        <v>147</v>
      </c>
      <c r="W567" t="s">
        <v>45</v>
      </c>
      <c r="X567" t="s">
        <v>60</v>
      </c>
      <c r="Y567" t="s">
        <v>1227</v>
      </c>
      <c r="Z567" t="s">
        <v>37</v>
      </c>
      <c r="AA567" t="s">
        <v>55</v>
      </c>
      <c r="AB567" t="s">
        <v>37</v>
      </c>
      <c r="AC567" s="6" t="s">
        <v>37</v>
      </c>
      <c r="AD567" s="6" t="s">
        <v>37</v>
      </c>
      <c r="AE567" t="s">
        <v>37</v>
      </c>
      <c r="AF567" t="s">
        <v>37</v>
      </c>
      <c r="AG567" s="6" t="s">
        <v>37</v>
      </c>
      <c r="AH567" t="s">
        <v>37</v>
      </c>
      <c r="AI567" t="s">
        <v>37</v>
      </c>
      <c r="AJ567" t="str">
        <f t="shared" si="26"/>
        <v>7LA8DZCZB07W6JNQ1Y</v>
      </c>
    </row>
    <row r="568" spans="1:36" ht="15" customHeight="1" x14ac:dyDescent="0.25">
      <c r="A568" t="s">
        <v>101</v>
      </c>
      <c r="B568" t="s">
        <v>37</v>
      </c>
      <c r="C568" t="s">
        <v>37</v>
      </c>
      <c r="D568" t="s">
        <v>38</v>
      </c>
      <c r="E568" s="4">
        <v>32</v>
      </c>
      <c r="F568" s="5">
        <v>2783.68</v>
      </c>
      <c r="G568" s="5" t="s">
        <v>39</v>
      </c>
      <c r="H568" s="5">
        <v>4065.28</v>
      </c>
      <c r="I568" s="5" t="s">
        <v>39</v>
      </c>
      <c r="J568" s="5">
        <v>94.645120000000006</v>
      </c>
      <c r="K568" s="5">
        <f t="shared" si="24"/>
        <v>2.9576600000000002</v>
      </c>
      <c r="L568" s="5">
        <f t="shared" si="25"/>
        <v>86.99</v>
      </c>
      <c r="M568" s="5" t="s">
        <v>39</v>
      </c>
      <c r="N568" s="5">
        <v>94.645120000000006</v>
      </c>
      <c r="O568" s="5" t="s">
        <v>39</v>
      </c>
      <c r="P568" t="s">
        <v>72</v>
      </c>
      <c r="Q568" t="s">
        <v>392</v>
      </c>
      <c r="R568" t="s">
        <v>37</v>
      </c>
      <c r="S568" t="s">
        <v>393</v>
      </c>
      <c r="T568" t="s">
        <v>43</v>
      </c>
      <c r="U568" t="s">
        <v>44</v>
      </c>
      <c r="V568">
        <v>147</v>
      </c>
      <c r="W568" t="s">
        <v>45</v>
      </c>
      <c r="X568" t="s">
        <v>60</v>
      </c>
      <c r="Y568" t="s">
        <v>394</v>
      </c>
      <c r="Z568" t="s">
        <v>37</v>
      </c>
      <c r="AA568" t="s">
        <v>55</v>
      </c>
      <c r="AB568" t="s">
        <v>37</v>
      </c>
      <c r="AC568" s="6" t="s">
        <v>37</v>
      </c>
      <c r="AD568" s="6" t="s">
        <v>37</v>
      </c>
      <c r="AE568" t="s">
        <v>37</v>
      </c>
      <c r="AF568" t="s">
        <v>37</v>
      </c>
      <c r="AG568" s="6" t="s">
        <v>37</v>
      </c>
      <c r="AH568" t="s">
        <v>37</v>
      </c>
      <c r="AI568" t="s">
        <v>37</v>
      </c>
      <c r="AJ568" t="str">
        <f t="shared" si="26"/>
        <v>4GF112AEB07W5JJP7R</v>
      </c>
    </row>
    <row r="569" spans="1:36" ht="15" customHeight="1" x14ac:dyDescent="0.25">
      <c r="A569" t="s">
        <v>96</v>
      </c>
      <c r="B569" t="s">
        <v>37</v>
      </c>
      <c r="C569" t="s">
        <v>37</v>
      </c>
      <c r="D569" t="s">
        <v>38</v>
      </c>
      <c r="E569" s="4">
        <v>48</v>
      </c>
      <c r="F569" s="5">
        <v>5040</v>
      </c>
      <c r="G569" s="5" t="s">
        <v>39</v>
      </c>
      <c r="H569" s="5">
        <v>8222.4</v>
      </c>
      <c r="I569" s="5" t="s">
        <v>39</v>
      </c>
      <c r="J569" s="5">
        <v>171.36</v>
      </c>
      <c r="K569" s="5">
        <f t="shared" si="24"/>
        <v>3.5700000000000003</v>
      </c>
      <c r="L569" s="5">
        <f t="shared" si="25"/>
        <v>105</v>
      </c>
      <c r="M569" s="5" t="s">
        <v>39</v>
      </c>
      <c r="N569" s="5">
        <v>171.36</v>
      </c>
      <c r="O569" s="5" t="s">
        <v>39</v>
      </c>
      <c r="P569" t="s">
        <v>154</v>
      </c>
      <c r="Q569" t="s">
        <v>1228</v>
      </c>
      <c r="R569" t="s">
        <v>37</v>
      </c>
      <c r="S569" t="s">
        <v>1229</v>
      </c>
      <c r="T569" t="s">
        <v>43</v>
      </c>
      <c r="U569" t="s">
        <v>44</v>
      </c>
      <c r="V569">
        <v>147</v>
      </c>
      <c r="W569" t="s">
        <v>45</v>
      </c>
      <c r="X569" t="s">
        <v>46</v>
      </c>
      <c r="Y569" t="s">
        <v>1230</v>
      </c>
      <c r="Z569" t="s">
        <v>37</v>
      </c>
      <c r="AA569" t="s">
        <v>48</v>
      </c>
      <c r="AB569" t="s">
        <v>37</v>
      </c>
      <c r="AC569" s="6" t="s">
        <v>37</v>
      </c>
      <c r="AD569" s="6" t="s">
        <v>37</v>
      </c>
      <c r="AE569" t="s">
        <v>37</v>
      </c>
      <c r="AF569" t="s">
        <v>37</v>
      </c>
      <c r="AG569" s="6" t="s">
        <v>37</v>
      </c>
      <c r="AH569" t="s">
        <v>37</v>
      </c>
      <c r="AI569" t="s">
        <v>37</v>
      </c>
      <c r="AJ569" t="str">
        <f t="shared" si="26"/>
        <v>1KW92RHQB01GHP1IDY</v>
      </c>
    </row>
    <row r="570" spans="1:36" ht="15" customHeight="1" x14ac:dyDescent="0.25">
      <c r="A570" t="s">
        <v>88</v>
      </c>
      <c r="B570" t="s">
        <v>37</v>
      </c>
      <c r="C570" t="s">
        <v>37</v>
      </c>
      <c r="D570" t="s">
        <v>38</v>
      </c>
      <c r="E570" s="4">
        <v>36</v>
      </c>
      <c r="F570" s="5">
        <v>227.52</v>
      </c>
      <c r="G570" s="5" t="s">
        <v>39</v>
      </c>
      <c r="H570" s="5">
        <v>383.4</v>
      </c>
      <c r="I570" s="5" t="s">
        <v>39</v>
      </c>
      <c r="J570" s="5">
        <v>7.7356800000000003</v>
      </c>
      <c r="K570" s="5">
        <f t="shared" si="24"/>
        <v>0.21488000000000002</v>
      </c>
      <c r="L570" s="5">
        <f t="shared" si="25"/>
        <v>6.32</v>
      </c>
      <c r="M570" s="5" t="s">
        <v>39</v>
      </c>
      <c r="N570" s="5">
        <v>7.7356800000000003</v>
      </c>
      <c r="O570" s="5" t="s">
        <v>39</v>
      </c>
      <c r="P570" t="s">
        <v>89</v>
      </c>
      <c r="Q570" t="s">
        <v>1231</v>
      </c>
      <c r="R570" t="s">
        <v>37</v>
      </c>
      <c r="S570" t="s">
        <v>1232</v>
      </c>
      <c r="T570" t="s">
        <v>43</v>
      </c>
      <c r="U570" t="s">
        <v>44</v>
      </c>
      <c r="V570">
        <v>147</v>
      </c>
      <c r="W570" t="s">
        <v>45</v>
      </c>
      <c r="X570" t="s">
        <v>53</v>
      </c>
      <c r="Y570" t="s">
        <v>983</v>
      </c>
      <c r="Z570" t="s">
        <v>37</v>
      </c>
      <c r="AA570" t="s">
        <v>95</v>
      </c>
      <c r="AB570" t="s">
        <v>37</v>
      </c>
      <c r="AC570" s="6" t="s">
        <v>37</v>
      </c>
      <c r="AD570" s="6" t="s">
        <v>37</v>
      </c>
      <c r="AE570" t="s">
        <v>37</v>
      </c>
      <c r="AF570" t="s">
        <v>37</v>
      </c>
      <c r="AG570" s="6" t="s">
        <v>37</v>
      </c>
      <c r="AH570" t="s">
        <v>37</v>
      </c>
      <c r="AI570" t="s">
        <v>37</v>
      </c>
      <c r="AJ570" t="str">
        <f t="shared" si="26"/>
        <v>2W68T8TOB07W6GVZFJ</v>
      </c>
    </row>
    <row r="571" spans="1:36" ht="15" customHeight="1" x14ac:dyDescent="0.25">
      <c r="A571" t="s">
        <v>127</v>
      </c>
      <c r="B571" t="s">
        <v>37</v>
      </c>
      <c r="C571" t="s">
        <v>37</v>
      </c>
      <c r="D571" t="s">
        <v>38</v>
      </c>
      <c r="E571" s="4">
        <v>0</v>
      </c>
      <c r="F571" s="5">
        <v>0</v>
      </c>
      <c r="G571" s="5" t="s">
        <v>39</v>
      </c>
      <c r="H571" s="5">
        <v>0</v>
      </c>
      <c r="I571" s="5" t="s">
        <v>39</v>
      </c>
      <c r="J571" s="5">
        <v>0</v>
      </c>
      <c r="K571" s="5" t="e">
        <f t="shared" si="24"/>
        <v>#DIV/0!</v>
      </c>
      <c r="L571" s="5" t="e">
        <f t="shared" si="25"/>
        <v>#DIV/0!</v>
      </c>
      <c r="M571" s="5" t="s">
        <v>39</v>
      </c>
      <c r="N571" s="5">
        <v>0</v>
      </c>
      <c r="O571" s="5" t="s">
        <v>39</v>
      </c>
      <c r="P571" t="s">
        <v>202</v>
      </c>
      <c r="Q571" t="s">
        <v>1138</v>
      </c>
      <c r="R571" t="s">
        <v>1139</v>
      </c>
      <c r="S571" t="s">
        <v>1140</v>
      </c>
      <c r="T571" t="s">
        <v>43</v>
      </c>
      <c r="U571" t="s">
        <v>44</v>
      </c>
      <c r="V571">
        <v>147</v>
      </c>
      <c r="W571" t="s">
        <v>45</v>
      </c>
      <c r="X571" t="s">
        <v>46</v>
      </c>
      <c r="Y571" t="s">
        <v>1141</v>
      </c>
      <c r="Z571" t="s">
        <v>37</v>
      </c>
      <c r="AA571" t="s">
        <v>307</v>
      </c>
      <c r="AB571" t="s">
        <v>37</v>
      </c>
      <c r="AC571" s="6" t="s">
        <v>37</v>
      </c>
      <c r="AD571" s="6" t="s">
        <v>37</v>
      </c>
      <c r="AE571" t="s">
        <v>37</v>
      </c>
      <c r="AF571" t="s">
        <v>37</v>
      </c>
      <c r="AG571" s="6" t="s">
        <v>37</v>
      </c>
      <c r="AH571" t="s">
        <v>37</v>
      </c>
      <c r="AI571" t="s">
        <v>37</v>
      </c>
      <c r="AJ571" t="str">
        <f t="shared" si="26"/>
        <v>39TAD6PCB0711V7BV6</v>
      </c>
    </row>
    <row r="572" spans="1:36" ht="15" customHeight="1" x14ac:dyDescent="0.25">
      <c r="A572" t="s">
        <v>101</v>
      </c>
      <c r="B572" t="s">
        <v>37</v>
      </c>
      <c r="C572" t="s">
        <v>37</v>
      </c>
      <c r="D572" t="s">
        <v>38</v>
      </c>
      <c r="E572" s="4">
        <v>144</v>
      </c>
      <c r="F572" s="5">
        <v>4638.24</v>
      </c>
      <c r="G572" s="5" t="s">
        <v>39</v>
      </c>
      <c r="H572" s="5">
        <v>6962.4</v>
      </c>
      <c r="I572" s="5" t="s">
        <v>39</v>
      </c>
      <c r="J572" s="5">
        <v>157.70016000000001</v>
      </c>
      <c r="K572" s="5">
        <f t="shared" si="24"/>
        <v>1.09514</v>
      </c>
      <c r="L572" s="5">
        <f t="shared" si="25"/>
        <v>32.21</v>
      </c>
      <c r="M572" s="5" t="s">
        <v>39</v>
      </c>
      <c r="N572" s="5">
        <v>157.70016000000001</v>
      </c>
      <c r="O572" s="5" t="s">
        <v>39</v>
      </c>
      <c r="P572" t="s">
        <v>72</v>
      </c>
      <c r="Q572" t="s">
        <v>719</v>
      </c>
      <c r="R572" t="s">
        <v>37</v>
      </c>
      <c r="S572" t="s">
        <v>720</v>
      </c>
      <c r="T572" t="s">
        <v>43</v>
      </c>
      <c r="U572" t="s">
        <v>44</v>
      </c>
      <c r="V572">
        <v>79</v>
      </c>
      <c r="W572" t="s">
        <v>438</v>
      </c>
      <c r="X572" t="s">
        <v>439</v>
      </c>
      <c r="Y572" t="s">
        <v>721</v>
      </c>
      <c r="Z572" t="s">
        <v>37</v>
      </c>
      <c r="AA572" t="s">
        <v>55</v>
      </c>
      <c r="AB572" t="s">
        <v>37</v>
      </c>
      <c r="AC572" s="6" t="s">
        <v>37</v>
      </c>
      <c r="AD572" s="6" t="s">
        <v>37</v>
      </c>
      <c r="AE572" t="s">
        <v>37</v>
      </c>
      <c r="AF572" t="s">
        <v>37</v>
      </c>
      <c r="AG572" s="6" t="s">
        <v>37</v>
      </c>
      <c r="AH572" t="s">
        <v>37</v>
      </c>
      <c r="AI572" t="s">
        <v>37</v>
      </c>
      <c r="AJ572" t="str">
        <f t="shared" si="26"/>
        <v>4GF112AEB07W4DHNBL</v>
      </c>
    </row>
    <row r="573" spans="1:36" ht="15" customHeight="1" x14ac:dyDescent="0.25">
      <c r="A573" t="s">
        <v>210</v>
      </c>
      <c r="B573" t="s">
        <v>37</v>
      </c>
      <c r="C573" t="s">
        <v>37</v>
      </c>
      <c r="D573" t="s">
        <v>38</v>
      </c>
      <c r="E573" s="4">
        <v>1250</v>
      </c>
      <c r="F573" s="5">
        <v>11700</v>
      </c>
      <c r="G573" s="5" t="s">
        <v>39</v>
      </c>
      <c r="H573" s="5">
        <v>17412.5</v>
      </c>
      <c r="I573" s="5" t="s">
        <v>39</v>
      </c>
      <c r="J573" s="5">
        <v>397.8</v>
      </c>
      <c r="K573" s="5">
        <f t="shared" si="24"/>
        <v>0.31824000000000002</v>
      </c>
      <c r="L573" s="5">
        <f t="shared" si="25"/>
        <v>9.36</v>
      </c>
      <c r="M573" s="5" t="s">
        <v>39</v>
      </c>
      <c r="N573" s="5">
        <v>397.8</v>
      </c>
      <c r="O573" s="5" t="s">
        <v>39</v>
      </c>
      <c r="P573" t="s">
        <v>416</v>
      </c>
      <c r="Q573" t="s">
        <v>1233</v>
      </c>
      <c r="R573" t="s">
        <v>37</v>
      </c>
      <c r="S573" t="s">
        <v>1234</v>
      </c>
      <c r="T573" t="s">
        <v>43</v>
      </c>
      <c r="U573" t="s">
        <v>44</v>
      </c>
      <c r="V573">
        <v>147</v>
      </c>
      <c r="W573" t="s">
        <v>45</v>
      </c>
      <c r="X573" t="s">
        <v>60</v>
      </c>
      <c r="Y573" t="s">
        <v>1235</v>
      </c>
      <c r="Z573" t="s">
        <v>37</v>
      </c>
      <c r="AA573" t="s">
        <v>55</v>
      </c>
      <c r="AB573" t="s">
        <v>37</v>
      </c>
      <c r="AC573" s="6" t="s">
        <v>37</v>
      </c>
      <c r="AD573" s="6" t="s">
        <v>37</v>
      </c>
      <c r="AE573" t="s">
        <v>37</v>
      </c>
      <c r="AF573" t="s">
        <v>37</v>
      </c>
      <c r="AG573" s="6" t="s">
        <v>37</v>
      </c>
      <c r="AH573" t="s">
        <v>37</v>
      </c>
      <c r="AI573" t="s">
        <v>37</v>
      </c>
      <c r="AJ573" t="str">
        <f t="shared" si="26"/>
        <v>69351YNLB00564NI9U</v>
      </c>
    </row>
    <row r="574" spans="1:36" ht="15" customHeight="1" x14ac:dyDescent="0.25">
      <c r="A574" t="s">
        <v>36</v>
      </c>
      <c r="B574" t="s">
        <v>37</v>
      </c>
      <c r="C574" t="s">
        <v>37</v>
      </c>
      <c r="D574" t="s">
        <v>38</v>
      </c>
      <c r="E574" s="4">
        <v>8</v>
      </c>
      <c r="F574" s="5">
        <v>351.36</v>
      </c>
      <c r="G574" s="5" t="s">
        <v>39</v>
      </c>
      <c r="H574" s="5">
        <v>524.55999999999995</v>
      </c>
      <c r="I574" s="5" t="s">
        <v>39</v>
      </c>
      <c r="J574" s="5">
        <v>11.94624</v>
      </c>
      <c r="K574" s="5">
        <f t="shared" si="24"/>
        <v>1.4932799999999999</v>
      </c>
      <c r="L574" s="5">
        <f t="shared" si="25"/>
        <v>43.92</v>
      </c>
      <c r="M574" s="5" t="s">
        <v>39</v>
      </c>
      <c r="N574" s="5">
        <v>11.94624</v>
      </c>
      <c r="O574" s="5" t="s">
        <v>39</v>
      </c>
      <c r="P574" t="s">
        <v>40</v>
      </c>
      <c r="Q574" t="s">
        <v>620</v>
      </c>
      <c r="R574" t="s">
        <v>37</v>
      </c>
      <c r="S574" t="s">
        <v>621</v>
      </c>
      <c r="T574" t="s">
        <v>43</v>
      </c>
      <c r="U574" t="s">
        <v>44</v>
      </c>
      <c r="V574">
        <v>147</v>
      </c>
      <c r="W574" t="s">
        <v>45</v>
      </c>
      <c r="X574" t="s">
        <v>60</v>
      </c>
      <c r="Y574" t="s">
        <v>622</v>
      </c>
      <c r="Z574" t="s">
        <v>37</v>
      </c>
      <c r="AA574" t="s">
        <v>55</v>
      </c>
      <c r="AB574" t="s">
        <v>37</v>
      </c>
      <c r="AC574" s="6" t="s">
        <v>37</v>
      </c>
      <c r="AD574" s="6" t="s">
        <v>37</v>
      </c>
      <c r="AE574" t="s">
        <v>37</v>
      </c>
      <c r="AF574" t="s">
        <v>37</v>
      </c>
      <c r="AG574" s="6" t="s">
        <v>37</v>
      </c>
      <c r="AH574" t="s">
        <v>37</v>
      </c>
      <c r="AI574" t="s">
        <v>37</v>
      </c>
      <c r="AJ574" t="str">
        <f t="shared" si="26"/>
        <v>4A3KDTEZB079YHHPF2</v>
      </c>
    </row>
    <row r="575" spans="1:36" ht="15" customHeight="1" x14ac:dyDescent="0.25">
      <c r="A575" t="s">
        <v>101</v>
      </c>
      <c r="B575" t="s">
        <v>37</v>
      </c>
      <c r="C575" t="s">
        <v>37</v>
      </c>
      <c r="D575" t="s">
        <v>38</v>
      </c>
      <c r="E575" s="4">
        <v>32</v>
      </c>
      <c r="F575" s="5">
        <v>656</v>
      </c>
      <c r="G575" s="5" t="s">
        <v>39</v>
      </c>
      <c r="H575" s="5">
        <v>996.48</v>
      </c>
      <c r="I575" s="5" t="s">
        <v>39</v>
      </c>
      <c r="J575" s="5">
        <v>22.303999999999998</v>
      </c>
      <c r="K575" s="5">
        <f t="shared" si="24"/>
        <v>0.69699999999999995</v>
      </c>
      <c r="L575" s="5">
        <f t="shared" si="25"/>
        <v>20.5</v>
      </c>
      <c r="M575" s="5" t="s">
        <v>39</v>
      </c>
      <c r="N575" s="5">
        <v>22.303999999999998</v>
      </c>
      <c r="O575" s="5" t="s">
        <v>39</v>
      </c>
      <c r="P575" t="s">
        <v>274</v>
      </c>
      <c r="Q575" t="s">
        <v>1236</v>
      </c>
      <c r="R575" t="s">
        <v>37</v>
      </c>
      <c r="S575" t="s">
        <v>1237</v>
      </c>
      <c r="T575" t="s">
        <v>43</v>
      </c>
      <c r="U575" t="s">
        <v>44</v>
      </c>
      <c r="V575">
        <v>147</v>
      </c>
      <c r="W575" t="s">
        <v>45</v>
      </c>
      <c r="X575" t="s">
        <v>60</v>
      </c>
      <c r="Y575" t="s">
        <v>1238</v>
      </c>
      <c r="Z575" t="s">
        <v>37</v>
      </c>
      <c r="AA575" t="s">
        <v>55</v>
      </c>
      <c r="AB575" t="s">
        <v>37</v>
      </c>
      <c r="AC575" s="6" t="s">
        <v>37</v>
      </c>
      <c r="AD575" s="6" t="s">
        <v>37</v>
      </c>
      <c r="AE575" t="s">
        <v>37</v>
      </c>
      <c r="AF575" t="s">
        <v>37</v>
      </c>
      <c r="AG575" s="6" t="s">
        <v>37</v>
      </c>
      <c r="AH575" t="s">
        <v>37</v>
      </c>
      <c r="AI575" t="s">
        <v>37</v>
      </c>
      <c r="AJ575" t="str">
        <f t="shared" si="26"/>
        <v>4LYATDUXB006YYNGNY</v>
      </c>
    </row>
    <row r="576" spans="1:36" ht="15" customHeight="1" x14ac:dyDescent="0.25">
      <c r="A576" t="s">
        <v>62</v>
      </c>
      <c r="B576" t="s">
        <v>37</v>
      </c>
      <c r="C576" t="s">
        <v>37</v>
      </c>
      <c r="D576" t="s">
        <v>38</v>
      </c>
      <c r="E576" s="4">
        <v>8</v>
      </c>
      <c r="F576" s="5">
        <v>379.84</v>
      </c>
      <c r="G576" s="5" t="s">
        <v>39</v>
      </c>
      <c r="H576" s="5">
        <v>760</v>
      </c>
      <c r="I576" s="5" t="s">
        <v>39</v>
      </c>
      <c r="J576" s="5">
        <v>12.91456</v>
      </c>
      <c r="K576" s="5">
        <f t="shared" si="24"/>
        <v>1.61432</v>
      </c>
      <c r="L576" s="5">
        <f t="shared" si="25"/>
        <v>47.48</v>
      </c>
      <c r="M576" s="5" t="s">
        <v>39</v>
      </c>
      <c r="N576" s="5">
        <v>12.91456</v>
      </c>
      <c r="O576" s="5" t="s">
        <v>39</v>
      </c>
      <c r="P576" t="s">
        <v>177</v>
      </c>
      <c r="Q576" t="s">
        <v>1239</v>
      </c>
      <c r="R576" t="s">
        <v>37</v>
      </c>
      <c r="S576" t="s">
        <v>1240</v>
      </c>
      <c r="T576" t="s">
        <v>318</v>
      </c>
      <c r="U576" t="s">
        <v>44</v>
      </c>
      <c r="V576">
        <v>147</v>
      </c>
      <c r="W576" t="s">
        <v>45</v>
      </c>
      <c r="X576" t="s">
        <v>60</v>
      </c>
      <c r="Y576" t="s">
        <v>1241</v>
      </c>
      <c r="Z576" t="s">
        <v>37</v>
      </c>
      <c r="AA576" t="s">
        <v>55</v>
      </c>
      <c r="AB576" t="s">
        <v>37</v>
      </c>
      <c r="AC576" s="6" t="s">
        <v>37</v>
      </c>
      <c r="AD576" s="6" t="s">
        <v>37</v>
      </c>
      <c r="AE576" t="s">
        <v>37</v>
      </c>
      <c r="AF576" t="s">
        <v>37</v>
      </c>
      <c r="AG576" s="6" t="s">
        <v>37</v>
      </c>
      <c r="AH576" t="s">
        <v>37</v>
      </c>
      <c r="AI576" t="s">
        <v>37</v>
      </c>
      <c r="AJ576" t="str">
        <f t="shared" si="26"/>
        <v>4F3XMHTVB07W5JKPK4</v>
      </c>
    </row>
    <row r="577" spans="1:36" ht="15" customHeight="1" x14ac:dyDescent="0.25">
      <c r="A577" t="s">
        <v>101</v>
      </c>
      <c r="B577" t="s">
        <v>37</v>
      </c>
      <c r="C577" t="s">
        <v>37</v>
      </c>
      <c r="D577" t="s">
        <v>38</v>
      </c>
      <c r="E577" s="4">
        <v>8</v>
      </c>
      <c r="F577" s="5">
        <v>556.64</v>
      </c>
      <c r="G577" s="5" t="s">
        <v>39</v>
      </c>
      <c r="H577" s="5">
        <v>819.6</v>
      </c>
      <c r="I577" s="5" t="s">
        <v>39</v>
      </c>
      <c r="J577" s="5">
        <v>18.92576</v>
      </c>
      <c r="K577" s="5">
        <f t="shared" si="24"/>
        <v>2.36572</v>
      </c>
      <c r="L577" s="5">
        <f t="shared" si="25"/>
        <v>69.58</v>
      </c>
      <c r="M577" s="5" t="s">
        <v>39</v>
      </c>
      <c r="N577" s="5">
        <v>18.92576</v>
      </c>
      <c r="O577" s="5" t="s">
        <v>39</v>
      </c>
      <c r="P577" t="s">
        <v>102</v>
      </c>
      <c r="Q577" t="s">
        <v>869</v>
      </c>
      <c r="R577" t="s">
        <v>37</v>
      </c>
      <c r="S577" t="s">
        <v>870</v>
      </c>
      <c r="T577" t="s">
        <v>43</v>
      </c>
      <c r="U577" t="s">
        <v>44</v>
      </c>
      <c r="V577">
        <v>147</v>
      </c>
      <c r="W577" t="s">
        <v>45</v>
      </c>
      <c r="X577" t="s">
        <v>60</v>
      </c>
      <c r="Y577" t="s">
        <v>871</v>
      </c>
      <c r="Z577" t="s">
        <v>37</v>
      </c>
      <c r="AA577" t="s">
        <v>55</v>
      </c>
      <c r="AB577" t="s">
        <v>37</v>
      </c>
      <c r="AC577" s="6" t="s">
        <v>37</v>
      </c>
      <c r="AD577" s="6" t="s">
        <v>37</v>
      </c>
      <c r="AE577" t="s">
        <v>37</v>
      </c>
      <c r="AF577" t="s">
        <v>37</v>
      </c>
      <c r="AG577" s="6" t="s">
        <v>37</v>
      </c>
      <c r="AH577" t="s">
        <v>37</v>
      </c>
      <c r="AI577" t="s">
        <v>37</v>
      </c>
      <c r="AJ577" t="str">
        <f t="shared" si="26"/>
        <v>2M7QFTCOB07W5JKWTH</v>
      </c>
    </row>
    <row r="578" spans="1:36" ht="15" customHeight="1" x14ac:dyDescent="0.25">
      <c r="A578" t="s">
        <v>1242</v>
      </c>
      <c r="B578" t="s">
        <v>37</v>
      </c>
      <c r="C578" t="s">
        <v>37</v>
      </c>
      <c r="D578" t="s">
        <v>38</v>
      </c>
      <c r="E578" s="4">
        <v>0</v>
      </c>
      <c r="F578" s="5">
        <v>0</v>
      </c>
      <c r="G578" s="5" t="s">
        <v>39</v>
      </c>
      <c r="H578" s="5">
        <v>0</v>
      </c>
      <c r="I578" s="5" t="s">
        <v>39</v>
      </c>
      <c r="J578" s="5">
        <v>0</v>
      </c>
      <c r="K578" s="5" t="e">
        <f t="shared" si="24"/>
        <v>#DIV/0!</v>
      </c>
      <c r="L578" s="5" t="e">
        <f t="shared" si="25"/>
        <v>#DIV/0!</v>
      </c>
      <c r="M578" s="5" t="s">
        <v>39</v>
      </c>
      <c r="N578" s="5">
        <v>0</v>
      </c>
      <c r="O578" s="5" t="s">
        <v>39</v>
      </c>
      <c r="P578" t="s">
        <v>72</v>
      </c>
      <c r="Q578" t="s">
        <v>719</v>
      </c>
      <c r="R578" t="s">
        <v>37</v>
      </c>
      <c r="S578" t="s">
        <v>720</v>
      </c>
      <c r="T578" t="s">
        <v>43</v>
      </c>
      <c r="U578" t="s">
        <v>44</v>
      </c>
      <c r="V578">
        <v>79</v>
      </c>
      <c r="W578" t="s">
        <v>438</v>
      </c>
      <c r="X578" t="s">
        <v>439</v>
      </c>
      <c r="Y578" t="s">
        <v>721</v>
      </c>
      <c r="Z578" t="s">
        <v>37</v>
      </c>
      <c r="AA578" t="s">
        <v>55</v>
      </c>
      <c r="AB578" t="s">
        <v>37</v>
      </c>
      <c r="AC578" s="6" t="s">
        <v>37</v>
      </c>
      <c r="AD578" s="6" t="s">
        <v>37</v>
      </c>
      <c r="AE578" t="s">
        <v>37</v>
      </c>
      <c r="AF578" t="s">
        <v>37</v>
      </c>
      <c r="AG578" s="6" t="s">
        <v>37</v>
      </c>
      <c r="AH578" t="s">
        <v>37</v>
      </c>
      <c r="AI578" t="s">
        <v>37</v>
      </c>
      <c r="AJ578" t="str">
        <f t="shared" si="26"/>
        <v>4GF112AEB07W4DHNBL</v>
      </c>
    </row>
    <row r="579" spans="1:36" ht="15" customHeight="1" x14ac:dyDescent="0.25">
      <c r="A579" t="s">
        <v>36</v>
      </c>
      <c r="B579" t="s">
        <v>37</v>
      </c>
      <c r="C579" t="s">
        <v>37</v>
      </c>
      <c r="D579" t="s">
        <v>38</v>
      </c>
      <c r="E579" s="4">
        <v>12</v>
      </c>
      <c r="F579" s="5">
        <v>1512</v>
      </c>
      <c r="G579" s="5" t="s">
        <v>39</v>
      </c>
      <c r="H579" s="5">
        <v>1957.32</v>
      </c>
      <c r="I579" s="5" t="s">
        <v>39</v>
      </c>
      <c r="J579" s="5">
        <v>51.408000000000001</v>
      </c>
      <c r="K579" s="5">
        <f t="shared" ref="K579:K642" si="27">J579/E579</f>
        <v>4.2839999999999998</v>
      </c>
      <c r="L579" s="5">
        <f t="shared" ref="L579:L642" si="28">F579/E579</f>
        <v>126</v>
      </c>
      <c r="M579" s="5" t="s">
        <v>39</v>
      </c>
      <c r="N579" s="5">
        <v>51.408000000000001</v>
      </c>
      <c r="O579" s="5" t="s">
        <v>39</v>
      </c>
      <c r="P579" t="s">
        <v>67</v>
      </c>
      <c r="Q579" t="s">
        <v>1243</v>
      </c>
      <c r="R579" t="s">
        <v>1244</v>
      </c>
      <c r="S579" t="s">
        <v>1245</v>
      </c>
      <c r="T579" t="s">
        <v>43</v>
      </c>
      <c r="U579" t="s">
        <v>44</v>
      </c>
      <c r="V579">
        <v>147</v>
      </c>
      <c r="W579" t="s">
        <v>45</v>
      </c>
      <c r="X579" t="s">
        <v>239</v>
      </c>
      <c r="Y579" t="s">
        <v>1246</v>
      </c>
      <c r="Z579" t="s">
        <v>37</v>
      </c>
      <c r="AA579" t="s">
        <v>48</v>
      </c>
      <c r="AB579" t="s">
        <v>37</v>
      </c>
      <c r="AC579" s="6" t="s">
        <v>37</v>
      </c>
      <c r="AD579" s="6" t="s">
        <v>37</v>
      </c>
      <c r="AE579" t="s">
        <v>37</v>
      </c>
      <c r="AF579" t="s">
        <v>37</v>
      </c>
      <c r="AG579" s="6" t="s">
        <v>37</v>
      </c>
      <c r="AH579" t="s">
        <v>37</v>
      </c>
      <c r="AI579" t="s">
        <v>37</v>
      </c>
      <c r="AJ579" t="str">
        <f t="shared" ref="AJ579:AJ642" si="29">P579&amp;Q579</f>
        <v>2TMBDXBKB00CGX8Q46</v>
      </c>
    </row>
    <row r="580" spans="1:36" ht="15" customHeight="1" x14ac:dyDescent="0.25">
      <c r="A580" t="s">
        <v>88</v>
      </c>
      <c r="B580" t="s">
        <v>37</v>
      </c>
      <c r="C580" t="s">
        <v>37</v>
      </c>
      <c r="D580" t="s">
        <v>38</v>
      </c>
      <c r="E580" s="4">
        <v>84</v>
      </c>
      <c r="F580" s="5">
        <v>6334.44</v>
      </c>
      <c r="G580" s="5" t="s">
        <v>39</v>
      </c>
      <c r="H580" s="5">
        <v>9294.6</v>
      </c>
      <c r="I580" s="5" t="s">
        <v>39</v>
      </c>
      <c r="J580" s="5">
        <v>215.37096</v>
      </c>
      <c r="K580" s="5">
        <f t="shared" si="27"/>
        <v>2.5639400000000001</v>
      </c>
      <c r="L580" s="5">
        <f t="shared" si="28"/>
        <v>75.41</v>
      </c>
      <c r="M580" s="5" t="s">
        <v>39</v>
      </c>
      <c r="N580" s="5">
        <v>215.37096</v>
      </c>
      <c r="O580" s="5" t="s">
        <v>39</v>
      </c>
      <c r="P580" t="s">
        <v>40</v>
      </c>
      <c r="Q580" t="s">
        <v>703</v>
      </c>
      <c r="R580" t="s">
        <v>704</v>
      </c>
      <c r="S580" t="s">
        <v>705</v>
      </c>
      <c r="T580" t="s">
        <v>43</v>
      </c>
      <c r="U580" t="s">
        <v>44</v>
      </c>
      <c r="V580">
        <v>147</v>
      </c>
      <c r="W580" t="s">
        <v>45</v>
      </c>
      <c r="X580" t="s">
        <v>590</v>
      </c>
      <c r="Y580" t="s">
        <v>706</v>
      </c>
      <c r="Z580" t="s">
        <v>37</v>
      </c>
      <c r="AA580" t="s">
        <v>48</v>
      </c>
      <c r="AB580" t="s">
        <v>37</v>
      </c>
      <c r="AC580" s="6" t="s">
        <v>37</v>
      </c>
      <c r="AD580" s="6" t="s">
        <v>37</v>
      </c>
      <c r="AE580" t="s">
        <v>37</v>
      </c>
      <c r="AF580" t="s">
        <v>37</v>
      </c>
      <c r="AG580" s="6" t="s">
        <v>37</v>
      </c>
      <c r="AH580" t="s">
        <v>37</v>
      </c>
      <c r="AI580" t="s">
        <v>37</v>
      </c>
      <c r="AJ580" t="str">
        <f t="shared" si="29"/>
        <v>4A3KDTEZB01MT5WMMG</v>
      </c>
    </row>
    <row r="581" spans="1:36" ht="15" customHeight="1" x14ac:dyDescent="0.25">
      <c r="A581" t="s">
        <v>36</v>
      </c>
      <c r="B581" t="s">
        <v>37</v>
      </c>
      <c r="C581" t="s">
        <v>37</v>
      </c>
      <c r="D581" t="s">
        <v>38</v>
      </c>
      <c r="E581" s="4">
        <v>80</v>
      </c>
      <c r="F581" s="5">
        <v>6032.8</v>
      </c>
      <c r="G581" s="5" t="s">
        <v>39</v>
      </c>
      <c r="H581" s="5">
        <v>8852</v>
      </c>
      <c r="I581" s="5" t="s">
        <v>39</v>
      </c>
      <c r="J581" s="5">
        <v>205.11519999999999</v>
      </c>
      <c r="K581" s="5">
        <f t="shared" si="27"/>
        <v>2.5639399999999997</v>
      </c>
      <c r="L581" s="5">
        <f t="shared" si="28"/>
        <v>75.41</v>
      </c>
      <c r="M581" s="5" t="s">
        <v>39</v>
      </c>
      <c r="N581" s="5">
        <v>205.11519999999999</v>
      </c>
      <c r="O581" s="5" t="s">
        <v>39</v>
      </c>
      <c r="P581" t="s">
        <v>40</v>
      </c>
      <c r="Q581" t="s">
        <v>703</v>
      </c>
      <c r="R581" t="s">
        <v>704</v>
      </c>
      <c r="S581" t="s">
        <v>705</v>
      </c>
      <c r="T581" t="s">
        <v>43</v>
      </c>
      <c r="U581" t="s">
        <v>44</v>
      </c>
      <c r="V581">
        <v>147</v>
      </c>
      <c r="W581" t="s">
        <v>45</v>
      </c>
      <c r="X581" t="s">
        <v>590</v>
      </c>
      <c r="Y581" t="s">
        <v>706</v>
      </c>
      <c r="Z581" t="s">
        <v>37</v>
      </c>
      <c r="AA581" t="s">
        <v>48</v>
      </c>
      <c r="AB581" t="s">
        <v>37</v>
      </c>
      <c r="AC581" s="6" t="s">
        <v>37</v>
      </c>
      <c r="AD581" s="6" t="s">
        <v>37</v>
      </c>
      <c r="AE581" t="s">
        <v>37</v>
      </c>
      <c r="AF581" t="s">
        <v>37</v>
      </c>
      <c r="AG581" s="6" t="s">
        <v>37</v>
      </c>
      <c r="AH581" t="s">
        <v>37</v>
      </c>
      <c r="AI581" t="s">
        <v>37</v>
      </c>
      <c r="AJ581" t="str">
        <f t="shared" si="29"/>
        <v>4A3KDTEZB01MT5WMMG</v>
      </c>
    </row>
    <row r="582" spans="1:36" ht="15" customHeight="1" x14ac:dyDescent="0.25">
      <c r="A582" t="s">
        <v>118</v>
      </c>
      <c r="B582" t="s">
        <v>37</v>
      </c>
      <c r="C582" t="s">
        <v>37</v>
      </c>
      <c r="D582" t="s">
        <v>38</v>
      </c>
      <c r="E582" s="4">
        <v>1</v>
      </c>
      <c r="F582" s="5">
        <v>210.52</v>
      </c>
      <c r="G582" s="5" t="s">
        <v>39</v>
      </c>
      <c r="H582" s="5">
        <v>336.06</v>
      </c>
      <c r="I582" s="5" t="s">
        <v>39</v>
      </c>
      <c r="J582" s="5">
        <v>7.15768</v>
      </c>
      <c r="K582" s="5">
        <f t="shared" si="27"/>
        <v>7.15768</v>
      </c>
      <c r="L582" s="5">
        <f t="shared" si="28"/>
        <v>210.52</v>
      </c>
      <c r="M582" s="5" t="s">
        <v>39</v>
      </c>
      <c r="N582" s="5">
        <v>7.15768</v>
      </c>
      <c r="O582" s="5" t="s">
        <v>39</v>
      </c>
      <c r="P582" t="s">
        <v>462</v>
      </c>
      <c r="Q582" t="s">
        <v>81</v>
      </c>
      <c r="R582" t="s">
        <v>37</v>
      </c>
      <c r="S582" t="s">
        <v>82</v>
      </c>
      <c r="T582" t="s">
        <v>43</v>
      </c>
      <c r="U582" t="s">
        <v>44</v>
      </c>
      <c r="V582">
        <v>147</v>
      </c>
      <c r="W582" t="s">
        <v>45</v>
      </c>
      <c r="X582" t="s">
        <v>46</v>
      </c>
      <c r="Y582" t="s">
        <v>83</v>
      </c>
      <c r="Z582" t="s">
        <v>37</v>
      </c>
      <c r="AA582" t="s">
        <v>55</v>
      </c>
      <c r="AB582" t="s">
        <v>37</v>
      </c>
      <c r="AC582" s="6" t="s">
        <v>37</v>
      </c>
      <c r="AD582" s="6" t="s">
        <v>37</v>
      </c>
      <c r="AE582" t="s">
        <v>37</v>
      </c>
      <c r="AF582" t="s">
        <v>37</v>
      </c>
      <c r="AG582" s="6" t="s">
        <v>37</v>
      </c>
      <c r="AH582" t="s">
        <v>37</v>
      </c>
      <c r="AI582" t="s">
        <v>37</v>
      </c>
      <c r="AJ582" t="str">
        <f t="shared" si="29"/>
        <v>17D6YHERB07W6JB7N7</v>
      </c>
    </row>
    <row r="583" spans="1:36" ht="15" customHeight="1" x14ac:dyDescent="0.25">
      <c r="A583" t="s">
        <v>118</v>
      </c>
      <c r="B583" t="s">
        <v>37</v>
      </c>
      <c r="C583" t="s">
        <v>37</v>
      </c>
      <c r="D583" t="s">
        <v>38</v>
      </c>
      <c r="E583" s="4">
        <v>224</v>
      </c>
      <c r="F583" s="5">
        <v>52523.519999999997</v>
      </c>
      <c r="G583" s="5" t="s">
        <v>39</v>
      </c>
      <c r="H583" s="5">
        <v>65914.240000000005</v>
      </c>
      <c r="I583" s="5" t="s">
        <v>39</v>
      </c>
      <c r="J583" s="5">
        <v>1785.7996800000001</v>
      </c>
      <c r="K583" s="5">
        <f t="shared" si="27"/>
        <v>7.9723200000000007</v>
      </c>
      <c r="L583" s="5">
        <f t="shared" si="28"/>
        <v>234.48</v>
      </c>
      <c r="M583" s="5" t="s">
        <v>39</v>
      </c>
      <c r="N583" s="5">
        <v>1785.7996800000001</v>
      </c>
      <c r="O583" s="5" t="s">
        <v>39</v>
      </c>
      <c r="P583" t="s">
        <v>128</v>
      </c>
      <c r="Q583" t="s">
        <v>1171</v>
      </c>
      <c r="R583" t="s">
        <v>37</v>
      </c>
      <c r="S583" t="s">
        <v>1172</v>
      </c>
      <c r="T583" t="s">
        <v>43</v>
      </c>
      <c r="U583" t="s">
        <v>44</v>
      </c>
      <c r="V583">
        <v>147</v>
      </c>
      <c r="W583" t="s">
        <v>45</v>
      </c>
      <c r="X583" t="s">
        <v>46</v>
      </c>
      <c r="Y583" t="s">
        <v>1173</v>
      </c>
      <c r="Z583" t="s">
        <v>37</v>
      </c>
      <c r="AA583" t="s">
        <v>55</v>
      </c>
      <c r="AB583" t="s">
        <v>37</v>
      </c>
      <c r="AC583" s="6" t="s">
        <v>37</v>
      </c>
      <c r="AD583" s="6" t="s">
        <v>37</v>
      </c>
      <c r="AE583" t="s">
        <v>37</v>
      </c>
      <c r="AF583" t="s">
        <v>37</v>
      </c>
      <c r="AG583" s="6" t="s">
        <v>37</v>
      </c>
      <c r="AH583" t="s">
        <v>37</v>
      </c>
      <c r="AI583" t="s">
        <v>37</v>
      </c>
      <c r="AJ583" t="str">
        <f t="shared" si="29"/>
        <v>7RAC5F9EB07TTB3SRB</v>
      </c>
    </row>
    <row r="584" spans="1:36" ht="15" customHeight="1" x14ac:dyDescent="0.25">
      <c r="A584" t="s">
        <v>284</v>
      </c>
      <c r="B584" t="s">
        <v>37</v>
      </c>
      <c r="C584" t="s">
        <v>37</v>
      </c>
      <c r="D584" t="s">
        <v>38</v>
      </c>
      <c r="E584" s="4">
        <v>0</v>
      </c>
      <c r="F584" s="5">
        <v>0</v>
      </c>
      <c r="G584" s="5" t="s">
        <v>39</v>
      </c>
      <c r="H584" s="5">
        <v>0</v>
      </c>
      <c r="I584" s="5" t="s">
        <v>39</v>
      </c>
      <c r="J584" s="5">
        <v>0</v>
      </c>
      <c r="K584" s="5" t="e">
        <f t="shared" si="27"/>
        <v>#DIV/0!</v>
      </c>
      <c r="L584" s="5" t="e">
        <f t="shared" si="28"/>
        <v>#DIV/0!</v>
      </c>
      <c r="M584" s="5" t="s">
        <v>39</v>
      </c>
      <c r="N584" s="5">
        <v>0</v>
      </c>
      <c r="O584" s="5" t="s">
        <v>39</v>
      </c>
      <c r="P584" t="s">
        <v>969</v>
      </c>
      <c r="Q584" t="s">
        <v>237</v>
      </c>
      <c r="R584" t="s">
        <v>37</v>
      </c>
      <c r="S584" t="s">
        <v>238</v>
      </c>
      <c r="T584" t="s">
        <v>43</v>
      </c>
      <c r="U584" t="s">
        <v>44</v>
      </c>
      <c r="V584">
        <v>23</v>
      </c>
      <c r="W584" t="s">
        <v>45</v>
      </c>
      <c r="X584" t="s">
        <v>239</v>
      </c>
      <c r="Y584" t="s">
        <v>240</v>
      </c>
      <c r="Z584" t="s">
        <v>37</v>
      </c>
      <c r="AA584" t="s">
        <v>95</v>
      </c>
      <c r="AB584" t="s">
        <v>37</v>
      </c>
      <c r="AC584" s="6" t="s">
        <v>37</v>
      </c>
      <c r="AD584" s="6" t="s">
        <v>37</v>
      </c>
      <c r="AE584" t="s">
        <v>37</v>
      </c>
      <c r="AF584" t="s">
        <v>37</v>
      </c>
      <c r="AG584" s="6" t="s">
        <v>37</v>
      </c>
      <c r="AH584" t="s">
        <v>37</v>
      </c>
      <c r="AI584" t="s">
        <v>37</v>
      </c>
      <c r="AJ584" t="str">
        <f t="shared" si="29"/>
        <v>1VBBCE3CB07W6HDNPG</v>
      </c>
    </row>
    <row r="585" spans="1:36" ht="15" customHeight="1" x14ac:dyDescent="0.25">
      <c r="A585" t="s">
        <v>101</v>
      </c>
      <c r="B585" t="s">
        <v>37</v>
      </c>
      <c r="C585" t="s">
        <v>37</v>
      </c>
      <c r="D585" t="s">
        <v>38</v>
      </c>
      <c r="E585" s="4">
        <v>10</v>
      </c>
      <c r="F585" s="5">
        <v>93.6</v>
      </c>
      <c r="G585" s="5" t="s">
        <v>39</v>
      </c>
      <c r="H585" s="5">
        <v>139.30000000000001</v>
      </c>
      <c r="I585" s="5" t="s">
        <v>39</v>
      </c>
      <c r="J585" s="5">
        <v>3.1823999999999999</v>
      </c>
      <c r="K585" s="5">
        <f t="shared" si="27"/>
        <v>0.31823999999999997</v>
      </c>
      <c r="L585" s="5">
        <f t="shared" si="28"/>
        <v>9.36</v>
      </c>
      <c r="M585" s="5" t="s">
        <v>39</v>
      </c>
      <c r="N585" s="5">
        <v>3.1823999999999999</v>
      </c>
      <c r="O585" s="5" t="s">
        <v>39</v>
      </c>
      <c r="P585" t="s">
        <v>748</v>
      </c>
      <c r="Q585" t="s">
        <v>1031</v>
      </c>
      <c r="R585" t="s">
        <v>37</v>
      </c>
      <c r="S585" t="s">
        <v>1032</v>
      </c>
      <c r="T585" t="s">
        <v>43</v>
      </c>
      <c r="U585" t="s">
        <v>44</v>
      </c>
      <c r="V585">
        <v>147</v>
      </c>
      <c r="W585" t="s">
        <v>45</v>
      </c>
      <c r="X585" t="s">
        <v>60</v>
      </c>
      <c r="Y585" t="s">
        <v>1033</v>
      </c>
      <c r="Z585" t="s">
        <v>37</v>
      </c>
      <c r="AA585" t="s">
        <v>55</v>
      </c>
      <c r="AB585" t="s">
        <v>37</v>
      </c>
      <c r="AC585" s="6" t="s">
        <v>37</v>
      </c>
      <c r="AD585" s="6" t="s">
        <v>37</v>
      </c>
      <c r="AE585" t="s">
        <v>37</v>
      </c>
      <c r="AF585" t="s">
        <v>37</v>
      </c>
      <c r="AG585" s="6" t="s">
        <v>37</v>
      </c>
      <c r="AH585" t="s">
        <v>37</v>
      </c>
      <c r="AI585" t="s">
        <v>37</v>
      </c>
      <c r="AJ585" t="str">
        <f t="shared" si="29"/>
        <v>74WI6EYDB00BT8QIJ4</v>
      </c>
    </row>
    <row r="586" spans="1:36" ht="15" customHeight="1" x14ac:dyDescent="0.25">
      <c r="A586" t="s">
        <v>118</v>
      </c>
      <c r="B586" t="s">
        <v>37</v>
      </c>
      <c r="C586" t="s">
        <v>37</v>
      </c>
      <c r="D586" t="s">
        <v>38</v>
      </c>
      <c r="E586" s="4">
        <v>8</v>
      </c>
      <c r="F586" s="5">
        <v>719.36</v>
      </c>
      <c r="G586" s="5" t="s">
        <v>39</v>
      </c>
      <c r="H586" s="5">
        <v>852.4</v>
      </c>
      <c r="I586" s="5" t="s">
        <v>39</v>
      </c>
      <c r="J586" s="5">
        <v>24.45824</v>
      </c>
      <c r="K586" s="5">
        <f t="shared" si="27"/>
        <v>3.05728</v>
      </c>
      <c r="L586" s="5">
        <f t="shared" si="28"/>
        <v>89.92</v>
      </c>
      <c r="M586" s="5" t="s">
        <v>39</v>
      </c>
      <c r="N586" s="5">
        <v>24.45824</v>
      </c>
      <c r="O586" s="5" t="s">
        <v>39</v>
      </c>
      <c r="P586" t="s">
        <v>1247</v>
      </c>
      <c r="Q586" t="s">
        <v>1248</v>
      </c>
      <c r="R586" t="s">
        <v>1249</v>
      </c>
      <c r="S586" t="s">
        <v>1250</v>
      </c>
      <c r="T586" t="s">
        <v>43</v>
      </c>
      <c r="U586" t="s">
        <v>44</v>
      </c>
      <c r="V586">
        <v>267</v>
      </c>
      <c r="W586" t="s">
        <v>151</v>
      </c>
      <c r="X586" t="s">
        <v>152</v>
      </c>
      <c r="Y586" t="s">
        <v>1251</v>
      </c>
      <c r="Z586" t="s">
        <v>37</v>
      </c>
      <c r="AA586" t="s">
        <v>48</v>
      </c>
      <c r="AB586" t="s">
        <v>37</v>
      </c>
      <c r="AC586" s="6" t="s">
        <v>37</v>
      </c>
      <c r="AD586" s="6" t="s">
        <v>37</v>
      </c>
      <c r="AE586" t="s">
        <v>37</v>
      </c>
      <c r="AF586" t="s">
        <v>37</v>
      </c>
      <c r="AG586" s="6" t="s">
        <v>37</v>
      </c>
      <c r="AH586" t="s">
        <v>37</v>
      </c>
      <c r="AI586" t="s">
        <v>37</v>
      </c>
      <c r="AJ586" t="str">
        <f t="shared" si="29"/>
        <v>86DLD4XXB078MLBGRM</v>
      </c>
    </row>
    <row r="587" spans="1:36" ht="15" customHeight="1" x14ac:dyDescent="0.25">
      <c r="A587" t="s">
        <v>101</v>
      </c>
      <c r="B587" t="s">
        <v>37</v>
      </c>
      <c r="C587" t="s">
        <v>37</v>
      </c>
      <c r="D587" t="s">
        <v>38</v>
      </c>
      <c r="E587" s="4">
        <v>12</v>
      </c>
      <c r="F587" s="5">
        <v>880.08</v>
      </c>
      <c r="G587" s="5" t="s">
        <v>39</v>
      </c>
      <c r="H587" s="5">
        <v>1426.2</v>
      </c>
      <c r="I587" s="5" t="s">
        <v>39</v>
      </c>
      <c r="J587" s="5">
        <v>29.922720000000002</v>
      </c>
      <c r="K587" s="5">
        <f t="shared" si="27"/>
        <v>2.49356</v>
      </c>
      <c r="L587" s="5">
        <f t="shared" si="28"/>
        <v>73.34</v>
      </c>
      <c r="M587" s="5" t="s">
        <v>39</v>
      </c>
      <c r="N587" s="5">
        <v>29.922720000000002</v>
      </c>
      <c r="O587" s="5" t="s">
        <v>39</v>
      </c>
      <c r="P587" t="s">
        <v>102</v>
      </c>
      <c r="Q587" t="s">
        <v>145</v>
      </c>
      <c r="R587" t="s">
        <v>37</v>
      </c>
      <c r="S587" t="s">
        <v>146</v>
      </c>
      <c r="T587" t="s">
        <v>43</v>
      </c>
      <c r="U587" t="s">
        <v>44</v>
      </c>
      <c r="V587">
        <v>147</v>
      </c>
      <c r="W587" t="s">
        <v>45</v>
      </c>
      <c r="X587" t="s">
        <v>60</v>
      </c>
      <c r="Y587" t="s">
        <v>147</v>
      </c>
      <c r="Z587" t="s">
        <v>37</v>
      </c>
      <c r="AA587" t="s">
        <v>55</v>
      </c>
      <c r="AB587" t="s">
        <v>37</v>
      </c>
      <c r="AC587" s="6" t="s">
        <v>37</v>
      </c>
      <c r="AD587" s="6" t="s">
        <v>37</v>
      </c>
      <c r="AE587" t="s">
        <v>37</v>
      </c>
      <c r="AF587" t="s">
        <v>37</v>
      </c>
      <c r="AG587" s="6" t="s">
        <v>37</v>
      </c>
      <c r="AH587" t="s">
        <v>37</v>
      </c>
      <c r="AI587" t="s">
        <v>37</v>
      </c>
      <c r="AJ587" t="str">
        <f t="shared" si="29"/>
        <v>2M7QFTCOB07W6JNQ82</v>
      </c>
    </row>
    <row r="588" spans="1:36" ht="15" customHeight="1" x14ac:dyDescent="0.25">
      <c r="A588" t="s">
        <v>118</v>
      </c>
      <c r="B588" t="s">
        <v>37</v>
      </c>
      <c r="C588" t="s">
        <v>37</v>
      </c>
      <c r="D588" t="s">
        <v>38</v>
      </c>
      <c r="E588" s="4">
        <v>12</v>
      </c>
      <c r="F588" s="5">
        <v>538.08000000000004</v>
      </c>
      <c r="G588" s="5" t="s">
        <v>39</v>
      </c>
      <c r="H588" s="5">
        <v>865.44</v>
      </c>
      <c r="I588" s="5" t="s">
        <v>39</v>
      </c>
      <c r="J588" s="5">
        <v>18.294720000000002</v>
      </c>
      <c r="K588" s="5">
        <f t="shared" si="27"/>
        <v>1.5245600000000001</v>
      </c>
      <c r="L588" s="5">
        <f t="shared" si="28"/>
        <v>44.84</v>
      </c>
      <c r="M588" s="5" t="s">
        <v>39</v>
      </c>
      <c r="N588" s="5">
        <v>18.294720000000002</v>
      </c>
      <c r="O588" s="5" t="s">
        <v>39</v>
      </c>
      <c r="P588" t="s">
        <v>141</v>
      </c>
      <c r="Q588" t="s">
        <v>596</v>
      </c>
      <c r="R588" t="s">
        <v>37</v>
      </c>
      <c r="S588" t="s">
        <v>597</v>
      </c>
      <c r="T588" t="s">
        <v>43</v>
      </c>
      <c r="U588" t="s">
        <v>44</v>
      </c>
      <c r="V588">
        <v>147</v>
      </c>
      <c r="W588" t="s">
        <v>45</v>
      </c>
      <c r="X588" t="s">
        <v>46</v>
      </c>
      <c r="Y588" t="s">
        <v>598</v>
      </c>
      <c r="Z588" t="s">
        <v>37</v>
      </c>
      <c r="AA588" t="s">
        <v>95</v>
      </c>
      <c r="AB588" t="s">
        <v>37</v>
      </c>
      <c r="AC588" s="6" t="s">
        <v>37</v>
      </c>
      <c r="AD588" s="6" t="s">
        <v>37</v>
      </c>
      <c r="AE588" t="s">
        <v>37</v>
      </c>
      <c r="AF588" t="s">
        <v>37</v>
      </c>
      <c r="AG588" s="6" t="s">
        <v>37</v>
      </c>
      <c r="AH588" t="s">
        <v>37</v>
      </c>
      <c r="AI588" t="s">
        <v>37</v>
      </c>
      <c r="AJ588" t="str">
        <f t="shared" si="29"/>
        <v>56UO2L2IB07W4DHMVB</v>
      </c>
    </row>
    <row r="589" spans="1:36" ht="15" customHeight="1" x14ac:dyDescent="0.25">
      <c r="A589" t="s">
        <v>118</v>
      </c>
      <c r="B589" t="s">
        <v>37</v>
      </c>
      <c r="C589" t="s">
        <v>37</v>
      </c>
      <c r="D589" t="s">
        <v>38</v>
      </c>
      <c r="E589" s="4">
        <v>6</v>
      </c>
      <c r="F589" s="5">
        <v>174</v>
      </c>
      <c r="G589" s="5" t="s">
        <v>39</v>
      </c>
      <c r="H589" s="5">
        <v>265.5</v>
      </c>
      <c r="I589" s="5" t="s">
        <v>39</v>
      </c>
      <c r="J589" s="5">
        <v>5.9160000000000004</v>
      </c>
      <c r="K589" s="5">
        <f t="shared" si="27"/>
        <v>0.9860000000000001</v>
      </c>
      <c r="L589" s="5">
        <f t="shared" si="28"/>
        <v>29</v>
      </c>
      <c r="M589" s="5" t="s">
        <v>39</v>
      </c>
      <c r="N589" s="5">
        <v>5.9160000000000004</v>
      </c>
      <c r="O589" s="5" t="s">
        <v>39</v>
      </c>
      <c r="P589" t="s">
        <v>462</v>
      </c>
      <c r="Q589" t="s">
        <v>1252</v>
      </c>
      <c r="R589" t="s">
        <v>37</v>
      </c>
      <c r="S589" t="s">
        <v>1253</v>
      </c>
      <c r="T589" t="s">
        <v>43</v>
      </c>
      <c r="U589" t="s">
        <v>44</v>
      </c>
      <c r="V589">
        <v>147</v>
      </c>
      <c r="W589" t="s">
        <v>92</v>
      </c>
      <c r="X589" t="s">
        <v>543</v>
      </c>
      <c r="Y589" t="s">
        <v>1254</v>
      </c>
      <c r="Z589" t="s">
        <v>37</v>
      </c>
      <c r="AA589" t="s">
        <v>55</v>
      </c>
      <c r="AB589" t="s">
        <v>37</v>
      </c>
      <c r="AC589" s="6" t="s">
        <v>37</v>
      </c>
      <c r="AD589" s="6" t="s">
        <v>37</v>
      </c>
      <c r="AE589" t="s">
        <v>37</v>
      </c>
      <c r="AF589" t="s">
        <v>37</v>
      </c>
      <c r="AG589" s="6" t="s">
        <v>37</v>
      </c>
      <c r="AH589" t="s">
        <v>37</v>
      </c>
      <c r="AI589" t="s">
        <v>37</v>
      </c>
      <c r="AJ589" t="str">
        <f t="shared" si="29"/>
        <v>17D6YHERB07W7K29YM</v>
      </c>
    </row>
    <row r="590" spans="1:36" ht="15" customHeight="1" x14ac:dyDescent="0.25">
      <c r="A590" t="s">
        <v>36</v>
      </c>
      <c r="B590" t="s">
        <v>37</v>
      </c>
      <c r="C590" t="s">
        <v>37</v>
      </c>
      <c r="D590" t="s">
        <v>38</v>
      </c>
      <c r="E590" s="4">
        <v>92</v>
      </c>
      <c r="F590" s="5">
        <v>7717.88</v>
      </c>
      <c r="G590" s="5" t="s">
        <v>39</v>
      </c>
      <c r="H590" s="5">
        <v>12743.84</v>
      </c>
      <c r="I590" s="5" t="s">
        <v>39</v>
      </c>
      <c r="J590" s="5">
        <v>262.40791999999999</v>
      </c>
      <c r="K590" s="5">
        <f t="shared" si="27"/>
        <v>2.8522599999999998</v>
      </c>
      <c r="L590" s="5">
        <f t="shared" si="28"/>
        <v>83.89</v>
      </c>
      <c r="M590" s="5" t="s">
        <v>39</v>
      </c>
      <c r="N590" s="5">
        <v>262.40791999999999</v>
      </c>
      <c r="O590" s="5" t="s">
        <v>39</v>
      </c>
      <c r="P590" t="s">
        <v>133</v>
      </c>
      <c r="Q590" t="s">
        <v>987</v>
      </c>
      <c r="R590" t="s">
        <v>37</v>
      </c>
      <c r="S590" t="s">
        <v>988</v>
      </c>
      <c r="T590" t="s">
        <v>43</v>
      </c>
      <c r="U590" t="s">
        <v>44</v>
      </c>
      <c r="V590">
        <v>147</v>
      </c>
      <c r="W590" t="s">
        <v>45</v>
      </c>
      <c r="X590" t="s">
        <v>239</v>
      </c>
      <c r="Y590" t="s">
        <v>989</v>
      </c>
      <c r="Z590" t="s">
        <v>37</v>
      </c>
      <c r="AA590" t="s">
        <v>95</v>
      </c>
      <c r="AB590" t="s">
        <v>37</v>
      </c>
      <c r="AC590" s="6" t="s">
        <v>37</v>
      </c>
      <c r="AD590" s="6" t="s">
        <v>37</v>
      </c>
      <c r="AE590" t="s">
        <v>37</v>
      </c>
      <c r="AF590" t="s">
        <v>37</v>
      </c>
      <c r="AG590" s="6" t="s">
        <v>37</v>
      </c>
      <c r="AH590" t="s">
        <v>37</v>
      </c>
      <c r="AI590" t="s">
        <v>37</v>
      </c>
      <c r="AJ590" t="str">
        <f t="shared" si="29"/>
        <v>36BT7GGLB07W7KT2B3</v>
      </c>
    </row>
    <row r="591" spans="1:36" ht="15" customHeight="1" x14ac:dyDescent="0.25">
      <c r="A591" t="s">
        <v>88</v>
      </c>
      <c r="B591" t="s">
        <v>37</v>
      </c>
      <c r="C591" t="s">
        <v>37</v>
      </c>
      <c r="D591" t="s">
        <v>38</v>
      </c>
      <c r="E591" s="4">
        <v>20</v>
      </c>
      <c r="F591" s="5">
        <v>1677.8</v>
      </c>
      <c r="G591" s="5" t="s">
        <v>39</v>
      </c>
      <c r="H591" s="5">
        <v>2770.4</v>
      </c>
      <c r="I591" s="5" t="s">
        <v>39</v>
      </c>
      <c r="J591" s="5">
        <v>57.045200000000001</v>
      </c>
      <c r="K591" s="5">
        <f t="shared" si="27"/>
        <v>2.8522600000000002</v>
      </c>
      <c r="L591" s="5">
        <f t="shared" si="28"/>
        <v>83.89</v>
      </c>
      <c r="M591" s="5" t="s">
        <v>39</v>
      </c>
      <c r="N591" s="5">
        <v>57.045200000000001</v>
      </c>
      <c r="O591" s="5" t="s">
        <v>39</v>
      </c>
      <c r="P591" t="s">
        <v>133</v>
      </c>
      <c r="Q591" t="s">
        <v>987</v>
      </c>
      <c r="R591" t="s">
        <v>37</v>
      </c>
      <c r="S591" t="s">
        <v>988</v>
      </c>
      <c r="T591" t="s">
        <v>43</v>
      </c>
      <c r="U591" t="s">
        <v>44</v>
      </c>
      <c r="V591">
        <v>147</v>
      </c>
      <c r="W591" t="s">
        <v>45</v>
      </c>
      <c r="X591" t="s">
        <v>239</v>
      </c>
      <c r="Y591" t="s">
        <v>989</v>
      </c>
      <c r="Z591" t="s">
        <v>37</v>
      </c>
      <c r="AA591" t="s">
        <v>95</v>
      </c>
      <c r="AB591" t="s">
        <v>37</v>
      </c>
      <c r="AC591" s="6" t="s">
        <v>37</v>
      </c>
      <c r="AD591" s="6" t="s">
        <v>37</v>
      </c>
      <c r="AE591" t="s">
        <v>37</v>
      </c>
      <c r="AF591" t="s">
        <v>37</v>
      </c>
      <c r="AG591" s="6" t="s">
        <v>37</v>
      </c>
      <c r="AH591" t="s">
        <v>37</v>
      </c>
      <c r="AI591" t="s">
        <v>37</v>
      </c>
      <c r="AJ591" t="str">
        <f t="shared" si="29"/>
        <v>36BT7GGLB07W7KT2B3</v>
      </c>
    </row>
    <row r="592" spans="1:36" ht="15" customHeight="1" x14ac:dyDescent="0.25">
      <c r="A592" t="s">
        <v>96</v>
      </c>
      <c r="B592" t="s">
        <v>37</v>
      </c>
      <c r="C592" t="s">
        <v>37</v>
      </c>
      <c r="D592" t="s">
        <v>38</v>
      </c>
      <c r="E592" s="4">
        <v>40</v>
      </c>
      <c r="F592" s="5">
        <v>655.6</v>
      </c>
      <c r="G592" s="5" t="s">
        <v>39</v>
      </c>
      <c r="H592" s="5">
        <v>983.2</v>
      </c>
      <c r="I592" s="5" t="s">
        <v>39</v>
      </c>
      <c r="J592" s="5">
        <v>22.290400000000002</v>
      </c>
      <c r="K592" s="5">
        <f t="shared" si="27"/>
        <v>0.55726000000000009</v>
      </c>
      <c r="L592" s="5">
        <f t="shared" si="28"/>
        <v>16.39</v>
      </c>
      <c r="M592" s="5" t="s">
        <v>39</v>
      </c>
      <c r="N592" s="5">
        <v>22.290400000000002</v>
      </c>
      <c r="O592" s="5" t="s">
        <v>39</v>
      </c>
      <c r="P592" t="s">
        <v>50</v>
      </c>
      <c r="Q592" t="s">
        <v>1255</v>
      </c>
      <c r="R592" t="s">
        <v>37</v>
      </c>
      <c r="S592" t="s">
        <v>1256</v>
      </c>
      <c r="T592" t="s">
        <v>43</v>
      </c>
      <c r="U592" t="s">
        <v>44</v>
      </c>
      <c r="V592">
        <v>147</v>
      </c>
      <c r="W592" t="s">
        <v>45</v>
      </c>
      <c r="X592" t="s">
        <v>53</v>
      </c>
      <c r="Y592" t="s">
        <v>1257</v>
      </c>
      <c r="Z592" t="s">
        <v>37</v>
      </c>
      <c r="AA592" t="s">
        <v>55</v>
      </c>
      <c r="AB592" t="s">
        <v>37</v>
      </c>
      <c r="AC592" s="6" t="s">
        <v>37</v>
      </c>
      <c r="AD592" s="6" t="s">
        <v>37</v>
      </c>
      <c r="AE592" t="s">
        <v>37</v>
      </c>
      <c r="AF592" t="s">
        <v>37</v>
      </c>
      <c r="AG592" s="6" t="s">
        <v>37</v>
      </c>
      <c r="AH592" t="s">
        <v>37</v>
      </c>
      <c r="AI592" t="s">
        <v>37</v>
      </c>
      <c r="AJ592" t="str">
        <f t="shared" si="29"/>
        <v>3A946EXYB07W6G822V</v>
      </c>
    </row>
    <row r="593" spans="1:36" ht="15" customHeight="1" x14ac:dyDescent="0.25">
      <c r="A593" t="s">
        <v>118</v>
      </c>
      <c r="B593" t="s">
        <v>37</v>
      </c>
      <c r="C593" t="s">
        <v>37</v>
      </c>
      <c r="D593" t="s">
        <v>38</v>
      </c>
      <c r="E593" s="4">
        <v>90</v>
      </c>
      <c r="F593" s="5">
        <v>947.7</v>
      </c>
      <c r="G593" s="5" t="s">
        <v>39</v>
      </c>
      <c r="H593" s="5">
        <v>947.7</v>
      </c>
      <c r="I593" s="5" t="s">
        <v>39</v>
      </c>
      <c r="J593" s="5">
        <v>32.221800000000002</v>
      </c>
      <c r="K593" s="5">
        <f t="shared" si="27"/>
        <v>0.35802</v>
      </c>
      <c r="L593" s="5">
        <f t="shared" si="28"/>
        <v>10.530000000000001</v>
      </c>
      <c r="M593" s="5" t="s">
        <v>39</v>
      </c>
      <c r="N593" s="5">
        <v>32.221800000000002</v>
      </c>
      <c r="O593" s="5" t="s">
        <v>39</v>
      </c>
      <c r="P593" t="s">
        <v>128</v>
      </c>
      <c r="Q593" t="s">
        <v>324</v>
      </c>
      <c r="R593" t="s">
        <v>325</v>
      </c>
      <c r="S593" t="s">
        <v>326</v>
      </c>
      <c r="T593" t="s">
        <v>43</v>
      </c>
      <c r="U593" t="s">
        <v>44</v>
      </c>
      <c r="V593">
        <v>147</v>
      </c>
      <c r="W593" t="s">
        <v>45</v>
      </c>
      <c r="X593" t="s">
        <v>53</v>
      </c>
      <c r="Y593" t="s">
        <v>327</v>
      </c>
      <c r="Z593" t="s">
        <v>37</v>
      </c>
      <c r="AA593" t="s">
        <v>48</v>
      </c>
      <c r="AB593" t="s">
        <v>37</v>
      </c>
      <c r="AC593" s="6" t="s">
        <v>37</v>
      </c>
      <c r="AD593" s="6" t="s">
        <v>37</v>
      </c>
      <c r="AE593" t="s">
        <v>37</v>
      </c>
      <c r="AF593" t="s">
        <v>37</v>
      </c>
      <c r="AG593" s="6" t="s">
        <v>37</v>
      </c>
      <c r="AH593" t="s">
        <v>37</v>
      </c>
      <c r="AI593" t="s">
        <v>37</v>
      </c>
      <c r="AJ593" t="str">
        <f t="shared" si="29"/>
        <v>7RAC5F9EB00544XFHC</v>
      </c>
    </row>
    <row r="594" spans="1:36" ht="15" customHeight="1" x14ac:dyDescent="0.25">
      <c r="A594" t="s">
        <v>526</v>
      </c>
      <c r="B594" t="s">
        <v>37</v>
      </c>
      <c r="C594" t="s">
        <v>37</v>
      </c>
      <c r="D594" t="s">
        <v>38</v>
      </c>
      <c r="E594" s="4">
        <v>0</v>
      </c>
      <c r="F594" s="5">
        <v>0</v>
      </c>
      <c r="G594" s="5" t="s">
        <v>39</v>
      </c>
      <c r="H594" s="5">
        <v>0</v>
      </c>
      <c r="I594" s="5" t="s">
        <v>39</v>
      </c>
      <c r="J594" s="5">
        <v>0</v>
      </c>
      <c r="K594" s="5" t="e">
        <f t="shared" si="27"/>
        <v>#DIV/0!</v>
      </c>
      <c r="L594" s="5" t="e">
        <f t="shared" si="28"/>
        <v>#DIV/0!</v>
      </c>
      <c r="M594" s="5" t="s">
        <v>39</v>
      </c>
      <c r="N594" s="5">
        <v>0</v>
      </c>
      <c r="O594" s="5" t="s">
        <v>39</v>
      </c>
      <c r="P594" t="s">
        <v>1258</v>
      </c>
      <c r="Q594" t="s">
        <v>732</v>
      </c>
      <c r="R594" t="s">
        <v>37</v>
      </c>
      <c r="S594" t="s">
        <v>733</v>
      </c>
      <c r="T594" t="s">
        <v>43</v>
      </c>
      <c r="U594" t="s">
        <v>44</v>
      </c>
      <c r="V594">
        <v>147</v>
      </c>
      <c r="W594" t="s">
        <v>45</v>
      </c>
      <c r="X594" t="s">
        <v>53</v>
      </c>
      <c r="Y594" t="s">
        <v>734</v>
      </c>
      <c r="Z594" t="s">
        <v>37</v>
      </c>
      <c r="AA594" t="s">
        <v>55</v>
      </c>
      <c r="AB594" t="s">
        <v>37</v>
      </c>
      <c r="AC594" s="6" t="s">
        <v>37</v>
      </c>
      <c r="AD594" s="6" t="s">
        <v>37</v>
      </c>
      <c r="AE594" t="s">
        <v>37</v>
      </c>
      <c r="AF594" t="s">
        <v>37</v>
      </c>
      <c r="AG594" s="6" t="s">
        <v>37</v>
      </c>
      <c r="AH594" t="s">
        <v>37</v>
      </c>
      <c r="AI594" t="s">
        <v>37</v>
      </c>
      <c r="AJ594" t="str">
        <f t="shared" si="29"/>
        <v>7111PLSBB00552K0GM</v>
      </c>
    </row>
    <row r="595" spans="1:36" ht="15" customHeight="1" x14ac:dyDescent="0.25">
      <c r="A595" t="s">
        <v>504</v>
      </c>
      <c r="B595" t="s">
        <v>37</v>
      </c>
      <c r="C595" t="s">
        <v>37</v>
      </c>
      <c r="D595" t="s">
        <v>38</v>
      </c>
      <c r="E595" s="4">
        <v>0</v>
      </c>
      <c r="F595" s="5">
        <v>0</v>
      </c>
      <c r="G595" s="5" t="s">
        <v>39</v>
      </c>
      <c r="H595" s="5">
        <v>0</v>
      </c>
      <c r="I595" s="5" t="s">
        <v>39</v>
      </c>
      <c r="J595" s="5">
        <v>0</v>
      </c>
      <c r="K595" s="5" t="e">
        <f t="shared" si="27"/>
        <v>#DIV/0!</v>
      </c>
      <c r="L595" s="5" t="e">
        <f t="shared" si="28"/>
        <v>#DIV/0!</v>
      </c>
      <c r="M595" s="5" t="s">
        <v>39</v>
      </c>
      <c r="N595" s="5">
        <v>0</v>
      </c>
      <c r="O595" s="5" t="s">
        <v>39</v>
      </c>
      <c r="P595" t="s">
        <v>1259</v>
      </c>
      <c r="Q595" t="s">
        <v>1260</v>
      </c>
      <c r="R595" t="s">
        <v>37</v>
      </c>
      <c r="S595" t="s">
        <v>1261</v>
      </c>
      <c r="T595" t="s">
        <v>43</v>
      </c>
      <c r="U595" t="s">
        <v>44</v>
      </c>
      <c r="V595">
        <v>147</v>
      </c>
      <c r="W595" t="s">
        <v>45</v>
      </c>
      <c r="X595" t="s">
        <v>53</v>
      </c>
      <c r="Y595" t="s">
        <v>1262</v>
      </c>
      <c r="Z595" t="s">
        <v>37</v>
      </c>
      <c r="AA595" t="s">
        <v>55</v>
      </c>
      <c r="AB595" t="s">
        <v>37</v>
      </c>
      <c r="AC595" s="6" t="s">
        <v>37</v>
      </c>
      <c r="AD595" s="6" t="s">
        <v>37</v>
      </c>
      <c r="AE595" t="s">
        <v>37</v>
      </c>
      <c r="AF595" t="s">
        <v>37</v>
      </c>
      <c r="AG595" s="6" t="s">
        <v>37</v>
      </c>
      <c r="AH595" t="s">
        <v>37</v>
      </c>
      <c r="AI595" t="s">
        <v>37</v>
      </c>
      <c r="AJ595" t="str">
        <f t="shared" si="29"/>
        <v>2CS3RNQSB07W6JP8N2</v>
      </c>
    </row>
    <row r="596" spans="1:36" ht="15" customHeight="1" x14ac:dyDescent="0.25">
      <c r="A596" t="s">
        <v>101</v>
      </c>
      <c r="B596" t="s">
        <v>37</v>
      </c>
      <c r="C596" t="s">
        <v>37</v>
      </c>
      <c r="D596" t="s">
        <v>38</v>
      </c>
      <c r="E596" s="4">
        <v>24</v>
      </c>
      <c r="F596" s="5">
        <v>1670.64</v>
      </c>
      <c r="G596" s="5" t="s">
        <v>39</v>
      </c>
      <c r="H596" s="5">
        <v>1967.04</v>
      </c>
      <c r="I596" s="5" t="s">
        <v>39</v>
      </c>
      <c r="J596" s="5">
        <v>56.801760000000002</v>
      </c>
      <c r="K596" s="5">
        <f t="shared" si="27"/>
        <v>2.3667400000000001</v>
      </c>
      <c r="L596" s="5">
        <f t="shared" si="28"/>
        <v>69.61</v>
      </c>
      <c r="M596" s="5" t="s">
        <v>39</v>
      </c>
      <c r="N596" s="5">
        <v>56.801760000000002</v>
      </c>
      <c r="O596" s="5" t="s">
        <v>39</v>
      </c>
      <c r="P596" t="s">
        <v>748</v>
      </c>
      <c r="Q596" t="s">
        <v>786</v>
      </c>
      <c r="R596" t="s">
        <v>787</v>
      </c>
      <c r="S596" t="s">
        <v>788</v>
      </c>
      <c r="T596" t="s">
        <v>43</v>
      </c>
      <c r="U596" t="s">
        <v>44</v>
      </c>
      <c r="V596">
        <v>147</v>
      </c>
      <c r="W596" t="s">
        <v>45</v>
      </c>
      <c r="X596" t="s">
        <v>60</v>
      </c>
      <c r="Y596" t="s">
        <v>789</v>
      </c>
      <c r="Z596" t="s">
        <v>37</v>
      </c>
      <c r="AA596" t="s">
        <v>55</v>
      </c>
      <c r="AB596" t="s">
        <v>37</v>
      </c>
      <c r="AC596" s="6" t="s">
        <v>37</v>
      </c>
      <c r="AD596" s="6" t="s">
        <v>37</v>
      </c>
      <c r="AE596" t="s">
        <v>37</v>
      </c>
      <c r="AF596" t="s">
        <v>37</v>
      </c>
      <c r="AG596" s="6" t="s">
        <v>37</v>
      </c>
      <c r="AH596" t="s">
        <v>37</v>
      </c>
      <c r="AI596" t="s">
        <v>37</v>
      </c>
      <c r="AJ596" t="str">
        <f t="shared" si="29"/>
        <v>74WI6EYDB0044AFFMK</v>
      </c>
    </row>
    <row r="597" spans="1:36" ht="15" customHeight="1" x14ac:dyDescent="0.25">
      <c r="A597" t="s">
        <v>96</v>
      </c>
      <c r="B597" t="s">
        <v>37</v>
      </c>
      <c r="C597" t="s">
        <v>37</v>
      </c>
      <c r="D597" t="s">
        <v>38</v>
      </c>
      <c r="E597" s="4">
        <v>0</v>
      </c>
      <c r="F597" s="5">
        <v>0</v>
      </c>
      <c r="G597" s="5" t="s">
        <v>39</v>
      </c>
      <c r="H597" s="5">
        <v>0</v>
      </c>
      <c r="I597" s="5" t="s">
        <v>39</v>
      </c>
      <c r="J597" s="5">
        <v>0</v>
      </c>
      <c r="K597" s="5" t="e">
        <f t="shared" si="27"/>
        <v>#DIV/0!</v>
      </c>
      <c r="L597" s="5" t="e">
        <f t="shared" si="28"/>
        <v>#DIV/0!</v>
      </c>
      <c r="M597" s="5" t="s">
        <v>39</v>
      </c>
      <c r="N597" s="5">
        <v>0</v>
      </c>
      <c r="O597" s="5" t="s">
        <v>39</v>
      </c>
      <c r="P597" t="s">
        <v>241</v>
      </c>
      <c r="Q597" t="s">
        <v>1263</v>
      </c>
      <c r="R597" t="s">
        <v>37</v>
      </c>
      <c r="S597" t="s">
        <v>1264</v>
      </c>
      <c r="T597" t="s">
        <v>43</v>
      </c>
      <c r="U597" t="s">
        <v>44</v>
      </c>
      <c r="V597">
        <v>147</v>
      </c>
      <c r="W597" t="s">
        <v>45</v>
      </c>
      <c r="X597" t="s">
        <v>60</v>
      </c>
      <c r="Y597" t="s">
        <v>1265</v>
      </c>
      <c r="Z597" t="s">
        <v>37</v>
      </c>
      <c r="AA597" t="s">
        <v>55</v>
      </c>
      <c r="AB597" t="s">
        <v>37</v>
      </c>
      <c r="AC597" s="6" t="s">
        <v>37</v>
      </c>
      <c r="AD597" s="6" t="s">
        <v>37</v>
      </c>
      <c r="AE597" t="s">
        <v>37</v>
      </c>
      <c r="AF597" t="s">
        <v>37</v>
      </c>
      <c r="AG597" s="6" t="s">
        <v>37</v>
      </c>
      <c r="AH597" t="s">
        <v>37</v>
      </c>
      <c r="AI597" t="s">
        <v>37</v>
      </c>
      <c r="AJ597" t="str">
        <f t="shared" si="29"/>
        <v>6451M4NBB07W5JJ1WH</v>
      </c>
    </row>
    <row r="598" spans="1:36" ht="15" customHeight="1" x14ac:dyDescent="0.25">
      <c r="A598" t="s">
        <v>118</v>
      </c>
      <c r="B598" t="s">
        <v>37</v>
      </c>
      <c r="C598" t="s">
        <v>37</v>
      </c>
      <c r="D598" t="s">
        <v>38</v>
      </c>
      <c r="E598" s="4">
        <v>8</v>
      </c>
      <c r="F598" s="5">
        <v>556.88</v>
      </c>
      <c r="G598" s="5" t="s">
        <v>39</v>
      </c>
      <c r="H598" s="5">
        <v>845.92</v>
      </c>
      <c r="I598" s="5" t="s">
        <v>39</v>
      </c>
      <c r="J598" s="5">
        <v>18.933920000000001</v>
      </c>
      <c r="K598" s="5">
        <f t="shared" si="27"/>
        <v>2.3667400000000001</v>
      </c>
      <c r="L598" s="5">
        <f t="shared" si="28"/>
        <v>69.61</v>
      </c>
      <c r="M598" s="5" t="s">
        <v>39</v>
      </c>
      <c r="N598" s="5">
        <v>18.933920000000001</v>
      </c>
      <c r="O598" s="5" t="s">
        <v>39</v>
      </c>
      <c r="P598" t="s">
        <v>537</v>
      </c>
      <c r="Q598" t="s">
        <v>1266</v>
      </c>
      <c r="R598" t="s">
        <v>37</v>
      </c>
      <c r="S598" t="s">
        <v>1267</v>
      </c>
      <c r="T598" t="s">
        <v>43</v>
      </c>
      <c r="U598" t="s">
        <v>44</v>
      </c>
      <c r="V598">
        <v>147</v>
      </c>
      <c r="W598" t="s">
        <v>45</v>
      </c>
      <c r="X598" t="s">
        <v>60</v>
      </c>
      <c r="Y598" t="s">
        <v>1268</v>
      </c>
      <c r="Z598" t="s">
        <v>37</v>
      </c>
      <c r="AA598" t="s">
        <v>55</v>
      </c>
      <c r="AB598" t="s">
        <v>37</v>
      </c>
      <c r="AC598" s="6" t="s">
        <v>37</v>
      </c>
      <c r="AD598" s="6" t="s">
        <v>37</v>
      </c>
      <c r="AE598" t="s">
        <v>37</v>
      </c>
      <c r="AF598" t="s">
        <v>37</v>
      </c>
      <c r="AG598" s="6" t="s">
        <v>37</v>
      </c>
      <c r="AH598" t="s">
        <v>37</v>
      </c>
      <c r="AI598" t="s">
        <v>37</v>
      </c>
      <c r="AJ598" t="str">
        <f t="shared" si="29"/>
        <v>1LQM129ZB07W7L32NJ</v>
      </c>
    </row>
    <row r="599" spans="1:36" ht="15" customHeight="1" x14ac:dyDescent="0.25">
      <c r="A599" t="s">
        <v>101</v>
      </c>
      <c r="B599" t="s">
        <v>37</v>
      </c>
      <c r="C599" t="s">
        <v>37</v>
      </c>
      <c r="D599" t="s">
        <v>38</v>
      </c>
      <c r="E599" s="4">
        <v>12</v>
      </c>
      <c r="F599" s="5">
        <v>569.76</v>
      </c>
      <c r="G599" s="5" t="s">
        <v>39</v>
      </c>
      <c r="H599" s="5">
        <v>1140</v>
      </c>
      <c r="I599" s="5" t="s">
        <v>39</v>
      </c>
      <c r="J599" s="5">
        <v>19.371839999999999</v>
      </c>
      <c r="K599" s="5">
        <f t="shared" si="27"/>
        <v>1.61432</v>
      </c>
      <c r="L599" s="5">
        <f t="shared" si="28"/>
        <v>47.48</v>
      </c>
      <c r="M599" s="5" t="s">
        <v>39</v>
      </c>
      <c r="N599" s="5">
        <v>19.371839999999999</v>
      </c>
      <c r="O599" s="5" t="s">
        <v>39</v>
      </c>
      <c r="P599" t="s">
        <v>320</v>
      </c>
      <c r="Q599" t="s">
        <v>1239</v>
      </c>
      <c r="R599" t="s">
        <v>37</v>
      </c>
      <c r="S599" t="s">
        <v>1240</v>
      </c>
      <c r="T599" t="s">
        <v>318</v>
      </c>
      <c r="U599" t="s">
        <v>44</v>
      </c>
      <c r="V599">
        <v>147</v>
      </c>
      <c r="W599" t="s">
        <v>45</v>
      </c>
      <c r="X599" t="s">
        <v>60</v>
      </c>
      <c r="Y599" t="s">
        <v>1241</v>
      </c>
      <c r="Z599" t="s">
        <v>37</v>
      </c>
      <c r="AA599" t="s">
        <v>55</v>
      </c>
      <c r="AB599" t="s">
        <v>37</v>
      </c>
      <c r="AC599" s="6" t="s">
        <v>37</v>
      </c>
      <c r="AD599" s="6" t="s">
        <v>37</v>
      </c>
      <c r="AE599" t="s">
        <v>37</v>
      </c>
      <c r="AF599" t="s">
        <v>37</v>
      </c>
      <c r="AG599" s="6" t="s">
        <v>37</v>
      </c>
      <c r="AH599" t="s">
        <v>37</v>
      </c>
      <c r="AI599" t="s">
        <v>37</v>
      </c>
      <c r="AJ599" t="str">
        <f t="shared" si="29"/>
        <v>8BG295LIB07W5JKPK4</v>
      </c>
    </row>
    <row r="600" spans="1:36" ht="15" customHeight="1" x14ac:dyDescent="0.25">
      <c r="A600" t="s">
        <v>118</v>
      </c>
      <c r="B600" t="s">
        <v>37</v>
      </c>
      <c r="C600" t="s">
        <v>37</v>
      </c>
      <c r="D600" t="s">
        <v>38</v>
      </c>
      <c r="E600" s="4">
        <v>592</v>
      </c>
      <c r="F600" s="5">
        <v>17333.759999999998</v>
      </c>
      <c r="G600" s="5" t="s">
        <v>39</v>
      </c>
      <c r="H600" s="5">
        <v>26042.080000000002</v>
      </c>
      <c r="I600" s="5" t="s">
        <v>39</v>
      </c>
      <c r="J600" s="5">
        <v>589.34784000000002</v>
      </c>
      <c r="K600" s="5">
        <f t="shared" si="27"/>
        <v>0.99552000000000007</v>
      </c>
      <c r="L600" s="5">
        <f t="shared" si="28"/>
        <v>29.279999999999998</v>
      </c>
      <c r="M600" s="5" t="s">
        <v>39</v>
      </c>
      <c r="N600" s="5">
        <v>589.34784000000002</v>
      </c>
      <c r="O600" s="5" t="s">
        <v>39</v>
      </c>
      <c r="P600" t="s">
        <v>365</v>
      </c>
      <c r="Q600" t="s">
        <v>1269</v>
      </c>
      <c r="R600" t="s">
        <v>1270</v>
      </c>
      <c r="S600" t="s">
        <v>1271</v>
      </c>
      <c r="T600" t="s">
        <v>43</v>
      </c>
      <c r="U600" t="s">
        <v>44</v>
      </c>
      <c r="V600">
        <v>147</v>
      </c>
      <c r="W600" t="s">
        <v>45</v>
      </c>
      <c r="X600" t="s">
        <v>239</v>
      </c>
      <c r="Y600" t="s">
        <v>1272</v>
      </c>
      <c r="Z600" t="s">
        <v>37</v>
      </c>
      <c r="AA600" t="s">
        <v>48</v>
      </c>
      <c r="AB600" t="s">
        <v>37</v>
      </c>
      <c r="AC600" s="6" t="s">
        <v>37</v>
      </c>
      <c r="AD600" s="6" t="s">
        <v>37</v>
      </c>
      <c r="AE600" t="s">
        <v>37</v>
      </c>
      <c r="AF600" t="s">
        <v>37</v>
      </c>
      <c r="AG600" s="6" t="s">
        <v>37</v>
      </c>
      <c r="AH600" t="s">
        <v>37</v>
      </c>
      <c r="AI600" t="s">
        <v>37</v>
      </c>
      <c r="AJ600" t="str">
        <f t="shared" si="29"/>
        <v>3KYCEHVHB005BFCNYU</v>
      </c>
    </row>
    <row r="601" spans="1:36" ht="15" customHeight="1" x14ac:dyDescent="0.25">
      <c r="A601" t="s">
        <v>76</v>
      </c>
      <c r="B601" t="s">
        <v>37</v>
      </c>
      <c r="C601" t="s">
        <v>37</v>
      </c>
      <c r="D601" t="s">
        <v>38</v>
      </c>
      <c r="E601" s="4">
        <v>180</v>
      </c>
      <c r="F601" s="5">
        <v>10440</v>
      </c>
      <c r="G601" s="5" t="s">
        <v>39</v>
      </c>
      <c r="H601" s="5">
        <v>15343.2</v>
      </c>
      <c r="I601" s="5" t="s">
        <v>39</v>
      </c>
      <c r="J601" s="5">
        <v>354.96</v>
      </c>
      <c r="K601" s="5">
        <f t="shared" si="27"/>
        <v>1.972</v>
      </c>
      <c r="L601" s="5">
        <f t="shared" si="28"/>
        <v>58</v>
      </c>
      <c r="M601" s="5" t="s">
        <v>39</v>
      </c>
      <c r="N601" s="5">
        <v>354.96</v>
      </c>
      <c r="O601" s="5" t="s">
        <v>39</v>
      </c>
      <c r="P601" t="s">
        <v>63</v>
      </c>
      <c r="Q601" t="s">
        <v>575</v>
      </c>
      <c r="R601" t="s">
        <v>37</v>
      </c>
      <c r="S601" t="s">
        <v>576</v>
      </c>
      <c r="T601" t="s">
        <v>43</v>
      </c>
      <c r="U601" t="s">
        <v>44</v>
      </c>
      <c r="V601">
        <v>147</v>
      </c>
      <c r="W601" t="s">
        <v>45</v>
      </c>
      <c r="X601" t="s">
        <v>53</v>
      </c>
      <c r="Y601" t="s">
        <v>577</v>
      </c>
      <c r="Z601" t="s">
        <v>37</v>
      </c>
      <c r="AA601" t="s">
        <v>55</v>
      </c>
      <c r="AB601" t="s">
        <v>37</v>
      </c>
      <c r="AC601" s="6" t="s">
        <v>37</v>
      </c>
      <c r="AD601" s="6" t="s">
        <v>37</v>
      </c>
      <c r="AE601" t="s">
        <v>37</v>
      </c>
      <c r="AF601" t="s">
        <v>37</v>
      </c>
      <c r="AG601" s="6" t="s">
        <v>37</v>
      </c>
      <c r="AH601" t="s">
        <v>37</v>
      </c>
      <c r="AI601" t="s">
        <v>37</v>
      </c>
      <c r="AJ601" t="str">
        <f t="shared" si="29"/>
        <v>7H9X1Z6SB07W7KCF3W</v>
      </c>
    </row>
    <row r="602" spans="1:36" ht="15" customHeight="1" x14ac:dyDescent="0.25">
      <c r="A602" t="s">
        <v>118</v>
      </c>
      <c r="B602" t="s">
        <v>37</v>
      </c>
      <c r="C602" t="s">
        <v>37</v>
      </c>
      <c r="D602" t="s">
        <v>38</v>
      </c>
      <c r="E602" s="4">
        <v>4</v>
      </c>
      <c r="F602" s="5">
        <v>398.88</v>
      </c>
      <c r="G602" s="5" t="s">
        <v>39</v>
      </c>
      <c r="H602" s="5">
        <v>652.44000000000005</v>
      </c>
      <c r="I602" s="5" t="s">
        <v>39</v>
      </c>
      <c r="J602" s="5">
        <v>13.561920000000001</v>
      </c>
      <c r="K602" s="5">
        <f t="shared" si="27"/>
        <v>3.3904800000000002</v>
      </c>
      <c r="L602" s="5">
        <f t="shared" si="28"/>
        <v>99.72</v>
      </c>
      <c r="M602" s="5" t="s">
        <v>39</v>
      </c>
      <c r="N602" s="5">
        <v>13.561920000000001</v>
      </c>
      <c r="O602" s="5" t="s">
        <v>39</v>
      </c>
      <c r="P602" t="s">
        <v>707</v>
      </c>
      <c r="Q602" t="s">
        <v>1273</v>
      </c>
      <c r="R602" t="s">
        <v>37</v>
      </c>
      <c r="S602" t="s">
        <v>1274</v>
      </c>
      <c r="T602" t="s">
        <v>43</v>
      </c>
      <c r="U602" t="s">
        <v>44</v>
      </c>
      <c r="V602">
        <v>147</v>
      </c>
      <c r="W602" t="s">
        <v>45</v>
      </c>
      <c r="X602" t="s">
        <v>46</v>
      </c>
      <c r="Y602" t="s">
        <v>1275</v>
      </c>
      <c r="Z602" t="s">
        <v>37</v>
      </c>
      <c r="AA602" t="s">
        <v>48</v>
      </c>
      <c r="AB602" t="s">
        <v>37</v>
      </c>
      <c r="AC602" s="6" t="s">
        <v>37</v>
      </c>
      <c r="AD602" s="6" t="s">
        <v>37</v>
      </c>
      <c r="AE602" t="s">
        <v>37</v>
      </c>
      <c r="AF602" t="s">
        <v>37</v>
      </c>
      <c r="AG602" s="6" t="s">
        <v>37</v>
      </c>
      <c r="AH602" t="s">
        <v>37</v>
      </c>
      <c r="AI602" t="s">
        <v>37</v>
      </c>
      <c r="AJ602" t="str">
        <f t="shared" si="29"/>
        <v>6AA7OKBNB07DFT9YHV</v>
      </c>
    </row>
    <row r="603" spans="1:36" ht="15" customHeight="1" x14ac:dyDescent="0.25">
      <c r="A603" t="s">
        <v>101</v>
      </c>
      <c r="B603" t="s">
        <v>37</v>
      </c>
      <c r="C603" t="s">
        <v>37</v>
      </c>
      <c r="D603" t="s">
        <v>38</v>
      </c>
      <c r="E603" s="4">
        <v>4</v>
      </c>
      <c r="F603" s="5">
        <v>252.92</v>
      </c>
      <c r="G603" s="5" t="s">
        <v>39</v>
      </c>
      <c r="H603" s="5">
        <v>390.16</v>
      </c>
      <c r="I603" s="5" t="s">
        <v>39</v>
      </c>
      <c r="J603" s="5">
        <v>8.5992800000000003</v>
      </c>
      <c r="K603" s="5">
        <f t="shared" si="27"/>
        <v>2.1498200000000001</v>
      </c>
      <c r="L603" s="5">
        <f t="shared" si="28"/>
        <v>63.23</v>
      </c>
      <c r="M603" s="5" t="s">
        <v>39</v>
      </c>
      <c r="N603" s="5">
        <v>8.5992800000000003</v>
      </c>
      <c r="O603" s="5" t="s">
        <v>39</v>
      </c>
      <c r="P603" t="s">
        <v>102</v>
      </c>
      <c r="Q603" t="s">
        <v>1142</v>
      </c>
      <c r="R603" t="s">
        <v>37</v>
      </c>
      <c r="S603" t="s">
        <v>1143</v>
      </c>
      <c r="T603" t="s">
        <v>43</v>
      </c>
      <c r="U603" t="s">
        <v>44</v>
      </c>
      <c r="V603">
        <v>147</v>
      </c>
      <c r="W603" t="s">
        <v>45</v>
      </c>
      <c r="X603" t="s">
        <v>60</v>
      </c>
      <c r="Y603" t="s">
        <v>1144</v>
      </c>
      <c r="Z603" t="s">
        <v>37</v>
      </c>
      <c r="AA603" t="s">
        <v>55</v>
      </c>
      <c r="AB603" t="s">
        <v>37</v>
      </c>
      <c r="AC603" s="6" t="s">
        <v>37</v>
      </c>
      <c r="AD603" s="6" t="s">
        <v>37</v>
      </c>
      <c r="AE603" t="s">
        <v>37</v>
      </c>
      <c r="AF603" t="s">
        <v>37</v>
      </c>
      <c r="AG603" s="6" t="s">
        <v>37</v>
      </c>
      <c r="AH603" t="s">
        <v>37</v>
      </c>
      <c r="AI603" t="s">
        <v>37</v>
      </c>
      <c r="AJ603" t="str">
        <f t="shared" si="29"/>
        <v>2M7QFTCOB07W7LFHH9</v>
      </c>
    </row>
    <row r="604" spans="1:36" ht="15" customHeight="1" x14ac:dyDescent="0.25">
      <c r="A604" t="s">
        <v>101</v>
      </c>
      <c r="B604" t="s">
        <v>37</v>
      </c>
      <c r="C604" t="s">
        <v>37</v>
      </c>
      <c r="D604" t="s">
        <v>38</v>
      </c>
      <c r="E604" s="4">
        <v>10</v>
      </c>
      <c r="F604" s="5">
        <v>105.3</v>
      </c>
      <c r="G604" s="5" t="s">
        <v>39</v>
      </c>
      <c r="H604" s="5">
        <v>163.9</v>
      </c>
      <c r="I604" s="5" t="s">
        <v>39</v>
      </c>
      <c r="J604" s="5">
        <v>3.5802</v>
      </c>
      <c r="K604" s="5">
        <f t="shared" si="27"/>
        <v>0.35802</v>
      </c>
      <c r="L604" s="5">
        <f t="shared" si="28"/>
        <v>10.53</v>
      </c>
      <c r="M604" s="5" t="s">
        <v>39</v>
      </c>
      <c r="N604" s="5">
        <v>3.5802</v>
      </c>
      <c r="O604" s="5" t="s">
        <v>39</v>
      </c>
      <c r="P604" t="s">
        <v>72</v>
      </c>
      <c r="Q604" t="s">
        <v>1276</v>
      </c>
      <c r="R604" t="s">
        <v>37</v>
      </c>
      <c r="S604" t="s">
        <v>1277</v>
      </c>
      <c r="T604" t="s">
        <v>43</v>
      </c>
      <c r="U604" t="s">
        <v>44</v>
      </c>
      <c r="V604">
        <v>147</v>
      </c>
      <c r="W604" t="s">
        <v>45</v>
      </c>
      <c r="X604" t="s">
        <v>53</v>
      </c>
      <c r="Y604" t="s">
        <v>1278</v>
      </c>
      <c r="Z604" t="s">
        <v>37</v>
      </c>
      <c r="AA604" t="s">
        <v>55</v>
      </c>
      <c r="AB604" t="s">
        <v>37</v>
      </c>
      <c r="AC604" s="6" t="s">
        <v>37</v>
      </c>
      <c r="AD604" s="6" t="s">
        <v>37</v>
      </c>
      <c r="AE604" t="s">
        <v>37</v>
      </c>
      <c r="AF604" t="s">
        <v>37</v>
      </c>
      <c r="AG604" s="6" t="s">
        <v>37</v>
      </c>
      <c r="AH604" t="s">
        <v>37</v>
      </c>
      <c r="AI604" t="s">
        <v>37</v>
      </c>
      <c r="AJ604" t="str">
        <f t="shared" si="29"/>
        <v>4GF112AEB07W7MY2K8</v>
      </c>
    </row>
    <row r="605" spans="1:36" ht="15" customHeight="1" x14ac:dyDescent="0.25">
      <c r="A605" t="s">
        <v>96</v>
      </c>
      <c r="B605" t="s">
        <v>37</v>
      </c>
      <c r="C605" t="s">
        <v>37</v>
      </c>
      <c r="D605" t="s">
        <v>38</v>
      </c>
      <c r="E605" s="4">
        <v>4</v>
      </c>
      <c r="F605" s="5">
        <v>377.76</v>
      </c>
      <c r="G605" s="5" t="s">
        <v>39</v>
      </c>
      <c r="H605" s="5">
        <v>619.67999999999995</v>
      </c>
      <c r="I605" s="5" t="s">
        <v>39</v>
      </c>
      <c r="J605" s="5">
        <v>12.84384</v>
      </c>
      <c r="K605" s="5">
        <f t="shared" si="27"/>
        <v>3.21096</v>
      </c>
      <c r="L605" s="5">
        <f t="shared" si="28"/>
        <v>94.44</v>
      </c>
      <c r="M605" s="5" t="s">
        <v>39</v>
      </c>
      <c r="N605" s="5">
        <v>12.84384</v>
      </c>
      <c r="O605" s="5" t="s">
        <v>39</v>
      </c>
      <c r="P605" t="s">
        <v>479</v>
      </c>
      <c r="Q605" t="s">
        <v>1279</v>
      </c>
      <c r="R605" t="s">
        <v>37</v>
      </c>
      <c r="S605" t="s">
        <v>1280</v>
      </c>
      <c r="T605" t="s">
        <v>43</v>
      </c>
      <c r="U605" t="s">
        <v>44</v>
      </c>
      <c r="V605">
        <v>147</v>
      </c>
      <c r="W605" t="s">
        <v>45</v>
      </c>
      <c r="X605" t="s">
        <v>60</v>
      </c>
      <c r="Y605" t="s">
        <v>1281</v>
      </c>
      <c r="Z605" t="s">
        <v>37</v>
      </c>
      <c r="AA605" t="s">
        <v>55</v>
      </c>
      <c r="AB605" t="s">
        <v>37</v>
      </c>
      <c r="AC605" s="6" t="s">
        <v>37</v>
      </c>
      <c r="AD605" s="6" t="s">
        <v>37</v>
      </c>
      <c r="AE605" t="s">
        <v>37</v>
      </c>
      <c r="AF605" t="s">
        <v>37</v>
      </c>
      <c r="AG605" s="6" t="s">
        <v>37</v>
      </c>
      <c r="AH605" t="s">
        <v>37</v>
      </c>
      <c r="AI605" t="s">
        <v>37</v>
      </c>
      <c r="AJ605" t="str">
        <f t="shared" si="29"/>
        <v>7SCVG2OTB07W7KNWK5</v>
      </c>
    </row>
    <row r="606" spans="1:36" ht="15" customHeight="1" x14ac:dyDescent="0.25">
      <c r="A606" t="s">
        <v>62</v>
      </c>
      <c r="B606" t="s">
        <v>37</v>
      </c>
      <c r="C606" t="s">
        <v>37</v>
      </c>
      <c r="D606" t="s">
        <v>38</v>
      </c>
      <c r="E606" s="4">
        <v>12</v>
      </c>
      <c r="F606" s="5">
        <v>976.92</v>
      </c>
      <c r="G606" s="5" t="s">
        <v>39</v>
      </c>
      <c r="H606" s="5">
        <v>1426.2</v>
      </c>
      <c r="I606" s="5" t="s">
        <v>39</v>
      </c>
      <c r="J606" s="5">
        <v>33.21528</v>
      </c>
      <c r="K606" s="5">
        <f t="shared" si="27"/>
        <v>2.7679399999999998</v>
      </c>
      <c r="L606" s="5">
        <f t="shared" si="28"/>
        <v>81.41</v>
      </c>
      <c r="M606" s="5" t="s">
        <v>39</v>
      </c>
      <c r="N606" s="5">
        <v>33.21528</v>
      </c>
      <c r="O606" s="5" t="s">
        <v>39</v>
      </c>
      <c r="P606" t="s">
        <v>426</v>
      </c>
      <c r="Q606" t="s">
        <v>768</v>
      </c>
      <c r="R606" t="s">
        <v>37</v>
      </c>
      <c r="S606" t="s">
        <v>769</v>
      </c>
      <c r="T606" t="s">
        <v>43</v>
      </c>
      <c r="U606" t="s">
        <v>44</v>
      </c>
      <c r="V606">
        <v>147</v>
      </c>
      <c r="W606" t="s">
        <v>45</v>
      </c>
      <c r="X606" t="s">
        <v>389</v>
      </c>
      <c r="Y606" t="s">
        <v>770</v>
      </c>
      <c r="Z606" t="s">
        <v>37</v>
      </c>
      <c r="AA606" t="s">
        <v>55</v>
      </c>
      <c r="AB606" t="s">
        <v>37</v>
      </c>
      <c r="AC606" s="6" t="s">
        <v>37</v>
      </c>
      <c r="AD606" s="6" t="s">
        <v>37</v>
      </c>
      <c r="AE606" t="s">
        <v>37</v>
      </c>
      <c r="AF606" t="s">
        <v>37</v>
      </c>
      <c r="AG606" s="6" t="s">
        <v>37</v>
      </c>
      <c r="AH606" t="s">
        <v>37</v>
      </c>
      <c r="AI606" t="s">
        <v>37</v>
      </c>
      <c r="AJ606" t="str">
        <f t="shared" si="29"/>
        <v>3IQS66UGB0105Y2T5Y</v>
      </c>
    </row>
    <row r="607" spans="1:36" ht="15" customHeight="1" x14ac:dyDescent="0.25">
      <c r="A607" t="s">
        <v>210</v>
      </c>
      <c r="B607" t="s">
        <v>37</v>
      </c>
      <c r="C607" t="s">
        <v>37</v>
      </c>
      <c r="D607" t="s">
        <v>38</v>
      </c>
      <c r="E607" s="4">
        <v>4</v>
      </c>
      <c r="F607" s="5">
        <v>93.68</v>
      </c>
      <c r="G607" s="5" t="s">
        <v>39</v>
      </c>
      <c r="H607" s="5">
        <v>127.96</v>
      </c>
      <c r="I607" s="5" t="s">
        <v>39</v>
      </c>
      <c r="J607" s="5">
        <v>3.18512</v>
      </c>
      <c r="K607" s="5">
        <f t="shared" si="27"/>
        <v>0.79627999999999999</v>
      </c>
      <c r="L607" s="5">
        <f t="shared" si="28"/>
        <v>23.42</v>
      </c>
      <c r="M607" s="5" t="s">
        <v>39</v>
      </c>
      <c r="N607" s="5">
        <v>3.18512</v>
      </c>
      <c r="O607" s="5" t="s">
        <v>39</v>
      </c>
      <c r="P607" t="s">
        <v>222</v>
      </c>
      <c r="Q607" t="s">
        <v>1282</v>
      </c>
      <c r="R607" t="s">
        <v>1283</v>
      </c>
      <c r="S607" t="s">
        <v>1284</v>
      </c>
      <c r="T607" t="s">
        <v>43</v>
      </c>
      <c r="U607" t="s">
        <v>44</v>
      </c>
      <c r="V607">
        <v>147</v>
      </c>
      <c r="W607" t="s">
        <v>45</v>
      </c>
      <c r="X607" t="s">
        <v>590</v>
      </c>
      <c r="Y607" t="s">
        <v>1285</v>
      </c>
      <c r="Z607" t="s">
        <v>37</v>
      </c>
      <c r="AA607" t="s">
        <v>48</v>
      </c>
      <c r="AB607" t="s">
        <v>37</v>
      </c>
      <c r="AC607" s="6" t="s">
        <v>37</v>
      </c>
      <c r="AD607" s="6" t="s">
        <v>37</v>
      </c>
      <c r="AE607" t="s">
        <v>37</v>
      </c>
      <c r="AF607" t="s">
        <v>37</v>
      </c>
      <c r="AG607" s="6" t="s">
        <v>37</v>
      </c>
      <c r="AH607" t="s">
        <v>37</v>
      </c>
      <c r="AI607" t="s">
        <v>37</v>
      </c>
      <c r="AJ607" t="str">
        <f t="shared" si="29"/>
        <v>2F7Y5WIXB008S1IOCY</v>
      </c>
    </row>
    <row r="608" spans="1:36" ht="15" customHeight="1" x14ac:dyDescent="0.25">
      <c r="A608" t="s">
        <v>101</v>
      </c>
      <c r="B608" t="s">
        <v>37</v>
      </c>
      <c r="C608" t="s">
        <v>37</v>
      </c>
      <c r="D608" t="s">
        <v>38</v>
      </c>
      <c r="E608" s="4">
        <v>4</v>
      </c>
      <c r="F608" s="5">
        <v>158.24</v>
      </c>
      <c r="G608" s="5" t="s">
        <v>39</v>
      </c>
      <c r="H608" s="5">
        <v>262.27999999999997</v>
      </c>
      <c r="I608" s="5" t="s">
        <v>39</v>
      </c>
      <c r="J608" s="5">
        <v>5.3801600000000001</v>
      </c>
      <c r="K608" s="5">
        <f t="shared" si="27"/>
        <v>1.34504</v>
      </c>
      <c r="L608" s="5">
        <f t="shared" si="28"/>
        <v>39.56</v>
      </c>
      <c r="M608" s="5" t="s">
        <v>39</v>
      </c>
      <c r="N608" s="5">
        <v>5.3801600000000001</v>
      </c>
      <c r="O608" s="5" t="s">
        <v>39</v>
      </c>
      <c r="P608" t="s">
        <v>120</v>
      </c>
      <c r="Q608" t="s">
        <v>1286</v>
      </c>
      <c r="R608" t="s">
        <v>37</v>
      </c>
      <c r="S608" t="s">
        <v>1287</v>
      </c>
      <c r="T608" t="s">
        <v>43</v>
      </c>
      <c r="U608" t="s">
        <v>44</v>
      </c>
      <c r="V608">
        <v>147</v>
      </c>
      <c r="W608" t="s">
        <v>45</v>
      </c>
      <c r="X608" t="s">
        <v>46</v>
      </c>
      <c r="Y608" t="s">
        <v>1288</v>
      </c>
      <c r="Z608" t="s">
        <v>37</v>
      </c>
      <c r="AA608" t="s">
        <v>95</v>
      </c>
      <c r="AB608" t="s">
        <v>37</v>
      </c>
      <c r="AC608" s="6" t="s">
        <v>37</v>
      </c>
      <c r="AD608" s="6" t="s">
        <v>37</v>
      </c>
      <c r="AE608" t="s">
        <v>37</v>
      </c>
      <c r="AF608" t="s">
        <v>37</v>
      </c>
      <c r="AG608" s="6" t="s">
        <v>37</v>
      </c>
      <c r="AH608" t="s">
        <v>37</v>
      </c>
      <c r="AI608" t="s">
        <v>37</v>
      </c>
      <c r="AJ608" t="str">
        <f t="shared" si="29"/>
        <v>5MWU8WTDB07W6JNK1Z</v>
      </c>
    </row>
    <row r="609" spans="1:36" ht="15" customHeight="1" x14ac:dyDescent="0.25">
      <c r="A609" t="s">
        <v>49</v>
      </c>
      <c r="B609" t="s">
        <v>37</v>
      </c>
      <c r="C609" t="s">
        <v>37</v>
      </c>
      <c r="D609" t="s">
        <v>38</v>
      </c>
      <c r="E609" s="4">
        <v>432</v>
      </c>
      <c r="F609" s="5">
        <v>10117.44</v>
      </c>
      <c r="G609" s="5" t="s">
        <v>39</v>
      </c>
      <c r="H609" s="5">
        <v>13819.68</v>
      </c>
      <c r="I609" s="5" t="s">
        <v>39</v>
      </c>
      <c r="J609" s="5">
        <v>343.99295999999998</v>
      </c>
      <c r="K609" s="5">
        <f t="shared" si="27"/>
        <v>0.79627999999999999</v>
      </c>
      <c r="L609" s="5">
        <f t="shared" si="28"/>
        <v>23.42</v>
      </c>
      <c r="M609" s="5" t="s">
        <v>39</v>
      </c>
      <c r="N609" s="5">
        <v>343.99295999999998</v>
      </c>
      <c r="O609" s="5" t="s">
        <v>39</v>
      </c>
      <c r="P609" t="s">
        <v>222</v>
      </c>
      <c r="Q609" t="s">
        <v>1282</v>
      </c>
      <c r="R609" t="s">
        <v>1283</v>
      </c>
      <c r="S609" t="s">
        <v>1284</v>
      </c>
      <c r="T609" t="s">
        <v>43</v>
      </c>
      <c r="U609" t="s">
        <v>44</v>
      </c>
      <c r="V609">
        <v>147</v>
      </c>
      <c r="W609" t="s">
        <v>45</v>
      </c>
      <c r="X609" t="s">
        <v>590</v>
      </c>
      <c r="Y609" t="s">
        <v>1285</v>
      </c>
      <c r="Z609" t="s">
        <v>37</v>
      </c>
      <c r="AA609" t="s">
        <v>48</v>
      </c>
      <c r="AB609" t="s">
        <v>37</v>
      </c>
      <c r="AC609" s="6" t="s">
        <v>37</v>
      </c>
      <c r="AD609" s="6" t="s">
        <v>37</v>
      </c>
      <c r="AE609" t="s">
        <v>37</v>
      </c>
      <c r="AF609" t="s">
        <v>37</v>
      </c>
      <c r="AG609" s="6" t="s">
        <v>37</v>
      </c>
      <c r="AH609" t="s">
        <v>37</v>
      </c>
      <c r="AI609" t="s">
        <v>37</v>
      </c>
      <c r="AJ609" t="str">
        <f t="shared" si="29"/>
        <v>2F7Y5WIXB008S1IOCY</v>
      </c>
    </row>
    <row r="610" spans="1:36" ht="15" customHeight="1" x14ac:dyDescent="0.25">
      <c r="A610" t="s">
        <v>110</v>
      </c>
      <c r="B610" t="s">
        <v>37</v>
      </c>
      <c r="C610" t="s">
        <v>37</v>
      </c>
      <c r="D610" t="s">
        <v>38</v>
      </c>
      <c r="E610" s="4">
        <v>0</v>
      </c>
      <c r="F610" s="5">
        <v>0</v>
      </c>
      <c r="G610" s="5" t="s">
        <v>39</v>
      </c>
      <c r="H610" s="5">
        <v>0</v>
      </c>
      <c r="I610" s="5" t="s">
        <v>39</v>
      </c>
      <c r="J610" s="5">
        <v>0</v>
      </c>
      <c r="K610" s="5" t="e">
        <f t="shared" si="27"/>
        <v>#DIV/0!</v>
      </c>
      <c r="L610" s="5" t="e">
        <f t="shared" si="28"/>
        <v>#DIV/0!</v>
      </c>
      <c r="M610" s="5" t="s">
        <v>39</v>
      </c>
      <c r="N610" s="5">
        <v>0</v>
      </c>
      <c r="O610" s="5" t="s">
        <v>39</v>
      </c>
      <c r="P610" t="s">
        <v>72</v>
      </c>
      <c r="Q610" t="s">
        <v>1276</v>
      </c>
      <c r="R610" t="s">
        <v>37</v>
      </c>
      <c r="S610" t="s">
        <v>1277</v>
      </c>
      <c r="T610" t="s">
        <v>43</v>
      </c>
      <c r="U610" t="s">
        <v>44</v>
      </c>
      <c r="V610">
        <v>147</v>
      </c>
      <c r="W610" t="s">
        <v>45</v>
      </c>
      <c r="X610" t="s">
        <v>53</v>
      </c>
      <c r="Y610" t="s">
        <v>1278</v>
      </c>
      <c r="Z610" t="s">
        <v>37</v>
      </c>
      <c r="AA610" t="s">
        <v>55</v>
      </c>
      <c r="AB610" t="s">
        <v>37</v>
      </c>
      <c r="AC610" s="6" t="s">
        <v>37</v>
      </c>
      <c r="AD610" s="6" t="s">
        <v>37</v>
      </c>
      <c r="AE610" t="s">
        <v>37</v>
      </c>
      <c r="AF610" t="s">
        <v>37</v>
      </c>
      <c r="AG610" s="6" t="s">
        <v>37</v>
      </c>
      <c r="AH610" t="s">
        <v>37</v>
      </c>
      <c r="AI610" t="s">
        <v>37</v>
      </c>
      <c r="AJ610" t="str">
        <f t="shared" si="29"/>
        <v>4GF112AEB07W7MY2K8</v>
      </c>
    </row>
    <row r="611" spans="1:36" ht="15" customHeight="1" x14ac:dyDescent="0.25">
      <c r="A611" t="s">
        <v>118</v>
      </c>
      <c r="B611" t="s">
        <v>37</v>
      </c>
      <c r="C611" t="s">
        <v>37</v>
      </c>
      <c r="D611" t="s">
        <v>38</v>
      </c>
      <c r="E611" s="4">
        <v>27</v>
      </c>
      <c r="F611" s="5">
        <v>6111.45</v>
      </c>
      <c r="G611" s="5" t="s">
        <v>39</v>
      </c>
      <c r="H611" s="5">
        <v>9715.68</v>
      </c>
      <c r="I611" s="5" t="s">
        <v>39</v>
      </c>
      <c r="J611" s="5">
        <v>207.7893</v>
      </c>
      <c r="K611" s="5">
        <f t="shared" si="27"/>
        <v>7.6959</v>
      </c>
      <c r="L611" s="5">
        <f t="shared" si="28"/>
        <v>226.35</v>
      </c>
      <c r="M611" s="5" t="s">
        <v>39</v>
      </c>
      <c r="N611" s="5">
        <v>207.7893</v>
      </c>
      <c r="O611" s="5" t="s">
        <v>39</v>
      </c>
      <c r="P611" t="s">
        <v>1289</v>
      </c>
      <c r="Q611" t="s">
        <v>1096</v>
      </c>
      <c r="R611" t="s">
        <v>37</v>
      </c>
      <c r="S611" t="s">
        <v>82</v>
      </c>
      <c r="T611" t="s">
        <v>43</v>
      </c>
      <c r="U611" t="s">
        <v>44</v>
      </c>
      <c r="V611">
        <v>147</v>
      </c>
      <c r="W611" t="s">
        <v>45</v>
      </c>
      <c r="X611" t="s">
        <v>46</v>
      </c>
      <c r="Y611" t="s">
        <v>1097</v>
      </c>
      <c r="Z611" t="s">
        <v>37</v>
      </c>
      <c r="AA611" t="s">
        <v>55</v>
      </c>
      <c r="AB611" t="s">
        <v>37</v>
      </c>
      <c r="AC611" s="6" t="s">
        <v>37</v>
      </c>
      <c r="AD611" s="6" t="s">
        <v>37</v>
      </c>
      <c r="AE611" t="s">
        <v>37</v>
      </c>
      <c r="AF611" t="s">
        <v>37</v>
      </c>
      <c r="AG611" s="6" t="s">
        <v>37</v>
      </c>
      <c r="AH611" t="s">
        <v>37</v>
      </c>
      <c r="AI611" t="s">
        <v>37</v>
      </c>
      <c r="AJ611" t="str">
        <f t="shared" si="29"/>
        <v>2JG1PBDCB07W4DG81W</v>
      </c>
    </row>
    <row r="612" spans="1:36" ht="15" customHeight="1" x14ac:dyDescent="0.25">
      <c r="A612" t="s">
        <v>36</v>
      </c>
      <c r="B612" t="s">
        <v>37</v>
      </c>
      <c r="C612" t="s">
        <v>37</v>
      </c>
      <c r="D612" t="s">
        <v>38</v>
      </c>
      <c r="E612" s="4">
        <v>0</v>
      </c>
      <c r="F612" s="5">
        <v>0</v>
      </c>
      <c r="G612" s="5" t="s">
        <v>39</v>
      </c>
      <c r="H612" s="5">
        <v>0</v>
      </c>
      <c r="I612" s="5" t="s">
        <v>39</v>
      </c>
      <c r="J612" s="5">
        <v>0</v>
      </c>
      <c r="K612" s="5" t="e">
        <f t="shared" si="27"/>
        <v>#DIV/0!</v>
      </c>
      <c r="L612" s="5" t="e">
        <f t="shared" si="28"/>
        <v>#DIV/0!</v>
      </c>
      <c r="M612" s="5" t="s">
        <v>39</v>
      </c>
      <c r="N612" s="5">
        <v>0</v>
      </c>
      <c r="O612" s="5" t="s">
        <v>39</v>
      </c>
      <c r="P612" t="s">
        <v>1290</v>
      </c>
      <c r="Q612" t="s">
        <v>1291</v>
      </c>
      <c r="R612" t="s">
        <v>37</v>
      </c>
      <c r="S612" t="s">
        <v>1292</v>
      </c>
      <c r="T612" t="s">
        <v>43</v>
      </c>
      <c r="U612" t="s">
        <v>44</v>
      </c>
      <c r="V612">
        <v>147</v>
      </c>
      <c r="W612" t="s">
        <v>45</v>
      </c>
      <c r="X612" t="s">
        <v>389</v>
      </c>
      <c r="Y612" t="s">
        <v>1293</v>
      </c>
      <c r="Z612" t="s">
        <v>37</v>
      </c>
      <c r="AA612" t="s">
        <v>95</v>
      </c>
      <c r="AB612" t="s">
        <v>37</v>
      </c>
      <c r="AC612" s="6" t="s">
        <v>37</v>
      </c>
      <c r="AD612" s="6" t="s">
        <v>37</v>
      </c>
      <c r="AE612" t="s">
        <v>37</v>
      </c>
      <c r="AF612" t="s">
        <v>37</v>
      </c>
      <c r="AG612" s="6" t="s">
        <v>37</v>
      </c>
      <c r="AH612" t="s">
        <v>37</v>
      </c>
      <c r="AI612" t="s">
        <v>37</v>
      </c>
      <c r="AJ612" t="str">
        <f t="shared" si="29"/>
        <v>6N7I6OMHB00413BI7Q</v>
      </c>
    </row>
    <row r="613" spans="1:36" ht="15" customHeight="1" x14ac:dyDescent="0.25">
      <c r="A613" t="s">
        <v>36</v>
      </c>
      <c r="B613" t="s">
        <v>37</v>
      </c>
      <c r="C613" t="s">
        <v>37</v>
      </c>
      <c r="D613" t="s">
        <v>38</v>
      </c>
      <c r="E613" s="4">
        <v>8</v>
      </c>
      <c r="F613" s="5">
        <v>92.8</v>
      </c>
      <c r="G613" s="5" t="s">
        <v>39</v>
      </c>
      <c r="H613" s="5">
        <v>157.28</v>
      </c>
      <c r="I613" s="5" t="s">
        <v>39</v>
      </c>
      <c r="J613" s="5">
        <v>3.1551999999999998</v>
      </c>
      <c r="K613" s="5">
        <f t="shared" si="27"/>
        <v>0.39439999999999997</v>
      </c>
      <c r="L613" s="5">
        <f t="shared" si="28"/>
        <v>11.6</v>
      </c>
      <c r="M613" s="5" t="s">
        <v>39</v>
      </c>
      <c r="N613" s="5">
        <v>3.1551999999999998</v>
      </c>
      <c r="O613" s="5" t="s">
        <v>39</v>
      </c>
      <c r="P613" t="s">
        <v>365</v>
      </c>
      <c r="Q613" t="s">
        <v>1294</v>
      </c>
      <c r="R613" t="s">
        <v>37</v>
      </c>
      <c r="S613" t="s">
        <v>1295</v>
      </c>
      <c r="T613" t="s">
        <v>43</v>
      </c>
      <c r="U613" t="s">
        <v>44</v>
      </c>
      <c r="V613">
        <v>147</v>
      </c>
      <c r="W613" t="s">
        <v>45</v>
      </c>
      <c r="X613" t="s">
        <v>53</v>
      </c>
      <c r="Y613" t="s">
        <v>109</v>
      </c>
      <c r="Z613" t="s">
        <v>37</v>
      </c>
      <c r="AA613" t="s">
        <v>95</v>
      </c>
      <c r="AB613" t="s">
        <v>37</v>
      </c>
      <c r="AC613" s="6" t="s">
        <v>37</v>
      </c>
      <c r="AD613" s="6" t="s">
        <v>37</v>
      </c>
      <c r="AE613" t="s">
        <v>37</v>
      </c>
      <c r="AF613" t="s">
        <v>37</v>
      </c>
      <c r="AG613" s="6" t="s">
        <v>37</v>
      </c>
      <c r="AH613" t="s">
        <v>37</v>
      </c>
      <c r="AI613" t="s">
        <v>37</v>
      </c>
      <c r="AJ613" t="str">
        <f t="shared" si="29"/>
        <v>3KYCEHVHB07W7LNTMC</v>
      </c>
    </row>
    <row r="614" spans="1:36" ht="15" customHeight="1" x14ac:dyDescent="0.25">
      <c r="A614" t="s">
        <v>613</v>
      </c>
      <c r="B614" t="s">
        <v>37</v>
      </c>
      <c r="C614" t="s">
        <v>37</v>
      </c>
      <c r="D614" t="s">
        <v>38</v>
      </c>
      <c r="E614" s="4">
        <v>6</v>
      </c>
      <c r="F614" s="5">
        <v>1263.1199999999999</v>
      </c>
      <c r="G614" s="5" t="s">
        <v>39</v>
      </c>
      <c r="H614" s="5">
        <v>2016.36</v>
      </c>
      <c r="I614" s="5" t="s">
        <v>39</v>
      </c>
      <c r="J614" s="5">
        <v>42.946080000000002</v>
      </c>
      <c r="K614" s="5">
        <f t="shared" si="27"/>
        <v>7.15768</v>
      </c>
      <c r="L614" s="5">
        <f t="shared" si="28"/>
        <v>210.51999999999998</v>
      </c>
      <c r="M614" s="5" t="s">
        <v>39</v>
      </c>
      <c r="N614" s="5">
        <v>42.946080000000002</v>
      </c>
      <c r="O614" s="5" t="s">
        <v>39</v>
      </c>
      <c r="P614" t="s">
        <v>1296</v>
      </c>
      <c r="Q614" t="s">
        <v>81</v>
      </c>
      <c r="R614" t="s">
        <v>37</v>
      </c>
      <c r="S614" t="s">
        <v>82</v>
      </c>
      <c r="T614" t="s">
        <v>43</v>
      </c>
      <c r="U614" t="s">
        <v>44</v>
      </c>
      <c r="V614">
        <v>147</v>
      </c>
      <c r="W614" t="s">
        <v>45</v>
      </c>
      <c r="X614" t="s">
        <v>46</v>
      </c>
      <c r="Y614" t="s">
        <v>83</v>
      </c>
      <c r="Z614" t="s">
        <v>37</v>
      </c>
      <c r="AA614" t="s">
        <v>55</v>
      </c>
      <c r="AB614" t="s">
        <v>37</v>
      </c>
      <c r="AC614" s="6" t="s">
        <v>37</v>
      </c>
      <c r="AD614" s="6" t="s">
        <v>37</v>
      </c>
      <c r="AE614" t="s">
        <v>37</v>
      </c>
      <c r="AF614" t="s">
        <v>37</v>
      </c>
      <c r="AG614" s="6" t="s">
        <v>37</v>
      </c>
      <c r="AH614" t="s">
        <v>37</v>
      </c>
      <c r="AI614" t="s">
        <v>37</v>
      </c>
      <c r="AJ614" t="str">
        <f t="shared" si="29"/>
        <v>16QFG5EWB07W6JB7N7</v>
      </c>
    </row>
    <row r="615" spans="1:36" ht="15" customHeight="1" x14ac:dyDescent="0.25">
      <c r="A615" t="s">
        <v>76</v>
      </c>
      <c r="B615" t="s">
        <v>37</v>
      </c>
      <c r="C615" t="s">
        <v>37</v>
      </c>
      <c r="D615" t="s">
        <v>38</v>
      </c>
      <c r="E615" s="4">
        <v>40</v>
      </c>
      <c r="F615" s="5">
        <v>1171.2</v>
      </c>
      <c r="G615" s="5" t="s">
        <v>39</v>
      </c>
      <c r="H615" s="5">
        <v>1704.4</v>
      </c>
      <c r="I615" s="5" t="s">
        <v>39</v>
      </c>
      <c r="J615" s="5">
        <v>39.820799999999998</v>
      </c>
      <c r="K615" s="5">
        <f t="shared" si="27"/>
        <v>0.99551999999999996</v>
      </c>
      <c r="L615" s="5">
        <f t="shared" si="28"/>
        <v>29.28</v>
      </c>
      <c r="M615" s="5" t="s">
        <v>39</v>
      </c>
      <c r="N615" s="5">
        <v>39.820799999999998</v>
      </c>
      <c r="O615" s="5" t="s">
        <v>39</v>
      </c>
      <c r="P615" t="s">
        <v>63</v>
      </c>
      <c r="Q615" t="s">
        <v>1297</v>
      </c>
      <c r="R615" t="s">
        <v>37</v>
      </c>
      <c r="S615" t="s">
        <v>1298</v>
      </c>
      <c r="T615" t="s">
        <v>43</v>
      </c>
      <c r="U615" t="s">
        <v>44</v>
      </c>
      <c r="V615">
        <v>147</v>
      </c>
      <c r="W615" t="s">
        <v>45</v>
      </c>
      <c r="X615" t="s">
        <v>389</v>
      </c>
      <c r="Y615" t="s">
        <v>1299</v>
      </c>
      <c r="Z615" t="s">
        <v>37</v>
      </c>
      <c r="AA615" t="s">
        <v>95</v>
      </c>
      <c r="AB615" t="s">
        <v>37</v>
      </c>
      <c r="AC615" s="6" t="s">
        <v>37</v>
      </c>
      <c r="AD615" s="6" t="s">
        <v>37</v>
      </c>
      <c r="AE615" t="s">
        <v>37</v>
      </c>
      <c r="AF615" t="s">
        <v>37</v>
      </c>
      <c r="AG615" s="6" t="s">
        <v>37</v>
      </c>
      <c r="AH615" t="s">
        <v>37</v>
      </c>
      <c r="AI615" t="s">
        <v>37</v>
      </c>
      <c r="AJ615" t="str">
        <f t="shared" si="29"/>
        <v>7H9X1Z6SB00EUUX59O</v>
      </c>
    </row>
    <row r="616" spans="1:36" ht="15" customHeight="1" x14ac:dyDescent="0.25">
      <c r="A616" t="s">
        <v>76</v>
      </c>
      <c r="B616" t="s">
        <v>37</v>
      </c>
      <c r="C616" t="s">
        <v>37</v>
      </c>
      <c r="D616" t="s">
        <v>38</v>
      </c>
      <c r="E616" s="4">
        <v>288</v>
      </c>
      <c r="F616" s="5">
        <v>23446.080000000002</v>
      </c>
      <c r="G616" s="5" t="s">
        <v>39</v>
      </c>
      <c r="H616" s="5">
        <v>34228.800000000003</v>
      </c>
      <c r="I616" s="5" t="s">
        <v>39</v>
      </c>
      <c r="J616" s="5">
        <v>797.16672000000005</v>
      </c>
      <c r="K616" s="5">
        <f t="shared" si="27"/>
        <v>2.7679400000000003</v>
      </c>
      <c r="L616" s="5">
        <f t="shared" si="28"/>
        <v>81.410000000000011</v>
      </c>
      <c r="M616" s="5" t="s">
        <v>39</v>
      </c>
      <c r="N616" s="5">
        <v>797.16672000000005</v>
      </c>
      <c r="O616" s="5" t="s">
        <v>39</v>
      </c>
      <c r="P616" t="s">
        <v>426</v>
      </c>
      <c r="Q616" t="s">
        <v>768</v>
      </c>
      <c r="R616" t="s">
        <v>37</v>
      </c>
      <c r="S616" t="s">
        <v>769</v>
      </c>
      <c r="T616" t="s">
        <v>43</v>
      </c>
      <c r="U616" t="s">
        <v>44</v>
      </c>
      <c r="V616">
        <v>147</v>
      </c>
      <c r="W616" t="s">
        <v>45</v>
      </c>
      <c r="X616" t="s">
        <v>389</v>
      </c>
      <c r="Y616" t="s">
        <v>770</v>
      </c>
      <c r="Z616" t="s">
        <v>37</v>
      </c>
      <c r="AA616" t="s">
        <v>55</v>
      </c>
      <c r="AB616" t="s">
        <v>37</v>
      </c>
      <c r="AC616" s="6" t="s">
        <v>37</v>
      </c>
      <c r="AD616" s="6" t="s">
        <v>37</v>
      </c>
      <c r="AE616" t="s">
        <v>37</v>
      </c>
      <c r="AF616" t="s">
        <v>37</v>
      </c>
      <c r="AG616" s="6" t="s">
        <v>37</v>
      </c>
      <c r="AH616" t="s">
        <v>37</v>
      </c>
      <c r="AI616" t="s">
        <v>37</v>
      </c>
      <c r="AJ616" t="str">
        <f t="shared" si="29"/>
        <v>3IQS66UGB0105Y2T5Y</v>
      </c>
    </row>
    <row r="617" spans="1:36" ht="15" customHeight="1" x14ac:dyDescent="0.25">
      <c r="A617" t="s">
        <v>411</v>
      </c>
      <c r="B617" t="s">
        <v>37</v>
      </c>
      <c r="C617" t="s">
        <v>37</v>
      </c>
      <c r="D617" t="s">
        <v>38</v>
      </c>
      <c r="E617" s="4">
        <v>768</v>
      </c>
      <c r="F617" s="5">
        <v>36464.639999999999</v>
      </c>
      <c r="G617" s="5" t="s">
        <v>39</v>
      </c>
      <c r="H617" s="5">
        <v>56647.68</v>
      </c>
      <c r="I617" s="5" t="s">
        <v>39</v>
      </c>
      <c r="J617" s="5">
        <v>1239.7977599999999</v>
      </c>
      <c r="K617" s="5">
        <f t="shared" si="27"/>
        <v>1.61432</v>
      </c>
      <c r="L617" s="5">
        <f t="shared" si="28"/>
        <v>47.48</v>
      </c>
      <c r="M617" s="5" t="s">
        <v>39</v>
      </c>
      <c r="N617" s="5">
        <v>1239.7977599999999</v>
      </c>
      <c r="O617" s="5" t="s">
        <v>39</v>
      </c>
      <c r="P617" t="s">
        <v>1259</v>
      </c>
      <c r="Q617" t="s">
        <v>1260</v>
      </c>
      <c r="R617" t="s">
        <v>37</v>
      </c>
      <c r="S617" t="s">
        <v>1261</v>
      </c>
      <c r="T617" t="s">
        <v>43</v>
      </c>
      <c r="U617" t="s">
        <v>44</v>
      </c>
      <c r="V617">
        <v>147</v>
      </c>
      <c r="W617" t="s">
        <v>45</v>
      </c>
      <c r="X617" t="s">
        <v>53</v>
      </c>
      <c r="Y617" t="s">
        <v>1262</v>
      </c>
      <c r="Z617" t="s">
        <v>37</v>
      </c>
      <c r="AA617" t="s">
        <v>55</v>
      </c>
      <c r="AB617" t="s">
        <v>37</v>
      </c>
      <c r="AC617" s="6" t="s">
        <v>37</v>
      </c>
      <c r="AD617" s="6" t="s">
        <v>37</v>
      </c>
      <c r="AE617" t="s">
        <v>37</v>
      </c>
      <c r="AF617" t="s">
        <v>37</v>
      </c>
      <c r="AG617" s="6" t="s">
        <v>37</v>
      </c>
      <c r="AH617" t="s">
        <v>37</v>
      </c>
      <c r="AI617" t="s">
        <v>37</v>
      </c>
      <c r="AJ617" t="str">
        <f t="shared" si="29"/>
        <v>2CS3RNQSB07W6JP8N2</v>
      </c>
    </row>
    <row r="618" spans="1:36" ht="15" customHeight="1" x14ac:dyDescent="0.25">
      <c r="A618" t="s">
        <v>88</v>
      </c>
      <c r="B618" t="s">
        <v>37</v>
      </c>
      <c r="C618" t="s">
        <v>37</v>
      </c>
      <c r="D618" t="s">
        <v>38</v>
      </c>
      <c r="E618" s="4">
        <v>12</v>
      </c>
      <c r="F618" s="5">
        <v>904.92</v>
      </c>
      <c r="G618" s="5" t="s">
        <v>39</v>
      </c>
      <c r="H618" s="5">
        <v>1327.8</v>
      </c>
      <c r="I618" s="5" t="s">
        <v>39</v>
      </c>
      <c r="J618" s="5">
        <v>30.76728</v>
      </c>
      <c r="K618" s="5">
        <f t="shared" si="27"/>
        <v>2.5639400000000001</v>
      </c>
      <c r="L618" s="5">
        <f t="shared" si="28"/>
        <v>75.41</v>
      </c>
      <c r="M618" s="5" t="s">
        <v>39</v>
      </c>
      <c r="N618" s="5">
        <v>30.76728</v>
      </c>
      <c r="O618" s="5" t="s">
        <v>39</v>
      </c>
      <c r="P618" t="s">
        <v>133</v>
      </c>
      <c r="Q618" t="s">
        <v>1070</v>
      </c>
      <c r="R618" t="s">
        <v>37</v>
      </c>
      <c r="S618" t="s">
        <v>1071</v>
      </c>
      <c r="T618" t="s">
        <v>43</v>
      </c>
      <c r="U618" t="s">
        <v>44</v>
      </c>
      <c r="V618">
        <v>147</v>
      </c>
      <c r="W618" t="s">
        <v>45</v>
      </c>
      <c r="X618" t="s">
        <v>60</v>
      </c>
      <c r="Y618" t="s">
        <v>1072</v>
      </c>
      <c r="Z618" t="s">
        <v>37</v>
      </c>
      <c r="AA618" t="s">
        <v>55</v>
      </c>
      <c r="AB618" t="s">
        <v>37</v>
      </c>
      <c r="AC618" s="6" t="s">
        <v>37</v>
      </c>
      <c r="AD618" s="6" t="s">
        <v>37</v>
      </c>
      <c r="AE618" t="s">
        <v>37</v>
      </c>
      <c r="AF618" t="s">
        <v>37</v>
      </c>
      <c r="AG618" s="6" t="s">
        <v>37</v>
      </c>
      <c r="AH618" t="s">
        <v>37</v>
      </c>
      <c r="AI618" t="s">
        <v>37</v>
      </c>
      <c r="AJ618" t="str">
        <f t="shared" si="29"/>
        <v>36BT7GGLB07W5JK1JN</v>
      </c>
    </row>
    <row r="619" spans="1:36" ht="15" customHeight="1" x14ac:dyDescent="0.25">
      <c r="A619" t="s">
        <v>96</v>
      </c>
      <c r="B619" t="s">
        <v>37</v>
      </c>
      <c r="C619" t="s">
        <v>37</v>
      </c>
      <c r="D619" t="s">
        <v>38</v>
      </c>
      <c r="E619" s="4">
        <v>8</v>
      </c>
      <c r="F619" s="5">
        <v>1135.44</v>
      </c>
      <c r="G619" s="5" t="s">
        <v>39</v>
      </c>
      <c r="H619" s="5">
        <v>1895.12</v>
      </c>
      <c r="I619" s="5" t="s">
        <v>39</v>
      </c>
      <c r="J619" s="5">
        <v>38.604959999999998</v>
      </c>
      <c r="K619" s="5">
        <f t="shared" si="27"/>
        <v>4.8256199999999998</v>
      </c>
      <c r="L619" s="5">
        <f t="shared" si="28"/>
        <v>141.93</v>
      </c>
      <c r="M619" s="5" t="s">
        <v>39</v>
      </c>
      <c r="N619" s="5">
        <v>38.604959999999998</v>
      </c>
      <c r="O619" s="5" t="s">
        <v>39</v>
      </c>
      <c r="P619" t="s">
        <v>522</v>
      </c>
      <c r="Q619" t="s">
        <v>1300</v>
      </c>
      <c r="R619" t="s">
        <v>37</v>
      </c>
      <c r="S619" t="s">
        <v>1301</v>
      </c>
      <c r="T619" t="s">
        <v>43</v>
      </c>
      <c r="U619" t="s">
        <v>44</v>
      </c>
      <c r="V619">
        <v>147</v>
      </c>
      <c r="W619" t="s">
        <v>45</v>
      </c>
      <c r="X619" t="s">
        <v>46</v>
      </c>
      <c r="Y619" t="s">
        <v>1302</v>
      </c>
      <c r="Z619" t="s">
        <v>37</v>
      </c>
      <c r="AA619" t="s">
        <v>55</v>
      </c>
      <c r="AB619" t="s">
        <v>37</v>
      </c>
      <c r="AC619" s="6" t="s">
        <v>37</v>
      </c>
      <c r="AD619" s="6" t="s">
        <v>37</v>
      </c>
      <c r="AE619" t="s">
        <v>37</v>
      </c>
      <c r="AF619" t="s">
        <v>37</v>
      </c>
      <c r="AG619" s="6" t="s">
        <v>37</v>
      </c>
      <c r="AH619" t="s">
        <v>37</v>
      </c>
      <c r="AI619" t="s">
        <v>37</v>
      </c>
      <c r="AJ619" t="str">
        <f t="shared" si="29"/>
        <v>24EUBTHXB07VYGSZLM</v>
      </c>
    </row>
    <row r="620" spans="1:36" ht="15" customHeight="1" x14ac:dyDescent="0.25">
      <c r="A620" t="s">
        <v>36</v>
      </c>
      <c r="B620" t="s">
        <v>37</v>
      </c>
      <c r="C620" t="s">
        <v>37</v>
      </c>
      <c r="D620" t="s">
        <v>38</v>
      </c>
      <c r="E620" s="4">
        <v>4</v>
      </c>
      <c r="F620" s="5">
        <v>301.64</v>
      </c>
      <c r="G620" s="5" t="s">
        <v>39</v>
      </c>
      <c r="H620" s="5">
        <v>442.6</v>
      </c>
      <c r="I620" s="5" t="s">
        <v>39</v>
      </c>
      <c r="J620" s="5">
        <v>10.25576</v>
      </c>
      <c r="K620" s="5">
        <f t="shared" si="27"/>
        <v>2.5639400000000001</v>
      </c>
      <c r="L620" s="5">
        <f t="shared" si="28"/>
        <v>75.41</v>
      </c>
      <c r="M620" s="5" t="s">
        <v>39</v>
      </c>
      <c r="N620" s="5">
        <v>10.25576</v>
      </c>
      <c r="O620" s="5" t="s">
        <v>39</v>
      </c>
      <c r="P620" t="s">
        <v>133</v>
      </c>
      <c r="Q620" t="s">
        <v>1093</v>
      </c>
      <c r="R620" t="s">
        <v>37</v>
      </c>
      <c r="S620" t="s">
        <v>1094</v>
      </c>
      <c r="T620" t="s">
        <v>43</v>
      </c>
      <c r="U620" t="s">
        <v>44</v>
      </c>
      <c r="V620">
        <v>147</v>
      </c>
      <c r="W620" t="s">
        <v>45</v>
      </c>
      <c r="X620" t="s">
        <v>53</v>
      </c>
      <c r="Y620" t="s">
        <v>1095</v>
      </c>
      <c r="Z620" t="s">
        <v>37</v>
      </c>
      <c r="AA620" t="s">
        <v>55</v>
      </c>
      <c r="AB620" t="s">
        <v>37</v>
      </c>
      <c r="AC620" s="6" t="s">
        <v>37</v>
      </c>
      <c r="AD620" s="6" t="s">
        <v>37</v>
      </c>
      <c r="AE620" t="s">
        <v>37</v>
      </c>
      <c r="AF620" t="s">
        <v>37</v>
      </c>
      <c r="AG620" s="6" t="s">
        <v>37</v>
      </c>
      <c r="AH620" t="s">
        <v>37</v>
      </c>
      <c r="AI620" t="s">
        <v>37</v>
      </c>
      <c r="AJ620" t="str">
        <f t="shared" si="29"/>
        <v>36BT7GGLB07W6H4R4G</v>
      </c>
    </row>
    <row r="621" spans="1:36" ht="15" customHeight="1" x14ac:dyDescent="0.25">
      <c r="A621" t="s">
        <v>76</v>
      </c>
      <c r="B621" t="s">
        <v>37</v>
      </c>
      <c r="C621" t="s">
        <v>37</v>
      </c>
      <c r="D621" t="s">
        <v>38</v>
      </c>
      <c r="E621" s="4">
        <v>52</v>
      </c>
      <c r="F621" s="5">
        <v>2283.84</v>
      </c>
      <c r="G621" s="5" t="s">
        <v>39</v>
      </c>
      <c r="H621" s="5">
        <v>3409.64</v>
      </c>
      <c r="I621" s="5" t="s">
        <v>39</v>
      </c>
      <c r="J621" s="5">
        <v>77.650559999999999</v>
      </c>
      <c r="K621" s="5">
        <f t="shared" si="27"/>
        <v>1.4932799999999999</v>
      </c>
      <c r="L621" s="5">
        <f t="shared" si="28"/>
        <v>43.92</v>
      </c>
      <c r="M621" s="5" t="s">
        <v>39</v>
      </c>
      <c r="N621" s="5">
        <v>77.650559999999999</v>
      </c>
      <c r="O621" s="5" t="s">
        <v>39</v>
      </c>
      <c r="P621" t="s">
        <v>114</v>
      </c>
      <c r="Q621" t="s">
        <v>623</v>
      </c>
      <c r="R621" t="s">
        <v>624</v>
      </c>
      <c r="S621" t="s">
        <v>625</v>
      </c>
      <c r="T621" t="s">
        <v>43</v>
      </c>
      <c r="U621" t="s">
        <v>44</v>
      </c>
      <c r="V621">
        <v>147</v>
      </c>
      <c r="W621" t="s">
        <v>45</v>
      </c>
      <c r="X621" t="s">
        <v>60</v>
      </c>
      <c r="Y621" t="s">
        <v>626</v>
      </c>
      <c r="Z621" t="s">
        <v>37</v>
      </c>
      <c r="AA621" t="s">
        <v>48</v>
      </c>
      <c r="AB621" t="s">
        <v>37</v>
      </c>
      <c r="AC621" s="6" t="s">
        <v>37</v>
      </c>
      <c r="AD621" s="6" t="s">
        <v>37</v>
      </c>
      <c r="AE621" t="s">
        <v>37</v>
      </c>
      <c r="AF621" t="s">
        <v>37</v>
      </c>
      <c r="AG621" s="6" t="s">
        <v>37</v>
      </c>
      <c r="AH621" t="s">
        <v>37</v>
      </c>
      <c r="AI621" t="s">
        <v>37</v>
      </c>
      <c r="AJ621" t="str">
        <f t="shared" si="29"/>
        <v>243WWSUAB0797JRLQC</v>
      </c>
    </row>
    <row r="622" spans="1:36" ht="15" customHeight="1" x14ac:dyDescent="0.25">
      <c r="A622" t="s">
        <v>56</v>
      </c>
      <c r="B622" t="s">
        <v>37</v>
      </c>
      <c r="C622" t="s">
        <v>37</v>
      </c>
      <c r="D622" t="s">
        <v>38</v>
      </c>
      <c r="E622" s="4">
        <v>20</v>
      </c>
      <c r="F622" s="5">
        <v>2205.4</v>
      </c>
      <c r="G622" s="5" t="s">
        <v>39</v>
      </c>
      <c r="H622" s="5">
        <v>3754</v>
      </c>
      <c r="I622" s="5" t="s">
        <v>39</v>
      </c>
      <c r="J622" s="5">
        <v>74.983599999999996</v>
      </c>
      <c r="K622" s="5">
        <f t="shared" si="27"/>
        <v>3.74918</v>
      </c>
      <c r="L622" s="5">
        <f t="shared" si="28"/>
        <v>110.27000000000001</v>
      </c>
      <c r="M622" s="5" t="s">
        <v>39</v>
      </c>
      <c r="N622" s="5">
        <v>74.983599999999996</v>
      </c>
      <c r="O622" s="5" t="s">
        <v>39</v>
      </c>
      <c r="P622" t="s">
        <v>57</v>
      </c>
      <c r="Q622" t="s">
        <v>187</v>
      </c>
      <c r="R622" t="s">
        <v>37</v>
      </c>
      <c r="S622" t="s">
        <v>188</v>
      </c>
      <c r="T622" t="s">
        <v>43</v>
      </c>
      <c r="U622" t="s">
        <v>44</v>
      </c>
      <c r="V622">
        <v>23</v>
      </c>
      <c r="W622" t="s">
        <v>189</v>
      </c>
      <c r="X622" t="s">
        <v>190</v>
      </c>
      <c r="Y622" t="s">
        <v>191</v>
      </c>
      <c r="Z622" t="s">
        <v>37</v>
      </c>
      <c r="AA622" t="s">
        <v>55</v>
      </c>
      <c r="AB622" t="s">
        <v>37</v>
      </c>
      <c r="AC622" s="6" t="s">
        <v>37</v>
      </c>
      <c r="AD622" s="6" t="s">
        <v>37</v>
      </c>
      <c r="AE622" t="s">
        <v>37</v>
      </c>
      <c r="AF622" t="s">
        <v>37</v>
      </c>
      <c r="AG622" s="6" t="s">
        <v>37</v>
      </c>
      <c r="AH622" t="s">
        <v>37</v>
      </c>
      <c r="AI622" t="s">
        <v>37</v>
      </c>
      <c r="AJ622" t="str">
        <f t="shared" si="29"/>
        <v>3GBCH66MB07W7MSGPL</v>
      </c>
    </row>
    <row r="623" spans="1:36" ht="15" customHeight="1" x14ac:dyDescent="0.25">
      <c r="A623" t="s">
        <v>101</v>
      </c>
      <c r="B623" t="s">
        <v>37</v>
      </c>
      <c r="C623" t="s">
        <v>37</v>
      </c>
      <c r="D623" t="s">
        <v>38</v>
      </c>
      <c r="E623" s="4">
        <v>48</v>
      </c>
      <c r="F623" s="5">
        <v>1392.48</v>
      </c>
      <c r="G623" s="5" t="s">
        <v>39</v>
      </c>
      <c r="H623" s="5">
        <v>1967.04</v>
      </c>
      <c r="I623" s="5" t="s">
        <v>39</v>
      </c>
      <c r="J623" s="5">
        <v>47.344320000000003</v>
      </c>
      <c r="K623" s="5">
        <f t="shared" si="27"/>
        <v>0.98634000000000011</v>
      </c>
      <c r="L623" s="5">
        <f t="shared" si="28"/>
        <v>29.01</v>
      </c>
      <c r="M623" s="5" t="s">
        <v>39</v>
      </c>
      <c r="N623" s="5">
        <v>47.344320000000003</v>
      </c>
      <c r="O623" s="5" t="s">
        <v>39</v>
      </c>
      <c r="P623" t="s">
        <v>72</v>
      </c>
      <c r="Q623" t="s">
        <v>1303</v>
      </c>
      <c r="R623" t="s">
        <v>1304</v>
      </c>
      <c r="S623" t="s">
        <v>1305</v>
      </c>
      <c r="T623" t="s">
        <v>43</v>
      </c>
      <c r="U623" t="s">
        <v>44</v>
      </c>
      <c r="V623">
        <v>147</v>
      </c>
      <c r="W623" t="s">
        <v>45</v>
      </c>
      <c r="X623" t="s">
        <v>46</v>
      </c>
      <c r="Y623" t="s">
        <v>1306</v>
      </c>
      <c r="Z623" t="s">
        <v>37</v>
      </c>
      <c r="AA623" t="s">
        <v>48</v>
      </c>
      <c r="AB623" t="s">
        <v>37</v>
      </c>
      <c r="AC623" s="6" t="s">
        <v>37</v>
      </c>
      <c r="AD623" s="6" t="s">
        <v>37</v>
      </c>
      <c r="AE623" t="s">
        <v>37</v>
      </c>
      <c r="AF623" t="s">
        <v>37</v>
      </c>
      <c r="AG623" s="6" t="s">
        <v>37</v>
      </c>
      <c r="AH623" t="s">
        <v>37</v>
      </c>
      <c r="AI623" t="s">
        <v>37</v>
      </c>
      <c r="AJ623" t="str">
        <f t="shared" si="29"/>
        <v>4GF112AEB00CJAEX5M</v>
      </c>
    </row>
    <row r="624" spans="1:36" ht="15" customHeight="1" x14ac:dyDescent="0.25">
      <c r="A624" t="s">
        <v>101</v>
      </c>
      <c r="B624" t="s">
        <v>37</v>
      </c>
      <c r="C624" t="s">
        <v>37</v>
      </c>
      <c r="D624" t="s">
        <v>38</v>
      </c>
      <c r="E624" s="4">
        <v>40</v>
      </c>
      <c r="F624" s="5">
        <v>1371.6</v>
      </c>
      <c r="G624" s="5" t="s">
        <v>39</v>
      </c>
      <c r="H624" s="5">
        <v>2032.4</v>
      </c>
      <c r="I624" s="5" t="s">
        <v>39</v>
      </c>
      <c r="J624" s="5">
        <v>46.634399999999999</v>
      </c>
      <c r="K624" s="5">
        <f t="shared" si="27"/>
        <v>1.1658599999999999</v>
      </c>
      <c r="L624" s="5">
        <f t="shared" si="28"/>
        <v>34.29</v>
      </c>
      <c r="M624" s="5" t="s">
        <v>39</v>
      </c>
      <c r="N624" s="5">
        <v>46.634399999999999</v>
      </c>
      <c r="O624" s="5" t="s">
        <v>39</v>
      </c>
      <c r="P624" t="s">
        <v>320</v>
      </c>
      <c r="Q624" t="s">
        <v>1307</v>
      </c>
      <c r="R624" t="s">
        <v>37</v>
      </c>
      <c r="S624" t="s">
        <v>1308</v>
      </c>
      <c r="T624" t="s">
        <v>43</v>
      </c>
      <c r="U624" t="s">
        <v>44</v>
      </c>
      <c r="V624">
        <v>147</v>
      </c>
      <c r="W624" t="s">
        <v>45</v>
      </c>
      <c r="X624" t="s">
        <v>46</v>
      </c>
      <c r="Y624" t="s">
        <v>1309</v>
      </c>
      <c r="Z624" t="s">
        <v>37</v>
      </c>
      <c r="AA624" t="s">
        <v>55</v>
      </c>
      <c r="AB624" t="s">
        <v>37</v>
      </c>
      <c r="AC624" s="6" t="s">
        <v>37</v>
      </c>
      <c r="AD624" s="6" t="s">
        <v>37</v>
      </c>
      <c r="AE624" t="s">
        <v>37</v>
      </c>
      <c r="AF624" t="s">
        <v>37</v>
      </c>
      <c r="AG624" s="6" t="s">
        <v>37</v>
      </c>
      <c r="AH624" t="s">
        <v>37</v>
      </c>
      <c r="AI624" t="s">
        <v>37</v>
      </c>
      <c r="AJ624" t="str">
        <f t="shared" si="29"/>
        <v>8BG295LIB00ZWOUH4S</v>
      </c>
    </row>
    <row r="625" spans="1:36" ht="15" customHeight="1" x14ac:dyDescent="0.25">
      <c r="A625" t="s">
        <v>118</v>
      </c>
      <c r="B625" t="s">
        <v>37</v>
      </c>
      <c r="C625" t="s">
        <v>37</v>
      </c>
      <c r="D625" t="s">
        <v>38</v>
      </c>
      <c r="E625" s="4">
        <v>1300</v>
      </c>
      <c r="F625" s="5">
        <v>13689</v>
      </c>
      <c r="G625" s="5" t="s">
        <v>39</v>
      </c>
      <c r="H625" s="5">
        <v>21307</v>
      </c>
      <c r="I625" s="5" t="s">
        <v>39</v>
      </c>
      <c r="J625" s="5">
        <v>465.42599999999999</v>
      </c>
      <c r="K625" s="5">
        <f t="shared" si="27"/>
        <v>0.35802</v>
      </c>
      <c r="L625" s="5">
        <f t="shared" si="28"/>
        <v>10.53</v>
      </c>
      <c r="M625" s="5" t="s">
        <v>39</v>
      </c>
      <c r="N625" s="5">
        <v>465.42599999999999</v>
      </c>
      <c r="O625" s="5" t="s">
        <v>39</v>
      </c>
      <c r="P625" t="s">
        <v>1310</v>
      </c>
      <c r="Q625" t="s">
        <v>1311</v>
      </c>
      <c r="R625" t="s">
        <v>37</v>
      </c>
      <c r="S625" t="s">
        <v>1312</v>
      </c>
      <c r="T625" t="s">
        <v>43</v>
      </c>
      <c r="U625" t="s">
        <v>44</v>
      </c>
      <c r="V625">
        <v>147</v>
      </c>
      <c r="W625" t="s">
        <v>45</v>
      </c>
      <c r="X625" t="s">
        <v>60</v>
      </c>
      <c r="Y625" t="s">
        <v>1313</v>
      </c>
      <c r="Z625" t="s">
        <v>37</v>
      </c>
      <c r="AA625" t="s">
        <v>55</v>
      </c>
      <c r="AB625" t="s">
        <v>37</v>
      </c>
      <c r="AC625" s="6" t="s">
        <v>37</v>
      </c>
      <c r="AD625" s="6" t="s">
        <v>37</v>
      </c>
      <c r="AE625" t="s">
        <v>37</v>
      </c>
      <c r="AF625" t="s">
        <v>37</v>
      </c>
      <c r="AG625" s="6" t="s">
        <v>37</v>
      </c>
      <c r="AH625" t="s">
        <v>37</v>
      </c>
      <c r="AI625" t="s">
        <v>37</v>
      </c>
      <c r="AJ625" t="str">
        <f t="shared" si="29"/>
        <v>33RKXX6HB003V4A5VG</v>
      </c>
    </row>
    <row r="626" spans="1:36" ht="15" customHeight="1" x14ac:dyDescent="0.25">
      <c r="A626" t="s">
        <v>118</v>
      </c>
      <c r="B626" t="s">
        <v>37</v>
      </c>
      <c r="C626" t="s">
        <v>37</v>
      </c>
      <c r="D626" t="s">
        <v>38</v>
      </c>
      <c r="E626" s="4">
        <v>86</v>
      </c>
      <c r="F626" s="5">
        <v>9927.84</v>
      </c>
      <c r="G626" s="5" t="s">
        <v>39</v>
      </c>
      <c r="H626" s="5">
        <v>14449.72</v>
      </c>
      <c r="I626" s="5" t="s">
        <v>39</v>
      </c>
      <c r="J626" s="5">
        <v>337.54656</v>
      </c>
      <c r="K626" s="5">
        <f t="shared" si="27"/>
        <v>3.92496</v>
      </c>
      <c r="L626" s="5">
        <f t="shared" si="28"/>
        <v>115.44</v>
      </c>
      <c r="M626" s="5" t="s">
        <v>39</v>
      </c>
      <c r="N626" s="5">
        <v>337.54656</v>
      </c>
      <c r="O626" s="5" t="s">
        <v>39</v>
      </c>
      <c r="P626" t="s">
        <v>1290</v>
      </c>
      <c r="Q626" t="s">
        <v>1291</v>
      </c>
      <c r="R626" t="s">
        <v>37</v>
      </c>
      <c r="S626" t="s">
        <v>1292</v>
      </c>
      <c r="T626" t="s">
        <v>43</v>
      </c>
      <c r="U626" t="s">
        <v>44</v>
      </c>
      <c r="V626">
        <v>147</v>
      </c>
      <c r="W626" t="s">
        <v>45</v>
      </c>
      <c r="X626" t="s">
        <v>389</v>
      </c>
      <c r="Y626" t="s">
        <v>1293</v>
      </c>
      <c r="Z626" t="s">
        <v>37</v>
      </c>
      <c r="AA626" t="s">
        <v>95</v>
      </c>
      <c r="AB626" t="s">
        <v>37</v>
      </c>
      <c r="AC626" s="6" t="s">
        <v>37</v>
      </c>
      <c r="AD626" s="6" t="s">
        <v>37</v>
      </c>
      <c r="AE626" t="s">
        <v>37</v>
      </c>
      <c r="AF626" t="s">
        <v>37</v>
      </c>
      <c r="AG626" s="6" t="s">
        <v>37</v>
      </c>
      <c r="AH626" t="s">
        <v>37</v>
      </c>
      <c r="AI626" t="s">
        <v>37</v>
      </c>
      <c r="AJ626" t="str">
        <f t="shared" si="29"/>
        <v>6N7I6OMHB00413BI7Q</v>
      </c>
    </row>
    <row r="627" spans="1:36" ht="15" customHeight="1" x14ac:dyDescent="0.25">
      <c r="A627" t="s">
        <v>62</v>
      </c>
      <c r="B627" t="s">
        <v>37</v>
      </c>
      <c r="C627" t="s">
        <v>37</v>
      </c>
      <c r="D627" t="s">
        <v>38</v>
      </c>
      <c r="E627" s="4">
        <v>8</v>
      </c>
      <c r="F627" s="5">
        <v>257.68</v>
      </c>
      <c r="G627" s="5" t="s">
        <v>39</v>
      </c>
      <c r="H627" s="5">
        <v>386.8</v>
      </c>
      <c r="I627" s="5" t="s">
        <v>39</v>
      </c>
      <c r="J627" s="5">
        <v>8.76112</v>
      </c>
      <c r="K627" s="5">
        <f t="shared" si="27"/>
        <v>1.09514</v>
      </c>
      <c r="L627" s="5">
        <f t="shared" si="28"/>
        <v>32.21</v>
      </c>
      <c r="M627" s="5" t="s">
        <v>39</v>
      </c>
      <c r="N627" s="5">
        <v>8.76112</v>
      </c>
      <c r="O627" s="5" t="s">
        <v>39</v>
      </c>
      <c r="P627" t="s">
        <v>63</v>
      </c>
      <c r="Q627" t="s">
        <v>1314</v>
      </c>
      <c r="R627" t="s">
        <v>37</v>
      </c>
      <c r="S627" t="s">
        <v>1315</v>
      </c>
      <c r="T627" t="s">
        <v>43</v>
      </c>
      <c r="U627" t="s">
        <v>44</v>
      </c>
      <c r="V627">
        <v>147</v>
      </c>
      <c r="W627" t="s">
        <v>45</v>
      </c>
      <c r="X627" t="s">
        <v>60</v>
      </c>
      <c r="Y627" t="s">
        <v>1316</v>
      </c>
      <c r="Z627" t="s">
        <v>37</v>
      </c>
      <c r="AA627" t="s">
        <v>55</v>
      </c>
      <c r="AB627" t="s">
        <v>37</v>
      </c>
      <c r="AC627" s="6" t="s">
        <v>37</v>
      </c>
      <c r="AD627" s="6" t="s">
        <v>37</v>
      </c>
      <c r="AE627" t="s">
        <v>37</v>
      </c>
      <c r="AF627" t="s">
        <v>37</v>
      </c>
      <c r="AG627" s="6" t="s">
        <v>37</v>
      </c>
      <c r="AH627" t="s">
        <v>37</v>
      </c>
      <c r="AI627" t="s">
        <v>37</v>
      </c>
      <c r="AJ627" t="str">
        <f t="shared" si="29"/>
        <v>7H9X1Z6SB07W6HS3KX</v>
      </c>
    </row>
    <row r="628" spans="1:36" ht="15" customHeight="1" x14ac:dyDescent="0.25">
      <c r="A628" t="s">
        <v>62</v>
      </c>
      <c r="B628" t="s">
        <v>37</v>
      </c>
      <c r="C628" t="s">
        <v>37</v>
      </c>
      <c r="D628" t="s">
        <v>38</v>
      </c>
      <c r="E628" s="4">
        <v>4</v>
      </c>
      <c r="F628" s="5">
        <v>301.64</v>
      </c>
      <c r="G628" s="5" t="s">
        <v>39</v>
      </c>
      <c r="H628" s="5">
        <v>442.6</v>
      </c>
      <c r="I628" s="5" t="s">
        <v>39</v>
      </c>
      <c r="J628" s="5">
        <v>10.25576</v>
      </c>
      <c r="K628" s="5">
        <f t="shared" si="27"/>
        <v>2.5639400000000001</v>
      </c>
      <c r="L628" s="5">
        <f t="shared" si="28"/>
        <v>75.41</v>
      </c>
      <c r="M628" s="5" t="s">
        <v>39</v>
      </c>
      <c r="N628" s="5">
        <v>10.25576</v>
      </c>
      <c r="O628" s="5" t="s">
        <v>39</v>
      </c>
      <c r="P628" t="s">
        <v>63</v>
      </c>
      <c r="Q628" t="s">
        <v>487</v>
      </c>
      <c r="R628" t="s">
        <v>37</v>
      </c>
      <c r="S628" t="s">
        <v>488</v>
      </c>
      <c r="T628" t="s">
        <v>43</v>
      </c>
      <c r="U628" t="s">
        <v>44</v>
      </c>
      <c r="V628">
        <v>147</v>
      </c>
      <c r="W628" t="s">
        <v>45</v>
      </c>
      <c r="X628" t="s">
        <v>60</v>
      </c>
      <c r="Y628" t="s">
        <v>489</v>
      </c>
      <c r="Z628" t="s">
        <v>490</v>
      </c>
      <c r="AA628" t="s">
        <v>55</v>
      </c>
      <c r="AB628" t="s">
        <v>37</v>
      </c>
      <c r="AC628" s="6" t="s">
        <v>37</v>
      </c>
      <c r="AD628" s="6" t="s">
        <v>37</v>
      </c>
      <c r="AE628" t="s">
        <v>37</v>
      </c>
      <c r="AF628" t="s">
        <v>37</v>
      </c>
      <c r="AG628" s="6" t="s">
        <v>37</v>
      </c>
      <c r="AH628" t="s">
        <v>37</v>
      </c>
      <c r="AI628" t="s">
        <v>37</v>
      </c>
      <c r="AJ628" t="str">
        <f t="shared" si="29"/>
        <v>7H9X1Z6SB07W6JNG11</v>
      </c>
    </row>
    <row r="629" spans="1:36" ht="15" customHeight="1" x14ac:dyDescent="0.25">
      <c r="A629" t="s">
        <v>36</v>
      </c>
      <c r="B629" t="s">
        <v>37</v>
      </c>
      <c r="C629" t="s">
        <v>37</v>
      </c>
      <c r="D629" t="s">
        <v>38</v>
      </c>
      <c r="E629" s="4">
        <v>4</v>
      </c>
      <c r="F629" s="5">
        <v>301.64</v>
      </c>
      <c r="G629" s="5" t="s">
        <v>39</v>
      </c>
      <c r="H629" s="5">
        <v>442.6</v>
      </c>
      <c r="I629" s="5" t="s">
        <v>39</v>
      </c>
      <c r="J629" s="5">
        <v>10.25576</v>
      </c>
      <c r="K629" s="5">
        <f t="shared" si="27"/>
        <v>2.5639400000000001</v>
      </c>
      <c r="L629" s="5">
        <f t="shared" si="28"/>
        <v>75.41</v>
      </c>
      <c r="M629" s="5" t="s">
        <v>39</v>
      </c>
      <c r="N629" s="5">
        <v>10.25576</v>
      </c>
      <c r="O629" s="5" t="s">
        <v>39</v>
      </c>
      <c r="P629" t="s">
        <v>137</v>
      </c>
      <c r="Q629" t="s">
        <v>492</v>
      </c>
      <c r="R629" t="s">
        <v>37</v>
      </c>
      <c r="S629" t="s">
        <v>493</v>
      </c>
      <c r="T629" t="s">
        <v>43</v>
      </c>
      <c r="U629" t="s">
        <v>44</v>
      </c>
      <c r="V629">
        <v>147</v>
      </c>
      <c r="W629" t="s">
        <v>45</v>
      </c>
      <c r="X629" t="s">
        <v>60</v>
      </c>
      <c r="Y629" t="s">
        <v>494</v>
      </c>
      <c r="Z629" t="s">
        <v>37</v>
      </c>
      <c r="AA629" t="s">
        <v>55</v>
      </c>
      <c r="AB629" t="s">
        <v>37</v>
      </c>
      <c r="AC629" s="6" t="s">
        <v>37</v>
      </c>
      <c r="AD629" s="6" t="s">
        <v>37</v>
      </c>
      <c r="AE629" t="s">
        <v>37</v>
      </c>
      <c r="AF629" t="s">
        <v>37</v>
      </c>
      <c r="AG629" s="6" t="s">
        <v>37</v>
      </c>
      <c r="AH629" t="s">
        <v>37</v>
      </c>
      <c r="AI629" t="s">
        <v>37</v>
      </c>
      <c r="AJ629" t="str">
        <f t="shared" si="29"/>
        <v>3UDP1VLYB07W7LMCF9</v>
      </c>
    </row>
    <row r="630" spans="1:36" ht="15" customHeight="1" x14ac:dyDescent="0.25">
      <c r="A630" t="s">
        <v>36</v>
      </c>
      <c r="B630" t="s">
        <v>37</v>
      </c>
      <c r="C630" t="s">
        <v>37</v>
      </c>
      <c r="D630" t="s">
        <v>38</v>
      </c>
      <c r="E630" s="4">
        <v>136</v>
      </c>
      <c r="F630" s="5">
        <v>9388.08</v>
      </c>
      <c r="G630" s="5" t="s">
        <v>39</v>
      </c>
      <c r="H630" s="5">
        <v>14380.64</v>
      </c>
      <c r="I630" s="5" t="s">
        <v>39</v>
      </c>
      <c r="J630" s="5">
        <v>319.19472000000002</v>
      </c>
      <c r="K630" s="5">
        <f t="shared" si="27"/>
        <v>2.3470200000000001</v>
      </c>
      <c r="L630" s="5">
        <f t="shared" si="28"/>
        <v>69.03</v>
      </c>
      <c r="M630" s="5" t="s">
        <v>39</v>
      </c>
      <c r="N630" s="5">
        <v>319.19472000000002</v>
      </c>
      <c r="O630" s="5" t="s">
        <v>39</v>
      </c>
      <c r="P630" t="s">
        <v>365</v>
      </c>
      <c r="Q630" t="s">
        <v>328</v>
      </c>
      <c r="R630" t="s">
        <v>37</v>
      </c>
      <c r="S630" t="s">
        <v>329</v>
      </c>
      <c r="T630" t="s">
        <v>43</v>
      </c>
      <c r="U630" t="s">
        <v>44</v>
      </c>
      <c r="V630">
        <v>147</v>
      </c>
      <c r="W630" t="s">
        <v>45</v>
      </c>
      <c r="X630" t="s">
        <v>239</v>
      </c>
      <c r="Y630" t="s">
        <v>330</v>
      </c>
      <c r="Z630" t="s">
        <v>37</v>
      </c>
      <c r="AA630" t="s">
        <v>55</v>
      </c>
      <c r="AB630" t="s">
        <v>37</v>
      </c>
      <c r="AC630" s="6" t="s">
        <v>37</v>
      </c>
      <c r="AD630" s="6" t="s">
        <v>37</v>
      </c>
      <c r="AE630" t="s">
        <v>37</v>
      </c>
      <c r="AF630" t="s">
        <v>37</v>
      </c>
      <c r="AG630" s="6" t="s">
        <v>37</v>
      </c>
      <c r="AH630" t="s">
        <v>37</v>
      </c>
      <c r="AI630" t="s">
        <v>37</v>
      </c>
      <c r="AJ630" t="str">
        <f t="shared" si="29"/>
        <v>3KYCEHVHB07MM4V7NR</v>
      </c>
    </row>
    <row r="631" spans="1:36" ht="15" customHeight="1" x14ac:dyDescent="0.25">
      <c r="A631" t="s">
        <v>127</v>
      </c>
      <c r="B631" t="s">
        <v>37</v>
      </c>
      <c r="C631" t="s">
        <v>37</v>
      </c>
      <c r="D631" t="s">
        <v>38</v>
      </c>
      <c r="E631" s="4">
        <v>8</v>
      </c>
      <c r="F631" s="5">
        <v>552.24</v>
      </c>
      <c r="G631" s="5" t="s">
        <v>39</v>
      </c>
      <c r="H631" s="5">
        <v>845.92</v>
      </c>
      <c r="I631" s="5" t="s">
        <v>39</v>
      </c>
      <c r="J631" s="5">
        <v>18.776160000000001</v>
      </c>
      <c r="K631" s="5">
        <f t="shared" si="27"/>
        <v>2.3470200000000001</v>
      </c>
      <c r="L631" s="5">
        <f t="shared" si="28"/>
        <v>69.03</v>
      </c>
      <c r="M631" s="5" t="s">
        <v>39</v>
      </c>
      <c r="N631" s="5">
        <v>18.776160000000001</v>
      </c>
      <c r="O631" s="5" t="s">
        <v>39</v>
      </c>
      <c r="P631" t="s">
        <v>365</v>
      </c>
      <c r="Q631" t="s">
        <v>328</v>
      </c>
      <c r="R631" t="s">
        <v>37</v>
      </c>
      <c r="S631" t="s">
        <v>329</v>
      </c>
      <c r="T631" t="s">
        <v>43</v>
      </c>
      <c r="U631" t="s">
        <v>44</v>
      </c>
      <c r="V631">
        <v>147</v>
      </c>
      <c r="W631" t="s">
        <v>45</v>
      </c>
      <c r="X631" t="s">
        <v>239</v>
      </c>
      <c r="Y631" t="s">
        <v>330</v>
      </c>
      <c r="Z631" t="s">
        <v>37</v>
      </c>
      <c r="AA631" t="s">
        <v>55</v>
      </c>
      <c r="AB631" t="s">
        <v>37</v>
      </c>
      <c r="AC631" s="6" t="s">
        <v>37</v>
      </c>
      <c r="AD631" s="6" t="s">
        <v>37</v>
      </c>
      <c r="AE631" t="s">
        <v>37</v>
      </c>
      <c r="AF631" t="s">
        <v>37</v>
      </c>
      <c r="AG631" s="6" t="s">
        <v>37</v>
      </c>
      <c r="AH631" t="s">
        <v>37</v>
      </c>
      <c r="AI631" t="s">
        <v>37</v>
      </c>
      <c r="AJ631" t="str">
        <f t="shared" si="29"/>
        <v>3KYCEHVHB07MM4V7NR</v>
      </c>
    </row>
    <row r="632" spans="1:36" ht="15" customHeight="1" x14ac:dyDescent="0.25">
      <c r="A632" t="s">
        <v>36</v>
      </c>
      <c r="B632" t="s">
        <v>37</v>
      </c>
      <c r="C632" t="s">
        <v>37</v>
      </c>
      <c r="D632" t="s">
        <v>38</v>
      </c>
      <c r="E632" s="4">
        <v>210</v>
      </c>
      <c r="F632" s="5">
        <v>3441.9</v>
      </c>
      <c r="G632" s="5" t="s">
        <v>39</v>
      </c>
      <c r="H632" s="5">
        <v>5161.8</v>
      </c>
      <c r="I632" s="5" t="s">
        <v>39</v>
      </c>
      <c r="J632" s="5">
        <v>117.02460000000001</v>
      </c>
      <c r="K632" s="5">
        <f t="shared" si="27"/>
        <v>0.55725999999999998</v>
      </c>
      <c r="L632" s="5">
        <f t="shared" si="28"/>
        <v>16.39</v>
      </c>
      <c r="M632" s="5" t="s">
        <v>39</v>
      </c>
      <c r="N632" s="5">
        <v>117.02460000000001</v>
      </c>
      <c r="O632" s="5" t="s">
        <v>39</v>
      </c>
      <c r="P632" t="s">
        <v>133</v>
      </c>
      <c r="Q632" t="s">
        <v>163</v>
      </c>
      <c r="R632" t="s">
        <v>164</v>
      </c>
      <c r="S632" t="s">
        <v>165</v>
      </c>
      <c r="T632" t="s">
        <v>43</v>
      </c>
      <c r="U632" t="s">
        <v>44</v>
      </c>
      <c r="V632">
        <v>147</v>
      </c>
      <c r="W632" t="s">
        <v>45</v>
      </c>
      <c r="X632" t="s">
        <v>53</v>
      </c>
      <c r="Y632" t="s">
        <v>166</v>
      </c>
      <c r="Z632" t="s">
        <v>37</v>
      </c>
      <c r="AA632" t="s">
        <v>48</v>
      </c>
      <c r="AB632" t="s">
        <v>37</v>
      </c>
      <c r="AC632" s="6" t="s">
        <v>37</v>
      </c>
      <c r="AD632" s="6" t="s">
        <v>37</v>
      </c>
      <c r="AE632" t="s">
        <v>37</v>
      </c>
      <c r="AF632" t="s">
        <v>37</v>
      </c>
      <c r="AG632" s="6" t="s">
        <v>37</v>
      </c>
      <c r="AH632" t="s">
        <v>37</v>
      </c>
      <c r="AI632" t="s">
        <v>37</v>
      </c>
      <c r="AJ632" t="str">
        <f t="shared" si="29"/>
        <v>36BT7GGLB01K7GEG9W</v>
      </c>
    </row>
    <row r="633" spans="1:36" ht="15" customHeight="1" x14ac:dyDescent="0.25">
      <c r="A633" t="s">
        <v>36</v>
      </c>
      <c r="B633" t="s">
        <v>37</v>
      </c>
      <c r="C633" t="s">
        <v>37</v>
      </c>
      <c r="D633" t="s">
        <v>38</v>
      </c>
      <c r="E633" s="4">
        <v>8</v>
      </c>
      <c r="F633" s="5">
        <v>257.68</v>
      </c>
      <c r="G633" s="5" t="s">
        <v>39</v>
      </c>
      <c r="H633" s="5">
        <v>386.8</v>
      </c>
      <c r="I633" s="5" t="s">
        <v>39</v>
      </c>
      <c r="J633" s="5">
        <v>8.76112</v>
      </c>
      <c r="K633" s="5">
        <f t="shared" si="27"/>
        <v>1.09514</v>
      </c>
      <c r="L633" s="5">
        <f t="shared" si="28"/>
        <v>32.21</v>
      </c>
      <c r="M633" s="5" t="s">
        <v>39</v>
      </c>
      <c r="N633" s="5">
        <v>8.76112</v>
      </c>
      <c r="O633" s="5" t="s">
        <v>39</v>
      </c>
      <c r="P633" t="s">
        <v>133</v>
      </c>
      <c r="Q633" t="s">
        <v>1108</v>
      </c>
      <c r="R633" t="s">
        <v>37</v>
      </c>
      <c r="S633" t="s">
        <v>1109</v>
      </c>
      <c r="T633" t="s">
        <v>43</v>
      </c>
      <c r="U633" t="s">
        <v>44</v>
      </c>
      <c r="V633">
        <v>147</v>
      </c>
      <c r="W633" t="s">
        <v>45</v>
      </c>
      <c r="X633" t="s">
        <v>356</v>
      </c>
      <c r="Y633" t="s">
        <v>1110</v>
      </c>
      <c r="Z633" t="s">
        <v>37</v>
      </c>
      <c r="AA633" t="s">
        <v>55</v>
      </c>
      <c r="AB633" t="s">
        <v>37</v>
      </c>
      <c r="AC633" s="6" t="s">
        <v>37</v>
      </c>
      <c r="AD633" s="6" t="s">
        <v>37</v>
      </c>
      <c r="AE633" t="s">
        <v>37</v>
      </c>
      <c r="AF633" t="s">
        <v>37</v>
      </c>
      <c r="AG633" s="6" t="s">
        <v>37</v>
      </c>
      <c r="AH633" t="s">
        <v>37</v>
      </c>
      <c r="AI633" t="s">
        <v>37</v>
      </c>
      <c r="AJ633" t="str">
        <f t="shared" si="29"/>
        <v>36BT7GGLB07W5JKKHL</v>
      </c>
    </row>
    <row r="634" spans="1:36" ht="15" customHeight="1" x14ac:dyDescent="0.25">
      <c r="A634" t="s">
        <v>96</v>
      </c>
      <c r="B634" t="s">
        <v>37</v>
      </c>
      <c r="C634" t="s">
        <v>37</v>
      </c>
      <c r="D634" t="s">
        <v>38</v>
      </c>
      <c r="E634" s="4">
        <v>20</v>
      </c>
      <c r="F634" s="5">
        <v>177.8</v>
      </c>
      <c r="G634" s="5" t="s">
        <v>39</v>
      </c>
      <c r="H634" s="5">
        <v>393.2</v>
      </c>
      <c r="I634" s="5" t="s">
        <v>39</v>
      </c>
      <c r="J634" s="5">
        <v>6.0452000000000004</v>
      </c>
      <c r="K634" s="5">
        <f t="shared" si="27"/>
        <v>0.30226000000000003</v>
      </c>
      <c r="L634" s="5">
        <f t="shared" si="28"/>
        <v>8.89</v>
      </c>
      <c r="M634" s="5" t="s">
        <v>39</v>
      </c>
      <c r="N634" s="5">
        <v>6.0452000000000004</v>
      </c>
      <c r="O634" s="5" t="s">
        <v>39</v>
      </c>
      <c r="P634" t="s">
        <v>969</v>
      </c>
      <c r="Q634" t="s">
        <v>690</v>
      </c>
      <c r="R634" t="s">
        <v>37</v>
      </c>
      <c r="S634" t="s">
        <v>691</v>
      </c>
      <c r="T634" t="s">
        <v>43</v>
      </c>
      <c r="U634" t="s">
        <v>44</v>
      </c>
      <c r="V634">
        <v>147</v>
      </c>
      <c r="W634" t="s">
        <v>45</v>
      </c>
      <c r="X634" t="s">
        <v>46</v>
      </c>
      <c r="Y634" t="s">
        <v>692</v>
      </c>
      <c r="Z634" t="s">
        <v>37</v>
      </c>
      <c r="AA634" t="s">
        <v>95</v>
      </c>
      <c r="AB634" t="s">
        <v>37</v>
      </c>
      <c r="AC634" s="6" t="s">
        <v>37</v>
      </c>
      <c r="AD634" s="6" t="s">
        <v>37</v>
      </c>
      <c r="AE634" t="s">
        <v>37</v>
      </c>
      <c r="AF634" t="s">
        <v>37</v>
      </c>
      <c r="AG634" s="6" t="s">
        <v>37</v>
      </c>
      <c r="AH634" t="s">
        <v>37</v>
      </c>
      <c r="AI634" t="s">
        <v>37</v>
      </c>
      <c r="AJ634" t="str">
        <f t="shared" si="29"/>
        <v>1VBBCE3CB07W5JJVFM</v>
      </c>
    </row>
    <row r="635" spans="1:36" ht="15" customHeight="1" x14ac:dyDescent="0.25">
      <c r="A635" t="s">
        <v>36</v>
      </c>
      <c r="B635" t="s">
        <v>37</v>
      </c>
      <c r="C635" t="s">
        <v>37</v>
      </c>
      <c r="D635" t="s">
        <v>38</v>
      </c>
      <c r="E635" s="4">
        <v>116</v>
      </c>
      <c r="F635" s="5">
        <v>4895.2</v>
      </c>
      <c r="G635" s="5" t="s">
        <v>39</v>
      </c>
      <c r="H635" s="5">
        <v>8080.56</v>
      </c>
      <c r="I635" s="5" t="s">
        <v>39</v>
      </c>
      <c r="J635" s="5">
        <v>166.43680000000001</v>
      </c>
      <c r="K635" s="5">
        <f t="shared" si="27"/>
        <v>1.4348000000000001</v>
      </c>
      <c r="L635" s="5">
        <f t="shared" si="28"/>
        <v>42.199999999999996</v>
      </c>
      <c r="M635" s="5" t="s">
        <v>39</v>
      </c>
      <c r="N635" s="5">
        <v>166.43680000000001</v>
      </c>
      <c r="O635" s="5" t="s">
        <v>39</v>
      </c>
      <c r="P635" t="s">
        <v>1317</v>
      </c>
      <c r="Q635" t="s">
        <v>897</v>
      </c>
      <c r="R635" t="s">
        <v>37</v>
      </c>
      <c r="S635" t="s">
        <v>898</v>
      </c>
      <c r="T635" t="s">
        <v>43</v>
      </c>
      <c r="U635" t="s">
        <v>44</v>
      </c>
      <c r="V635">
        <v>147</v>
      </c>
      <c r="W635" t="s">
        <v>45</v>
      </c>
      <c r="X635" t="s">
        <v>60</v>
      </c>
      <c r="Y635" t="s">
        <v>899</v>
      </c>
      <c r="Z635" t="s">
        <v>37</v>
      </c>
      <c r="AA635" t="s">
        <v>55</v>
      </c>
      <c r="AB635" t="s">
        <v>37</v>
      </c>
      <c r="AC635" s="6" t="s">
        <v>37</v>
      </c>
      <c r="AD635" s="6" t="s">
        <v>37</v>
      </c>
      <c r="AE635" t="s">
        <v>37</v>
      </c>
      <c r="AF635" t="s">
        <v>37</v>
      </c>
      <c r="AG635" s="6" t="s">
        <v>37</v>
      </c>
      <c r="AH635" t="s">
        <v>37</v>
      </c>
      <c r="AI635" t="s">
        <v>37</v>
      </c>
      <c r="AJ635" t="str">
        <f t="shared" si="29"/>
        <v>8ESGGO9XB07W4DH5GL</v>
      </c>
    </row>
    <row r="636" spans="1:36" ht="15" customHeight="1" x14ac:dyDescent="0.25">
      <c r="A636" t="s">
        <v>62</v>
      </c>
      <c r="B636" t="s">
        <v>37</v>
      </c>
      <c r="C636" t="s">
        <v>37</v>
      </c>
      <c r="D636" t="s">
        <v>38</v>
      </c>
      <c r="E636" s="4">
        <v>20</v>
      </c>
      <c r="F636" s="5">
        <v>1160</v>
      </c>
      <c r="G636" s="5" t="s">
        <v>39</v>
      </c>
      <c r="H636" s="5">
        <v>1704.8</v>
      </c>
      <c r="I636" s="5" t="s">
        <v>39</v>
      </c>
      <c r="J636" s="5">
        <v>39.44</v>
      </c>
      <c r="K636" s="5">
        <f t="shared" si="27"/>
        <v>1.972</v>
      </c>
      <c r="L636" s="5">
        <f t="shared" si="28"/>
        <v>58</v>
      </c>
      <c r="M636" s="5" t="s">
        <v>39</v>
      </c>
      <c r="N636" s="5">
        <v>39.44</v>
      </c>
      <c r="O636" s="5" t="s">
        <v>39</v>
      </c>
      <c r="P636" t="s">
        <v>63</v>
      </c>
      <c r="Q636" t="s">
        <v>575</v>
      </c>
      <c r="R636" t="s">
        <v>37</v>
      </c>
      <c r="S636" t="s">
        <v>576</v>
      </c>
      <c r="T636" t="s">
        <v>43</v>
      </c>
      <c r="U636" t="s">
        <v>44</v>
      </c>
      <c r="V636">
        <v>147</v>
      </c>
      <c r="W636" t="s">
        <v>45</v>
      </c>
      <c r="X636" t="s">
        <v>53</v>
      </c>
      <c r="Y636" t="s">
        <v>577</v>
      </c>
      <c r="Z636" t="s">
        <v>37</v>
      </c>
      <c r="AA636" t="s">
        <v>55</v>
      </c>
      <c r="AB636" t="s">
        <v>37</v>
      </c>
      <c r="AC636" s="6" t="s">
        <v>37</v>
      </c>
      <c r="AD636" s="6" t="s">
        <v>37</v>
      </c>
      <c r="AE636" t="s">
        <v>37</v>
      </c>
      <c r="AF636" t="s">
        <v>37</v>
      </c>
      <c r="AG636" s="6" t="s">
        <v>37</v>
      </c>
      <c r="AH636" t="s">
        <v>37</v>
      </c>
      <c r="AI636" t="s">
        <v>37</v>
      </c>
      <c r="AJ636" t="str">
        <f t="shared" si="29"/>
        <v>7H9X1Z6SB07W7KCF3W</v>
      </c>
    </row>
    <row r="637" spans="1:36" ht="15" customHeight="1" x14ac:dyDescent="0.25">
      <c r="A637" t="s">
        <v>62</v>
      </c>
      <c r="B637" t="s">
        <v>37</v>
      </c>
      <c r="C637" t="s">
        <v>37</v>
      </c>
      <c r="D637" t="s">
        <v>38</v>
      </c>
      <c r="E637" s="4">
        <v>8</v>
      </c>
      <c r="F637" s="5">
        <v>737.92</v>
      </c>
      <c r="G637" s="5" t="s">
        <v>39</v>
      </c>
      <c r="H637" s="5">
        <v>1042.6400000000001</v>
      </c>
      <c r="I637" s="5" t="s">
        <v>39</v>
      </c>
      <c r="J637" s="5">
        <v>25.089279999999999</v>
      </c>
      <c r="K637" s="5">
        <f t="shared" si="27"/>
        <v>3.1361599999999998</v>
      </c>
      <c r="L637" s="5">
        <f t="shared" si="28"/>
        <v>92.24</v>
      </c>
      <c r="M637" s="5" t="s">
        <v>39</v>
      </c>
      <c r="N637" s="5">
        <v>25.089279999999999</v>
      </c>
      <c r="O637" s="5" t="s">
        <v>39</v>
      </c>
      <c r="P637" t="s">
        <v>177</v>
      </c>
      <c r="Q637" t="s">
        <v>408</v>
      </c>
      <c r="R637" t="s">
        <v>37</v>
      </c>
      <c r="S637" t="s">
        <v>409</v>
      </c>
      <c r="T637" t="s">
        <v>43</v>
      </c>
      <c r="U637" t="s">
        <v>44</v>
      </c>
      <c r="V637">
        <v>147</v>
      </c>
      <c r="W637" t="s">
        <v>45</v>
      </c>
      <c r="X637" t="s">
        <v>60</v>
      </c>
      <c r="Y637" t="s">
        <v>410</v>
      </c>
      <c r="Z637" t="s">
        <v>37</v>
      </c>
      <c r="AA637" t="s">
        <v>55</v>
      </c>
      <c r="AB637" t="s">
        <v>37</v>
      </c>
      <c r="AC637" s="6" t="s">
        <v>37</v>
      </c>
      <c r="AD637" s="6" t="s">
        <v>37</v>
      </c>
      <c r="AE637" t="s">
        <v>37</v>
      </c>
      <c r="AF637" t="s">
        <v>37</v>
      </c>
      <c r="AG637" s="6" t="s">
        <v>37</v>
      </c>
      <c r="AH637" t="s">
        <v>37</v>
      </c>
      <c r="AI637" t="s">
        <v>37</v>
      </c>
      <c r="AJ637" t="str">
        <f t="shared" si="29"/>
        <v>4F3XMHTVB07W6GVHD8</v>
      </c>
    </row>
    <row r="638" spans="1:36" ht="15" customHeight="1" x14ac:dyDescent="0.25">
      <c r="A638" t="s">
        <v>118</v>
      </c>
      <c r="B638" t="s">
        <v>37</v>
      </c>
      <c r="C638" t="s">
        <v>37</v>
      </c>
      <c r="D638" t="s">
        <v>38</v>
      </c>
      <c r="E638" s="4">
        <v>20</v>
      </c>
      <c r="F638" s="5">
        <v>177.8</v>
      </c>
      <c r="G638" s="5" t="s">
        <v>39</v>
      </c>
      <c r="H638" s="5">
        <v>393.2</v>
      </c>
      <c r="I638" s="5" t="s">
        <v>39</v>
      </c>
      <c r="J638" s="5">
        <v>6.0452000000000004</v>
      </c>
      <c r="K638" s="5">
        <f t="shared" si="27"/>
        <v>0.30226000000000003</v>
      </c>
      <c r="L638" s="5">
        <f t="shared" si="28"/>
        <v>8.89</v>
      </c>
      <c r="M638" s="5" t="s">
        <v>39</v>
      </c>
      <c r="N638" s="5">
        <v>6.0452000000000004</v>
      </c>
      <c r="O638" s="5" t="s">
        <v>39</v>
      </c>
      <c r="P638" t="s">
        <v>202</v>
      </c>
      <c r="Q638" t="s">
        <v>690</v>
      </c>
      <c r="R638" t="s">
        <v>37</v>
      </c>
      <c r="S638" t="s">
        <v>691</v>
      </c>
      <c r="T638" t="s">
        <v>43</v>
      </c>
      <c r="U638" t="s">
        <v>44</v>
      </c>
      <c r="V638">
        <v>147</v>
      </c>
      <c r="W638" t="s">
        <v>45</v>
      </c>
      <c r="X638" t="s">
        <v>46</v>
      </c>
      <c r="Y638" t="s">
        <v>692</v>
      </c>
      <c r="Z638" t="s">
        <v>37</v>
      </c>
      <c r="AA638" t="s">
        <v>95</v>
      </c>
      <c r="AB638" t="s">
        <v>37</v>
      </c>
      <c r="AC638" s="6" t="s">
        <v>37</v>
      </c>
      <c r="AD638" s="6" t="s">
        <v>37</v>
      </c>
      <c r="AE638" t="s">
        <v>37</v>
      </c>
      <c r="AF638" t="s">
        <v>37</v>
      </c>
      <c r="AG638" s="6" t="s">
        <v>37</v>
      </c>
      <c r="AH638" t="s">
        <v>37</v>
      </c>
      <c r="AI638" t="s">
        <v>37</v>
      </c>
      <c r="AJ638" t="str">
        <f t="shared" si="29"/>
        <v>39TAD6PCB07W5JJVFM</v>
      </c>
    </row>
    <row r="639" spans="1:36" ht="15" customHeight="1" x14ac:dyDescent="0.25">
      <c r="A639" t="s">
        <v>62</v>
      </c>
      <c r="B639" t="s">
        <v>37</v>
      </c>
      <c r="C639" t="s">
        <v>37</v>
      </c>
      <c r="D639" t="s">
        <v>38</v>
      </c>
      <c r="E639" s="4">
        <v>72</v>
      </c>
      <c r="F639" s="5">
        <v>1709.28</v>
      </c>
      <c r="G639" s="5" t="s">
        <v>39</v>
      </c>
      <c r="H639" s="5">
        <v>2832.48</v>
      </c>
      <c r="I639" s="5" t="s">
        <v>39</v>
      </c>
      <c r="J639" s="5">
        <v>58.115519999999997</v>
      </c>
      <c r="K639" s="5">
        <f t="shared" si="27"/>
        <v>0.80715999999999999</v>
      </c>
      <c r="L639" s="5">
        <f t="shared" si="28"/>
        <v>23.74</v>
      </c>
      <c r="M639" s="5" t="s">
        <v>39</v>
      </c>
      <c r="N639" s="5">
        <v>58.115519999999997</v>
      </c>
      <c r="O639" s="5" t="s">
        <v>39</v>
      </c>
      <c r="P639" t="s">
        <v>320</v>
      </c>
      <c r="Q639" t="s">
        <v>121</v>
      </c>
      <c r="R639" t="s">
        <v>37</v>
      </c>
      <c r="S639" t="s">
        <v>122</v>
      </c>
      <c r="T639" t="s">
        <v>43</v>
      </c>
      <c r="U639" t="s">
        <v>44</v>
      </c>
      <c r="V639">
        <v>147</v>
      </c>
      <c r="W639" t="s">
        <v>45</v>
      </c>
      <c r="X639" t="s">
        <v>53</v>
      </c>
      <c r="Y639" t="s">
        <v>123</v>
      </c>
      <c r="Z639" t="s">
        <v>37</v>
      </c>
      <c r="AA639" t="s">
        <v>95</v>
      </c>
      <c r="AB639" t="s">
        <v>37</v>
      </c>
      <c r="AC639" s="6" t="s">
        <v>37</v>
      </c>
      <c r="AD639" s="6" t="s">
        <v>37</v>
      </c>
      <c r="AE639" t="s">
        <v>37</v>
      </c>
      <c r="AF639" t="s">
        <v>37</v>
      </c>
      <c r="AG639" s="6" t="s">
        <v>37</v>
      </c>
      <c r="AH639" t="s">
        <v>37</v>
      </c>
      <c r="AI639" t="s">
        <v>37</v>
      </c>
      <c r="AJ639" t="str">
        <f t="shared" si="29"/>
        <v>8BG295LIB07W6HBBMH</v>
      </c>
    </row>
    <row r="640" spans="1:36" ht="15" customHeight="1" x14ac:dyDescent="0.25">
      <c r="A640" t="s">
        <v>504</v>
      </c>
      <c r="B640" t="s">
        <v>37</v>
      </c>
      <c r="C640" t="s">
        <v>37</v>
      </c>
      <c r="D640" t="s">
        <v>38</v>
      </c>
      <c r="E640" s="4">
        <v>4</v>
      </c>
      <c r="F640" s="5">
        <v>252.92</v>
      </c>
      <c r="G640" s="5" t="s">
        <v>39</v>
      </c>
      <c r="H640" s="5">
        <v>340.96</v>
      </c>
      <c r="I640" s="5" t="s">
        <v>39</v>
      </c>
      <c r="J640" s="5">
        <v>8.5992800000000003</v>
      </c>
      <c r="K640" s="5">
        <f t="shared" si="27"/>
        <v>2.1498200000000001</v>
      </c>
      <c r="L640" s="5">
        <f t="shared" si="28"/>
        <v>63.23</v>
      </c>
      <c r="M640" s="5" t="s">
        <v>39</v>
      </c>
      <c r="N640" s="5">
        <v>8.5992800000000003</v>
      </c>
      <c r="O640" s="5" t="s">
        <v>39</v>
      </c>
      <c r="P640" t="s">
        <v>168</v>
      </c>
      <c r="Q640" t="s">
        <v>1318</v>
      </c>
      <c r="R640" t="s">
        <v>1319</v>
      </c>
      <c r="S640" t="s">
        <v>1320</v>
      </c>
      <c r="T640" t="s">
        <v>43</v>
      </c>
      <c r="U640" t="s">
        <v>44</v>
      </c>
      <c r="V640">
        <v>147</v>
      </c>
      <c r="W640" t="s">
        <v>45</v>
      </c>
      <c r="X640" t="s">
        <v>239</v>
      </c>
      <c r="Y640" t="s">
        <v>1321</v>
      </c>
      <c r="Z640" t="s">
        <v>37</v>
      </c>
      <c r="AA640" t="s">
        <v>48</v>
      </c>
      <c r="AB640" t="s">
        <v>37</v>
      </c>
      <c r="AC640" s="6" t="s">
        <v>37</v>
      </c>
      <c r="AD640" s="6" t="s">
        <v>37</v>
      </c>
      <c r="AE640" t="s">
        <v>37</v>
      </c>
      <c r="AF640" t="s">
        <v>37</v>
      </c>
      <c r="AG640" s="6" t="s">
        <v>37</v>
      </c>
      <c r="AH640" t="s">
        <v>37</v>
      </c>
      <c r="AI640" t="s">
        <v>37</v>
      </c>
      <c r="AJ640" t="str">
        <f t="shared" si="29"/>
        <v>2R6FMUZDB006A2Q81M</v>
      </c>
    </row>
    <row r="641" spans="1:36" ht="15" customHeight="1" x14ac:dyDescent="0.25">
      <c r="A641" t="s">
        <v>101</v>
      </c>
      <c r="B641" t="s">
        <v>37</v>
      </c>
      <c r="C641" t="s">
        <v>37</v>
      </c>
      <c r="D641" t="s">
        <v>38</v>
      </c>
      <c r="E641" s="4">
        <v>12</v>
      </c>
      <c r="F641" s="5">
        <v>556.79999999999995</v>
      </c>
      <c r="G641" s="5" t="s">
        <v>39</v>
      </c>
      <c r="H641" s="5">
        <v>806.4</v>
      </c>
      <c r="I641" s="5" t="s">
        <v>39</v>
      </c>
      <c r="J641" s="5">
        <v>18.9312</v>
      </c>
      <c r="K641" s="5">
        <f t="shared" si="27"/>
        <v>1.5776000000000001</v>
      </c>
      <c r="L641" s="5">
        <f t="shared" si="28"/>
        <v>46.4</v>
      </c>
      <c r="M641" s="5" t="s">
        <v>39</v>
      </c>
      <c r="N641" s="5">
        <v>18.9312</v>
      </c>
      <c r="O641" s="5" t="s">
        <v>39</v>
      </c>
      <c r="P641" t="s">
        <v>274</v>
      </c>
      <c r="Q641" t="s">
        <v>1322</v>
      </c>
      <c r="R641" t="s">
        <v>37</v>
      </c>
      <c r="S641" t="s">
        <v>1323</v>
      </c>
      <c r="T641" t="s">
        <v>43</v>
      </c>
      <c r="U641" t="s">
        <v>44</v>
      </c>
      <c r="V641">
        <v>147</v>
      </c>
      <c r="W641" t="s">
        <v>45</v>
      </c>
      <c r="X641" t="s">
        <v>53</v>
      </c>
      <c r="Y641" t="s">
        <v>1324</v>
      </c>
      <c r="Z641" t="s">
        <v>37</v>
      </c>
      <c r="AA641" t="s">
        <v>55</v>
      </c>
      <c r="AB641" t="s">
        <v>37</v>
      </c>
      <c r="AC641" s="6" t="s">
        <v>37</v>
      </c>
      <c r="AD641" s="6" t="s">
        <v>37</v>
      </c>
      <c r="AE641" t="s">
        <v>37</v>
      </c>
      <c r="AF641" t="s">
        <v>37</v>
      </c>
      <c r="AG641" s="6" t="s">
        <v>37</v>
      </c>
      <c r="AH641" t="s">
        <v>37</v>
      </c>
      <c r="AI641" t="s">
        <v>37</v>
      </c>
      <c r="AJ641" t="str">
        <f t="shared" si="29"/>
        <v>4LYATDUXB0B8W3JR26</v>
      </c>
    </row>
    <row r="642" spans="1:36" ht="15" customHeight="1" x14ac:dyDescent="0.25">
      <c r="A642" t="s">
        <v>96</v>
      </c>
      <c r="B642" t="s">
        <v>37</v>
      </c>
      <c r="C642" t="s">
        <v>37</v>
      </c>
      <c r="D642" t="s">
        <v>38</v>
      </c>
      <c r="E642" s="4">
        <v>8</v>
      </c>
      <c r="F642" s="5">
        <v>470.32</v>
      </c>
      <c r="G642" s="5" t="s">
        <v>39</v>
      </c>
      <c r="H642" s="5">
        <v>557.28</v>
      </c>
      <c r="I642" s="5" t="s">
        <v>39</v>
      </c>
      <c r="J642" s="5">
        <v>15.990880000000001</v>
      </c>
      <c r="K642" s="5">
        <f t="shared" si="27"/>
        <v>1.9988600000000001</v>
      </c>
      <c r="L642" s="5">
        <f t="shared" si="28"/>
        <v>58.79</v>
      </c>
      <c r="M642" s="5" t="s">
        <v>39</v>
      </c>
      <c r="N642" s="5">
        <v>15.990880000000001</v>
      </c>
      <c r="O642" s="5" t="s">
        <v>39</v>
      </c>
      <c r="P642" t="s">
        <v>222</v>
      </c>
      <c r="Q642" t="s">
        <v>592</v>
      </c>
      <c r="R642" t="s">
        <v>593</v>
      </c>
      <c r="S642" t="s">
        <v>594</v>
      </c>
      <c r="T642" t="s">
        <v>43</v>
      </c>
      <c r="U642" t="s">
        <v>44</v>
      </c>
      <c r="V642">
        <v>267</v>
      </c>
      <c r="W642" t="s">
        <v>151</v>
      </c>
      <c r="X642" t="s">
        <v>152</v>
      </c>
      <c r="Y642" t="s">
        <v>595</v>
      </c>
      <c r="Z642" t="s">
        <v>37</v>
      </c>
      <c r="AA642" t="s">
        <v>95</v>
      </c>
      <c r="AB642" t="s">
        <v>37</v>
      </c>
      <c r="AC642" s="6" t="s">
        <v>37</v>
      </c>
      <c r="AD642" s="6" t="s">
        <v>37</v>
      </c>
      <c r="AE642" t="s">
        <v>37</v>
      </c>
      <c r="AF642" t="s">
        <v>37</v>
      </c>
      <c r="AG642" s="6" t="s">
        <v>37</v>
      </c>
      <c r="AH642" t="s">
        <v>37</v>
      </c>
      <c r="AI642" t="s">
        <v>37</v>
      </c>
      <c r="AJ642" t="str">
        <f t="shared" si="29"/>
        <v>2F7Y5WIXB000EOPQ7E</v>
      </c>
    </row>
    <row r="643" spans="1:36" ht="15" customHeight="1" x14ac:dyDescent="0.25">
      <c r="A643" t="s">
        <v>36</v>
      </c>
      <c r="B643" t="s">
        <v>37</v>
      </c>
      <c r="C643" t="s">
        <v>37</v>
      </c>
      <c r="D643" t="s">
        <v>38</v>
      </c>
      <c r="E643" s="4">
        <v>90</v>
      </c>
      <c r="F643" s="5">
        <v>1475.1</v>
      </c>
      <c r="G643" s="5" t="s">
        <v>39</v>
      </c>
      <c r="H643" s="5">
        <v>2212.1999999999998</v>
      </c>
      <c r="I643" s="5" t="s">
        <v>39</v>
      </c>
      <c r="J643" s="5">
        <v>50.153399999999998</v>
      </c>
      <c r="K643" s="5">
        <f t="shared" ref="K643:K706" si="30">J643/E643</f>
        <v>0.55725999999999998</v>
      </c>
      <c r="L643" s="5">
        <f t="shared" ref="L643:L706" si="31">F643/E643</f>
        <v>16.39</v>
      </c>
      <c r="M643" s="5" t="s">
        <v>39</v>
      </c>
      <c r="N643" s="5">
        <v>50.153399999999998</v>
      </c>
      <c r="O643" s="5" t="s">
        <v>39</v>
      </c>
      <c r="P643" t="s">
        <v>119</v>
      </c>
      <c r="Q643" t="s">
        <v>1325</v>
      </c>
      <c r="R643" t="s">
        <v>37</v>
      </c>
      <c r="S643" t="s">
        <v>1326</v>
      </c>
      <c r="T643" t="s">
        <v>43</v>
      </c>
      <c r="U643" t="s">
        <v>44</v>
      </c>
      <c r="V643">
        <v>147</v>
      </c>
      <c r="W643" t="s">
        <v>45</v>
      </c>
      <c r="X643" t="s">
        <v>53</v>
      </c>
      <c r="Y643" t="s">
        <v>1327</v>
      </c>
      <c r="Z643" t="s">
        <v>37</v>
      </c>
      <c r="AA643" t="s">
        <v>48</v>
      </c>
      <c r="AB643" t="s">
        <v>37</v>
      </c>
      <c r="AC643" s="6" t="s">
        <v>37</v>
      </c>
      <c r="AD643" s="6" t="s">
        <v>37</v>
      </c>
      <c r="AE643" t="s">
        <v>37</v>
      </c>
      <c r="AF643" t="s">
        <v>37</v>
      </c>
      <c r="AG643" s="6" t="s">
        <v>37</v>
      </c>
      <c r="AH643" t="s">
        <v>37</v>
      </c>
      <c r="AI643" t="s">
        <v>37</v>
      </c>
      <c r="AJ643" t="str">
        <f t="shared" ref="AJ643:AJ706" si="32">P643&amp;Q643</f>
        <v>31DJDC7QB01K7GEAF2</v>
      </c>
    </row>
    <row r="644" spans="1:36" ht="15" customHeight="1" x14ac:dyDescent="0.25">
      <c r="A644" t="s">
        <v>118</v>
      </c>
      <c r="B644" t="s">
        <v>37</v>
      </c>
      <c r="C644" t="s">
        <v>37</v>
      </c>
      <c r="D644" t="s">
        <v>38</v>
      </c>
      <c r="E644" s="4">
        <v>474</v>
      </c>
      <c r="F644" s="5">
        <v>13746</v>
      </c>
      <c r="G644" s="5" t="s">
        <v>39</v>
      </c>
      <c r="H644" s="5">
        <v>20974.5</v>
      </c>
      <c r="I644" s="5" t="s">
        <v>39</v>
      </c>
      <c r="J644" s="5">
        <v>467.36399999999998</v>
      </c>
      <c r="K644" s="5">
        <f t="shared" si="30"/>
        <v>0.98599999999999999</v>
      </c>
      <c r="L644" s="5">
        <f t="shared" si="31"/>
        <v>29</v>
      </c>
      <c r="M644" s="5" t="s">
        <v>39</v>
      </c>
      <c r="N644" s="5">
        <v>467.36399999999998</v>
      </c>
      <c r="O644" s="5" t="s">
        <v>39</v>
      </c>
      <c r="P644" t="s">
        <v>462</v>
      </c>
      <c r="Q644" t="s">
        <v>541</v>
      </c>
      <c r="R644" t="s">
        <v>37</v>
      </c>
      <c r="S644" t="s">
        <v>542</v>
      </c>
      <c r="T644" t="s">
        <v>43</v>
      </c>
      <c r="U644" t="s">
        <v>44</v>
      </c>
      <c r="V644">
        <v>147</v>
      </c>
      <c r="W644" t="s">
        <v>92</v>
      </c>
      <c r="X644" t="s">
        <v>543</v>
      </c>
      <c r="Y644" t="s">
        <v>544</v>
      </c>
      <c r="Z644" t="s">
        <v>37</v>
      </c>
      <c r="AA644" t="s">
        <v>55</v>
      </c>
      <c r="AB644" t="s">
        <v>37</v>
      </c>
      <c r="AC644" s="6" t="s">
        <v>37</v>
      </c>
      <c r="AD644" s="6" t="s">
        <v>37</v>
      </c>
      <c r="AE644" t="s">
        <v>37</v>
      </c>
      <c r="AF644" t="s">
        <v>37</v>
      </c>
      <c r="AG644" s="6" t="s">
        <v>37</v>
      </c>
      <c r="AH644" t="s">
        <v>37</v>
      </c>
      <c r="AI644" t="s">
        <v>37</v>
      </c>
      <c r="AJ644" t="str">
        <f t="shared" si="32"/>
        <v>17D6YHERB07W7LF6F1</v>
      </c>
    </row>
    <row r="645" spans="1:36" ht="15" customHeight="1" x14ac:dyDescent="0.25">
      <c r="A645" t="s">
        <v>36</v>
      </c>
      <c r="B645" t="s">
        <v>37</v>
      </c>
      <c r="C645" t="s">
        <v>37</v>
      </c>
      <c r="D645" t="s">
        <v>38</v>
      </c>
      <c r="E645" s="4">
        <v>32</v>
      </c>
      <c r="F645" s="5">
        <v>2413.12</v>
      </c>
      <c r="G645" s="5" t="s">
        <v>39</v>
      </c>
      <c r="H645" s="5">
        <v>3540.8</v>
      </c>
      <c r="I645" s="5" t="s">
        <v>39</v>
      </c>
      <c r="J645" s="5">
        <v>82.046080000000003</v>
      </c>
      <c r="K645" s="5">
        <f t="shared" si="30"/>
        <v>2.5639400000000001</v>
      </c>
      <c r="L645" s="5">
        <f t="shared" si="31"/>
        <v>75.41</v>
      </c>
      <c r="M645" s="5" t="s">
        <v>39</v>
      </c>
      <c r="N645" s="5">
        <v>82.046080000000003</v>
      </c>
      <c r="O645" s="5" t="s">
        <v>39</v>
      </c>
      <c r="P645" t="s">
        <v>270</v>
      </c>
      <c r="Q645" t="s">
        <v>1145</v>
      </c>
      <c r="R645" t="s">
        <v>37</v>
      </c>
      <c r="S645" t="s">
        <v>1146</v>
      </c>
      <c r="T645" t="s">
        <v>43</v>
      </c>
      <c r="U645" t="s">
        <v>44</v>
      </c>
      <c r="V645">
        <v>147</v>
      </c>
      <c r="W645" t="s">
        <v>45</v>
      </c>
      <c r="X645" t="s">
        <v>46</v>
      </c>
      <c r="Y645" t="s">
        <v>1147</v>
      </c>
      <c r="Z645" t="s">
        <v>37</v>
      </c>
      <c r="AA645" t="s">
        <v>55</v>
      </c>
      <c r="AB645" t="s">
        <v>37</v>
      </c>
      <c r="AC645" s="6" t="s">
        <v>37</v>
      </c>
      <c r="AD645" s="6" t="s">
        <v>37</v>
      </c>
      <c r="AE645" t="s">
        <v>37</v>
      </c>
      <c r="AF645" t="s">
        <v>37</v>
      </c>
      <c r="AG645" s="6" t="s">
        <v>37</v>
      </c>
      <c r="AH645" t="s">
        <v>37</v>
      </c>
      <c r="AI645" t="s">
        <v>37</v>
      </c>
      <c r="AJ645" t="str">
        <f t="shared" si="32"/>
        <v>1X4DXX4TB07W6GNXZF</v>
      </c>
    </row>
    <row r="646" spans="1:36" ht="15" customHeight="1" x14ac:dyDescent="0.25">
      <c r="A646" t="s">
        <v>36</v>
      </c>
      <c r="B646" t="s">
        <v>37</v>
      </c>
      <c r="C646" t="s">
        <v>37</v>
      </c>
      <c r="D646" t="s">
        <v>38</v>
      </c>
      <c r="E646" s="4">
        <v>32</v>
      </c>
      <c r="F646" s="5">
        <v>2208.96</v>
      </c>
      <c r="G646" s="5" t="s">
        <v>39</v>
      </c>
      <c r="H646" s="5">
        <v>3383.68</v>
      </c>
      <c r="I646" s="5" t="s">
        <v>39</v>
      </c>
      <c r="J646" s="5">
        <v>75.104640000000003</v>
      </c>
      <c r="K646" s="5">
        <f t="shared" si="30"/>
        <v>2.3470200000000001</v>
      </c>
      <c r="L646" s="5">
        <f t="shared" si="31"/>
        <v>69.03</v>
      </c>
      <c r="M646" s="5" t="s">
        <v>39</v>
      </c>
      <c r="N646" s="5">
        <v>75.104640000000003</v>
      </c>
      <c r="O646" s="5" t="s">
        <v>39</v>
      </c>
      <c r="P646" t="s">
        <v>270</v>
      </c>
      <c r="Q646" t="s">
        <v>1164</v>
      </c>
      <c r="R646" t="s">
        <v>37</v>
      </c>
      <c r="S646" t="s">
        <v>1165</v>
      </c>
      <c r="T646" t="s">
        <v>43</v>
      </c>
      <c r="U646" t="s">
        <v>44</v>
      </c>
      <c r="V646">
        <v>23</v>
      </c>
      <c r="W646" t="s">
        <v>218</v>
      </c>
      <c r="X646" t="s">
        <v>219</v>
      </c>
      <c r="Y646" t="s">
        <v>1166</v>
      </c>
      <c r="Z646" t="s">
        <v>37</v>
      </c>
      <c r="AA646" t="s">
        <v>95</v>
      </c>
      <c r="AB646" t="s">
        <v>37</v>
      </c>
      <c r="AC646" s="6" t="s">
        <v>37</v>
      </c>
      <c r="AD646" s="6" t="s">
        <v>37</v>
      </c>
      <c r="AE646" t="s">
        <v>37</v>
      </c>
      <c r="AF646" t="s">
        <v>37</v>
      </c>
      <c r="AG646" s="6" t="s">
        <v>37</v>
      </c>
      <c r="AH646" t="s">
        <v>37</v>
      </c>
      <c r="AI646" t="s">
        <v>37</v>
      </c>
      <c r="AJ646" t="str">
        <f t="shared" si="32"/>
        <v>1X4DXX4TB07W7JYN4P</v>
      </c>
    </row>
    <row r="647" spans="1:36" ht="15" customHeight="1" x14ac:dyDescent="0.25">
      <c r="A647" t="s">
        <v>118</v>
      </c>
      <c r="B647" t="s">
        <v>37</v>
      </c>
      <c r="C647" t="s">
        <v>37</v>
      </c>
      <c r="D647" t="s">
        <v>38</v>
      </c>
      <c r="E647" s="4">
        <v>16</v>
      </c>
      <c r="F647" s="5">
        <v>515.36</v>
      </c>
      <c r="G647" s="5" t="s">
        <v>39</v>
      </c>
      <c r="H647" s="5">
        <v>629.44000000000005</v>
      </c>
      <c r="I647" s="5" t="s">
        <v>39</v>
      </c>
      <c r="J647" s="5">
        <v>17.52224</v>
      </c>
      <c r="K647" s="5">
        <f t="shared" si="30"/>
        <v>1.09514</v>
      </c>
      <c r="L647" s="5">
        <f t="shared" si="31"/>
        <v>32.21</v>
      </c>
      <c r="M647" s="5" t="s">
        <v>39</v>
      </c>
      <c r="N647" s="5">
        <v>17.52224</v>
      </c>
      <c r="O647" s="5" t="s">
        <v>39</v>
      </c>
      <c r="P647" t="s">
        <v>119</v>
      </c>
      <c r="Q647" t="s">
        <v>1328</v>
      </c>
      <c r="R647" t="s">
        <v>37</v>
      </c>
      <c r="S647" t="s">
        <v>1329</v>
      </c>
      <c r="T647" t="s">
        <v>43</v>
      </c>
      <c r="U647" t="s">
        <v>44</v>
      </c>
      <c r="V647">
        <v>147</v>
      </c>
      <c r="W647" t="s">
        <v>45</v>
      </c>
      <c r="X647" t="s">
        <v>60</v>
      </c>
      <c r="Y647" t="s">
        <v>1330</v>
      </c>
      <c r="Z647" t="s">
        <v>37</v>
      </c>
      <c r="AA647" t="s">
        <v>55</v>
      </c>
      <c r="AB647" t="s">
        <v>37</v>
      </c>
      <c r="AC647" s="6" t="s">
        <v>37</v>
      </c>
      <c r="AD647" s="6" t="s">
        <v>37</v>
      </c>
      <c r="AE647" t="s">
        <v>37</v>
      </c>
      <c r="AF647" t="s">
        <v>37</v>
      </c>
      <c r="AG647" s="6" t="s">
        <v>37</v>
      </c>
      <c r="AH647" t="s">
        <v>37</v>
      </c>
      <c r="AI647" t="s">
        <v>37</v>
      </c>
      <c r="AJ647" t="str">
        <f t="shared" si="32"/>
        <v>31DJDC7QB00MWNDVIG</v>
      </c>
    </row>
    <row r="648" spans="1:36" ht="15" customHeight="1" x14ac:dyDescent="0.25">
      <c r="A648" t="s">
        <v>127</v>
      </c>
      <c r="B648" t="s">
        <v>37</v>
      </c>
      <c r="C648" t="s">
        <v>37</v>
      </c>
      <c r="D648" t="s">
        <v>38</v>
      </c>
      <c r="E648" s="4">
        <v>10</v>
      </c>
      <c r="F648" s="5">
        <v>439.2</v>
      </c>
      <c r="G648" s="5" t="s">
        <v>39</v>
      </c>
      <c r="H648" s="5">
        <v>655.7</v>
      </c>
      <c r="I648" s="5" t="s">
        <v>39</v>
      </c>
      <c r="J648" s="5">
        <v>14.9328</v>
      </c>
      <c r="K648" s="5">
        <f t="shared" si="30"/>
        <v>1.4932799999999999</v>
      </c>
      <c r="L648" s="5">
        <f t="shared" si="31"/>
        <v>43.92</v>
      </c>
      <c r="M648" s="5" t="s">
        <v>39</v>
      </c>
      <c r="N648" s="5">
        <v>14.9328</v>
      </c>
      <c r="O648" s="5" t="s">
        <v>39</v>
      </c>
      <c r="P648" t="s">
        <v>67</v>
      </c>
      <c r="Q648" t="s">
        <v>1331</v>
      </c>
      <c r="R648" t="s">
        <v>37</v>
      </c>
      <c r="S648" t="s">
        <v>1332</v>
      </c>
      <c r="T648" t="s">
        <v>43</v>
      </c>
      <c r="U648" t="s">
        <v>44</v>
      </c>
      <c r="V648">
        <v>147</v>
      </c>
      <c r="W648" t="s">
        <v>45</v>
      </c>
      <c r="X648" t="s">
        <v>53</v>
      </c>
      <c r="Y648" t="s">
        <v>1333</v>
      </c>
      <c r="Z648" t="s">
        <v>37</v>
      </c>
      <c r="AA648" t="s">
        <v>48</v>
      </c>
      <c r="AB648" t="s">
        <v>37</v>
      </c>
      <c r="AC648" s="6" t="s">
        <v>37</v>
      </c>
      <c r="AD648" s="6" t="s">
        <v>37</v>
      </c>
      <c r="AE648" t="s">
        <v>37</v>
      </c>
      <c r="AF648" t="s">
        <v>37</v>
      </c>
      <c r="AG648" s="6" t="s">
        <v>37</v>
      </c>
      <c r="AH648" t="s">
        <v>37</v>
      </c>
      <c r="AI648" t="s">
        <v>37</v>
      </c>
      <c r="AJ648" t="str">
        <f t="shared" si="32"/>
        <v>2TMBDXBKB01KZVQB42</v>
      </c>
    </row>
    <row r="649" spans="1:36" ht="15" customHeight="1" x14ac:dyDescent="0.25">
      <c r="A649" t="s">
        <v>76</v>
      </c>
      <c r="B649" t="s">
        <v>37</v>
      </c>
      <c r="C649" t="s">
        <v>37</v>
      </c>
      <c r="D649" t="s">
        <v>38</v>
      </c>
      <c r="E649" s="4">
        <v>488</v>
      </c>
      <c r="F649" s="5">
        <v>28304</v>
      </c>
      <c r="G649" s="5" t="s">
        <v>39</v>
      </c>
      <c r="H649" s="5">
        <v>41597.120000000003</v>
      </c>
      <c r="I649" s="5" t="s">
        <v>39</v>
      </c>
      <c r="J649" s="5">
        <v>962.33600000000001</v>
      </c>
      <c r="K649" s="5">
        <f t="shared" si="30"/>
        <v>1.972</v>
      </c>
      <c r="L649" s="5">
        <f t="shared" si="31"/>
        <v>58</v>
      </c>
      <c r="M649" s="5" t="s">
        <v>39</v>
      </c>
      <c r="N649" s="5">
        <v>962.33600000000001</v>
      </c>
      <c r="O649" s="5" t="s">
        <v>39</v>
      </c>
      <c r="P649" t="s">
        <v>1334</v>
      </c>
      <c r="Q649" t="s">
        <v>1335</v>
      </c>
      <c r="R649" t="s">
        <v>37</v>
      </c>
      <c r="S649" t="s">
        <v>1336</v>
      </c>
      <c r="T649" t="s">
        <v>43</v>
      </c>
      <c r="U649" t="s">
        <v>44</v>
      </c>
      <c r="V649">
        <v>147</v>
      </c>
      <c r="W649" t="s">
        <v>45</v>
      </c>
      <c r="X649" t="s">
        <v>60</v>
      </c>
      <c r="Y649" t="s">
        <v>1337</v>
      </c>
      <c r="Z649" t="s">
        <v>37</v>
      </c>
      <c r="AA649" t="s">
        <v>55</v>
      </c>
      <c r="AB649" t="s">
        <v>37</v>
      </c>
      <c r="AC649" s="6" t="s">
        <v>37</v>
      </c>
      <c r="AD649" s="6" t="s">
        <v>37</v>
      </c>
      <c r="AE649" t="s">
        <v>37</v>
      </c>
      <c r="AF649" t="s">
        <v>37</v>
      </c>
      <c r="AG649" s="6" t="s">
        <v>37</v>
      </c>
      <c r="AH649" t="s">
        <v>37</v>
      </c>
      <c r="AI649" t="s">
        <v>37</v>
      </c>
      <c r="AJ649" t="str">
        <f t="shared" si="32"/>
        <v>5X874Q6MB07W7L19WV</v>
      </c>
    </row>
    <row r="650" spans="1:36" ht="15" customHeight="1" x14ac:dyDescent="0.25">
      <c r="A650" t="s">
        <v>88</v>
      </c>
      <c r="B650" t="s">
        <v>37</v>
      </c>
      <c r="C650" t="s">
        <v>37</v>
      </c>
      <c r="D650" t="s">
        <v>38</v>
      </c>
      <c r="E650" s="4">
        <v>100</v>
      </c>
      <c r="F650" s="5">
        <v>4392</v>
      </c>
      <c r="G650" s="5" t="s">
        <v>39</v>
      </c>
      <c r="H650" s="5">
        <v>6557</v>
      </c>
      <c r="I650" s="5" t="s">
        <v>39</v>
      </c>
      <c r="J650" s="5">
        <v>149.328</v>
      </c>
      <c r="K650" s="5">
        <f t="shared" si="30"/>
        <v>1.4932799999999999</v>
      </c>
      <c r="L650" s="5">
        <f t="shared" si="31"/>
        <v>43.92</v>
      </c>
      <c r="M650" s="5" t="s">
        <v>39</v>
      </c>
      <c r="N650" s="5">
        <v>149.328</v>
      </c>
      <c r="O650" s="5" t="s">
        <v>39</v>
      </c>
      <c r="P650" t="s">
        <v>67</v>
      </c>
      <c r="Q650" t="s">
        <v>1331</v>
      </c>
      <c r="R650" t="s">
        <v>37</v>
      </c>
      <c r="S650" t="s">
        <v>1332</v>
      </c>
      <c r="T650" t="s">
        <v>43</v>
      </c>
      <c r="U650" t="s">
        <v>44</v>
      </c>
      <c r="V650">
        <v>147</v>
      </c>
      <c r="W650" t="s">
        <v>45</v>
      </c>
      <c r="X650" t="s">
        <v>53</v>
      </c>
      <c r="Y650" t="s">
        <v>1333</v>
      </c>
      <c r="Z650" t="s">
        <v>37</v>
      </c>
      <c r="AA650" t="s">
        <v>48</v>
      </c>
      <c r="AB650" t="s">
        <v>37</v>
      </c>
      <c r="AC650" s="6" t="s">
        <v>37</v>
      </c>
      <c r="AD650" s="6" t="s">
        <v>37</v>
      </c>
      <c r="AE650" t="s">
        <v>37</v>
      </c>
      <c r="AF650" t="s">
        <v>37</v>
      </c>
      <c r="AG650" s="6" t="s">
        <v>37</v>
      </c>
      <c r="AH650" t="s">
        <v>37</v>
      </c>
      <c r="AI650" t="s">
        <v>37</v>
      </c>
      <c r="AJ650" t="str">
        <f t="shared" si="32"/>
        <v>2TMBDXBKB01KZVQB42</v>
      </c>
    </row>
    <row r="651" spans="1:36" ht="15" customHeight="1" x14ac:dyDescent="0.25">
      <c r="A651" t="s">
        <v>101</v>
      </c>
      <c r="B651" t="s">
        <v>37</v>
      </c>
      <c r="C651" t="s">
        <v>37</v>
      </c>
      <c r="D651" t="s">
        <v>38</v>
      </c>
      <c r="E651" s="4">
        <v>20</v>
      </c>
      <c r="F651" s="5">
        <v>896.8</v>
      </c>
      <c r="G651" s="5" t="s">
        <v>39</v>
      </c>
      <c r="H651" s="5">
        <v>1442.4</v>
      </c>
      <c r="I651" s="5" t="s">
        <v>39</v>
      </c>
      <c r="J651" s="5">
        <v>30.491199999999999</v>
      </c>
      <c r="K651" s="5">
        <f t="shared" si="30"/>
        <v>1.5245599999999999</v>
      </c>
      <c r="L651" s="5">
        <f t="shared" si="31"/>
        <v>44.839999999999996</v>
      </c>
      <c r="M651" s="5" t="s">
        <v>39</v>
      </c>
      <c r="N651" s="5">
        <v>30.491199999999999</v>
      </c>
      <c r="O651" s="5" t="s">
        <v>39</v>
      </c>
      <c r="P651" t="s">
        <v>274</v>
      </c>
      <c r="Q651" t="s">
        <v>596</v>
      </c>
      <c r="R651" t="s">
        <v>37</v>
      </c>
      <c r="S651" t="s">
        <v>597</v>
      </c>
      <c r="T651" t="s">
        <v>43</v>
      </c>
      <c r="U651" t="s">
        <v>44</v>
      </c>
      <c r="V651">
        <v>147</v>
      </c>
      <c r="W651" t="s">
        <v>45</v>
      </c>
      <c r="X651" t="s">
        <v>46</v>
      </c>
      <c r="Y651" t="s">
        <v>598</v>
      </c>
      <c r="Z651" t="s">
        <v>37</v>
      </c>
      <c r="AA651" t="s">
        <v>95</v>
      </c>
      <c r="AB651" t="s">
        <v>37</v>
      </c>
      <c r="AC651" s="6" t="s">
        <v>37</v>
      </c>
      <c r="AD651" s="6" t="s">
        <v>37</v>
      </c>
      <c r="AE651" t="s">
        <v>37</v>
      </c>
      <c r="AF651" t="s">
        <v>37</v>
      </c>
      <c r="AG651" s="6" t="s">
        <v>37</v>
      </c>
      <c r="AH651" t="s">
        <v>37</v>
      </c>
      <c r="AI651" t="s">
        <v>37</v>
      </c>
      <c r="AJ651" t="str">
        <f t="shared" si="32"/>
        <v>4LYATDUXB07W4DHMVB</v>
      </c>
    </row>
    <row r="652" spans="1:36" ht="15" customHeight="1" x14ac:dyDescent="0.25">
      <c r="A652" t="s">
        <v>36</v>
      </c>
      <c r="B652" t="s">
        <v>37</v>
      </c>
      <c r="C652" t="s">
        <v>37</v>
      </c>
      <c r="D652" t="s">
        <v>38</v>
      </c>
      <c r="E652" s="4">
        <v>472</v>
      </c>
      <c r="F652" s="5">
        <v>32582.16</v>
      </c>
      <c r="G652" s="5" t="s">
        <v>39</v>
      </c>
      <c r="H652" s="5">
        <v>49909.279999999999</v>
      </c>
      <c r="I652" s="5" t="s">
        <v>39</v>
      </c>
      <c r="J652" s="5">
        <v>1107.7934399999999</v>
      </c>
      <c r="K652" s="5">
        <f t="shared" si="30"/>
        <v>2.3470199999999997</v>
      </c>
      <c r="L652" s="5">
        <f t="shared" si="31"/>
        <v>69.03</v>
      </c>
      <c r="M652" s="5" t="s">
        <v>39</v>
      </c>
      <c r="N652" s="5">
        <v>1107.7934399999999</v>
      </c>
      <c r="O652" s="5" t="s">
        <v>39</v>
      </c>
      <c r="P652" t="s">
        <v>89</v>
      </c>
      <c r="Q652" t="s">
        <v>328</v>
      </c>
      <c r="R652" t="s">
        <v>37</v>
      </c>
      <c r="S652" t="s">
        <v>329</v>
      </c>
      <c r="T652" t="s">
        <v>43</v>
      </c>
      <c r="U652" t="s">
        <v>44</v>
      </c>
      <c r="V652">
        <v>147</v>
      </c>
      <c r="W652" t="s">
        <v>45</v>
      </c>
      <c r="X652" t="s">
        <v>239</v>
      </c>
      <c r="Y652" t="s">
        <v>330</v>
      </c>
      <c r="Z652" t="s">
        <v>37</v>
      </c>
      <c r="AA652" t="s">
        <v>55</v>
      </c>
      <c r="AB652" t="s">
        <v>37</v>
      </c>
      <c r="AC652" s="6" t="s">
        <v>37</v>
      </c>
      <c r="AD652" s="6" t="s">
        <v>37</v>
      </c>
      <c r="AE652" t="s">
        <v>37</v>
      </c>
      <c r="AF652" t="s">
        <v>37</v>
      </c>
      <c r="AG652" s="6" t="s">
        <v>37</v>
      </c>
      <c r="AH652" t="s">
        <v>37</v>
      </c>
      <c r="AI652" t="s">
        <v>37</v>
      </c>
      <c r="AJ652" t="str">
        <f t="shared" si="32"/>
        <v>2W68T8TOB07MM4V7NR</v>
      </c>
    </row>
    <row r="653" spans="1:36" ht="15" customHeight="1" x14ac:dyDescent="0.25">
      <c r="A653" t="s">
        <v>71</v>
      </c>
      <c r="B653" t="s">
        <v>37</v>
      </c>
      <c r="C653" t="s">
        <v>37</v>
      </c>
      <c r="D653" t="s">
        <v>38</v>
      </c>
      <c r="E653" s="4">
        <v>230</v>
      </c>
      <c r="F653" s="5">
        <v>2152.8000000000002</v>
      </c>
      <c r="G653" s="5" t="s">
        <v>39</v>
      </c>
      <c r="H653" s="5">
        <v>3203.9</v>
      </c>
      <c r="I653" s="5" t="s">
        <v>39</v>
      </c>
      <c r="J653" s="5">
        <v>73.1952</v>
      </c>
      <c r="K653" s="5">
        <f t="shared" si="30"/>
        <v>0.31824000000000002</v>
      </c>
      <c r="L653" s="5">
        <f t="shared" si="31"/>
        <v>9.3600000000000012</v>
      </c>
      <c r="M653" s="5" t="s">
        <v>39</v>
      </c>
      <c r="N653" s="5">
        <v>73.1952</v>
      </c>
      <c r="O653" s="5" t="s">
        <v>39</v>
      </c>
      <c r="P653" t="s">
        <v>715</v>
      </c>
      <c r="Q653" t="s">
        <v>1031</v>
      </c>
      <c r="R653" t="s">
        <v>37</v>
      </c>
      <c r="S653" t="s">
        <v>1032</v>
      </c>
      <c r="T653" t="s">
        <v>43</v>
      </c>
      <c r="U653" t="s">
        <v>44</v>
      </c>
      <c r="V653">
        <v>147</v>
      </c>
      <c r="W653" t="s">
        <v>45</v>
      </c>
      <c r="X653" t="s">
        <v>60</v>
      </c>
      <c r="Y653" t="s">
        <v>1033</v>
      </c>
      <c r="Z653" t="s">
        <v>37</v>
      </c>
      <c r="AA653" t="s">
        <v>55</v>
      </c>
      <c r="AB653" t="s">
        <v>37</v>
      </c>
      <c r="AC653" s="6" t="s">
        <v>37</v>
      </c>
      <c r="AD653" s="6" t="s">
        <v>37</v>
      </c>
      <c r="AE653" t="s">
        <v>37</v>
      </c>
      <c r="AF653" t="s">
        <v>37</v>
      </c>
      <c r="AG653" s="6" t="s">
        <v>37</v>
      </c>
      <c r="AH653" t="s">
        <v>37</v>
      </c>
      <c r="AI653" t="s">
        <v>37</v>
      </c>
      <c r="AJ653" t="str">
        <f t="shared" si="32"/>
        <v>3GW1K2ZRB00BT8QIJ4</v>
      </c>
    </row>
    <row r="654" spans="1:36" ht="15" customHeight="1" x14ac:dyDescent="0.25">
      <c r="A654" t="s">
        <v>76</v>
      </c>
      <c r="B654" t="s">
        <v>37</v>
      </c>
      <c r="C654" t="s">
        <v>37</v>
      </c>
      <c r="D654" t="s">
        <v>38</v>
      </c>
      <c r="E654" s="4">
        <v>4</v>
      </c>
      <c r="F654" s="5">
        <v>3056.36</v>
      </c>
      <c r="G654" s="5" t="s">
        <v>39</v>
      </c>
      <c r="H654" s="5">
        <v>3767.2</v>
      </c>
      <c r="I654" s="5" t="s">
        <v>39</v>
      </c>
      <c r="J654" s="5">
        <v>103.91624</v>
      </c>
      <c r="K654" s="5">
        <f t="shared" si="30"/>
        <v>25.97906</v>
      </c>
      <c r="L654" s="5">
        <f t="shared" si="31"/>
        <v>764.09</v>
      </c>
      <c r="M654" s="5" t="s">
        <v>39</v>
      </c>
      <c r="N654" s="5">
        <v>103.91624</v>
      </c>
      <c r="O654" s="5" t="s">
        <v>39</v>
      </c>
      <c r="P654" t="s">
        <v>63</v>
      </c>
      <c r="Q654" t="s">
        <v>1338</v>
      </c>
      <c r="R654" t="s">
        <v>37</v>
      </c>
      <c r="S654" t="s">
        <v>1339</v>
      </c>
      <c r="T654" t="s">
        <v>43</v>
      </c>
      <c r="U654" t="s">
        <v>44</v>
      </c>
      <c r="V654">
        <v>147</v>
      </c>
      <c r="W654" t="s">
        <v>45</v>
      </c>
      <c r="X654" t="s">
        <v>239</v>
      </c>
      <c r="Y654" t="s">
        <v>1340</v>
      </c>
      <c r="Z654" t="s">
        <v>37</v>
      </c>
      <c r="AA654" t="s">
        <v>55</v>
      </c>
      <c r="AB654" t="s">
        <v>37</v>
      </c>
      <c r="AC654" s="6" t="s">
        <v>37</v>
      </c>
      <c r="AD654" s="6" t="s">
        <v>37</v>
      </c>
      <c r="AE654" t="s">
        <v>37</v>
      </c>
      <c r="AF654" t="s">
        <v>37</v>
      </c>
      <c r="AG654" s="6" t="s">
        <v>37</v>
      </c>
      <c r="AH654" t="s">
        <v>37</v>
      </c>
      <c r="AI654" t="s">
        <v>37</v>
      </c>
      <c r="AJ654" t="str">
        <f t="shared" si="32"/>
        <v>7H9X1Z6SB07W4DGQC1</v>
      </c>
    </row>
    <row r="655" spans="1:36" ht="15" customHeight="1" x14ac:dyDescent="0.25">
      <c r="A655" t="s">
        <v>36</v>
      </c>
      <c r="B655" t="s">
        <v>37</v>
      </c>
      <c r="C655" t="s">
        <v>37</v>
      </c>
      <c r="D655" t="s">
        <v>38</v>
      </c>
      <c r="E655" s="4">
        <v>4</v>
      </c>
      <c r="F655" s="5">
        <v>398.88</v>
      </c>
      <c r="G655" s="5" t="s">
        <v>39</v>
      </c>
      <c r="H655" s="5">
        <v>606.52</v>
      </c>
      <c r="I655" s="5" t="s">
        <v>39</v>
      </c>
      <c r="J655" s="5">
        <v>13.561920000000001</v>
      </c>
      <c r="K655" s="5">
        <f t="shared" si="30"/>
        <v>3.3904800000000002</v>
      </c>
      <c r="L655" s="5">
        <f t="shared" si="31"/>
        <v>99.72</v>
      </c>
      <c r="M655" s="5" t="s">
        <v>39</v>
      </c>
      <c r="N655" s="5">
        <v>13.561920000000001</v>
      </c>
      <c r="O655" s="5" t="s">
        <v>39</v>
      </c>
      <c r="P655" t="s">
        <v>246</v>
      </c>
      <c r="Q655" t="s">
        <v>1341</v>
      </c>
      <c r="R655" t="s">
        <v>37</v>
      </c>
      <c r="S655" t="s">
        <v>1342</v>
      </c>
      <c r="T655" t="s">
        <v>43</v>
      </c>
      <c r="U655" t="s">
        <v>44</v>
      </c>
      <c r="V655">
        <v>147</v>
      </c>
      <c r="W655" t="s">
        <v>45</v>
      </c>
      <c r="X655" t="s">
        <v>46</v>
      </c>
      <c r="Y655" t="s">
        <v>1343</v>
      </c>
      <c r="Z655" t="s">
        <v>37</v>
      </c>
      <c r="AA655" t="s">
        <v>48</v>
      </c>
      <c r="AB655" t="s">
        <v>37</v>
      </c>
      <c r="AC655" s="6" t="s">
        <v>37</v>
      </c>
      <c r="AD655" s="6" t="s">
        <v>37</v>
      </c>
      <c r="AE655" t="s">
        <v>37</v>
      </c>
      <c r="AF655" t="s">
        <v>37</v>
      </c>
      <c r="AG655" s="6" t="s">
        <v>37</v>
      </c>
      <c r="AH655" t="s">
        <v>37</v>
      </c>
      <c r="AI655" t="s">
        <v>37</v>
      </c>
      <c r="AJ655" t="str">
        <f t="shared" si="32"/>
        <v>1PSIXGLTB07DFWGKZ4</v>
      </c>
    </row>
    <row r="656" spans="1:36" ht="15" customHeight="1" x14ac:dyDescent="0.25">
      <c r="A656" t="s">
        <v>96</v>
      </c>
      <c r="B656" t="s">
        <v>37</v>
      </c>
      <c r="C656" t="s">
        <v>37</v>
      </c>
      <c r="D656" t="s">
        <v>38</v>
      </c>
      <c r="E656" s="4">
        <v>56</v>
      </c>
      <c r="F656" s="5">
        <v>3865.68</v>
      </c>
      <c r="G656" s="5" t="s">
        <v>39</v>
      </c>
      <c r="H656" s="5">
        <v>5921.44</v>
      </c>
      <c r="I656" s="5" t="s">
        <v>39</v>
      </c>
      <c r="J656" s="5">
        <v>131.43312</v>
      </c>
      <c r="K656" s="5">
        <f t="shared" si="30"/>
        <v>2.3470200000000001</v>
      </c>
      <c r="L656" s="5">
        <f t="shared" si="31"/>
        <v>69.03</v>
      </c>
      <c r="M656" s="5" t="s">
        <v>39</v>
      </c>
      <c r="N656" s="5">
        <v>131.43312</v>
      </c>
      <c r="O656" s="5" t="s">
        <v>39</v>
      </c>
      <c r="P656" t="s">
        <v>195</v>
      </c>
      <c r="Q656" t="s">
        <v>599</v>
      </c>
      <c r="R656" t="s">
        <v>37</v>
      </c>
      <c r="S656" t="s">
        <v>600</v>
      </c>
      <c r="T656" t="s">
        <v>43</v>
      </c>
      <c r="U656" t="s">
        <v>44</v>
      </c>
      <c r="V656">
        <v>147</v>
      </c>
      <c r="W656" t="s">
        <v>45</v>
      </c>
      <c r="X656" t="s">
        <v>60</v>
      </c>
      <c r="Y656" t="s">
        <v>601</v>
      </c>
      <c r="Z656" t="s">
        <v>37</v>
      </c>
      <c r="AA656" t="s">
        <v>55</v>
      </c>
      <c r="AB656" t="s">
        <v>37</v>
      </c>
      <c r="AC656" s="6" t="s">
        <v>37</v>
      </c>
      <c r="AD656" s="6" t="s">
        <v>37</v>
      </c>
      <c r="AE656" t="s">
        <v>37</v>
      </c>
      <c r="AF656" t="s">
        <v>37</v>
      </c>
      <c r="AG656" s="6" t="s">
        <v>37</v>
      </c>
      <c r="AH656" t="s">
        <v>37</v>
      </c>
      <c r="AI656" t="s">
        <v>37</v>
      </c>
      <c r="AJ656" t="str">
        <f t="shared" si="32"/>
        <v>5X1OU9ZGB07W7KMK4Y</v>
      </c>
    </row>
    <row r="657" spans="1:36" ht="15" customHeight="1" x14ac:dyDescent="0.25">
      <c r="A657" t="s">
        <v>36</v>
      </c>
      <c r="B657" t="s">
        <v>37</v>
      </c>
      <c r="C657" t="s">
        <v>37</v>
      </c>
      <c r="D657" t="s">
        <v>38</v>
      </c>
      <c r="E657" s="4">
        <v>16</v>
      </c>
      <c r="F657" s="5">
        <v>2866.56</v>
      </c>
      <c r="G657" s="5" t="s">
        <v>39</v>
      </c>
      <c r="H657" s="5">
        <v>3396.8</v>
      </c>
      <c r="I657" s="5" t="s">
        <v>39</v>
      </c>
      <c r="J657" s="5">
        <v>97.463040000000007</v>
      </c>
      <c r="K657" s="5">
        <f t="shared" si="30"/>
        <v>6.0914400000000004</v>
      </c>
      <c r="L657" s="5">
        <f t="shared" si="31"/>
        <v>179.16</v>
      </c>
      <c r="M657" s="5" t="s">
        <v>39</v>
      </c>
      <c r="N657" s="5">
        <v>97.463040000000007</v>
      </c>
      <c r="O657" s="5" t="s">
        <v>39</v>
      </c>
      <c r="P657" t="s">
        <v>435</v>
      </c>
      <c r="Q657" t="s">
        <v>1011</v>
      </c>
      <c r="R657" t="s">
        <v>37</v>
      </c>
      <c r="S657" t="s">
        <v>1012</v>
      </c>
      <c r="T657" t="s">
        <v>43</v>
      </c>
      <c r="U657" t="s">
        <v>44</v>
      </c>
      <c r="V657">
        <v>267</v>
      </c>
      <c r="W657" t="s">
        <v>151</v>
      </c>
      <c r="X657" t="s">
        <v>152</v>
      </c>
      <c r="Y657" t="s">
        <v>1013</v>
      </c>
      <c r="Z657" t="s">
        <v>37</v>
      </c>
      <c r="AA657" t="s">
        <v>55</v>
      </c>
      <c r="AB657" t="s">
        <v>37</v>
      </c>
      <c r="AC657" s="6" t="s">
        <v>37</v>
      </c>
      <c r="AD657" s="6" t="s">
        <v>37</v>
      </c>
      <c r="AE657" t="s">
        <v>37</v>
      </c>
      <c r="AF657" t="s">
        <v>37</v>
      </c>
      <c r="AG657" s="6" t="s">
        <v>37</v>
      </c>
      <c r="AH657" t="s">
        <v>37</v>
      </c>
      <c r="AI657" t="s">
        <v>37</v>
      </c>
      <c r="AJ657" t="str">
        <f t="shared" si="32"/>
        <v>29YOVOGFB07W6HKDNR</v>
      </c>
    </row>
    <row r="658" spans="1:36" ht="15" customHeight="1" x14ac:dyDescent="0.25">
      <c r="A658" t="s">
        <v>118</v>
      </c>
      <c r="B658" t="s">
        <v>37</v>
      </c>
      <c r="C658" t="s">
        <v>37</v>
      </c>
      <c r="D658" t="s">
        <v>38</v>
      </c>
      <c r="E658" s="4">
        <v>10</v>
      </c>
      <c r="F658" s="5">
        <v>580</v>
      </c>
      <c r="G658" s="5" t="s">
        <v>39</v>
      </c>
      <c r="H658" s="5">
        <v>852.4</v>
      </c>
      <c r="I658" s="5" t="s">
        <v>39</v>
      </c>
      <c r="J658" s="5">
        <v>19.72</v>
      </c>
      <c r="K658" s="5">
        <f t="shared" si="30"/>
        <v>1.972</v>
      </c>
      <c r="L658" s="5">
        <f t="shared" si="31"/>
        <v>58</v>
      </c>
      <c r="M658" s="5" t="s">
        <v>39</v>
      </c>
      <c r="N658" s="5">
        <v>19.72</v>
      </c>
      <c r="O658" s="5" t="s">
        <v>39</v>
      </c>
      <c r="P658" t="s">
        <v>537</v>
      </c>
      <c r="Q658" t="s">
        <v>441</v>
      </c>
      <c r="R658" t="s">
        <v>37</v>
      </c>
      <c r="S658" t="s">
        <v>442</v>
      </c>
      <c r="T658" t="s">
        <v>43</v>
      </c>
      <c r="U658" t="s">
        <v>44</v>
      </c>
      <c r="V658">
        <v>147</v>
      </c>
      <c r="W658" t="s">
        <v>45</v>
      </c>
      <c r="X658" t="s">
        <v>53</v>
      </c>
      <c r="Y658" t="s">
        <v>443</v>
      </c>
      <c r="Z658" t="s">
        <v>37</v>
      </c>
      <c r="AA658" t="s">
        <v>55</v>
      </c>
      <c r="AB658" t="s">
        <v>37</v>
      </c>
      <c r="AC658" s="6" t="s">
        <v>37</v>
      </c>
      <c r="AD658" s="6" t="s">
        <v>37</v>
      </c>
      <c r="AE658" t="s">
        <v>37</v>
      </c>
      <c r="AF658" t="s">
        <v>37</v>
      </c>
      <c r="AG658" s="6" t="s">
        <v>37</v>
      </c>
      <c r="AH658" t="s">
        <v>37</v>
      </c>
      <c r="AI658" t="s">
        <v>37</v>
      </c>
      <c r="AJ658" t="str">
        <f t="shared" si="32"/>
        <v>1LQM129ZB07W5JHLCB</v>
      </c>
    </row>
    <row r="659" spans="1:36" ht="15" customHeight="1" x14ac:dyDescent="0.25">
      <c r="A659" t="s">
        <v>118</v>
      </c>
      <c r="B659" t="s">
        <v>37</v>
      </c>
      <c r="C659" t="s">
        <v>37</v>
      </c>
      <c r="D659" t="s">
        <v>38</v>
      </c>
      <c r="E659" s="4">
        <v>370</v>
      </c>
      <c r="F659" s="5">
        <v>3896.1</v>
      </c>
      <c r="G659" s="5" t="s">
        <v>39</v>
      </c>
      <c r="H659" s="5">
        <v>5457.5</v>
      </c>
      <c r="I659" s="5" t="s">
        <v>39</v>
      </c>
      <c r="J659" s="5">
        <v>132.4674</v>
      </c>
      <c r="K659" s="5">
        <f t="shared" si="30"/>
        <v>0.35802</v>
      </c>
      <c r="L659" s="5">
        <f t="shared" si="31"/>
        <v>10.53</v>
      </c>
      <c r="M659" s="5" t="s">
        <v>39</v>
      </c>
      <c r="N659" s="5">
        <v>132.4674</v>
      </c>
      <c r="O659" s="5" t="s">
        <v>39</v>
      </c>
      <c r="P659" t="s">
        <v>128</v>
      </c>
      <c r="Q659" t="s">
        <v>732</v>
      </c>
      <c r="R659" t="s">
        <v>37</v>
      </c>
      <c r="S659" t="s">
        <v>733</v>
      </c>
      <c r="T659" t="s">
        <v>43</v>
      </c>
      <c r="U659" t="s">
        <v>44</v>
      </c>
      <c r="V659">
        <v>147</v>
      </c>
      <c r="W659" t="s">
        <v>45</v>
      </c>
      <c r="X659" t="s">
        <v>53</v>
      </c>
      <c r="Y659" t="s">
        <v>734</v>
      </c>
      <c r="Z659" t="s">
        <v>37</v>
      </c>
      <c r="AA659" t="s">
        <v>55</v>
      </c>
      <c r="AB659" t="s">
        <v>37</v>
      </c>
      <c r="AC659" s="6" t="s">
        <v>37</v>
      </c>
      <c r="AD659" s="6" t="s">
        <v>37</v>
      </c>
      <c r="AE659" t="s">
        <v>37</v>
      </c>
      <c r="AF659" t="s">
        <v>37</v>
      </c>
      <c r="AG659" s="6" t="s">
        <v>37</v>
      </c>
      <c r="AH659" t="s">
        <v>37</v>
      </c>
      <c r="AI659" t="s">
        <v>37</v>
      </c>
      <c r="AJ659" t="str">
        <f t="shared" si="32"/>
        <v>7RAC5F9EB00552K0GM</v>
      </c>
    </row>
    <row r="660" spans="1:36" ht="15" customHeight="1" x14ac:dyDescent="0.25">
      <c r="A660" t="s">
        <v>162</v>
      </c>
      <c r="B660" t="s">
        <v>37</v>
      </c>
      <c r="C660" t="s">
        <v>37</v>
      </c>
      <c r="D660" t="s">
        <v>38</v>
      </c>
      <c r="E660" s="4">
        <v>4</v>
      </c>
      <c r="F660" s="5">
        <v>147.72</v>
      </c>
      <c r="G660" s="5" t="s">
        <v>39</v>
      </c>
      <c r="H660" s="5">
        <v>245.88</v>
      </c>
      <c r="I660" s="5" t="s">
        <v>39</v>
      </c>
      <c r="J660" s="5">
        <v>5.0224799999999998</v>
      </c>
      <c r="K660" s="5">
        <f t="shared" si="30"/>
        <v>1.25562</v>
      </c>
      <c r="L660" s="5">
        <f t="shared" si="31"/>
        <v>36.93</v>
      </c>
      <c r="M660" s="5" t="s">
        <v>39</v>
      </c>
      <c r="N660" s="5">
        <v>5.0224799999999998</v>
      </c>
      <c r="O660" s="5" t="s">
        <v>39</v>
      </c>
      <c r="P660" t="s">
        <v>365</v>
      </c>
      <c r="Q660" t="s">
        <v>908</v>
      </c>
      <c r="R660" t="s">
        <v>909</v>
      </c>
      <c r="S660" t="s">
        <v>910</v>
      </c>
      <c r="T660" t="s">
        <v>43</v>
      </c>
      <c r="U660" t="s">
        <v>44</v>
      </c>
      <c r="V660">
        <v>147</v>
      </c>
      <c r="W660" t="s">
        <v>45</v>
      </c>
      <c r="X660" t="s">
        <v>46</v>
      </c>
      <c r="Y660" t="s">
        <v>268</v>
      </c>
      <c r="Z660" t="s">
        <v>37</v>
      </c>
      <c r="AA660" t="s">
        <v>55</v>
      </c>
      <c r="AB660" t="s">
        <v>37</v>
      </c>
      <c r="AC660" s="6" t="s">
        <v>37</v>
      </c>
      <c r="AD660" s="6" t="s">
        <v>37</v>
      </c>
      <c r="AE660" t="s">
        <v>37</v>
      </c>
      <c r="AF660" t="s">
        <v>37</v>
      </c>
      <c r="AG660" s="6" t="s">
        <v>37</v>
      </c>
      <c r="AH660" t="s">
        <v>37</v>
      </c>
      <c r="AI660" t="s">
        <v>37</v>
      </c>
      <c r="AJ660" t="str">
        <f t="shared" si="32"/>
        <v>3KYCEHVHB07CGPZ3ZQ</v>
      </c>
    </row>
    <row r="661" spans="1:36" ht="15" customHeight="1" x14ac:dyDescent="0.25">
      <c r="A661" t="s">
        <v>88</v>
      </c>
      <c r="B661" t="s">
        <v>37</v>
      </c>
      <c r="C661" t="s">
        <v>37</v>
      </c>
      <c r="D661" t="s">
        <v>38</v>
      </c>
      <c r="E661" s="4">
        <v>228</v>
      </c>
      <c r="F661" s="5">
        <v>19126.919999999998</v>
      </c>
      <c r="G661" s="5" t="s">
        <v>39</v>
      </c>
      <c r="H661" s="5">
        <v>31582.560000000001</v>
      </c>
      <c r="I661" s="5" t="s">
        <v>39</v>
      </c>
      <c r="J661" s="5">
        <v>650.31528000000003</v>
      </c>
      <c r="K661" s="5">
        <f t="shared" si="30"/>
        <v>2.8522600000000002</v>
      </c>
      <c r="L661" s="5">
        <f t="shared" si="31"/>
        <v>83.889999999999986</v>
      </c>
      <c r="M661" s="5" t="s">
        <v>39</v>
      </c>
      <c r="N661" s="5">
        <v>650.31528000000003</v>
      </c>
      <c r="O661" s="5" t="s">
        <v>39</v>
      </c>
      <c r="P661" t="s">
        <v>89</v>
      </c>
      <c r="Q661" t="s">
        <v>420</v>
      </c>
      <c r="R661" t="s">
        <v>37</v>
      </c>
      <c r="S661" t="s">
        <v>421</v>
      </c>
      <c r="T661" t="s">
        <v>43</v>
      </c>
      <c r="U661" t="s">
        <v>44</v>
      </c>
      <c r="V661">
        <v>147</v>
      </c>
      <c r="W661" t="s">
        <v>45</v>
      </c>
      <c r="X661" t="s">
        <v>46</v>
      </c>
      <c r="Y661" t="s">
        <v>422</v>
      </c>
      <c r="Z661" t="s">
        <v>37</v>
      </c>
      <c r="AA661" t="s">
        <v>55</v>
      </c>
      <c r="AB661" t="s">
        <v>37</v>
      </c>
      <c r="AC661" s="6" t="s">
        <v>37</v>
      </c>
      <c r="AD661" s="6" t="s">
        <v>37</v>
      </c>
      <c r="AE661" t="s">
        <v>37</v>
      </c>
      <c r="AF661" t="s">
        <v>37</v>
      </c>
      <c r="AG661" s="6" t="s">
        <v>37</v>
      </c>
      <c r="AH661" t="s">
        <v>37</v>
      </c>
      <c r="AI661" t="s">
        <v>37</v>
      </c>
      <c r="AJ661" t="str">
        <f t="shared" si="32"/>
        <v>2W68T8TOB07QKC4WWD</v>
      </c>
    </row>
    <row r="662" spans="1:36" ht="15" customHeight="1" x14ac:dyDescent="0.25">
      <c r="A662" t="s">
        <v>118</v>
      </c>
      <c r="B662" t="s">
        <v>37</v>
      </c>
      <c r="C662" t="s">
        <v>37</v>
      </c>
      <c r="D662" t="s">
        <v>38</v>
      </c>
      <c r="E662" s="4">
        <v>10</v>
      </c>
      <c r="F662" s="5">
        <v>93.6</v>
      </c>
      <c r="G662" s="5" t="s">
        <v>39</v>
      </c>
      <c r="H662" s="5">
        <v>139.30000000000001</v>
      </c>
      <c r="I662" s="5" t="s">
        <v>39</v>
      </c>
      <c r="J662" s="5">
        <v>3.1823999999999999</v>
      </c>
      <c r="K662" s="5">
        <f t="shared" si="30"/>
        <v>0.31823999999999997</v>
      </c>
      <c r="L662" s="5">
        <f t="shared" si="31"/>
        <v>9.36</v>
      </c>
      <c r="M662" s="5" t="s">
        <v>39</v>
      </c>
      <c r="N662" s="5">
        <v>3.1823999999999999</v>
      </c>
      <c r="O662" s="5" t="s">
        <v>39</v>
      </c>
      <c r="P662" t="s">
        <v>1344</v>
      </c>
      <c r="Q662" t="s">
        <v>182</v>
      </c>
      <c r="R662" t="s">
        <v>183</v>
      </c>
      <c r="S662" t="s">
        <v>184</v>
      </c>
      <c r="T662" t="s">
        <v>43</v>
      </c>
      <c r="U662" t="s">
        <v>44</v>
      </c>
      <c r="V662">
        <v>147</v>
      </c>
      <c r="W662" t="s">
        <v>45</v>
      </c>
      <c r="X662" t="s">
        <v>53</v>
      </c>
      <c r="Y662" t="s">
        <v>185</v>
      </c>
      <c r="Z662" t="s">
        <v>37</v>
      </c>
      <c r="AA662" t="s">
        <v>48</v>
      </c>
      <c r="AB662" t="s">
        <v>37</v>
      </c>
      <c r="AC662" s="6" t="s">
        <v>37</v>
      </c>
      <c r="AD662" s="6" t="s">
        <v>37</v>
      </c>
      <c r="AE662" t="s">
        <v>37</v>
      </c>
      <c r="AF662" t="s">
        <v>37</v>
      </c>
      <c r="AG662" s="6" t="s">
        <v>37</v>
      </c>
      <c r="AH662" t="s">
        <v>37</v>
      </c>
      <c r="AI662" t="s">
        <v>37</v>
      </c>
      <c r="AJ662" t="str">
        <f t="shared" si="32"/>
        <v>8GSFVICRB01A9HC69G</v>
      </c>
    </row>
    <row r="663" spans="1:36" ht="15" customHeight="1" x14ac:dyDescent="0.25">
      <c r="A663" t="s">
        <v>36</v>
      </c>
      <c r="B663" t="s">
        <v>37</v>
      </c>
      <c r="C663" t="s">
        <v>37</v>
      </c>
      <c r="D663" t="s">
        <v>38</v>
      </c>
      <c r="E663" s="4">
        <v>80</v>
      </c>
      <c r="F663" s="5">
        <v>711.2</v>
      </c>
      <c r="G663" s="5" t="s">
        <v>39</v>
      </c>
      <c r="H663" s="5">
        <v>1572.8</v>
      </c>
      <c r="I663" s="5" t="s">
        <v>39</v>
      </c>
      <c r="J663" s="5">
        <v>24.180800000000001</v>
      </c>
      <c r="K663" s="5">
        <f t="shared" si="30"/>
        <v>0.30226000000000003</v>
      </c>
      <c r="L663" s="5">
        <f t="shared" si="31"/>
        <v>8.89</v>
      </c>
      <c r="M663" s="5" t="s">
        <v>39</v>
      </c>
      <c r="N663" s="5">
        <v>24.180800000000001</v>
      </c>
      <c r="O663" s="5" t="s">
        <v>39</v>
      </c>
      <c r="P663" t="s">
        <v>89</v>
      </c>
      <c r="Q663" t="s">
        <v>970</v>
      </c>
      <c r="R663" t="s">
        <v>37</v>
      </c>
      <c r="S663" t="s">
        <v>971</v>
      </c>
      <c r="T663" t="s">
        <v>43</v>
      </c>
      <c r="U663" t="s">
        <v>44</v>
      </c>
      <c r="V663">
        <v>147</v>
      </c>
      <c r="W663" t="s">
        <v>45</v>
      </c>
      <c r="X663" t="s">
        <v>46</v>
      </c>
      <c r="Y663" t="s">
        <v>972</v>
      </c>
      <c r="Z663" t="s">
        <v>37</v>
      </c>
      <c r="AA663" t="s">
        <v>95</v>
      </c>
      <c r="AB663" t="s">
        <v>37</v>
      </c>
      <c r="AC663" s="6" t="s">
        <v>37</v>
      </c>
      <c r="AD663" s="6" t="s">
        <v>37</v>
      </c>
      <c r="AE663" t="s">
        <v>37</v>
      </c>
      <c r="AF663" t="s">
        <v>37</v>
      </c>
      <c r="AG663" s="6" t="s">
        <v>37</v>
      </c>
      <c r="AH663" t="s">
        <v>37</v>
      </c>
      <c r="AI663" t="s">
        <v>37</v>
      </c>
      <c r="AJ663" t="str">
        <f t="shared" si="32"/>
        <v>2W68T8TOB07W5JK3Z2</v>
      </c>
    </row>
    <row r="664" spans="1:36" ht="15" customHeight="1" x14ac:dyDescent="0.25">
      <c r="A664" t="s">
        <v>36</v>
      </c>
      <c r="B664" t="s">
        <v>37</v>
      </c>
      <c r="C664" t="s">
        <v>37</v>
      </c>
      <c r="D664" t="s">
        <v>38</v>
      </c>
      <c r="E664" s="4">
        <v>12</v>
      </c>
      <c r="F664" s="5">
        <v>816.72</v>
      </c>
      <c r="G664" s="5" t="s">
        <v>39</v>
      </c>
      <c r="H664" s="5">
        <v>1327.8</v>
      </c>
      <c r="I664" s="5" t="s">
        <v>39</v>
      </c>
      <c r="J664" s="5">
        <v>27.76848</v>
      </c>
      <c r="K664" s="5">
        <f t="shared" si="30"/>
        <v>2.3140399999999999</v>
      </c>
      <c r="L664" s="5">
        <f t="shared" si="31"/>
        <v>68.06</v>
      </c>
      <c r="M664" s="5" t="s">
        <v>39</v>
      </c>
      <c r="N664" s="5">
        <v>27.76848</v>
      </c>
      <c r="O664" s="5" t="s">
        <v>39</v>
      </c>
      <c r="P664" t="s">
        <v>365</v>
      </c>
      <c r="Q664" t="s">
        <v>1174</v>
      </c>
      <c r="R664" t="s">
        <v>37</v>
      </c>
      <c r="S664" t="s">
        <v>1175</v>
      </c>
      <c r="T664" t="s">
        <v>43</v>
      </c>
      <c r="U664" t="s">
        <v>44</v>
      </c>
      <c r="V664">
        <v>147</v>
      </c>
      <c r="W664" t="s">
        <v>45</v>
      </c>
      <c r="X664" t="s">
        <v>46</v>
      </c>
      <c r="Y664" t="s">
        <v>1176</v>
      </c>
      <c r="Z664" t="s">
        <v>37</v>
      </c>
      <c r="AA664" t="s">
        <v>95</v>
      </c>
      <c r="AB664" t="s">
        <v>37</v>
      </c>
      <c r="AC664" s="6" t="s">
        <v>37</v>
      </c>
      <c r="AD664" s="6" t="s">
        <v>37</v>
      </c>
      <c r="AE664" t="s">
        <v>37</v>
      </c>
      <c r="AF664" t="s">
        <v>37</v>
      </c>
      <c r="AG664" s="6" t="s">
        <v>37</v>
      </c>
      <c r="AH664" t="s">
        <v>37</v>
      </c>
      <c r="AI664" t="s">
        <v>37</v>
      </c>
      <c r="AJ664" t="str">
        <f t="shared" si="32"/>
        <v>3KYCEHVHB07W6HJPSW</v>
      </c>
    </row>
    <row r="665" spans="1:36" ht="15" customHeight="1" x14ac:dyDescent="0.25">
      <c r="A665" t="s">
        <v>96</v>
      </c>
      <c r="B665" t="s">
        <v>37</v>
      </c>
      <c r="C665" t="s">
        <v>37</v>
      </c>
      <c r="D665" t="s">
        <v>38</v>
      </c>
      <c r="E665" s="4">
        <v>4</v>
      </c>
      <c r="F665" s="5">
        <v>293.36</v>
      </c>
      <c r="G665" s="5" t="s">
        <v>39</v>
      </c>
      <c r="H665" s="5">
        <v>580</v>
      </c>
      <c r="I665" s="5" t="s">
        <v>39</v>
      </c>
      <c r="J665" s="5">
        <v>9.97424</v>
      </c>
      <c r="K665" s="5">
        <f t="shared" si="30"/>
        <v>2.49356</v>
      </c>
      <c r="L665" s="5">
        <f t="shared" si="31"/>
        <v>73.34</v>
      </c>
      <c r="M665" s="5" t="s">
        <v>39</v>
      </c>
      <c r="N665" s="5">
        <v>9.97424</v>
      </c>
      <c r="O665" s="5" t="s">
        <v>39</v>
      </c>
      <c r="P665" t="s">
        <v>148</v>
      </c>
      <c r="Q665" t="s">
        <v>901</v>
      </c>
      <c r="R665" t="s">
        <v>37</v>
      </c>
      <c r="S665" t="s">
        <v>902</v>
      </c>
      <c r="T665" t="s">
        <v>43</v>
      </c>
      <c r="U665" t="s">
        <v>44</v>
      </c>
      <c r="V665">
        <v>147</v>
      </c>
      <c r="W665" t="s">
        <v>92</v>
      </c>
      <c r="X665" t="s">
        <v>903</v>
      </c>
      <c r="Y665" t="s">
        <v>904</v>
      </c>
      <c r="Z665" t="s">
        <v>37</v>
      </c>
      <c r="AA665" t="s">
        <v>55</v>
      </c>
      <c r="AB665" t="s">
        <v>37</v>
      </c>
      <c r="AC665" s="6" t="s">
        <v>37</v>
      </c>
      <c r="AD665" s="6" t="s">
        <v>37</v>
      </c>
      <c r="AE665" t="s">
        <v>37</v>
      </c>
      <c r="AF665" t="s">
        <v>37</v>
      </c>
      <c r="AG665" s="6" t="s">
        <v>37</v>
      </c>
      <c r="AH665" t="s">
        <v>37</v>
      </c>
      <c r="AI665" t="s">
        <v>37</v>
      </c>
      <c r="AJ665" t="str">
        <f t="shared" si="32"/>
        <v>5FPQ9KSZB07W5JJ85P</v>
      </c>
    </row>
    <row r="666" spans="1:36" ht="15" customHeight="1" x14ac:dyDescent="0.25">
      <c r="A666" t="s">
        <v>96</v>
      </c>
      <c r="B666" t="s">
        <v>37</v>
      </c>
      <c r="C666" t="s">
        <v>37</v>
      </c>
      <c r="D666" t="s">
        <v>38</v>
      </c>
      <c r="E666" s="4">
        <v>28</v>
      </c>
      <c r="F666" s="5">
        <v>1770.44</v>
      </c>
      <c r="G666" s="5" t="s">
        <v>39</v>
      </c>
      <c r="H666" s="5">
        <v>2731.12</v>
      </c>
      <c r="I666" s="5" t="s">
        <v>39</v>
      </c>
      <c r="J666" s="5">
        <v>60.194960000000002</v>
      </c>
      <c r="K666" s="5">
        <f t="shared" si="30"/>
        <v>2.1498200000000001</v>
      </c>
      <c r="L666" s="5">
        <f t="shared" si="31"/>
        <v>63.230000000000004</v>
      </c>
      <c r="M666" s="5" t="s">
        <v>39</v>
      </c>
      <c r="N666" s="5">
        <v>60.194960000000002</v>
      </c>
      <c r="O666" s="5" t="s">
        <v>39</v>
      </c>
      <c r="P666" t="s">
        <v>195</v>
      </c>
      <c r="Q666" t="s">
        <v>1125</v>
      </c>
      <c r="R666" t="s">
        <v>37</v>
      </c>
      <c r="S666" t="s">
        <v>1126</v>
      </c>
      <c r="T666" t="s">
        <v>43</v>
      </c>
      <c r="U666" t="s">
        <v>44</v>
      </c>
      <c r="V666">
        <v>147</v>
      </c>
      <c r="W666" t="s">
        <v>45</v>
      </c>
      <c r="X666" t="s">
        <v>60</v>
      </c>
      <c r="Y666" t="s">
        <v>1127</v>
      </c>
      <c r="Z666" t="s">
        <v>37</v>
      </c>
      <c r="AA666" t="s">
        <v>55</v>
      </c>
      <c r="AB666" t="s">
        <v>37</v>
      </c>
      <c r="AC666" s="6" t="s">
        <v>37</v>
      </c>
      <c r="AD666" s="6" t="s">
        <v>37</v>
      </c>
      <c r="AE666" t="s">
        <v>37</v>
      </c>
      <c r="AF666" t="s">
        <v>37</v>
      </c>
      <c r="AG666" s="6" t="s">
        <v>37</v>
      </c>
      <c r="AH666" t="s">
        <v>37</v>
      </c>
      <c r="AI666" t="s">
        <v>37</v>
      </c>
      <c r="AJ666" t="str">
        <f t="shared" si="32"/>
        <v>5X1OU9ZGB07W7LXYTR</v>
      </c>
    </row>
    <row r="667" spans="1:36" ht="15" customHeight="1" x14ac:dyDescent="0.25">
      <c r="A667" t="s">
        <v>284</v>
      </c>
      <c r="B667" t="s">
        <v>37</v>
      </c>
      <c r="C667" t="s">
        <v>37</v>
      </c>
      <c r="D667" t="s">
        <v>38</v>
      </c>
      <c r="E667" s="4">
        <v>6</v>
      </c>
      <c r="F667" s="5">
        <v>174</v>
      </c>
      <c r="G667" s="5" t="s">
        <v>39</v>
      </c>
      <c r="H667" s="5">
        <v>265.5</v>
      </c>
      <c r="I667" s="5" t="s">
        <v>39</v>
      </c>
      <c r="J667" s="5">
        <v>5.9160000000000004</v>
      </c>
      <c r="K667" s="5">
        <f t="shared" si="30"/>
        <v>0.9860000000000001</v>
      </c>
      <c r="L667" s="5">
        <f t="shared" si="31"/>
        <v>29</v>
      </c>
      <c r="M667" s="5" t="s">
        <v>39</v>
      </c>
      <c r="N667" s="5">
        <v>5.9160000000000004</v>
      </c>
      <c r="O667" s="5" t="s">
        <v>39</v>
      </c>
      <c r="P667" t="s">
        <v>462</v>
      </c>
      <c r="Q667" t="s">
        <v>541</v>
      </c>
      <c r="R667" t="s">
        <v>37</v>
      </c>
      <c r="S667" t="s">
        <v>542</v>
      </c>
      <c r="T667" t="s">
        <v>43</v>
      </c>
      <c r="U667" t="s">
        <v>44</v>
      </c>
      <c r="V667">
        <v>147</v>
      </c>
      <c r="W667" t="s">
        <v>92</v>
      </c>
      <c r="X667" t="s">
        <v>543</v>
      </c>
      <c r="Y667" t="s">
        <v>544</v>
      </c>
      <c r="Z667" t="s">
        <v>37</v>
      </c>
      <c r="AA667" t="s">
        <v>55</v>
      </c>
      <c r="AB667" t="s">
        <v>37</v>
      </c>
      <c r="AC667" s="6" t="s">
        <v>37</v>
      </c>
      <c r="AD667" s="6" t="s">
        <v>37</v>
      </c>
      <c r="AE667" t="s">
        <v>37</v>
      </c>
      <c r="AF667" t="s">
        <v>37</v>
      </c>
      <c r="AG667" s="6" t="s">
        <v>37</v>
      </c>
      <c r="AH667" t="s">
        <v>37</v>
      </c>
      <c r="AI667" t="s">
        <v>37</v>
      </c>
      <c r="AJ667" t="str">
        <f t="shared" si="32"/>
        <v>17D6YHERB07W7LF6F1</v>
      </c>
    </row>
    <row r="668" spans="1:36" ht="15" customHeight="1" x14ac:dyDescent="0.25">
      <c r="A668" t="s">
        <v>62</v>
      </c>
      <c r="B668" t="s">
        <v>37</v>
      </c>
      <c r="C668" t="s">
        <v>37</v>
      </c>
      <c r="D668" t="s">
        <v>38</v>
      </c>
      <c r="E668" s="4">
        <v>8</v>
      </c>
      <c r="F668" s="5">
        <v>164</v>
      </c>
      <c r="G668" s="5" t="s">
        <v>39</v>
      </c>
      <c r="H668" s="5">
        <v>249.12</v>
      </c>
      <c r="I668" s="5" t="s">
        <v>39</v>
      </c>
      <c r="J668" s="5">
        <v>5.5759999999999996</v>
      </c>
      <c r="K668" s="5">
        <f t="shared" si="30"/>
        <v>0.69699999999999995</v>
      </c>
      <c r="L668" s="5">
        <f t="shared" si="31"/>
        <v>20.5</v>
      </c>
      <c r="M668" s="5" t="s">
        <v>39</v>
      </c>
      <c r="N668" s="5">
        <v>5.5759999999999996</v>
      </c>
      <c r="O668" s="5" t="s">
        <v>39</v>
      </c>
      <c r="P668" t="s">
        <v>63</v>
      </c>
      <c r="Q668" t="s">
        <v>1345</v>
      </c>
      <c r="R668" t="s">
        <v>37</v>
      </c>
      <c r="S668" t="s">
        <v>1346</v>
      </c>
      <c r="T668" t="s">
        <v>43</v>
      </c>
      <c r="U668" t="s">
        <v>44</v>
      </c>
      <c r="V668">
        <v>147</v>
      </c>
      <c r="W668" t="s">
        <v>45</v>
      </c>
      <c r="X668" t="s">
        <v>60</v>
      </c>
      <c r="Y668" t="s">
        <v>1347</v>
      </c>
      <c r="Z668" t="s">
        <v>37</v>
      </c>
      <c r="AA668" t="s">
        <v>55</v>
      </c>
      <c r="AB668" t="s">
        <v>37</v>
      </c>
      <c r="AC668" s="6" t="s">
        <v>37</v>
      </c>
      <c r="AD668" s="6" t="s">
        <v>37</v>
      </c>
      <c r="AE668" t="s">
        <v>37</v>
      </c>
      <c r="AF668" t="s">
        <v>37</v>
      </c>
      <c r="AG668" s="6" t="s">
        <v>37</v>
      </c>
      <c r="AH668" t="s">
        <v>37</v>
      </c>
      <c r="AI668" t="s">
        <v>37</v>
      </c>
      <c r="AJ668" t="str">
        <f t="shared" si="32"/>
        <v>7H9X1Z6SB006LNTSP8</v>
      </c>
    </row>
    <row r="669" spans="1:36" ht="15" customHeight="1" x14ac:dyDescent="0.25">
      <c r="A669" t="s">
        <v>127</v>
      </c>
      <c r="B669" t="s">
        <v>37</v>
      </c>
      <c r="C669" t="s">
        <v>37</v>
      </c>
      <c r="D669" t="s">
        <v>38</v>
      </c>
      <c r="E669" s="4">
        <v>28</v>
      </c>
      <c r="F669" s="5">
        <v>1034.04</v>
      </c>
      <c r="G669" s="5" t="s">
        <v>39</v>
      </c>
      <c r="H669" s="5">
        <v>1721.16</v>
      </c>
      <c r="I669" s="5" t="s">
        <v>39</v>
      </c>
      <c r="J669" s="5">
        <v>35.157359999999997</v>
      </c>
      <c r="K669" s="5">
        <f t="shared" si="30"/>
        <v>1.25562</v>
      </c>
      <c r="L669" s="5">
        <f t="shared" si="31"/>
        <v>36.93</v>
      </c>
      <c r="M669" s="5" t="s">
        <v>39</v>
      </c>
      <c r="N669" s="5">
        <v>35.157359999999997</v>
      </c>
      <c r="O669" s="5" t="s">
        <v>39</v>
      </c>
      <c r="P669" t="s">
        <v>365</v>
      </c>
      <c r="Q669" t="s">
        <v>908</v>
      </c>
      <c r="R669" t="s">
        <v>909</v>
      </c>
      <c r="S669" t="s">
        <v>910</v>
      </c>
      <c r="T669" t="s">
        <v>43</v>
      </c>
      <c r="U669" t="s">
        <v>44</v>
      </c>
      <c r="V669">
        <v>147</v>
      </c>
      <c r="W669" t="s">
        <v>45</v>
      </c>
      <c r="X669" t="s">
        <v>46</v>
      </c>
      <c r="Y669" t="s">
        <v>268</v>
      </c>
      <c r="Z669" t="s">
        <v>37</v>
      </c>
      <c r="AA669" t="s">
        <v>55</v>
      </c>
      <c r="AB669" t="s">
        <v>37</v>
      </c>
      <c r="AC669" s="6" t="s">
        <v>37</v>
      </c>
      <c r="AD669" s="6" t="s">
        <v>37</v>
      </c>
      <c r="AE669" t="s">
        <v>37</v>
      </c>
      <c r="AF669" t="s">
        <v>37</v>
      </c>
      <c r="AG669" s="6" t="s">
        <v>37</v>
      </c>
      <c r="AH669" t="s">
        <v>37</v>
      </c>
      <c r="AI669" t="s">
        <v>37</v>
      </c>
      <c r="AJ669" t="str">
        <f t="shared" si="32"/>
        <v>3KYCEHVHB07CGPZ3ZQ</v>
      </c>
    </row>
    <row r="670" spans="1:36" ht="15" customHeight="1" x14ac:dyDescent="0.25">
      <c r="A670" t="s">
        <v>36</v>
      </c>
      <c r="B670" t="s">
        <v>37</v>
      </c>
      <c r="C670" t="s">
        <v>37</v>
      </c>
      <c r="D670" t="s">
        <v>38</v>
      </c>
      <c r="E670" s="4">
        <v>528</v>
      </c>
      <c r="F670" s="5">
        <v>19499.04</v>
      </c>
      <c r="G670" s="5" t="s">
        <v>39</v>
      </c>
      <c r="H670" s="5">
        <v>32456.16</v>
      </c>
      <c r="I670" s="5" t="s">
        <v>39</v>
      </c>
      <c r="J670" s="5">
        <v>662.96735999999999</v>
      </c>
      <c r="K670" s="5">
        <f t="shared" si="30"/>
        <v>1.25562</v>
      </c>
      <c r="L670" s="5">
        <f t="shared" si="31"/>
        <v>36.93</v>
      </c>
      <c r="M670" s="5" t="s">
        <v>39</v>
      </c>
      <c r="N670" s="5">
        <v>662.96735999999999</v>
      </c>
      <c r="O670" s="5" t="s">
        <v>39</v>
      </c>
      <c r="P670" t="s">
        <v>365</v>
      </c>
      <c r="Q670" t="s">
        <v>908</v>
      </c>
      <c r="R670" t="s">
        <v>909</v>
      </c>
      <c r="S670" t="s">
        <v>910</v>
      </c>
      <c r="T670" t="s">
        <v>43</v>
      </c>
      <c r="U670" t="s">
        <v>44</v>
      </c>
      <c r="V670">
        <v>147</v>
      </c>
      <c r="W670" t="s">
        <v>45</v>
      </c>
      <c r="X670" t="s">
        <v>46</v>
      </c>
      <c r="Y670" t="s">
        <v>268</v>
      </c>
      <c r="Z670" t="s">
        <v>37</v>
      </c>
      <c r="AA670" t="s">
        <v>55</v>
      </c>
      <c r="AB670" t="s">
        <v>37</v>
      </c>
      <c r="AC670" s="6" t="s">
        <v>37</v>
      </c>
      <c r="AD670" s="6" t="s">
        <v>37</v>
      </c>
      <c r="AE670" t="s">
        <v>37</v>
      </c>
      <c r="AF670" t="s">
        <v>37</v>
      </c>
      <c r="AG670" s="6" t="s">
        <v>37</v>
      </c>
      <c r="AH670" t="s">
        <v>37</v>
      </c>
      <c r="AI670" t="s">
        <v>37</v>
      </c>
      <c r="AJ670" t="str">
        <f t="shared" si="32"/>
        <v>3KYCEHVHB07CGPZ3ZQ</v>
      </c>
    </row>
    <row r="671" spans="1:36" ht="15" customHeight="1" x14ac:dyDescent="0.25">
      <c r="A671" t="s">
        <v>101</v>
      </c>
      <c r="B671" t="s">
        <v>37</v>
      </c>
      <c r="C671" t="s">
        <v>37</v>
      </c>
      <c r="D671" t="s">
        <v>38</v>
      </c>
      <c r="E671" s="4">
        <v>8</v>
      </c>
      <c r="F671" s="5">
        <v>460.08</v>
      </c>
      <c r="G671" s="5" t="s">
        <v>39</v>
      </c>
      <c r="H671" s="5">
        <v>780.32</v>
      </c>
      <c r="I671" s="5" t="s">
        <v>39</v>
      </c>
      <c r="J671" s="5">
        <v>15.642720000000001</v>
      </c>
      <c r="K671" s="5">
        <f t="shared" si="30"/>
        <v>1.9553400000000001</v>
      </c>
      <c r="L671" s="5">
        <f t="shared" si="31"/>
        <v>57.51</v>
      </c>
      <c r="M671" s="5" t="s">
        <v>39</v>
      </c>
      <c r="N671" s="5">
        <v>15.642720000000001</v>
      </c>
      <c r="O671" s="5" t="s">
        <v>39</v>
      </c>
      <c r="P671" t="s">
        <v>320</v>
      </c>
      <c r="Q671" t="s">
        <v>745</v>
      </c>
      <c r="R671" t="s">
        <v>37</v>
      </c>
      <c r="S671" t="s">
        <v>746</v>
      </c>
      <c r="T671" t="s">
        <v>43</v>
      </c>
      <c r="U671" t="s">
        <v>44</v>
      </c>
      <c r="V671">
        <v>147</v>
      </c>
      <c r="W671" t="s">
        <v>45</v>
      </c>
      <c r="X671" t="s">
        <v>46</v>
      </c>
      <c r="Y671" t="s">
        <v>747</v>
      </c>
      <c r="Z671" t="s">
        <v>37</v>
      </c>
      <c r="AA671" t="s">
        <v>48</v>
      </c>
      <c r="AB671" t="s">
        <v>37</v>
      </c>
      <c r="AC671" s="6" t="s">
        <v>37</v>
      </c>
      <c r="AD671" s="6" t="s">
        <v>37</v>
      </c>
      <c r="AE671" t="s">
        <v>37</v>
      </c>
      <c r="AF671" t="s">
        <v>37</v>
      </c>
      <c r="AG671" s="6" t="s">
        <v>37</v>
      </c>
      <c r="AH671" t="s">
        <v>37</v>
      </c>
      <c r="AI671" t="s">
        <v>37</v>
      </c>
      <c r="AJ671" t="str">
        <f t="shared" si="32"/>
        <v>8BG295LIB01MFBNN9J</v>
      </c>
    </row>
    <row r="672" spans="1:36" ht="15" customHeight="1" x14ac:dyDescent="0.25">
      <c r="A672" t="s">
        <v>88</v>
      </c>
      <c r="B672" t="s">
        <v>37</v>
      </c>
      <c r="C672" t="s">
        <v>37</v>
      </c>
      <c r="D672" t="s">
        <v>38</v>
      </c>
      <c r="E672" s="4">
        <v>280</v>
      </c>
      <c r="F672" s="5">
        <v>20535.2</v>
      </c>
      <c r="G672" s="5" t="s">
        <v>39</v>
      </c>
      <c r="H672" s="5">
        <v>33278</v>
      </c>
      <c r="I672" s="5" t="s">
        <v>39</v>
      </c>
      <c r="J672" s="5">
        <v>698.19680000000005</v>
      </c>
      <c r="K672" s="5">
        <f t="shared" si="30"/>
        <v>2.49356</v>
      </c>
      <c r="L672" s="5">
        <f t="shared" si="31"/>
        <v>73.34</v>
      </c>
      <c r="M672" s="5" t="s">
        <v>39</v>
      </c>
      <c r="N672" s="5">
        <v>698.19680000000005</v>
      </c>
      <c r="O672" s="5" t="s">
        <v>39</v>
      </c>
      <c r="P672" t="s">
        <v>89</v>
      </c>
      <c r="Q672" t="s">
        <v>401</v>
      </c>
      <c r="R672" t="s">
        <v>37</v>
      </c>
      <c r="S672" t="s">
        <v>402</v>
      </c>
      <c r="T672" t="s">
        <v>43</v>
      </c>
      <c r="U672" t="s">
        <v>44</v>
      </c>
      <c r="V672">
        <v>147</v>
      </c>
      <c r="W672" t="s">
        <v>45</v>
      </c>
      <c r="X672" t="s">
        <v>46</v>
      </c>
      <c r="Y672" t="s">
        <v>403</v>
      </c>
      <c r="Z672" t="s">
        <v>37</v>
      </c>
      <c r="AA672" t="s">
        <v>55</v>
      </c>
      <c r="AB672" t="s">
        <v>37</v>
      </c>
      <c r="AC672" s="6" t="s">
        <v>37</v>
      </c>
      <c r="AD672" s="6" t="s">
        <v>37</v>
      </c>
      <c r="AE672" t="s">
        <v>37</v>
      </c>
      <c r="AF672" t="s">
        <v>37</v>
      </c>
      <c r="AG672" s="6" t="s">
        <v>37</v>
      </c>
      <c r="AH672" t="s">
        <v>37</v>
      </c>
      <c r="AI672" t="s">
        <v>37</v>
      </c>
      <c r="AJ672" t="str">
        <f t="shared" si="32"/>
        <v>2W68T8TOB07G5XJLWK</v>
      </c>
    </row>
    <row r="673" spans="1:36" ht="15" customHeight="1" x14ac:dyDescent="0.25">
      <c r="A673" t="s">
        <v>36</v>
      </c>
      <c r="B673" t="s">
        <v>37</v>
      </c>
      <c r="C673" t="s">
        <v>37</v>
      </c>
      <c r="D673" t="s">
        <v>38</v>
      </c>
      <c r="E673" s="4">
        <v>10</v>
      </c>
      <c r="F673" s="5">
        <v>322.10000000000002</v>
      </c>
      <c r="G673" s="5" t="s">
        <v>39</v>
      </c>
      <c r="H673" s="5">
        <v>483.5</v>
      </c>
      <c r="I673" s="5" t="s">
        <v>39</v>
      </c>
      <c r="J673" s="5">
        <v>10.9514</v>
      </c>
      <c r="K673" s="5">
        <f t="shared" si="30"/>
        <v>1.09514</v>
      </c>
      <c r="L673" s="5">
        <f t="shared" si="31"/>
        <v>32.21</v>
      </c>
      <c r="M673" s="5" t="s">
        <v>39</v>
      </c>
      <c r="N673" s="5">
        <v>10.9514</v>
      </c>
      <c r="O673" s="5" t="s">
        <v>39</v>
      </c>
      <c r="P673" t="s">
        <v>270</v>
      </c>
      <c r="Q673" t="s">
        <v>1348</v>
      </c>
      <c r="R673" t="s">
        <v>37</v>
      </c>
      <c r="S673" t="s">
        <v>1349</v>
      </c>
      <c r="T673" t="s">
        <v>43</v>
      </c>
      <c r="U673" t="s">
        <v>44</v>
      </c>
      <c r="V673">
        <v>147</v>
      </c>
      <c r="W673" t="s">
        <v>45</v>
      </c>
      <c r="X673" t="s">
        <v>60</v>
      </c>
      <c r="Y673" t="s">
        <v>1350</v>
      </c>
      <c r="Z673" t="s">
        <v>37</v>
      </c>
      <c r="AA673" t="s">
        <v>55</v>
      </c>
      <c r="AB673" t="s">
        <v>37</v>
      </c>
      <c r="AC673" s="6" t="s">
        <v>37</v>
      </c>
      <c r="AD673" s="6" t="s">
        <v>37</v>
      </c>
      <c r="AE673" t="s">
        <v>37</v>
      </c>
      <c r="AF673" t="s">
        <v>37</v>
      </c>
      <c r="AG673" s="6" t="s">
        <v>37</v>
      </c>
      <c r="AH673" t="s">
        <v>37</v>
      </c>
      <c r="AI673" t="s">
        <v>37</v>
      </c>
      <c r="AJ673" t="str">
        <f t="shared" si="32"/>
        <v>1X4DXX4TB010EPT2X6</v>
      </c>
    </row>
    <row r="674" spans="1:36" ht="15" customHeight="1" x14ac:dyDescent="0.25">
      <c r="A674" t="s">
        <v>36</v>
      </c>
      <c r="B674" t="s">
        <v>37</v>
      </c>
      <c r="C674" t="s">
        <v>37</v>
      </c>
      <c r="D674" t="s">
        <v>38</v>
      </c>
      <c r="E674" s="4">
        <v>8</v>
      </c>
      <c r="F674" s="5">
        <v>505.84</v>
      </c>
      <c r="G674" s="5" t="s">
        <v>39</v>
      </c>
      <c r="H674" s="5">
        <v>681.92</v>
      </c>
      <c r="I674" s="5" t="s">
        <v>39</v>
      </c>
      <c r="J674" s="5">
        <v>17.198560000000001</v>
      </c>
      <c r="K674" s="5">
        <f t="shared" si="30"/>
        <v>2.1498200000000001</v>
      </c>
      <c r="L674" s="5">
        <f t="shared" si="31"/>
        <v>63.23</v>
      </c>
      <c r="M674" s="5" t="s">
        <v>39</v>
      </c>
      <c r="N674" s="5">
        <v>17.198560000000001</v>
      </c>
      <c r="O674" s="5" t="s">
        <v>39</v>
      </c>
      <c r="P674" t="s">
        <v>168</v>
      </c>
      <c r="Q674" t="s">
        <v>1318</v>
      </c>
      <c r="R674" t="s">
        <v>1319</v>
      </c>
      <c r="S674" t="s">
        <v>1320</v>
      </c>
      <c r="T674" t="s">
        <v>43</v>
      </c>
      <c r="U674" t="s">
        <v>44</v>
      </c>
      <c r="V674">
        <v>147</v>
      </c>
      <c r="W674" t="s">
        <v>45</v>
      </c>
      <c r="X674" t="s">
        <v>239</v>
      </c>
      <c r="Y674" t="s">
        <v>1321</v>
      </c>
      <c r="Z674" t="s">
        <v>37</v>
      </c>
      <c r="AA674" t="s">
        <v>48</v>
      </c>
      <c r="AB674" t="s">
        <v>37</v>
      </c>
      <c r="AC674" s="6" t="s">
        <v>37</v>
      </c>
      <c r="AD674" s="6" t="s">
        <v>37</v>
      </c>
      <c r="AE674" t="s">
        <v>37</v>
      </c>
      <c r="AF674" t="s">
        <v>37</v>
      </c>
      <c r="AG674" s="6" t="s">
        <v>37</v>
      </c>
      <c r="AH674" t="s">
        <v>37</v>
      </c>
      <c r="AI674" t="s">
        <v>37</v>
      </c>
      <c r="AJ674" t="str">
        <f t="shared" si="32"/>
        <v>2R6FMUZDB006A2Q81M</v>
      </c>
    </row>
    <row r="675" spans="1:36" ht="15" customHeight="1" x14ac:dyDescent="0.25">
      <c r="A675" t="s">
        <v>96</v>
      </c>
      <c r="B675" t="s">
        <v>37</v>
      </c>
      <c r="C675" t="s">
        <v>37</v>
      </c>
      <c r="D675" t="s">
        <v>38</v>
      </c>
      <c r="E675" s="4">
        <v>16</v>
      </c>
      <c r="F675" s="5">
        <v>515.36</v>
      </c>
      <c r="G675" s="5" t="s">
        <v>39</v>
      </c>
      <c r="H675" s="5">
        <v>773.6</v>
      </c>
      <c r="I675" s="5" t="s">
        <v>39</v>
      </c>
      <c r="J675" s="5">
        <v>17.52224</v>
      </c>
      <c r="K675" s="5">
        <f t="shared" si="30"/>
        <v>1.09514</v>
      </c>
      <c r="L675" s="5">
        <f t="shared" si="31"/>
        <v>32.21</v>
      </c>
      <c r="M675" s="5" t="s">
        <v>39</v>
      </c>
      <c r="N675" s="5">
        <v>17.52224</v>
      </c>
      <c r="O675" s="5" t="s">
        <v>39</v>
      </c>
      <c r="P675" t="s">
        <v>479</v>
      </c>
      <c r="Q675" t="s">
        <v>1351</v>
      </c>
      <c r="R675" t="s">
        <v>37</v>
      </c>
      <c r="S675" t="s">
        <v>1352</v>
      </c>
      <c r="T675" t="s">
        <v>432</v>
      </c>
      <c r="U675" t="s">
        <v>44</v>
      </c>
      <c r="V675">
        <v>147</v>
      </c>
      <c r="W675" t="s">
        <v>92</v>
      </c>
      <c r="X675" t="s">
        <v>433</v>
      </c>
      <c r="Y675" t="s">
        <v>1353</v>
      </c>
      <c r="Z675" t="s">
        <v>37</v>
      </c>
      <c r="AA675" t="s">
        <v>55</v>
      </c>
      <c r="AB675" t="s">
        <v>37</v>
      </c>
      <c r="AC675" s="6" t="s">
        <v>37</v>
      </c>
      <c r="AD675" s="6" t="s">
        <v>37</v>
      </c>
      <c r="AE675" t="s">
        <v>37</v>
      </c>
      <c r="AF675" t="s">
        <v>37</v>
      </c>
      <c r="AG675" s="6" t="s">
        <v>37</v>
      </c>
      <c r="AH675" t="s">
        <v>37</v>
      </c>
      <c r="AI675" t="s">
        <v>37</v>
      </c>
      <c r="AJ675" t="str">
        <f t="shared" si="32"/>
        <v>7SCVG2OTB07W4DGQSX</v>
      </c>
    </row>
    <row r="676" spans="1:36" ht="15" customHeight="1" x14ac:dyDescent="0.25">
      <c r="A676" t="s">
        <v>101</v>
      </c>
      <c r="B676" t="s">
        <v>37</v>
      </c>
      <c r="C676" t="s">
        <v>37</v>
      </c>
      <c r="D676" t="s">
        <v>38</v>
      </c>
      <c r="E676" s="4">
        <v>240</v>
      </c>
      <c r="F676" s="5">
        <v>1826.4</v>
      </c>
      <c r="G676" s="5" t="s">
        <v>39</v>
      </c>
      <c r="H676" s="5">
        <v>2654.4</v>
      </c>
      <c r="I676" s="5" t="s">
        <v>39</v>
      </c>
      <c r="J676" s="5">
        <v>62.0976</v>
      </c>
      <c r="K676" s="5">
        <f t="shared" si="30"/>
        <v>0.25874000000000003</v>
      </c>
      <c r="L676" s="5">
        <f t="shared" si="31"/>
        <v>7.61</v>
      </c>
      <c r="M676" s="5" t="s">
        <v>39</v>
      </c>
      <c r="N676" s="5">
        <v>62.0976</v>
      </c>
      <c r="O676" s="5" t="s">
        <v>39</v>
      </c>
      <c r="P676" t="s">
        <v>72</v>
      </c>
      <c r="Q676" t="s">
        <v>263</v>
      </c>
      <c r="R676" t="s">
        <v>37</v>
      </c>
      <c r="S676" t="s">
        <v>264</v>
      </c>
      <c r="T676" t="s">
        <v>43</v>
      </c>
      <c r="U676" t="s">
        <v>44</v>
      </c>
      <c r="V676">
        <v>147</v>
      </c>
      <c r="W676" t="s">
        <v>45</v>
      </c>
      <c r="X676" t="s">
        <v>53</v>
      </c>
      <c r="Y676" t="s">
        <v>265</v>
      </c>
      <c r="Z676" t="s">
        <v>37</v>
      </c>
      <c r="AA676" t="s">
        <v>48</v>
      </c>
      <c r="AB676" t="s">
        <v>37</v>
      </c>
      <c r="AC676" s="6" t="s">
        <v>37</v>
      </c>
      <c r="AD676" s="6" t="s">
        <v>37</v>
      </c>
      <c r="AE676" t="s">
        <v>37</v>
      </c>
      <c r="AF676" t="s">
        <v>37</v>
      </c>
      <c r="AG676" s="6" t="s">
        <v>37</v>
      </c>
      <c r="AH676" t="s">
        <v>37</v>
      </c>
      <c r="AI676" t="s">
        <v>37</v>
      </c>
      <c r="AJ676" t="str">
        <f t="shared" si="32"/>
        <v>4GF112AEB07W8LZB2L</v>
      </c>
    </row>
    <row r="677" spans="1:36" ht="15" customHeight="1" x14ac:dyDescent="0.25">
      <c r="A677" t="s">
        <v>176</v>
      </c>
      <c r="B677" t="s">
        <v>37</v>
      </c>
      <c r="C677" t="s">
        <v>37</v>
      </c>
      <c r="D677" t="s">
        <v>38</v>
      </c>
      <c r="E677" s="4">
        <v>20</v>
      </c>
      <c r="F677" s="5">
        <v>152.19999999999999</v>
      </c>
      <c r="G677" s="5" t="s">
        <v>39</v>
      </c>
      <c r="H677" s="5">
        <v>221.2</v>
      </c>
      <c r="I677" s="5" t="s">
        <v>39</v>
      </c>
      <c r="J677" s="5">
        <v>5.1748000000000003</v>
      </c>
      <c r="K677" s="5">
        <f t="shared" si="30"/>
        <v>0.25874000000000003</v>
      </c>
      <c r="L677" s="5">
        <f t="shared" si="31"/>
        <v>7.6099999999999994</v>
      </c>
      <c r="M677" s="5" t="s">
        <v>39</v>
      </c>
      <c r="N677" s="5">
        <v>5.1748000000000003</v>
      </c>
      <c r="O677" s="5" t="s">
        <v>39</v>
      </c>
      <c r="P677" t="s">
        <v>72</v>
      </c>
      <c r="Q677" t="s">
        <v>263</v>
      </c>
      <c r="R677" t="s">
        <v>37</v>
      </c>
      <c r="S677" t="s">
        <v>264</v>
      </c>
      <c r="T677" t="s">
        <v>43</v>
      </c>
      <c r="U677" t="s">
        <v>44</v>
      </c>
      <c r="V677">
        <v>147</v>
      </c>
      <c r="W677" t="s">
        <v>45</v>
      </c>
      <c r="X677" t="s">
        <v>53</v>
      </c>
      <c r="Y677" t="s">
        <v>265</v>
      </c>
      <c r="Z677" t="s">
        <v>37</v>
      </c>
      <c r="AA677" t="s">
        <v>48</v>
      </c>
      <c r="AB677" t="s">
        <v>37</v>
      </c>
      <c r="AC677" s="6" t="s">
        <v>37</v>
      </c>
      <c r="AD677" s="6" t="s">
        <v>37</v>
      </c>
      <c r="AE677" t="s">
        <v>37</v>
      </c>
      <c r="AF677" t="s">
        <v>37</v>
      </c>
      <c r="AG677" s="6" t="s">
        <v>37</v>
      </c>
      <c r="AH677" t="s">
        <v>37</v>
      </c>
      <c r="AI677" t="s">
        <v>37</v>
      </c>
      <c r="AJ677" t="str">
        <f t="shared" si="32"/>
        <v>4GF112AEB07W8LZB2L</v>
      </c>
    </row>
    <row r="678" spans="1:36" ht="15" customHeight="1" x14ac:dyDescent="0.25">
      <c r="A678" t="s">
        <v>101</v>
      </c>
      <c r="B678" t="s">
        <v>37</v>
      </c>
      <c r="C678" t="s">
        <v>37</v>
      </c>
      <c r="D678" t="s">
        <v>38</v>
      </c>
      <c r="E678" s="4">
        <v>162</v>
      </c>
      <c r="F678" s="5">
        <v>4698</v>
      </c>
      <c r="G678" s="5" t="s">
        <v>39</v>
      </c>
      <c r="H678" s="5">
        <v>7168.5</v>
      </c>
      <c r="I678" s="5" t="s">
        <v>39</v>
      </c>
      <c r="J678" s="5">
        <v>159.732</v>
      </c>
      <c r="K678" s="5">
        <f t="shared" si="30"/>
        <v>0.98599999999999999</v>
      </c>
      <c r="L678" s="5">
        <f t="shared" si="31"/>
        <v>29</v>
      </c>
      <c r="M678" s="5" t="s">
        <v>39</v>
      </c>
      <c r="N678" s="5">
        <v>159.732</v>
      </c>
      <c r="O678" s="5" t="s">
        <v>39</v>
      </c>
      <c r="P678" t="s">
        <v>748</v>
      </c>
      <c r="Q678" t="s">
        <v>1102</v>
      </c>
      <c r="R678" t="s">
        <v>37</v>
      </c>
      <c r="S678" t="s">
        <v>1103</v>
      </c>
      <c r="T678" t="s">
        <v>43</v>
      </c>
      <c r="U678" t="s">
        <v>44</v>
      </c>
      <c r="V678">
        <v>147</v>
      </c>
      <c r="W678" t="s">
        <v>45</v>
      </c>
      <c r="X678" t="s">
        <v>60</v>
      </c>
      <c r="Y678" t="s">
        <v>1104</v>
      </c>
      <c r="Z678" t="s">
        <v>37</v>
      </c>
      <c r="AA678" t="s">
        <v>55</v>
      </c>
      <c r="AB678" t="s">
        <v>37</v>
      </c>
      <c r="AC678" s="6" t="s">
        <v>37</v>
      </c>
      <c r="AD678" s="6" t="s">
        <v>37</v>
      </c>
      <c r="AE678" t="s">
        <v>37</v>
      </c>
      <c r="AF678" t="s">
        <v>37</v>
      </c>
      <c r="AG678" s="6" t="s">
        <v>37</v>
      </c>
      <c r="AH678" t="s">
        <v>37</v>
      </c>
      <c r="AI678" t="s">
        <v>37</v>
      </c>
      <c r="AJ678" t="str">
        <f t="shared" si="32"/>
        <v>74WI6EYDB07W7KJC28</v>
      </c>
    </row>
    <row r="679" spans="1:36" ht="15" customHeight="1" x14ac:dyDescent="0.25">
      <c r="A679" t="s">
        <v>88</v>
      </c>
      <c r="B679" t="s">
        <v>37</v>
      </c>
      <c r="C679" t="s">
        <v>37</v>
      </c>
      <c r="D679" t="s">
        <v>38</v>
      </c>
      <c r="E679" s="4">
        <v>8</v>
      </c>
      <c r="F679" s="5">
        <v>755.52</v>
      </c>
      <c r="G679" s="5" t="s">
        <v>39</v>
      </c>
      <c r="H679" s="5">
        <v>755.52</v>
      </c>
      <c r="I679" s="5" t="s">
        <v>39</v>
      </c>
      <c r="J679" s="5">
        <v>25.68768</v>
      </c>
      <c r="K679" s="5">
        <f t="shared" si="30"/>
        <v>3.21096</v>
      </c>
      <c r="L679" s="5">
        <f t="shared" si="31"/>
        <v>94.44</v>
      </c>
      <c r="M679" s="5" t="s">
        <v>39</v>
      </c>
      <c r="N679" s="5">
        <v>25.68768</v>
      </c>
      <c r="O679" s="5" t="s">
        <v>39</v>
      </c>
      <c r="P679" t="s">
        <v>133</v>
      </c>
      <c r="Q679" t="s">
        <v>860</v>
      </c>
      <c r="R679" t="s">
        <v>37</v>
      </c>
      <c r="S679" t="s">
        <v>861</v>
      </c>
      <c r="T679" t="s">
        <v>580</v>
      </c>
      <c r="U679" t="s">
        <v>44</v>
      </c>
      <c r="V679">
        <v>147</v>
      </c>
      <c r="W679" t="s">
        <v>37</v>
      </c>
      <c r="X679" t="s">
        <v>37</v>
      </c>
      <c r="Y679" t="s">
        <v>862</v>
      </c>
      <c r="Z679" t="s">
        <v>37</v>
      </c>
      <c r="AA679" t="s">
        <v>55</v>
      </c>
      <c r="AB679" t="s">
        <v>37</v>
      </c>
      <c r="AC679" s="6" t="s">
        <v>37</v>
      </c>
      <c r="AD679" s="6" t="s">
        <v>37</v>
      </c>
      <c r="AE679" t="s">
        <v>37</v>
      </c>
      <c r="AF679" t="s">
        <v>37</v>
      </c>
      <c r="AG679" s="6" t="s">
        <v>37</v>
      </c>
      <c r="AH679" t="s">
        <v>37</v>
      </c>
      <c r="AI679" t="s">
        <v>37</v>
      </c>
      <c r="AJ679" t="str">
        <f t="shared" si="32"/>
        <v>36BT7GGLB07W6J24VW</v>
      </c>
    </row>
    <row r="680" spans="1:36" ht="15" customHeight="1" x14ac:dyDescent="0.25">
      <c r="A680" t="s">
        <v>176</v>
      </c>
      <c r="B680" t="s">
        <v>37</v>
      </c>
      <c r="C680" t="s">
        <v>37</v>
      </c>
      <c r="D680" t="s">
        <v>38</v>
      </c>
      <c r="E680" s="4">
        <v>0</v>
      </c>
      <c r="F680" s="5">
        <v>0</v>
      </c>
      <c r="G680" s="5" t="s">
        <v>39</v>
      </c>
      <c r="H680" s="5">
        <v>0</v>
      </c>
      <c r="I680" s="5" t="s">
        <v>39</v>
      </c>
      <c r="J680" s="5">
        <v>0</v>
      </c>
      <c r="K680" s="5" t="e">
        <f t="shared" si="30"/>
        <v>#DIV/0!</v>
      </c>
      <c r="L680" s="5" t="e">
        <f t="shared" si="31"/>
        <v>#DIV/0!</v>
      </c>
      <c r="M680" s="5" t="s">
        <v>39</v>
      </c>
      <c r="N680" s="5">
        <v>0</v>
      </c>
      <c r="O680" s="5" t="s">
        <v>39</v>
      </c>
      <c r="P680" t="s">
        <v>89</v>
      </c>
      <c r="Q680" t="s">
        <v>420</v>
      </c>
      <c r="R680" t="s">
        <v>37</v>
      </c>
      <c r="S680" t="s">
        <v>421</v>
      </c>
      <c r="T680" t="s">
        <v>43</v>
      </c>
      <c r="U680" t="s">
        <v>44</v>
      </c>
      <c r="V680">
        <v>147</v>
      </c>
      <c r="W680" t="s">
        <v>45</v>
      </c>
      <c r="X680" t="s">
        <v>46</v>
      </c>
      <c r="Y680" t="s">
        <v>422</v>
      </c>
      <c r="Z680" t="s">
        <v>37</v>
      </c>
      <c r="AA680" t="s">
        <v>55</v>
      </c>
      <c r="AB680" t="s">
        <v>37</v>
      </c>
      <c r="AC680" s="6" t="s">
        <v>37</v>
      </c>
      <c r="AD680" s="6" t="s">
        <v>37</v>
      </c>
      <c r="AE680" t="s">
        <v>37</v>
      </c>
      <c r="AF680" t="s">
        <v>37</v>
      </c>
      <c r="AG680" s="6" t="s">
        <v>37</v>
      </c>
      <c r="AH680" t="s">
        <v>37</v>
      </c>
      <c r="AI680" t="s">
        <v>37</v>
      </c>
      <c r="AJ680" t="str">
        <f t="shared" si="32"/>
        <v>2W68T8TOB07QKC4WWD</v>
      </c>
    </row>
    <row r="681" spans="1:36" ht="15" customHeight="1" x14ac:dyDescent="0.25">
      <c r="A681" t="s">
        <v>96</v>
      </c>
      <c r="B681" t="s">
        <v>37</v>
      </c>
      <c r="C681" t="s">
        <v>37</v>
      </c>
      <c r="D681" t="s">
        <v>38</v>
      </c>
      <c r="E681" s="4">
        <v>160</v>
      </c>
      <c r="F681" s="5">
        <v>4684.8</v>
      </c>
      <c r="G681" s="5" t="s">
        <v>39</v>
      </c>
      <c r="H681" s="5">
        <v>7038.4</v>
      </c>
      <c r="I681" s="5" t="s">
        <v>39</v>
      </c>
      <c r="J681" s="5">
        <v>159.28319999999999</v>
      </c>
      <c r="K681" s="5">
        <f t="shared" si="30"/>
        <v>0.99551999999999996</v>
      </c>
      <c r="L681" s="5">
        <f t="shared" si="31"/>
        <v>29.28</v>
      </c>
      <c r="M681" s="5" t="s">
        <v>39</v>
      </c>
      <c r="N681" s="5">
        <v>159.28319999999999</v>
      </c>
      <c r="O681" s="5" t="s">
        <v>39</v>
      </c>
      <c r="P681" t="s">
        <v>969</v>
      </c>
      <c r="Q681" t="s">
        <v>1269</v>
      </c>
      <c r="R681" t="s">
        <v>1270</v>
      </c>
      <c r="S681" t="s">
        <v>1271</v>
      </c>
      <c r="T681" t="s">
        <v>43</v>
      </c>
      <c r="U681" t="s">
        <v>44</v>
      </c>
      <c r="V681">
        <v>147</v>
      </c>
      <c r="W681" t="s">
        <v>45</v>
      </c>
      <c r="X681" t="s">
        <v>239</v>
      </c>
      <c r="Y681" t="s">
        <v>1272</v>
      </c>
      <c r="Z681" t="s">
        <v>37</v>
      </c>
      <c r="AA681" t="s">
        <v>48</v>
      </c>
      <c r="AB681" t="s">
        <v>37</v>
      </c>
      <c r="AC681" s="6" t="s">
        <v>37</v>
      </c>
      <c r="AD681" s="6" t="s">
        <v>37</v>
      </c>
      <c r="AE681" t="s">
        <v>37</v>
      </c>
      <c r="AF681" t="s">
        <v>37</v>
      </c>
      <c r="AG681" s="6" t="s">
        <v>37</v>
      </c>
      <c r="AH681" t="s">
        <v>37</v>
      </c>
      <c r="AI681" t="s">
        <v>37</v>
      </c>
      <c r="AJ681" t="str">
        <f t="shared" si="32"/>
        <v>1VBBCE3CB005BFCNYU</v>
      </c>
    </row>
    <row r="682" spans="1:36" ht="15" customHeight="1" x14ac:dyDescent="0.25">
      <c r="A682" t="s">
        <v>96</v>
      </c>
      <c r="B682" t="s">
        <v>37</v>
      </c>
      <c r="C682" t="s">
        <v>37</v>
      </c>
      <c r="D682" t="s">
        <v>38</v>
      </c>
      <c r="E682" s="4">
        <v>8</v>
      </c>
      <c r="F682" s="5">
        <v>428.08</v>
      </c>
      <c r="G682" s="5" t="s">
        <v>39</v>
      </c>
      <c r="H682" s="5">
        <v>655.68</v>
      </c>
      <c r="I682" s="5" t="s">
        <v>39</v>
      </c>
      <c r="J682" s="5">
        <v>14.55472</v>
      </c>
      <c r="K682" s="5">
        <f t="shared" si="30"/>
        <v>1.81934</v>
      </c>
      <c r="L682" s="5">
        <f t="shared" si="31"/>
        <v>53.51</v>
      </c>
      <c r="M682" s="5" t="s">
        <v>39</v>
      </c>
      <c r="N682" s="5">
        <v>14.55472</v>
      </c>
      <c r="O682" s="5" t="s">
        <v>39</v>
      </c>
      <c r="P682" t="s">
        <v>50</v>
      </c>
      <c r="Q682" t="s">
        <v>1354</v>
      </c>
      <c r="R682" t="s">
        <v>37</v>
      </c>
      <c r="S682" t="s">
        <v>1355</v>
      </c>
      <c r="T682" t="s">
        <v>43</v>
      </c>
      <c r="U682" t="s">
        <v>44</v>
      </c>
      <c r="V682">
        <v>23</v>
      </c>
      <c r="W682" t="s">
        <v>281</v>
      </c>
      <c r="X682" t="s">
        <v>282</v>
      </c>
      <c r="Y682" t="s">
        <v>1356</v>
      </c>
      <c r="Z682" t="s">
        <v>37</v>
      </c>
      <c r="AA682" t="s">
        <v>95</v>
      </c>
      <c r="AB682" t="s">
        <v>37</v>
      </c>
      <c r="AC682" s="6" t="s">
        <v>37</v>
      </c>
      <c r="AD682" s="6" t="s">
        <v>37</v>
      </c>
      <c r="AE682" t="s">
        <v>37</v>
      </c>
      <c r="AF682" t="s">
        <v>37</v>
      </c>
      <c r="AG682" s="6" t="s">
        <v>37</v>
      </c>
      <c r="AH682" t="s">
        <v>37</v>
      </c>
      <c r="AI682" t="s">
        <v>37</v>
      </c>
      <c r="AJ682" t="str">
        <f t="shared" si="32"/>
        <v>3A946EXYB07W6HZ85B</v>
      </c>
    </row>
    <row r="683" spans="1:36" ht="15" customHeight="1" x14ac:dyDescent="0.25">
      <c r="A683" t="s">
        <v>127</v>
      </c>
      <c r="B683" t="s">
        <v>37</v>
      </c>
      <c r="C683" t="s">
        <v>37</v>
      </c>
      <c r="D683" t="s">
        <v>38</v>
      </c>
      <c r="E683" s="4">
        <v>0</v>
      </c>
      <c r="F683" s="5">
        <v>0</v>
      </c>
      <c r="G683" s="5" t="s">
        <v>39</v>
      </c>
      <c r="H683" s="5">
        <v>0</v>
      </c>
      <c r="I683" s="5" t="s">
        <v>39</v>
      </c>
      <c r="J683" s="5">
        <v>0</v>
      </c>
      <c r="K683" s="5" t="e">
        <f t="shared" si="30"/>
        <v>#DIV/0!</v>
      </c>
      <c r="L683" s="5" t="e">
        <f t="shared" si="31"/>
        <v>#DIV/0!</v>
      </c>
      <c r="M683" s="5" t="s">
        <v>39</v>
      </c>
      <c r="N683" s="5">
        <v>0</v>
      </c>
      <c r="O683" s="5" t="s">
        <v>39</v>
      </c>
      <c r="P683" t="s">
        <v>128</v>
      </c>
      <c r="Q683" t="s">
        <v>380</v>
      </c>
      <c r="R683" t="s">
        <v>37</v>
      </c>
      <c r="S683" t="s">
        <v>381</v>
      </c>
      <c r="T683" t="s">
        <v>43</v>
      </c>
      <c r="U683" t="s">
        <v>44</v>
      </c>
      <c r="V683">
        <v>147</v>
      </c>
      <c r="W683" t="s">
        <v>45</v>
      </c>
      <c r="X683" t="s">
        <v>60</v>
      </c>
      <c r="Y683" t="s">
        <v>382</v>
      </c>
      <c r="Z683" t="s">
        <v>37</v>
      </c>
      <c r="AA683" t="s">
        <v>55</v>
      </c>
      <c r="AB683" t="s">
        <v>37</v>
      </c>
      <c r="AC683" s="6" t="s">
        <v>37</v>
      </c>
      <c r="AD683" s="6" t="s">
        <v>37</v>
      </c>
      <c r="AE683" t="s">
        <v>37</v>
      </c>
      <c r="AF683" t="s">
        <v>37</v>
      </c>
      <c r="AG683" s="6" t="s">
        <v>37</v>
      </c>
      <c r="AH683" t="s">
        <v>37</v>
      </c>
      <c r="AI683" t="s">
        <v>37</v>
      </c>
      <c r="AJ683" t="str">
        <f t="shared" si="32"/>
        <v>7RAC5F9EB07W7LW3VS</v>
      </c>
    </row>
    <row r="684" spans="1:36" ht="15" customHeight="1" x14ac:dyDescent="0.25">
      <c r="A684" t="s">
        <v>101</v>
      </c>
      <c r="B684" t="s">
        <v>37</v>
      </c>
      <c r="C684" t="s">
        <v>37</v>
      </c>
      <c r="D684" t="s">
        <v>38</v>
      </c>
      <c r="E684" s="4">
        <v>0</v>
      </c>
      <c r="F684" s="5">
        <v>0</v>
      </c>
      <c r="G684" s="5" t="s">
        <v>39</v>
      </c>
      <c r="H684" s="5">
        <v>0</v>
      </c>
      <c r="I684" s="5" t="s">
        <v>39</v>
      </c>
      <c r="J684" s="5">
        <v>0</v>
      </c>
      <c r="K684" s="5" t="e">
        <f t="shared" si="30"/>
        <v>#DIV/0!</v>
      </c>
      <c r="L684" s="5" t="e">
        <f t="shared" si="31"/>
        <v>#DIV/0!</v>
      </c>
      <c r="M684" s="5" t="s">
        <v>39</v>
      </c>
      <c r="N684" s="5">
        <v>0</v>
      </c>
      <c r="O684" s="5" t="s">
        <v>39</v>
      </c>
      <c r="P684" t="s">
        <v>89</v>
      </c>
      <c r="Q684" t="s">
        <v>420</v>
      </c>
      <c r="R684" t="s">
        <v>37</v>
      </c>
      <c r="S684" t="s">
        <v>421</v>
      </c>
      <c r="T684" t="s">
        <v>43</v>
      </c>
      <c r="U684" t="s">
        <v>44</v>
      </c>
      <c r="V684">
        <v>147</v>
      </c>
      <c r="W684" t="s">
        <v>45</v>
      </c>
      <c r="X684" t="s">
        <v>46</v>
      </c>
      <c r="Y684" t="s">
        <v>422</v>
      </c>
      <c r="Z684" t="s">
        <v>37</v>
      </c>
      <c r="AA684" t="s">
        <v>55</v>
      </c>
      <c r="AB684" t="s">
        <v>37</v>
      </c>
      <c r="AC684" s="6" t="s">
        <v>37</v>
      </c>
      <c r="AD684" s="6" t="s">
        <v>37</v>
      </c>
      <c r="AE684" t="s">
        <v>37</v>
      </c>
      <c r="AF684" t="s">
        <v>37</v>
      </c>
      <c r="AG684" s="6" t="s">
        <v>37</v>
      </c>
      <c r="AH684" t="s">
        <v>37</v>
      </c>
      <c r="AI684" t="s">
        <v>37</v>
      </c>
      <c r="AJ684" t="str">
        <f t="shared" si="32"/>
        <v>2W68T8TOB07QKC4WWD</v>
      </c>
    </row>
    <row r="685" spans="1:36" ht="15" customHeight="1" x14ac:dyDescent="0.25">
      <c r="A685" t="s">
        <v>162</v>
      </c>
      <c r="B685" t="s">
        <v>37</v>
      </c>
      <c r="C685" t="s">
        <v>37</v>
      </c>
      <c r="D685" t="s">
        <v>38</v>
      </c>
      <c r="E685" s="4">
        <v>8</v>
      </c>
      <c r="F685" s="5">
        <v>586.72</v>
      </c>
      <c r="G685" s="5" t="s">
        <v>39</v>
      </c>
      <c r="H685" s="5">
        <v>950.8</v>
      </c>
      <c r="I685" s="5" t="s">
        <v>39</v>
      </c>
      <c r="J685" s="5">
        <v>19.94848</v>
      </c>
      <c r="K685" s="5">
        <f t="shared" si="30"/>
        <v>2.49356</v>
      </c>
      <c r="L685" s="5">
        <f t="shared" si="31"/>
        <v>73.34</v>
      </c>
      <c r="M685" s="5" t="s">
        <v>39</v>
      </c>
      <c r="N685" s="5">
        <v>19.94848</v>
      </c>
      <c r="O685" s="5" t="s">
        <v>39</v>
      </c>
      <c r="P685" t="s">
        <v>89</v>
      </c>
      <c r="Q685" t="s">
        <v>401</v>
      </c>
      <c r="R685" t="s">
        <v>37</v>
      </c>
      <c r="S685" t="s">
        <v>402</v>
      </c>
      <c r="T685" t="s">
        <v>43</v>
      </c>
      <c r="U685" t="s">
        <v>44</v>
      </c>
      <c r="V685">
        <v>147</v>
      </c>
      <c r="W685" t="s">
        <v>45</v>
      </c>
      <c r="X685" t="s">
        <v>46</v>
      </c>
      <c r="Y685" t="s">
        <v>403</v>
      </c>
      <c r="Z685" t="s">
        <v>37</v>
      </c>
      <c r="AA685" t="s">
        <v>55</v>
      </c>
      <c r="AB685" t="s">
        <v>37</v>
      </c>
      <c r="AC685" s="6" t="s">
        <v>37</v>
      </c>
      <c r="AD685" s="6" t="s">
        <v>37</v>
      </c>
      <c r="AE685" t="s">
        <v>37</v>
      </c>
      <c r="AF685" t="s">
        <v>37</v>
      </c>
      <c r="AG685" s="6" t="s">
        <v>37</v>
      </c>
      <c r="AH685" t="s">
        <v>37</v>
      </c>
      <c r="AI685" t="s">
        <v>37</v>
      </c>
      <c r="AJ685" t="str">
        <f t="shared" si="32"/>
        <v>2W68T8TOB07G5XJLWK</v>
      </c>
    </row>
    <row r="686" spans="1:36" ht="15" customHeight="1" x14ac:dyDescent="0.25">
      <c r="A686" t="s">
        <v>127</v>
      </c>
      <c r="B686" t="s">
        <v>37</v>
      </c>
      <c r="C686" t="s">
        <v>37</v>
      </c>
      <c r="D686" t="s">
        <v>38</v>
      </c>
      <c r="E686" s="4">
        <v>10</v>
      </c>
      <c r="F686" s="5">
        <v>105.3</v>
      </c>
      <c r="G686" s="5" t="s">
        <v>39</v>
      </c>
      <c r="H686" s="5">
        <v>147.5</v>
      </c>
      <c r="I686" s="5" t="s">
        <v>39</v>
      </c>
      <c r="J686" s="5">
        <v>3.5802</v>
      </c>
      <c r="K686" s="5">
        <f t="shared" si="30"/>
        <v>0.35802</v>
      </c>
      <c r="L686" s="5">
        <f t="shared" si="31"/>
        <v>10.53</v>
      </c>
      <c r="M686" s="5" t="s">
        <v>39</v>
      </c>
      <c r="N686" s="5">
        <v>3.5802</v>
      </c>
      <c r="O686" s="5" t="s">
        <v>39</v>
      </c>
      <c r="P686" t="s">
        <v>128</v>
      </c>
      <c r="Q686" t="s">
        <v>732</v>
      </c>
      <c r="R686" t="s">
        <v>37</v>
      </c>
      <c r="S686" t="s">
        <v>733</v>
      </c>
      <c r="T686" t="s">
        <v>43</v>
      </c>
      <c r="U686" t="s">
        <v>44</v>
      </c>
      <c r="V686">
        <v>147</v>
      </c>
      <c r="W686" t="s">
        <v>45</v>
      </c>
      <c r="X686" t="s">
        <v>53</v>
      </c>
      <c r="Y686" t="s">
        <v>734</v>
      </c>
      <c r="Z686" t="s">
        <v>37</v>
      </c>
      <c r="AA686" t="s">
        <v>55</v>
      </c>
      <c r="AB686" t="s">
        <v>37</v>
      </c>
      <c r="AC686" s="6" t="s">
        <v>37</v>
      </c>
      <c r="AD686" s="6" t="s">
        <v>37</v>
      </c>
      <c r="AE686" t="s">
        <v>37</v>
      </c>
      <c r="AF686" t="s">
        <v>37</v>
      </c>
      <c r="AG686" s="6" t="s">
        <v>37</v>
      </c>
      <c r="AH686" t="s">
        <v>37</v>
      </c>
      <c r="AI686" t="s">
        <v>37</v>
      </c>
      <c r="AJ686" t="str">
        <f t="shared" si="32"/>
        <v>7RAC5F9EB00552K0GM</v>
      </c>
    </row>
    <row r="687" spans="1:36" ht="15" customHeight="1" x14ac:dyDescent="0.25">
      <c r="A687" t="s">
        <v>36</v>
      </c>
      <c r="B687" t="s">
        <v>37</v>
      </c>
      <c r="C687" t="s">
        <v>37</v>
      </c>
      <c r="D687" t="s">
        <v>38</v>
      </c>
      <c r="E687" s="4">
        <v>48</v>
      </c>
      <c r="F687" s="5">
        <v>1546.08</v>
      </c>
      <c r="G687" s="5" t="s">
        <v>39</v>
      </c>
      <c r="H687" s="5">
        <v>2320.8000000000002</v>
      </c>
      <c r="I687" s="5" t="s">
        <v>39</v>
      </c>
      <c r="J687" s="5">
        <v>52.566719999999997</v>
      </c>
      <c r="K687" s="5">
        <f t="shared" si="30"/>
        <v>1.09514</v>
      </c>
      <c r="L687" s="5">
        <f t="shared" si="31"/>
        <v>32.21</v>
      </c>
      <c r="M687" s="5" t="s">
        <v>39</v>
      </c>
      <c r="N687" s="5">
        <v>52.566719999999997</v>
      </c>
      <c r="O687" s="5" t="s">
        <v>39</v>
      </c>
      <c r="P687" t="s">
        <v>270</v>
      </c>
      <c r="Q687" t="s">
        <v>192</v>
      </c>
      <c r="R687" t="s">
        <v>37</v>
      </c>
      <c r="S687" t="s">
        <v>193</v>
      </c>
      <c r="T687" t="s">
        <v>43</v>
      </c>
      <c r="U687" t="s">
        <v>44</v>
      </c>
      <c r="V687">
        <v>147</v>
      </c>
      <c r="W687" t="s">
        <v>45</v>
      </c>
      <c r="X687" t="s">
        <v>60</v>
      </c>
      <c r="Y687" t="s">
        <v>194</v>
      </c>
      <c r="Z687" t="s">
        <v>37</v>
      </c>
      <c r="AA687" t="s">
        <v>55</v>
      </c>
      <c r="AB687" t="s">
        <v>37</v>
      </c>
      <c r="AC687" s="6" t="s">
        <v>37</v>
      </c>
      <c r="AD687" s="6" t="s">
        <v>37</v>
      </c>
      <c r="AE687" t="s">
        <v>37</v>
      </c>
      <c r="AF687" t="s">
        <v>37</v>
      </c>
      <c r="AG687" s="6" t="s">
        <v>37</v>
      </c>
      <c r="AH687" t="s">
        <v>37</v>
      </c>
      <c r="AI687" t="s">
        <v>37</v>
      </c>
      <c r="AJ687" t="str">
        <f t="shared" si="32"/>
        <v>1X4DXX4TB07W5JKPFG</v>
      </c>
    </row>
    <row r="688" spans="1:36" ht="15" customHeight="1" x14ac:dyDescent="0.25">
      <c r="A688" t="s">
        <v>62</v>
      </c>
      <c r="B688" t="s">
        <v>37</v>
      </c>
      <c r="C688" t="s">
        <v>37</v>
      </c>
      <c r="D688" t="s">
        <v>38</v>
      </c>
      <c r="E688" s="4">
        <v>8</v>
      </c>
      <c r="F688" s="5">
        <v>464</v>
      </c>
      <c r="G688" s="5" t="s">
        <v>39</v>
      </c>
      <c r="H688" s="5">
        <v>681.92</v>
      </c>
      <c r="I688" s="5" t="s">
        <v>39</v>
      </c>
      <c r="J688" s="5">
        <v>15.776</v>
      </c>
      <c r="K688" s="5">
        <f t="shared" si="30"/>
        <v>1.972</v>
      </c>
      <c r="L688" s="5">
        <f t="shared" si="31"/>
        <v>58</v>
      </c>
      <c r="M688" s="5" t="s">
        <v>39</v>
      </c>
      <c r="N688" s="5">
        <v>15.776</v>
      </c>
      <c r="O688" s="5" t="s">
        <v>39</v>
      </c>
      <c r="P688" t="s">
        <v>1334</v>
      </c>
      <c r="Q688" t="s">
        <v>1335</v>
      </c>
      <c r="R688" t="s">
        <v>37</v>
      </c>
      <c r="S688" t="s">
        <v>1336</v>
      </c>
      <c r="T688" t="s">
        <v>43</v>
      </c>
      <c r="U688" t="s">
        <v>44</v>
      </c>
      <c r="V688">
        <v>147</v>
      </c>
      <c r="W688" t="s">
        <v>45</v>
      </c>
      <c r="X688" t="s">
        <v>60</v>
      </c>
      <c r="Y688" t="s">
        <v>1337</v>
      </c>
      <c r="Z688" t="s">
        <v>37</v>
      </c>
      <c r="AA688" t="s">
        <v>55</v>
      </c>
      <c r="AB688" t="s">
        <v>37</v>
      </c>
      <c r="AC688" s="6" t="s">
        <v>37</v>
      </c>
      <c r="AD688" s="6" t="s">
        <v>37</v>
      </c>
      <c r="AE688" t="s">
        <v>37</v>
      </c>
      <c r="AF688" t="s">
        <v>37</v>
      </c>
      <c r="AG688" s="6" t="s">
        <v>37</v>
      </c>
      <c r="AH688" t="s">
        <v>37</v>
      </c>
      <c r="AI688" t="s">
        <v>37</v>
      </c>
      <c r="AJ688" t="str">
        <f t="shared" si="32"/>
        <v>5X874Q6MB07W7L19WV</v>
      </c>
    </row>
    <row r="689" spans="1:36" ht="15" customHeight="1" x14ac:dyDescent="0.25">
      <c r="A689" t="s">
        <v>127</v>
      </c>
      <c r="B689" t="s">
        <v>37</v>
      </c>
      <c r="C689" t="s">
        <v>37</v>
      </c>
      <c r="D689" t="s">
        <v>38</v>
      </c>
      <c r="E689" s="4">
        <v>8</v>
      </c>
      <c r="F689" s="5">
        <v>257.68</v>
      </c>
      <c r="G689" s="5" t="s">
        <v>39</v>
      </c>
      <c r="H689" s="5">
        <v>386.8</v>
      </c>
      <c r="I689" s="5" t="s">
        <v>39</v>
      </c>
      <c r="J689" s="5">
        <v>8.76112</v>
      </c>
      <c r="K689" s="5">
        <f t="shared" si="30"/>
        <v>1.09514</v>
      </c>
      <c r="L689" s="5">
        <f t="shared" si="31"/>
        <v>32.21</v>
      </c>
      <c r="M689" s="5" t="s">
        <v>39</v>
      </c>
      <c r="N689" s="5">
        <v>8.76112</v>
      </c>
      <c r="O689" s="5" t="s">
        <v>39</v>
      </c>
      <c r="P689" t="s">
        <v>270</v>
      </c>
      <c r="Q689" t="s">
        <v>192</v>
      </c>
      <c r="R689" t="s">
        <v>37</v>
      </c>
      <c r="S689" t="s">
        <v>193</v>
      </c>
      <c r="T689" t="s">
        <v>43</v>
      </c>
      <c r="U689" t="s">
        <v>44</v>
      </c>
      <c r="V689">
        <v>147</v>
      </c>
      <c r="W689" t="s">
        <v>45</v>
      </c>
      <c r="X689" t="s">
        <v>60</v>
      </c>
      <c r="Y689" t="s">
        <v>194</v>
      </c>
      <c r="Z689" t="s">
        <v>37</v>
      </c>
      <c r="AA689" t="s">
        <v>55</v>
      </c>
      <c r="AB689" t="s">
        <v>37</v>
      </c>
      <c r="AC689" s="6" t="s">
        <v>37</v>
      </c>
      <c r="AD689" s="6" t="s">
        <v>37</v>
      </c>
      <c r="AE689" t="s">
        <v>37</v>
      </c>
      <c r="AF689" t="s">
        <v>37</v>
      </c>
      <c r="AG689" s="6" t="s">
        <v>37</v>
      </c>
      <c r="AH689" t="s">
        <v>37</v>
      </c>
      <c r="AI689" t="s">
        <v>37</v>
      </c>
      <c r="AJ689" t="str">
        <f t="shared" si="32"/>
        <v>1X4DXX4TB07W5JKPFG</v>
      </c>
    </row>
    <row r="690" spans="1:36" ht="15" customHeight="1" x14ac:dyDescent="0.25">
      <c r="A690" t="s">
        <v>36</v>
      </c>
      <c r="B690" t="s">
        <v>37</v>
      </c>
      <c r="C690" t="s">
        <v>37</v>
      </c>
      <c r="D690" t="s">
        <v>38</v>
      </c>
      <c r="E690" s="4">
        <v>32</v>
      </c>
      <c r="F690" s="5">
        <v>684.8</v>
      </c>
      <c r="G690" s="5" t="s">
        <v>39</v>
      </c>
      <c r="H690" s="5">
        <v>1075.2</v>
      </c>
      <c r="I690" s="5" t="s">
        <v>39</v>
      </c>
      <c r="J690" s="5">
        <v>23.283200000000001</v>
      </c>
      <c r="K690" s="5">
        <f t="shared" si="30"/>
        <v>0.72760000000000002</v>
      </c>
      <c r="L690" s="5">
        <f t="shared" si="31"/>
        <v>21.4</v>
      </c>
      <c r="M690" s="5" t="s">
        <v>39</v>
      </c>
      <c r="N690" s="5">
        <v>23.283200000000001</v>
      </c>
      <c r="O690" s="5" t="s">
        <v>39</v>
      </c>
      <c r="P690" t="s">
        <v>270</v>
      </c>
      <c r="Q690" t="s">
        <v>973</v>
      </c>
      <c r="R690" t="s">
        <v>37</v>
      </c>
      <c r="S690" t="s">
        <v>974</v>
      </c>
      <c r="T690" t="s">
        <v>43</v>
      </c>
      <c r="U690" t="s">
        <v>44</v>
      </c>
      <c r="V690">
        <v>23</v>
      </c>
      <c r="W690" t="s">
        <v>281</v>
      </c>
      <c r="X690" t="s">
        <v>282</v>
      </c>
      <c r="Y690" t="s">
        <v>975</v>
      </c>
      <c r="Z690" t="s">
        <v>37</v>
      </c>
      <c r="AA690" t="s">
        <v>48</v>
      </c>
      <c r="AB690" t="s">
        <v>37</v>
      </c>
      <c r="AC690" s="6" t="s">
        <v>37</v>
      </c>
      <c r="AD690" s="6" t="s">
        <v>37</v>
      </c>
      <c r="AE690" t="s">
        <v>37</v>
      </c>
      <c r="AF690" t="s">
        <v>37</v>
      </c>
      <c r="AG690" s="6" t="s">
        <v>37</v>
      </c>
      <c r="AH690" t="s">
        <v>37</v>
      </c>
      <c r="AI690" t="s">
        <v>37</v>
      </c>
      <c r="AJ690" t="str">
        <f t="shared" si="32"/>
        <v>1X4DXX4TB07G6B2SGF</v>
      </c>
    </row>
    <row r="691" spans="1:36" ht="15" customHeight="1" x14ac:dyDescent="0.25">
      <c r="A691" t="s">
        <v>36</v>
      </c>
      <c r="B691" t="s">
        <v>37</v>
      </c>
      <c r="C691" t="s">
        <v>37</v>
      </c>
      <c r="D691" t="s">
        <v>38</v>
      </c>
      <c r="E691" s="4">
        <v>36</v>
      </c>
      <c r="F691" s="5">
        <v>1614.24</v>
      </c>
      <c r="G691" s="5" t="s">
        <v>39</v>
      </c>
      <c r="H691" s="5">
        <v>2596.3200000000002</v>
      </c>
      <c r="I691" s="5" t="s">
        <v>39</v>
      </c>
      <c r="J691" s="5">
        <v>54.884160000000001</v>
      </c>
      <c r="K691" s="5">
        <f t="shared" si="30"/>
        <v>1.5245600000000001</v>
      </c>
      <c r="L691" s="5">
        <f t="shared" si="31"/>
        <v>44.84</v>
      </c>
      <c r="M691" s="5" t="s">
        <v>39</v>
      </c>
      <c r="N691" s="5">
        <v>54.884160000000001</v>
      </c>
      <c r="O691" s="5" t="s">
        <v>39</v>
      </c>
      <c r="P691" t="s">
        <v>40</v>
      </c>
      <c r="Q691" t="s">
        <v>1357</v>
      </c>
      <c r="R691" t="s">
        <v>37</v>
      </c>
      <c r="S691" t="s">
        <v>1358</v>
      </c>
      <c r="T691" t="s">
        <v>43</v>
      </c>
      <c r="U691" t="s">
        <v>44</v>
      </c>
      <c r="V691">
        <v>147</v>
      </c>
      <c r="W691" t="s">
        <v>45</v>
      </c>
      <c r="X691" t="s">
        <v>60</v>
      </c>
      <c r="Y691" t="s">
        <v>1359</v>
      </c>
      <c r="Z691" t="s">
        <v>37</v>
      </c>
      <c r="AA691" t="s">
        <v>55</v>
      </c>
      <c r="AB691" t="s">
        <v>37</v>
      </c>
      <c r="AC691" s="6" t="s">
        <v>37</v>
      </c>
      <c r="AD691" s="6" t="s">
        <v>37</v>
      </c>
      <c r="AE691" t="s">
        <v>37</v>
      </c>
      <c r="AF691" t="s">
        <v>37</v>
      </c>
      <c r="AG691" s="6" t="s">
        <v>37</v>
      </c>
      <c r="AH691" t="s">
        <v>37</v>
      </c>
      <c r="AI691" t="s">
        <v>37</v>
      </c>
      <c r="AJ691" t="str">
        <f t="shared" si="32"/>
        <v>4A3KDTEZB07W6GVS5C</v>
      </c>
    </row>
    <row r="692" spans="1:36" ht="15" customHeight="1" x14ac:dyDescent="0.25">
      <c r="A692" t="s">
        <v>88</v>
      </c>
      <c r="B692" t="s">
        <v>37</v>
      </c>
      <c r="C692" t="s">
        <v>37</v>
      </c>
      <c r="D692" t="s">
        <v>38</v>
      </c>
      <c r="E692" s="4">
        <v>4</v>
      </c>
      <c r="F692" s="5">
        <v>179.36</v>
      </c>
      <c r="G692" s="5" t="s">
        <v>39</v>
      </c>
      <c r="H692" s="5">
        <v>288.48</v>
      </c>
      <c r="I692" s="5" t="s">
        <v>39</v>
      </c>
      <c r="J692" s="5">
        <v>6.0982399999999997</v>
      </c>
      <c r="K692" s="5">
        <f t="shared" si="30"/>
        <v>1.5245599999999999</v>
      </c>
      <c r="L692" s="5">
        <f t="shared" si="31"/>
        <v>44.84</v>
      </c>
      <c r="M692" s="5" t="s">
        <v>39</v>
      </c>
      <c r="N692" s="5">
        <v>6.0982399999999997</v>
      </c>
      <c r="O692" s="5" t="s">
        <v>39</v>
      </c>
      <c r="P692" t="s">
        <v>40</v>
      </c>
      <c r="Q692" t="s">
        <v>1357</v>
      </c>
      <c r="R692" t="s">
        <v>37</v>
      </c>
      <c r="S692" t="s">
        <v>1358</v>
      </c>
      <c r="T692" t="s">
        <v>43</v>
      </c>
      <c r="U692" t="s">
        <v>44</v>
      </c>
      <c r="V692">
        <v>147</v>
      </c>
      <c r="W692" t="s">
        <v>45</v>
      </c>
      <c r="X692" t="s">
        <v>60</v>
      </c>
      <c r="Y692" t="s">
        <v>1359</v>
      </c>
      <c r="Z692" t="s">
        <v>37</v>
      </c>
      <c r="AA692" t="s">
        <v>55</v>
      </c>
      <c r="AB692" t="s">
        <v>37</v>
      </c>
      <c r="AC692" s="6" t="s">
        <v>37</v>
      </c>
      <c r="AD692" s="6" t="s">
        <v>37</v>
      </c>
      <c r="AE692" t="s">
        <v>37</v>
      </c>
      <c r="AF692" t="s">
        <v>37</v>
      </c>
      <c r="AG692" s="6" t="s">
        <v>37</v>
      </c>
      <c r="AH692" t="s">
        <v>37</v>
      </c>
      <c r="AI692" t="s">
        <v>37</v>
      </c>
      <c r="AJ692" t="str">
        <f t="shared" si="32"/>
        <v>4A3KDTEZB07W6GVS5C</v>
      </c>
    </row>
    <row r="693" spans="1:36" ht="15" customHeight="1" x14ac:dyDescent="0.25">
      <c r="A693" t="s">
        <v>210</v>
      </c>
      <c r="B693" t="s">
        <v>37</v>
      </c>
      <c r="C693" t="s">
        <v>37</v>
      </c>
      <c r="D693" t="s">
        <v>38</v>
      </c>
      <c r="E693" s="4">
        <v>10</v>
      </c>
      <c r="F693" s="5">
        <v>175.6</v>
      </c>
      <c r="G693" s="5" t="s">
        <v>39</v>
      </c>
      <c r="H693" s="5">
        <v>270.39999999999998</v>
      </c>
      <c r="I693" s="5" t="s">
        <v>39</v>
      </c>
      <c r="J693" s="5">
        <v>5.9703999999999997</v>
      </c>
      <c r="K693" s="5">
        <f t="shared" si="30"/>
        <v>0.59704000000000002</v>
      </c>
      <c r="L693" s="5">
        <f t="shared" si="31"/>
        <v>17.559999999999999</v>
      </c>
      <c r="M693" s="5" t="s">
        <v>39</v>
      </c>
      <c r="N693" s="5">
        <v>5.9703999999999997</v>
      </c>
      <c r="O693" s="5" t="s">
        <v>39</v>
      </c>
      <c r="P693" t="s">
        <v>211</v>
      </c>
      <c r="Q693" t="s">
        <v>956</v>
      </c>
      <c r="R693" t="s">
        <v>37</v>
      </c>
      <c r="S693" t="s">
        <v>957</v>
      </c>
      <c r="T693" t="s">
        <v>43</v>
      </c>
      <c r="U693" t="s">
        <v>44</v>
      </c>
      <c r="V693">
        <v>147</v>
      </c>
      <c r="W693" t="s">
        <v>45</v>
      </c>
      <c r="X693" t="s">
        <v>60</v>
      </c>
      <c r="Y693" t="s">
        <v>958</v>
      </c>
      <c r="Z693" t="s">
        <v>37</v>
      </c>
      <c r="AA693" t="s">
        <v>55</v>
      </c>
      <c r="AB693" t="s">
        <v>37</v>
      </c>
      <c r="AC693" s="6" t="s">
        <v>37</v>
      </c>
      <c r="AD693" s="6" t="s">
        <v>37</v>
      </c>
      <c r="AE693" t="s">
        <v>37</v>
      </c>
      <c r="AF693" t="s">
        <v>37</v>
      </c>
      <c r="AG693" s="6" t="s">
        <v>37</v>
      </c>
      <c r="AH693" t="s">
        <v>37</v>
      </c>
      <c r="AI693" t="s">
        <v>37</v>
      </c>
      <c r="AJ693" t="str">
        <f t="shared" si="32"/>
        <v>7ILTX3HJB0042C1KQ0</v>
      </c>
    </row>
    <row r="694" spans="1:36" ht="15" customHeight="1" x14ac:dyDescent="0.25">
      <c r="A694" t="s">
        <v>118</v>
      </c>
      <c r="B694" t="s">
        <v>37</v>
      </c>
      <c r="C694" t="s">
        <v>37</v>
      </c>
      <c r="D694" t="s">
        <v>38</v>
      </c>
      <c r="E694" s="4">
        <v>40</v>
      </c>
      <c r="F694" s="5">
        <v>374.4</v>
      </c>
      <c r="G694" s="5" t="s">
        <v>39</v>
      </c>
      <c r="H694" s="5">
        <v>557.20000000000005</v>
      </c>
      <c r="I694" s="5" t="s">
        <v>39</v>
      </c>
      <c r="J694" s="5">
        <v>12.7296</v>
      </c>
      <c r="K694" s="5">
        <f t="shared" si="30"/>
        <v>0.31823999999999997</v>
      </c>
      <c r="L694" s="5">
        <f t="shared" si="31"/>
        <v>9.36</v>
      </c>
      <c r="M694" s="5" t="s">
        <v>39</v>
      </c>
      <c r="N694" s="5">
        <v>12.7296</v>
      </c>
      <c r="O694" s="5" t="s">
        <v>39</v>
      </c>
      <c r="P694" t="s">
        <v>128</v>
      </c>
      <c r="Q694" t="s">
        <v>84</v>
      </c>
      <c r="R694" t="s">
        <v>85</v>
      </c>
      <c r="S694" t="s">
        <v>86</v>
      </c>
      <c r="T694" t="s">
        <v>43</v>
      </c>
      <c r="U694" t="s">
        <v>44</v>
      </c>
      <c r="V694">
        <v>147</v>
      </c>
      <c r="W694" t="s">
        <v>45</v>
      </c>
      <c r="X694" t="s">
        <v>53</v>
      </c>
      <c r="Y694" t="s">
        <v>87</v>
      </c>
      <c r="Z694" t="s">
        <v>37</v>
      </c>
      <c r="AA694" t="s">
        <v>48</v>
      </c>
      <c r="AB694" t="s">
        <v>37</v>
      </c>
      <c r="AC694" s="6" t="s">
        <v>37</v>
      </c>
      <c r="AD694" s="6" t="s">
        <v>37</v>
      </c>
      <c r="AE694" t="s">
        <v>37</v>
      </c>
      <c r="AF694" t="s">
        <v>37</v>
      </c>
      <c r="AG694" s="6" t="s">
        <v>37</v>
      </c>
      <c r="AH694" t="s">
        <v>37</v>
      </c>
      <c r="AI694" t="s">
        <v>37</v>
      </c>
      <c r="AJ694" t="str">
        <f t="shared" si="32"/>
        <v>7RAC5F9EB01A9GXEOI</v>
      </c>
    </row>
    <row r="695" spans="1:36" ht="15" customHeight="1" x14ac:dyDescent="0.25">
      <c r="A695" t="s">
        <v>36</v>
      </c>
      <c r="B695" t="s">
        <v>37</v>
      </c>
      <c r="C695" t="s">
        <v>37</v>
      </c>
      <c r="D695" t="s">
        <v>38</v>
      </c>
      <c r="E695" s="4">
        <v>320</v>
      </c>
      <c r="F695" s="5">
        <v>2624</v>
      </c>
      <c r="G695" s="5" t="s">
        <v>39</v>
      </c>
      <c r="H695" s="5">
        <v>3932.8</v>
      </c>
      <c r="I695" s="5" t="s">
        <v>39</v>
      </c>
      <c r="J695" s="5">
        <v>89.215999999999994</v>
      </c>
      <c r="K695" s="5">
        <f t="shared" si="30"/>
        <v>0.27879999999999999</v>
      </c>
      <c r="L695" s="5">
        <f t="shared" si="31"/>
        <v>8.1999999999999993</v>
      </c>
      <c r="M695" s="5" t="s">
        <v>39</v>
      </c>
      <c r="N695" s="5">
        <v>89.215999999999994</v>
      </c>
      <c r="O695" s="5" t="s">
        <v>39</v>
      </c>
      <c r="P695" t="s">
        <v>491</v>
      </c>
      <c r="Q695" t="s">
        <v>138</v>
      </c>
      <c r="R695" t="s">
        <v>37</v>
      </c>
      <c r="S695" t="s">
        <v>139</v>
      </c>
      <c r="T695" t="s">
        <v>43</v>
      </c>
      <c r="U695" t="s">
        <v>44</v>
      </c>
      <c r="V695">
        <v>147</v>
      </c>
      <c r="W695" t="s">
        <v>45</v>
      </c>
      <c r="X695" t="s">
        <v>53</v>
      </c>
      <c r="Y695" t="s">
        <v>140</v>
      </c>
      <c r="Z695" t="s">
        <v>37</v>
      </c>
      <c r="AA695" t="s">
        <v>95</v>
      </c>
      <c r="AB695" t="s">
        <v>37</v>
      </c>
      <c r="AC695" s="6" t="s">
        <v>37</v>
      </c>
      <c r="AD695" s="6" t="s">
        <v>37</v>
      </c>
      <c r="AE695" t="s">
        <v>37</v>
      </c>
      <c r="AF695" t="s">
        <v>37</v>
      </c>
      <c r="AG695" s="6" t="s">
        <v>37</v>
      </c>
      <c r="AH695" t="s">
        <v>37</v>
      </c>
      <c r="AI695" t="s">
        <v>37</v>
      </c>
      <c r="AJ695" t="str">
        <f t="shared" si="32"/>
        <v>38RKRRMYB07W6JKH17</v>
      </c>
    </row>
    <row r="696" spans="1:36" ht="15" customHeight="1" x14ac:dyDescent="0.25">
      <c r="A696" t="s">
        <v>88</v>
      </c>
      <c r="B696" t="s">
        <v>37</v>
      </c>
      <c r="C696" t="s">
        <v>37</v>
      </c>
      <c r="D696" t="s">
        <v>38</v>
      </c>
      <c r="E696" s="4">
        <v>16</v>
      </c>
      <c r="F696" s="5">
        <v>562.08000000000004</v>
      </c>
      <c r="G696" s="5" t="s">
        <v>39</v>
      </c>
      <c r="H696" s="5">
        <v>812.96</v>
      </c>
      <c r="I696" s="5" t="s">
        <v>39</v>
      </c>
      <c r="J696" s="5">
        <v>19.110720000000001</v>
      </c>
      <c r="K696" s="5">
        <f t="shared" si="30"/>
        <v>1.19442</v>
      </c>
      <c r="L696" s="5">
        <f t="shared" si="31"/>
        <v>35.130000000000003</v>
      </c>
      <c r="M696" s="5" t="s">
        <v>39</v>
      </c>
      <c r="N696" s="5">
        <v>19.110720000000001</v>
      </c>
      <c r="O696" s="5" t="s">
        <v>39</v>
      </c>
      <c r="P696" t="s">
        <v>133</v>
      </c>
      <c r="Q696" t="s">
        <v>423</v>
      </c>
      <c r="R696" t="s">
        <v>37</v>
      </c>
      <c r="S696" t="s">
        <v>424</v>
      </c>
      <c r="T696" t="s">
        <v>43</v>
      </c>
      <c r="U696" t="s">
        <v>44</v>
      </c>
      <c r="V696">
        <v>147</v>
      </c>
      <c r="W696" t="s">
        <v>45</v>
      </c>
      <c r="X696" t="s">
        <v>60</v>
      </c>
      <c r="Y696" t="s">
        <v>425</v>
      </c>
      <c r="Z696" t="s">
        <v>37</v>
      </c>
      <c r="AA696" t="s">
        <v>55</v>
      </c>
      <c r="AB696" t="s">
        <v>37</v>
      </c>
      <c r="AC696" s="6" t="s">
        <v>37</v>
      </c>
      <c r="AD696" s="6" t="s">
        <v>37</v>
      </c>
      <c r="AE696" t="s">
        <v>37</v>
      </c>
      <c r="AF696" t="s">
        <v>37</v>
      </c>
      <c r="AG696" s="6" t="s">
        <v>37</v>
      </c>
      <c r="AH696" t="s">
        <v>37</v>
      </c>
      <c r="AI696" t="s">
        <v>37</v>
      </c>
      <c r="AJ696" t="str">
        <f t="shared" si="32"/>
        <v>36BT7GGLB07VL9YHC9</v>
      </c>
    </row>
    <row r="697" spans="1:36" ht="15" customHeight="1" x14ac:dyDescent="0.25">
      <c r="A697" t="s">
        <v>62</v>
      </c>
      <c r="B697" t="s">
        <v>37</v>
      </c>
      <c r="C697" t="s">
        <v>37</v>
      </c>
      <c r="D697" t="s">
        <v>38</v>
      </c>
      <c r="E697" s="4">
        <v>44</v>
      </c>
      <c r="F697" s="5">
        <v>5143.16</v>
      </c>
      <c r="G697" s="5" t="s">
        <v>39</v>
      </c>
      <c r="H697" s="5">
        <v>6455.68</v>
      </c>
      <c r="I697" s="5" t="s">
        <v>39</v>
      </c>
      <c r="J697" s="5">
        <v>174.86743999999999</v>
      </c>
      <c r="K697" s="5">
        <f t="shared" si="30"/>
        <v>3.9742599999999997</v>
      </c>
      <c r="L697" s="5">
        <f t="shared" si="31"/>
        <v>116.89</v>
      </c>
      <c r="M697" s="5" t="s">
        <v>39</v>
      </c>
      <c r="N697" s="5">
        <v>174.86743999999999</v>
      </c>
      <c r="O697" s="5" t="s">
        <v>39</v>
      </c>
      <c r="P697" t="s">
        <v>177</v>
      </c>
      <c r="Q697" t="s">
        <v>911</v>
      </c>
      <c r="R697" t="s">
        <v>37</v>
      </c>
      <c r="S697" t="s">
        <v>912</v>
      </c>
      <c r="T697" t="s">
        <v>43</v>
      </c>
      <c r="U697" t="s">
        <v>44</v>
      </c>
      <c r="V697">
        <v>147</v>
      </c>
      <c r="W697" t="s">
        <v>45</v>
      </c>
      <c r="X697" t="s">
        <v>46</v>
      </c>
      <c r="Y697" t="s">
        <v>913</v>
      </c>
      <c r="Z697" t="s">
        <v>37</v>
      </c>
      <c r="AA697" t="s">
        <v>55</v>
      </c>
      <c r="AB697" t="s">
        <v>37</v>
      </c>
      <c r="AC697" s="6" t="s">
        <v>37</v>
      </c>
      <c r="AD697" s="6" t="s">
        <v>37</v>
      </c>
      <c r="AE697" t="s">
        <v>37</v>
      </c>
      <c r="AF697" t="s">
        <v>37</v>
      </c>
      <c r="AG697" s="6" t="s">
        <v>37</v>
      </c>
      <c r="AH697" t="s">
        <v>37</v>
      </c>
      <c r="AI697" t="s">
        <v>37</v>
      </c>
      <c r="AJ697" t="str">
        <f t="shared" si="32"/>
        <v>4F3XMHTVB07PYL7WZY</v>
      </c>
    </row>
    <row r="698" spans="1:36" ht="15" customHeight="1" x14ac:dyDescent="0.25">
      <c r="A698" t="s">
        <v>36</v>
      </c>
      <c r="B698" t="s">
        <v>37</v>
      </c>
      <c r="C698" t="s">
        <v>37</v>
      </c>
      <c r="D698" t="s">
        <v>38</v>
      </c>
      <c r="E698" s="4">
        <v>72</v>
      </c>
      <c r="F698" s="5">
        <v>1709.28</v>
      </c>
      <c r="G698" s="5" t="s">
        <v>39</v>
      </c>
      <c r="H698" s="5">
        <v>2419.1999999999998</v>
      </c>
      <c r="I698" s="5" t="s">
        <v>39</v>
      </c>
      <c r="J698" s="5">
        <v>58.115519999999997</v>
      </c>
      <c r="K698" s="5">
        <f t="shared" si="30"/>
        <v>0.80715999999999999</v>
      </c>
      <c r="L698" s="5">
        <f t="shared" si="31"/>
        <v>23.74</v>
      </c>
      <c r="M698" s="5" t="s">
        <v>39</v>
      </c>
      <c r="N698" s="5">
        <v>58.115519999999997</v>
      </c>
      <c r="O698" s="5" t="s">
        <v>39</v>
      </c>
      <c r="P698" t="s">
        <v>168</v>
      </c>
      <c r="Q698" t="s">
        <v>657</v>
      </c>
      <c r="R698" t="s">
        <v>37</v>
      </c>
      <c r="S698" t="s">
        <v>658</v>
      </c>
      <c r="T698" t="s">
        <v>43</v>
      </c>
      <c r="U698" t="s">
        <v>44</v>
      </c>
      <c r="V698">
        <v>147</v>
      </c>
      <c r="W698" t="s">
        <v>45</v>
      </c>
      <c r="X698" t="s">
        <v>53</v>
      </c>
      <c r="Y698" t="s">
        <v>659</v>
      </c>
      <c r="Z698" t="s">
        <v>37</v>
      </c>
      <c r="AA698" t="s">
        <v>55</v>
      </c>
      <c r="AB698" t="s">
        <v>37</v>
      </c>
      <c r="AC698" s="6" t="s">
        <v>37</v>
      </c>
      <c r="AD698" s="6" t="s">
        <v>37</v>
      </c>
      <c r="AE698" t="s">
        <v>37</v>
      </c>
      <c r="AF698" t="s">
        <v>37</v>
      </c>
      <c r="AG698" s="6" t="s">
        <v>37</v>
      </c>
      <c r="AH698" t="s">
        <v>37</v>
      </c>
      <c r="AI698" t="s">
        <v>37</v>
      </c>
      <c r="AJ698" t="str">
        <f t="shared" si="32"/>
        <v>2R6FMUZDB07W5JKFQC</v>
      </c>
    </row>
    <row r="699" spans="1:36" ht="15" customHeight="1" x14ac:dyDescent="0.25">
      <c r="A699" t="s">
        <v>127</v>
      </c>
      <c r="B699" t="s">
        <v>37</v>
      </c>
      <c r="C699" t="s">
        <v>37</v>
      </c>
      <c r="D699" t="s">
        <v>38</v>
      </c>
      <c r="E699" s="4">
        <v>8</v>
      </c>
      <c r="F699" s="5">
        <v>189.92</v>
      </c>
      <c r="G699" s="5" t="s">
        <v>39</v>
      </c>
      <c r="H699" s="5">
        <v>268.8</v>
      </c>
      <c r="I699" s="5" t="s">
        <v>39</v>
      </c>
      <c r="J699" s="5">
        <v>6.4572799999999999</v>
      </c>
      <c r="K699" s="5">
        <f t="shared" si="30"/>
        <v>0.80715999999999999</v>
      </c>
      <c r="L699" s="5">
        <f t="shared" si="31"/>
        <v>23.74</v>
      </c>
      <c r="M699" s="5" t="s">
        <v>39</v>
      </c>
      <c r="N699" s="5">
        <v>6.4572799999999999</v>
      </c>
      <c r="O699" s="5" t="s">
        <v>39</v>
      </c>
      <c r="P699" t="s">
        <v>168</v>
      </c>
      <c r="Q699" t="s">
        <v>657</v>
      </c>
      <c r="R699" t="s">
        <v>37</v>
      </c>
      <c r="S699" t="s">
        <v>658</v>
      </c>
      <c r="T699" t="s">
        <v>43</v>
      </c>
      <c r="U699" t="s">
        <v>44</v>
      </c>
      <c r="V699">
        <v>147</v>
      </c>
      <c r="W699" t="s">
        <v>45</v>
      </c>
      <c r="X699" t="s">
        <v>53</v>
      </c>
      <c r="Y699" t="s">
        <v>659</v>
      </c>
      <c r="Z699" t="s">
        <v>37</v>
      </c>
      <c r="AA699" t="s">
        <v>55</v>
      </c>
      <c r="AB699" t="s">
        <v>37</v>
      </c>
      <c r="AC699" s="6" t="s">
        <v>37</v>
      </c>
      <c r="AD699" s="6" t="s">
        <v>37</v>
      </c>
      <c r="AE699" t="s">
        <v>37</v>
      </c>
      <c r="AF699" t="s">
        <v>37</v>
      </c>
      <c r="AG699" s="6" t="s">
        <v>37</v>
      </c>
      <c r="AH699" t="s">
        <v>37</v>
      </c>
      <c r="AI699" t="s">
        <v>37</v>
      </c>
      <c r="AJ699" t="str">
        <f t="shared" si="32"/>
        <v>2R6FMUZDB07W5JKFQC</v>
      </c>
    </row>
    <row r="700" spans="1:36" ht="15" customHeight="1" x14ac:dyDescent="0.25">
      <c r="A700" t="s">
        <v>526</v>
      </c>
      <c r="B700" t="s">
        <v>37</v>
      </c>
      <c r="C700" t="s">
        <v>37</v>
      </c>
      <c r="D700" t="s">
        <v>38</v>
      </c>
      <c r="E700" s="4">
        <v>4</v>
      </c>
      <c r="F700" s="5">
        <v>420</v>
      </c>
      <c r="G700" s="5" t="s">
        <v>39</v>
      </c>
      <c r="H700" s="5">
        <v>704.92</v>
      </c>
      <c r="I700" s="5" t="s">
        <v>39</v>
      </c>
      <c r="J700" s="5">
        <v>14.28</v>
      </c>
      <c r="K700" s="5">
        <f t="shared" si="30"/>
        <v>3.57</v>
      </c>
      <c r="L700" s="5">
        <f t="shared" si="31"/>
        <v>105</v>
      </c>
      <c r="M700" s="5" t="s">
        <v>39</v>
      </c>
      <c r="N700" s="5">
        <v>14.28</v>
      </c>
      <c r="O700" s="5" t="s">
        <v>39</v>
      </c>
      <c r="P700" t="s">
        <v>241</v>
      </c>
      <c r="Q700" t="s">
        <v>196</v>
      </c>
      <c r="R700" t="s">
        <v>37</v>
      </c>
      <c r="S700" t="s">
        <v>197</v>
      </c>
      <c r="T700" t="s">
        <v>43</v>
      </c>
      <c r="U700" t="s">
        <v>44</v>
      </c>
      <c r="V700">
        <v>147</v>
      </c>
      <c r="W700" t="s">
        <v>45</v>
      </c>
      <c r="X700" t="s">
        <v>46</v>
      </c>
      <c r="Y700" t="s">
        <v>198</v>
      </c>
      <c r="Z700" t="s">
        <v>37</v>
      </c>
      <c r="AA700" t="s">
        <v>95</v>
      </c>
      <c r="AB700" t="s">
        <v>37</v>
      </c>
      <c r="AC700" s="6" t="s">
        <v>37</v>
      </c>
      <c r="AD700" s="6" t="s">
        <v>37</v>
      </c>
      <c r="AE700" t="s">
        <v>37</v>
      </c>
      <c r="AF700" t="s">
        <v>37</v>
      </c>
      <c r="AG700" s="6" t="s">
        <v>37</v>
      </c>
      <c r="AH700" t="s">
        <v>37</v>
      </c>
      <c r="AI700" t="s">
        <v>37</v>
      </c>
      <c r="AJ700" t="str">
        <f t="shared" si="32"/>
        <v>6451M4NBB07MTY7N22</v>
      </c>
    </row>
    <row r="701" spans="1:36" ht="15" customHeight="1" x14ac:dyDescent="0.25">
      <c r="A701" t="s">
        <v>101</v>
      </c>
      <c r="B701" t="s">
        <v>37</v>
      </c>
      <c r="C701" t="s">
        <v>37</v>
      </c>
      <c r="D701" t="s">
        <v>38</v>
      </c>
      <c r="E701" s="4">
        <v>1344</v>
      </c>
      <c r="F701" s="5">
        <v>38976</v>
      </c>
      <c r="G701" s="5" t="s">
        <v>39</v>
      </c>
      <c r="H701" s="5">
        <v>59472</v>
      </c>
      <c r="I701" s="5" t="s">
        <v>39</v>
      </c>
      <c r="J701" s="5">
        <v>1325.184</v>
      </c>
      <c r="K701" s="5">
        <f t="shared" si="30"/>
        <v>0.98599999999999999</v>
      </c>
      <c r="L701" s="5">
        <f t="shared" si="31"/>
        <v>29</v>
      </c>
      <c r="M701" s="5" t="s">
        <v>39</v>
      </c>
      <c r="N701" s="5">
        <v>1325.184</v>
      </c>
      <c r="O701" s="5" t="s">
        <v>39</v>
      </c>
      <c r="P701" t="s">
        <v>748</v>
      </c>
      <c r="Q701" t="s">
        <v>1360</v>
      </c>
      <c r="R701" t="s">
        <v>37</v>
      </c>
      <c r="S701" t="s">
        <v>1361</v>
      </c>
      <c r="T701" t="s">
        <v>43</v>
      </c>
      <c r="U701" t="s">
        <v>44</v>
      </c>
      <c r="V701">
        <v>147</v>
      </c>
      <c r="W701" t="s">
        <v>45</v>
      </c>
      <c r="X701" t="s">
        <v>60</v>
      </c>
      <c r="Y701" t="s">
        <v>1362</v>
      </c>
      <c r="Z701" t="s">
        <v>37</v>
      </c>
      <c r="AA701" t="s">
        <v>55</v>
      </c>
      <c r="AB701" t="s">
        <v>37</v>
      </c>
      <c r="AC701" s="6" t="s">
        <v>37</v>
      </c>
      <c r="AD701" s="6" t="s">
        <v>37</v>
      </c>
      <c r="AE701" t="s">
        <v>37</v>
      </c>
      <c r="AF701" t="s">
        <v>37</v>
      </c>
      <c r="AG701" s="6" t="s">
        <v>37</v>
      </c>
      <c r="AH701" t="s">
        <v>37</v>
      </c>
      <c r="AI701" t="s">
        <v>37</v>
      </c>
      <c r="AJ701" t="str">
        <f t="shared" si="32"/>
        <v>74WI6EYDB07W5JK4LF</v>
      </c>
    </row>
    <row r="702" spans="1:36" ht="15" customHeight="1" x14ac:dyDescent="0.25">
      <c r="A702" t="s">
        <v>36</v>
      </c>
      <c r="B702" t="s">
        <v>37</v>
      </c>
      <c r="C702" t="s">
        <v>37</v>
      </c>
      <c r="D702" t="s">
        <v>38</v>
      </c>
      <c r="E702" s="4">
        <v>10</v>
      </c>
      <c r="F702" s="5">
        <v>175.6</v>
      </c>
      <c r="G702" s="5" t="s">
        <v>39</v>
      </c>
      <c r="H702" s="5">
        <v>270.39999999999998</v>
      </c>
      <c r="I702" s="5" t="s">
        <v>39</v>
      </c>
      <c r="J702" s="5">
        <v>5.9703999999999997</v>
      </c>
      <c r="K702" s="5">
        <f t="shared" si="30"/>
        <v>0.59704000000000002</v>
      </c>
      <c r="L702" s="5">
        <f t="shared" si="31"/>
        <v>17.559999999999999</v>
      </c>
      <c r="M702" s="5" t="s">
        <v>39</v>
      </c>
      <c r="N702" s="5">
        <v>5.9703999999999997</v>
      </c>
      <c r="O702" s="5" t="s">
        <v>39</v>
      </c>
      <c r="P702" t="s">
        <v>40</v>
      </c>
      <c r="Q702" t="s">
        <v>155</v>
      </c>
      <c r="R702" t="s">
        <v>37</v>
      </c>
      <c r="S702" t="s">
        <v>156</v>
      </c>
      <c r="T702" t="s">
        <v>43</v>
      </c>
      <c r="U702" t="s">
        <v>44</v>
      </c>
      <c r="V702">
        <v>147</v>
      </c>
      <c r="W702" t="s">
        <v>45</v>
      </c>
      <c r="X702" t="s">
        <v>60</v>
      </c>
      <c r="Y702" t="s">
        <v>157</v>
      </c>
      <c r="Z702" t="s">
        <v>37</v>
      </c>
      <c r="AA702" t="s">
        <v>55</v>
      </c>
      <c r="AB702" t="s">
        <v>37</v>
      </c>
      <c r="AC702" s="6" t="s">
        <v>37</v>
      </c>
      <c r="AD702" s="6" t="s">
        <v>37</v>
      </c>
      <c r="AE702" t="s">
        <v>37</v>
      </c>
      <c r="AF702" t="s">
        <v>37</v>
      </c>
      <c r="AG702" s="6" t="s">
        <v>37</v>
      </c>
      <c r="AH702" t="s">
        <v>37</v>
      </c>
      <c r="AI702" t="s">
        <v>37</v>
      </c>
      <c r="AJ702" t="str">
        <f t="shared" si="32"/>
        <v>4A3KDTEZB0042BVWZ0</v>
      </c>
    </row>
    <row r="703" spans="1:36" ht="15" customHeight="1" x14ac:dyDescent="0.25">
      <c r="A703" t="s">
        <v>110</v>
      </c>
      <c r="B703" t="s">
        <v>37</v>
      </c>
      <c r="C703" t="s">
        <v>37</v>
      </c>
      <c r="D703" t="s">
        <v>38</v>
      </c>
      <c r="E703" s="4">
        <v>0</v>
      </c>
      <c r="F703" s="5">
        <v>0</v>
      </c>
      <c r="G703" s="5" t="s">
        <v>39</v>
      </c>
      <c r="H703" s="5">
        <v>0</v>
      </c>
      <c r="I703" s="5" t="s">
        <v>39</v>
      </c>
      <c r="J703" s="5">
        <v>0</v>
      </c>
      <c r="K703" s="5" t="e">
        <f t="shared" si="30"/>
        <v>#DIV/0!</v>
      </c>
      <c r="L703" s="5" t="e">
        <f t="shared" si="31"/>
        <v>#DIV/0!</v>
      </c>
      <c r="M703" s="5" t="s">
        <v>39</v>
      </c>
      <c r="N703" s="5">
        <v>0</v>
      </c>
      <c r="O703" s="5" t="s">
        <v>39</v>
      </c>
      <c r="P703" t="s">
        <v>270</v>
      </c>
      <c r="Q703" t="s">
        <v>797</v>
      </c>
      <c r="R703" t="s">
        <v>37</v>
      </c>
      <c r="S703" t="s">
        <v>798</v>
      </c>
      <c r="T703" t="s">
        <v>43</v>
      </c>
      <c r="U703" t="s">
        <v>44</v>
      </c>
      <c r="V703">
        <v>147</v>
      </c>
      <c r="W703" t="s">
        <v>45</v>
      </c>
      <c r="X703" t="s">
        <v>53</v>
      </c>
      <c r="Y703" t="s">
        <v>799</v>
      </c>
      <c r="Z703" t="s">
        <v>37</v>
      </c>
      <c r="AA703" t="s">
        <v>55</v>
      </c>
      <c r="AB703" t="s">
        <v>37</v>
      </c>
      <c r="AC703" s="6" t="s">
        <v>37</v>
      </c>
      <c r="AD703" s="6" t="s">
        <v>37</v>
      </c>
      <c r="AE703" t="s">
        <v>37</v>
      </c>
      <c r="AF703" t="s">
        <v>37</v>
      </c>
      <c r="AG703" s="6" t="s">
        <v>37</v>
      </c>
      <c r="AH703" t="s">
        <v>37</v>
      </c>
      <c r="AI703" t="s">
        <v>37</v>
      </c>
      <c r="AJ703" t="str">
        <f t="shared" si="32"/>
        <v>1X4DXX4TB01LCQTF4M</v>
      </c>
    </row>
    <row r="704" spans="1:36" ht="15" customHeight="1" x14ac:dyDescent="0.25">
      <c r="A704" t="s">
        <v>411</v>
      </c>
      <c r="B704" t="s">
        <v>37</v>
      </c>
      <c r="C704" t="s">
        <v>37</v>
      </c>
      <c r="D704" t="s">
        <v>38</v>
      </c>
      <c r="E704" s="4">
        <v>4</v>
      </c>
      <c r="F704" s="5">
        <v>272.24</v>
      </c>
      <c r="G704" s="5" t="s">
        <v>39</v>
      </c>
      <c r="H704" s="5">
        <v>556</v>
      </c>
      <c r="I704" s="5" t="s">
        <v>39</v>
      </c>
      <c r="J704" s="5">
        <v>9.2561599999999995</v>
      </c>
      <c r="K704" s="5">
        <f t="shared" si="30"/>
        <v>2.3140399999999999</v>
      </c>
      <c r="L704" s="5">
        <f t="shared" si="31"/>
        <v>68.06</v>
      </c>
      <c r="M704" s="5" t="s">
        <v>39</v>
      </c>
      <c r="N704" s="5">
        <v>9.2561599999999995</v>
      </c>
      <c r="O704" s="5" t="s">
        <v>39</v>
      </c>
      <c r="P704" t="s">
        <v>522</v>
      </c>
      <c r="Q704" t="s">
        <v>1363</v>
      </c>
      <c r="R704" t="s">
        <v>37</v>
      </c>
      <c r="S704" t="s">
        <v>1364</v>
      </c>
      <c r="T704" t="s">
        <v>43</v>
      </c>
      <c r="U704" t="s">
        <v>44</v>
      </c>
      <c r="V704">
        <v>107</v>
      </c>
      <c r="W704" t="s">
        <v>1365</v>
      </c>
      <c r="X704" t="s">
        <v>1366</v>
      </c>
      <c r="Y704" t="s">
        <v>1367</v>
      </c>
      <c r="Z704" t="s">
        <v>1368</v>
      </c>
      <c r="AA704" t="s">
        <v>55</v>
      </c>
      <c r="AB704" t="s">
        <v>37</v>
      </c>
      <c r="AC704" s="6" t="s">
        <v>37</v>
      </c>
      <c r="AD704" s="6" t="s">
        <v>37</v>
      </c>
      <c r="AE704" t="s">
        <v>37</v>
      </c>
      <c r="AF704" t="s">
        <v>37</v>
      </c>
      <c r="AG704" s="6" t="s">
        <v>37</v>
      </c>
      <c r="AH704" t="s">
        <v>37</v>
      </c>
      <c r="AI704" t="s">
        <v>37</v>
      </c>
      <c r="AJ704" t="str">
        <f t="shared" si="32"/>
        <v>24EUBTHXB07W5JHLZK</v>
      </c>
    </row>
    <row r="705" spans="1:36" ht="15" customHeight="1" x14ac:dyDescent="0.25">
      <c r="A705" t="s">
        <v>101</v>
      </c>
      <c r="B705" t="s">
        <v>37</v>
      </c>
      <c r="C705" t="s">
        <v>37</v>
      </c>
      <c r="D705" t="s">
        <v>38</v>
      </c>
      <c r="E705" s="4">
        <v>260</v>
      </c>
      <c r="F705" s="5">
        <v>21811.4</v>
      </c>
      <c r="G705" s="5" t="s">
        <v>39</v>
      </c>
      <c r="H705" s="5">
        <v>35162.400000000001</v>
      </c>
      <c r="I705" s="5" t="s">
        <v>39</v>
      </c>
      <c r="J705" s="5">
        <v>741.58759999999995</v>
      </c>
      <c r="K705" s="5">
        <f t="shared" si="30"/>
        <v>2.8522599999999998</v>
      </c>
      <c r="L705" s="5">
        <f t="shared" si="31"/>
        <v>83.89</v>
      </c>
      <c r="M705" s="5" t="s">
        <v>39</v>
      </c>
      <c r="N705" s="5">
        <v>741.58759999999995</v>
      </c>
      <c r="O705" s="5" t="s">
        <v>39</v>
      </c>
      <c r="P705" t="s">
        <v>102</v>
      </c>
      <c r="Q705" t="s">
        <v>756</v>
      </c>
      <c r="R705" t="s">
        <v>37</v>
      </c>
      <c r="S705" t="s">
        <v>757</v>
      </c>
      <c r="T705" t="s">
        <v>43</v>
      </c>
      <c r="U705" t="s">
        <v>44</v>
      </c>
      <c r="V705">
        <v>147</v>
      </c>
      <c r="W705" t="s">
        <v>45</v>
      </c>
      <c r="X705" t="s">
        <v>53</v>
      </c>
      <c r="Y705" t="s">
        <v>503</v>
      </c>
      <c r="Z705" t="s">
        <v>37</v>
      </c>
      <c r="AA705" t="s">
        <v>55</v>
      </c>
      <c r="AB705" t="s">
        <v>37</v>
      </c>
      <c r="AC705" s="6" t="s">
        <v>37</v>
      </c>
      <c r="AD705" s="6" t="s">
        <v>37</v>
      </c>
      <c r="AE705" t="s">
        <v>37</v>
      </c>
      <c r="AF705" t="s">
        <v>37</v>
      </c>
      <c r="AG705" s="6" t="s">
        <v>37</v>
      </c>
      <c r="AH705" t="s">
        <v>37</v>
      </c>
      <c r="AI705" t="s">
        <v>37</v>
      </c>
      <c r="AJ705" t="str">
        <f t="shared" si="32"/>
        <v>2M7QFTCOB07W7MKLNT</v>
      </c>
    </row>
    <row r="706" spans="1:36" ht="15" customHeight="1" x14ac:dyDescent="0.25">
      <c r="A706" t="s">
        <v>96</v>
      </c>
      <c r="B706" t="s">
        <v>37</v>
      </c>
      <c r="C706" t="s">
        <v>37</v>
      </c>
      <c r="D706" t="s">
        <v>38</v>
      </c>
      <c r="E706" s="4">
        <v>4</v>
      </c>
      <c r="F706" s="5">
        <v>301.64</v>
      </c>
      <c r="G706" s="5" t="s">
        <v>39</v>
      </c>
      <c r="H706" s="5">
        <v>442.6</v>
      </c>
      <c r="I706" s="5" t="s">
        <v>39</v>
      </c>
      <c r="J706" s="5">
        <v>10.25576</v>
      </c>
      <c r="K706" s="5">
        <f t="shared" si="30"/>
        <v>2.5639400000000001</v>
      </c>
      <c r="L706" s="5">
        <f t="shared" si="31"/>
        <v>75.41</v>
      </c>
      <c r="M706" s="5" t="s">
        <v>39</v>
      </c>
      <c r="N706" s="5">
        <v>10.25576</v>
      </c>
      <c r="O706" s="5" t="s">
        <v>39</v>
      </c>
      <c r="P706" t="s">
        <v>195</v>
      </c>
      <c r="Q706" t="s">
        <v>817</v>
      </c>
      <c r="R706" t="s">
        <v>37</v>
      </c>
      <c r="S706" t="s">
        <v>818</v>
      </c>
      <c r="T706" t="s">
        <v>43</v>
      </c>
      <c r="U706" t="s">
        <v>44</v>
      </c>
      <c r="V706">
        <v>147</v>
      </c>
      <c r="W706" t="s">
        <v>45</v>
      </c>
      <c r="X706" t="s">
        <v>60</v>
      </c>
      <c r="Y706" t="s">
        <v>819</v>
      </c>
      <c r="Z706" t="s">
        <v>37</v>
      </c>
      <c r="AA706" t="s">
        <v>55</v>
      </c>
      <c r="AB706" t="s">
        <v>37</v>
      </c>
      <c r="AC706" s="6" t="s">
        <v>37</v>
      </c>
      <c r="AD706" s="6" t="s">
        <v>37</v>
      </c>
      <c r="AE706" t="s">
        <v>37</v>
      </c>
      <c r="AF706" t="s">
        <v>37</v>
      </c>
      <c r="AG706" s="6" t="s">
        <v>37</v>
      </c>
      <c r="AH706" t="s">
        <v>37</v>
      </c>
      <c r="AI706" t="s">
        <v>37</v>
      </c>
      <c r="AJ706" t="str">
        <f t="shared" si="32"/>
        <v>5X1OU9ZGB07W6HXZ5J</v>
      </c>
    </row>
    <row r="707" spans="1:36" ht="15" customHeight="1" x14ac:dyDescent="0.25">
      <c r="A707" t="s">
        <v>96</v>
      </c>
      <c r="B707" t="s">
        <v>37</v>
      </c>
      <c r="C707" t="s">
        <v>37</v>
      </c>
      <c r="D707" t="s">
        <v>38</v>
      </c>
      <c r="E707" s="4">
        <v>6</v>
      </c>
      <c r="F707" s="5">
        <v>1326.42</v>
      </c>
      <c r="G707" s="5" t="s">
        <v>39</v>
      </c>
      <c r="H707" s="5">
        <v>2011.5</v>
      </c>
      <c r="I707" s="5" t="s">
        <v>39</v>
      </c>
      <c r="J707" s="5">
        <v>45.098280000000003</v>
      </c>
      <c r="K707" s="5">
        <f t="shared" ref="K707:K770" si="33">J707/E707</f>
        <v>7.5163800000000007</v>
      </c>
      <c r="L707" s="5">
        <f t="shared" ref="L707:L770" si="34">F707/E707</f>
        <v>221.07000000000002</v>
      </c>
      <c r="M707" s="5" t="s">
        <v>39</v>
      </c>
      <c r="N707" s="5">
        <v>45.098280000000003</v>
      </c>
      <c r="O707" s="5" t="s">
        <v>39</v>
      </c>
      <c r="P707" t="s">
        <v>97</v>
      </c>
      <c r="Q707" t="s">
        <v>671</v>
      </c>
      <c r="R707" t="s">
        <v>672</v>
      </c>
      <c r="S707" t="s">
        <v>673</v>
      </c>
      <c r="T707" t="s">
        <v>43</v>
      </c>
      <c r="U707" t="s">
        <v>44</v>
      </c>
      <c r="V707">
        <v>147</v>
      </c>
      <c r="W707" t="s">
        <v>45</v>
      </c>
      <c r="X707" t="s">
        <v>46</v>
      </c>
      <c r="Y707" t="s">
        <v>674</v>
      </c>
      <c r="Z707" t="s">
        <v>37</v>
      </c>
      <c r="AA707" t="s">
        <v>55</v>
      </c>
      <c r="AB707" t="s">
        <v>37</v>
      </c>
      <c r="AC707" s="6" t="s">
        <v>37</v>
      </c>
      <c r="AD707" s="6" t="s">
        <v>37</v>
      </c>
      <c r="AE707" t="s">
        <v>37</v>
      </c>
      <c r="AF707" t="s">
        <v>37</v>
      </c>
      <c r="AG707" s="6" t="s">
        <v>37</v>
      </c>
      <c r="AH707" t="s">
        <v>37</v>
      </c>
      <c r="AI707" t="s">
        <v>37</v>
      </c>
      <c r="AJ707" t="str">
        <f t="shared" ref="AJ707:AJ770" si="35">P707&amp;Q707</f>
        <v>7EMS2FPGB011N78DMA</v>
      </c>
    </row>
    <row r="708" spans="1:36" ht="15" customHeight="1" x14ac:dyDescent="0.25">
      <c r="A708" t="s">
        <v>36</v>
      </c>
      <c r="B708" t="s">
        <v>37</v>
      </c>
      <c r="C708" t="s">
        <v>37</v>
      </c>
      <c r="D708" t="s">
        <v>38</v>
      </c>
      <c r="E708" s="4">
        <v>4</v>
      </c>
      <c r="F708" s="5">
        <v>324.83999999999997</v>
      </c>
      <c r="G708" s="5" t="s">
        <v>39</v>
      </c>
      <c r="H708" s="5">
        <v>455.72</v>
      </c>
      <c r="I708" s="5" t="s">
        <v>39</v>
      </c>
      <c r="J708" s="5">
        <v>11.044560000000001</v>
      </c>
      <c r="K708" s="5">
        <f t="shared" si="33"/>
        <v>2.7611400000000001</v>
      </c>
      <c r="L708" s="5">
        <f t="shared" si="34"/>
        <v>81.209999999999994</v>
      </c>
      <c r="M708" s="5" t="s">
        <v>39</v>
      </c>
      <c r="N708" s="5">
        <v>11.044560000000001</v>
      </c>
      <c r="O708" s="5" t="s">
        <v>39</v>
      </c>
      <c r="P708" t="s">
        <v>133</v>
      </c>
      <c r="Q708" t="s">
        <v>376</v>
      </c>
      <c r="R708" t="s">
        <v>37</v>
      </c>
      <c r="S708" t="s">
        <v>377</v>
      </c>
      <c r="T708" t="s">
        <v>43</v>
      </c>
      <c r="U708" t="s">
        <v>44</v>
      </c>
      <c r="V708">
        <v>147</v>
      </c>
      <c r="W708" t="s">
        <v>45</v>
      </c>
      <c r="X708" t="s">
        <v>356</v>
      </c>
      <c r="Y708" t="s">
        <v>378</v>
      </c>
      <c r="Z708" t="s">
        <v>37</v>
      </c>
      <c r="AA708" t="s">
        <v>55</v>
      </c>
      <c r="AB708" t="s">
        <v>37</v>
      </c>
      <c r="AC708" s="6" t="s">
        <v>37</v>
      </c>
      <c r="AD708" s="6" t="s">
        <v>37</v>
      </c>
      <c r="AE708" t="s">
        <v>37</v>
      </c>
      <c r="AF708" t="s">
        <v>37</v>
      </c>
      <c r="AG708" s="6" t="s">
        <v>37</v>
      </c>
      <c r="AH708" t="s">
        <v>37</v>
      </c>
      <c r="AI708" t="s">
        <v>37</v>
      </c>
      <c r="AJ708" t="str">
        <f t="shared" si="35"/>
        <v>36BT7GGLB07W6HVXXN</v>
      </c>
    </row>
    <row r="709" spans="1:36" ht="15" customHeight="1" x14ac:dyDescent="0.25">
      <c r="A709" t="s">
        <v>118</v>
      </c>
      <c r="B709" t="s">
        <v>37</v>
      </c>
      <c r="C709" t="s">
        <v>37</v>
      </c>
      <c r="D709" t="s">
        <v>38</v>
      </c>
      <c r="E709" s="4">
        <v>4</v>
      </c>
      <c r="F709" s="5">
        <v>140.52000000000001</v>
      </c>
      <c r="G709" s="5" t="s">
        <v>39</v>
      </c>
      <c r="H709" s="5">
        <v>163.92</v>
      </c>
      <c r="I709" s="5" t="s">
        <v>39</v>
      </c>
      <c r="J709" s="5">
        <v>4.7776800000000001</v>
      </c>
      <c r="K709" s="5">
        <f t="shared" si="33"/>
        <v>1.19442</v>
      </c>
      <c r="L709" s="5">
        <f t="shared" si="34"/>
        <v>35.130000000000003</v>
      </c>
      <c r="M709" s="5" t="s">
        <v>39</v>
      </c>
      <c r="N709" s="5">
        <v>4.7776800000000001</v>
      </c>
      <c r="O709" s="5" t="s">
        <v>39</v>
      </c>
      <c r="P709" t="s">
        <v>1369</v>
      </c>
      <c r="Q709" t="s">
        <v>1370</v>
      </c>
      <c r="R709" t="s">
        <v>1371</v>
      </c>
      <c r="S709" t="s">
        <v>1372</v>
      </c>
      <c r="T709" t="s">
        <v>43</v>
      </c>
      <c r="U709" t="s">
        <v>44</v>
      </c>
      <c r="V709">
        <v>147</v>
      </c>
      <c r="W709" t="s">
        <v>45</v>
      </c>
      <c r="X709" t="s">
        <v>60</v>
      </c>
      <c r="Y709" t="s">
        <v>1373</v>
      </c>
      <c r="Z709" t="s">
        <v>37</v>
      </c>
      <c r="AA709" t="s">
        <v>55</v>
      </c>
      <c r="AB709" t="s">
        <v>37</v>
      </c>
      <c r="AC709" s="6" t="s">
        <v>37</v>
      </c>
      <c r="AD709" s="6" t="s">
        <v>37</v>
      </c>
      <c r="AE709" t="s">
        <v>37</v>
      </c>
      <c r="AF709" t="s">
        <v>37</v>
      </c>
      <c r="AG709" s="6" t="s">
        <v>37</v>
      </c>
      <c r="AH709" t="s">
        <v>37</v>
      </c>
      <c r="AI709" t="s">
        <v>37</v>
      </c>
      <c r="AJ709" t="str">
        <f t="shared" si="35"/>
        <v>4EYWO72FB0099P55SY</v>
      </c>
    </row>
    <row r="710" spans="1:36" ht="15" customHeight="1" x14ac:dyDescent="0.25">
      <c r="A710" t="s">
        <v>110</v>
      </c>
      <c r="B710" t="s">
        <v>37</v>
      </c>
      <c r="C710" t="s">
        <v>37</v>
      </c>
      <c r="D710" t="s">
        <v>38</v>
      </c>
      <c r="E710" s="4">
        <v>0</v>
      </c>
      <c r="F710" s="5">
        <v>0</v>
      </c>
      <c r="G710" s="5" t="s">
        <v>39</v>
      </c>
      <c r="H710" s="5">
        <v>0</v>
      </c>
      <c r="I710" s="5" t="s">
        <v>39</v>
      </c>
      <c r="J710" s="5">
        <v>0</v>
      </c>
      <c r="K710" s="5" t="e">
        <f t="shared" si="33"/>
        <v>#DIV/0!</v>
      </c>
      <c r="L710" s="5" t="e">
        <f t="shared" si="34"/>
        <v>#DIV/0!</v>
      </c>
      <c r="M710" s="5" t="s">
        <v>39</v>
      </c>
      <c r="N710" s="5">
        <v>0</v>
      </c>
      <c r="O710" s="5" t="s">
        <v>39</v>
      </c>
      <c r="P710" t="s">
        <v>365</v>
      </c>
      <c r="Q710" t="s">
        <v>908</v>
      </c>
      <c r="R710" t="s">
        <v>909</v>
      </c>
      <c r="S710" t="s">
        <v>910</v>
      </c>
      <c r="T710" t="s">
        <v>43</v>
      </c>
      <c r="U710" t="s">
        <v>44</v>
      </c>
      <c r="V710">
        <v>147</v>
      </c>
      <c r="W710" t="s">
        <v>45</v>
      </c>
      <c r="X710" t="s">
        <v>46</v>
      </c>
      <c r="Y710" t="s">
        <v>268</v>
      </c>
      <c r="Z710" t="s">
        <v>37</v>
      </c>
      <c r="AA710" t="s">
        <v>55</v>
      </c>
      <c r="AB710" t="s">
        <v>37</v>
      </c>
      <c r="AC710" s="6" t="s">
        <v>37</v>
      </c>
      <c r="AD710" s="6" t="s">
        <v>37</v>
      </c>
      <c r="AE710" t="s">
        <v>37</v>
      </c>
      <c r="AF710" t="s">
        <v>37</v>
      </c>
      <c r="AG710" s="6" t="s">
        <v>37</v>
      </c>
      <c r="AH710" t="s">
        <v>37</v>
      </c>
      <c r="AI710" t="s">
        <v>37</v>
      </c>
      <c r="AJ710" t="str">
        <f t="shared" si="35"/>
        <v>3KYCEHVHB07CGPZ3ZQ</v>
      </c>
    </row>
    <row r="711" spans="1:36" ht="15" customHeight="1" x14ac:dyDescent="0.25">
      <c r="A711" t="s">
        <v>110</v>
      </c>
      <c r="B711" t="s">
        <v>37</v>
      </c>
      <c r="C711" t="s">
        <v>37</v>
      </c>
      <c r="D711" t="s">
        <v>38</v>
      </c>
      <c r="E711" s="4">
        <v>8</v>
      </c>
      <c r="F711" s="5">
        <v>671.12</v>
      </c>
      <c r="G711" s="5" t="s">
        <v>39</v>
      </c>
      <c r="H711" s="5">
        <v>1081.92</v>
      </c>
      <c r="I711" s="5" t="s">
        <v>39</v>
      </c>
      <c r="J711" s="5">
        <v>22.818079999999998</v>
      </c>
      <c r="K711" s="5">
        <f t="shared" si="33"/>
        <v>2.8522599999999998</v>
      </c>
      <c r="L711" s="5">
        <f t="shared" si="34"/>
        <v>83.89</v>
      </c>
      <c r="M711" s="5" t="s">
        <v>39</v>
      </c>
      <c r="N711" s="5">
        <v>22.818079999999998</v>
      </c>
      <c r="O711" s="5" t="s">
        <v>39</v>
      </c>
      <c r="P711" t="s">
        <v>102</v>
      </c>
      <c r="Q711" t="s">
        <v>756</v>
      </c>
      <c r="R711" t="s">
        <v>37</v>
      </c>
      <c r="S711" t="s">
        <v>757</v>
      </c>
      <c r="T711" t="s">
        <v>43</v>
      </c>
      <c r="U711" t="s">
        <v>44</v>
      </c>
      <c r="V711">
        <v>147</v>
      </c>
      <c r="W711" t="s">
        <v>45</v>
      </c>
      <c r="X711" t="s">
        <v>53</v>
      </c>
      <c r="Y711" t="s">
        <v>503</v>
      </c>
      <c r="Z711" t="s">
        <v>37</v>
      </c>
      <c r="AA711" t="s">
        <v>55</v>
      </c>
      <c r="AB711" t="s">
        <v>37</v>
      </c>
      <c r="AC711" s="6" t="s">
        <v>37</v>
      </c>
      <c r="AD711" s="6" t="s">
        <v>37</v>
      </c>
      <c r="AE711" t="s">
        <v>37</v>
      </c>
      <c r="AF711" t="s">
        <v>37</v>
      </c>
      <c r="AG711" s="6" t="s">
        <v>37</v>
      </c>
      <c r="AH711" t="s">
        <v>37</v>
      </c>
      <c r="AI711" t="s">
        <v>37</v>
      </c>
      <c r="AJ711" t="str">
        <f t="shared" si="35"/>
        <v>2M7QFTCOB07W7MKLNT</v>
      </c>
    </row>
    <row r="712" spans="1:36" ht="15" customHeight="1" x14ac:dyDescent="0.25">
      <c r="A712" t="s">
        <v>36</v>
      </c>
      <c r="B712" t="s">
        <v>37</v>
      </c>
      <c r="C712" t="s">
        <v>37</v>
      </c>
      <c r="D712" t="s">
        <v>38</v>
      </c>
      <c r="E712" s="4">
        <v>10</v>
      </c>
      <c r="F712" s="5">
        <v>263.5</v>
      </c>
      <c r="G712" s="5" t="s">
        <v>39</v>
      </c>
      <c r="H712" s="5">
        <v>393.4</v>
      </c>
      <c r="I712" s="5" t="s">
        <v>39</v>
      </c>
      <c r="J712" s="5">
        <v>8.9589999999999996</v>
      </c>
      <c r="K712" s="5">
        <f t="shared" si="33"/>
        <v>0.89589999999999992</v>
      </c>
      <c r="L712" s="5">
        <f t="shared" si="34"/>
        <v>26.35</v>
      </c>
      <c r="M712" s="5" t="s">
        <v>39</v>
      </c>
      <c r="N712" s="5">
        <v>8.9589999999999996</v>
      </c>
      <c r="O712" s="5" t="s">
        <v>39</v>
      </c>
      <c r="P712" t="s">
        <v>270</v>
      </c>
      <c r="Q712" t="s">
        <v>797</v>
      </c>
      <c r="R712" t="s">
        <v>37</v>
      </c>
      <c r="S712" t="s">
        <v>798</v>
      </c>
      <c r="T712" t="s">
        <v>43</v>
      </c>
      <c r="U712" t="s">
        <v>44</v>
      </c>
      <c r="V712">
        <v>147</v>
      </c>
      <c r="W712" t="s">
        <v>45</v>
      </c>
      <c r="X712" t="s">
        <v>53</v>
      </c>
      <c r="Y712" t="s">
        <v>799</v>
      </c>
      <c r="Z712" t="s">
        <v>37</v>
      </c>
      <c r="AA712" t="s">
        <v>55</v>
      </c>
      <c r="AB712" t="s">
        <v>37</v>
      </c>
      <c r="AC712" s="6" t="s">
        <v>37</v>
      </c>
      <c r="AD712" s="6" t="s">
        <v>37</v>
      </c>
      <c r="AE712" t="s">
        <v>37</v>
      </c>
      <c r="AF712" t="s">
        <v>37</v>
      </c>
      <c r="AG712" s="6" t="s">
        <v>37</v>
      </c>
      <c r="AH712" t="s">
        <v>37</v>
      </c>
      <c r="AI712" t="s">
        <v>37</v>
      </c>
      <c r="AJ712" t="str">
        <f t="shared" si="35"/>
        <v>1X4DXX4TB01LCQTF4M</v>
      </c>
    </row>
    <row r="713" spans="1:36" ht="15" customHeight="1" x14ac:dyDescent="0.25">
      <c r="A713" t="s">
        <v>101</v>
      </c>
      <c r="B713" t="s">
        <v>37</v>
      </c>
      <c r="C713" t="s">
        <v>37</v>
      </c>
      <c r="D713" t="s">
        <v>38</v>
      </c>
      <c r="E713" s="4">
        <v>10</v>
      </c>
      <c r="F713" s="5">
        <v>322.10000000000002</v>
      </c>
      <c r="G713" s="5" t="s">
        <v>39</v>
      </c>
      <c r="H713" s="5">
        <v>483.5</v>
      </c>
      <c r="I713" s="5" t="s">
        <v>39</v>
      </c>
      <c r="J713" s="5">
        <v>10.9514</v>
      </c>
      <c r="K713" s="5">
        <f t="shared" si="33"/>
        <v>1.09514</v>
      </c>
      <c r="L713" s="5">
        <f t="shared" si="34"/>
        <v>32.21</v>
      </c>
      <c r="M713" s="5" t="s">
        <v>39</v>
      </c>
      <c r="N713" s="5">
        <v>10.9514</v>
      </c>
      <c r="O713" s="5" t="s">
        <v>39</v>
      </c>
      <c r="P713" t="s">
        <v>274</v>
      </c>
      <c r="Q713" t="s">
        <v>582</v>
      </c>
      <c r="R713" t="s">
        <v>37</v>
      </c>
      <c r="S713" t="s">
        <v>583</v>
      </c>
      <c r="T713" t="s">
        <v>43</v>
      </c>
      <c r="U713" t="s">
        <v>44</v>
      </c>
      <c r="V713">
        <v>147</v>
      </c>
      <c r="W713" t="s">
        <v>45</v>
      </c>
      <c r="X713" t="s">
        <v>60</v>
      </c>
      <c r="Y713" t="s">
        <v>584</v>
      </c>
      <c r="Z713" t="s">
        <v>37</v>
      </c>
      <c r="AA713" t="s">
        <v>48</v>
      </c>
      <c r="AB713" t="s">
        <v>37</v>
      </c>
      <c r="AC713" s="6" t="s">
        <v>37</v>
      </c>
      <c r="AD713" s="6" t="s">
        <v>37</v>
      </c>
      <c r="AE713" t="s">
        <v>37</v>
      </c>
      <c r="AF713" t="s">
        <v>37</v>
      </c>
      <c r="AG713" s="6" t="s">
        <v>37</v>
      </c>
      <c r="AH713" t="s">
        <v>37</v>
      </c>
      <c r="AI713" t="s">
        <v>37</v>
      </c>
      <c r="AJ713" t="str">
        <f t="shared" si="35"/>
        <v>4LYATDUXB00VHHWNMI</v>
      </c>
    </row>
    <row r="714" spans="1:36" ht="15" customHeight="1" x14ac:dyDescent="0.25">
      <c r="A714" t="s">
        <v>56</v>
      </c>
      <c r="B714" t="s">
        <v>37</v>
      </c>
      <c r="C714" t="s">
        <v>37</v>
      </c>
      <c r="D714" t="s">
        <v>38</v>
      </c>
      <c r="E714" s="4">
        <v>0</v>
      </c>
      <c r="F714" s="5">
        <v>0</v>
      </c>
      <c r="G714" s="5" t="s">
        <v>39</v>
      </c>
      <c r="H714" s="5">
        <v>0</v>
      </c>
      <c r="I714" s="5" t="s">
        <v>39</v>
      </c>
      <c r="J714" s="5">
        <v>0</v>
      </c>
      <c r="K714" s="5" t="e">
        <f t="shared" si="33"/>
        <v>#DIV/0!</v>
      </c>
      <c r="L714" s="5" t="e">
        <f t="shared" si="34"/>
        <v>#DIV/0!</v>
      </c>
      <c r="M714" s="5" t="s">
        <v>39</v>
      </c>
      <c r="N714" s="5">
        <v>0</v>
      </c>
      <c r="O714" s="5" t="s">
        <v>39</v>
      </c>
      <c r="P714" t="s">
        <v>365</v>
      </c>
      <c r="Q714" t="s">
        <v>908</v>
      </c>
      <c r="R714" t="s">
        <v>909</v>
      </c>
      <c r="S714" t="s">
        <v>910</v>
      </c>
      <c r="T714" t="s">
        <v>43</v>
      </c>
      <c r="U714" t="s">
        <v>44</v>
      </c>
      <c r="V714">
        <v>147</v>
      </c>
      <c r="W714" t="s">
        <v>45</v>
      </c>
      <c r="X714" t="s">
        <v>46</v>
      </c>
      <c r="Y714" t="s">
        <v>268</v>
      </c>
      <c r="Z714" t="s">
        <v>37</v>
      </c>
      <c r="AA714" t="s">
        <v>55</v>
      </c>
      <c r="AB714" t="s">
        <v>37</v>
      </c>
      <c r="AC714" s="6" t="s">
        <v>37</v>
      </c>
      <c r="AD714" s="6" t="s">
        <v>37</v>
      </c>
      <c r="AE714" t="s">
        <v>37</v>
      </c>
      <c r="AF714" t="s">
        <v>37</v>
      </c>
      <c r="AG714" s="6" t="s">
        <v>37</v>
      </c>
      <c r="AH714" t="s">
        <v>37</v>
      </c>
      <c r="AI714" t="s">
        <v>37</v>
      </c>
      <c r="AJ714" t="str">
        <f t="shared" si="35"/>
        <v>3KYCEHVHB07CGPZ3ZQ</v>
      </c>
    </row>
    <row r="715" spans="1:36" ht="15" customHeight="1" x14ac:dyDescent="0.25">
      <c r="A715" t="s">
        <v>101</v>
      </c>
      <c r="B715" t="s">
        <v>37</v>
      </c>
      <c r="C715" t="s">
        <v>37</v>
      </c>
      <c r="D715" t="s">
        <v>38</v>
      </c>
      <c r="E715" s="4">
        <v>129</v>
      </c>
      <c r="F715" s="5">
        <v>4423.41</v>
      </c>
      <c r="G715" s="5" t="s">
        <v>39</v>
      </c>
      <c r="H715" s="5">
        <v>6554.49</v>
      </c>
      <c r="I715" s="5" t="s">
        <v>39</v>
      </c>
      <c r="J715" s="5">
        <v>150.39594</v>
      </c>
      <c r="K715" s="5">
        <f t="shared" si="33"/>
        <v>1.1658599999999999</v>
      </c>
      <c r="L715" s="5">
        <f t="shared" si="34"/>
        <v>34.29</v>
      </c>
      <c r="M715" s="5" t="s">
        <v>39</v>
      </c>
      <c r="N715" s="5">
        <v>150.39594</v>
      </c>
      <c r="O715" s="5" t="s">
        <v>39</v>
      </c>
      <c r="P715" t="s">
        <v>120</v>
      </c>
      <c r="Q715" t="s">
        <v>1307</v>
      </c>
      <c r="R715" t="s">
        <v>37</v>
      </c>
      <c r="S715" t="s">
        <v>1308</v>
      </c>
      <c r="T715" t="s">
        <v>43</v>
      </c>
      <c r="U715" t="s">
        <v>44</v>
      </c>
      <c r="V715">
        <v>147</v>
      </c>
      <c r="W715" t="s">
        <v>45</v>
      </c>
      <c r="X715" t="s">
        <v>46</v>
      </c>
      <c r="Y715" t="s">
        <v>1309</v>
      </c>
      <c r="Z715" t="s">
        <v>37</v>
      </c>
      <c r="AA715" t="s">
        <v>55</v>
      </c>
      <c r="AB715" t="s">
        <v>37</v>
      </c>
      <c r="AC715" s="6" t="s">
        <v>37</v>
      </c>
      <c r="AD715" s="6" t="s">
        <v>37</v>
      </c>
      <c r="AE715" t="s">
        <v>37</v>
      </c>
      <c r="AF715" t="s">
        <v>37</v>
      </c>
      <c r="AG715" s="6" t="s">
        <v>37</v>
      </c>
      <c r="AH715" t="s">
        <v>37</v>
      </c>
      <c r="AI715" t="s">
        <v>37</v>
      </c>
      <c r="AJ715" t="str">
        <f t="shared" si="35"/>
        <v>5MWU8WTDB00ZWOUH4S</v>
      </c>
    </row>
    <row r="716" spans="1:36" ht="15" customHeight="1" x14ac:dyDescent="0.25">
      <c r="A716" t="s">
        <v>96</v>
      </c>
      <c r="B716" t="s">
        <v>37</v>
      </c>
      <c r="C716" t="s">
        <v>411</v>
      </c>
      <c r="D716" t="s">
        <v>1374</v>
      </c>
      <c r="E716" s="4">
        <v>79</v>
      </c>
      <c r="F716" s="5" t="s">
        <v>37</v>
      </c>
      <c r="G716" s="5" t="s">
        <v>37</v>
      </c>
      <c r="H716" s="5" t="s">
        <v>37</v>
      </c>
      <c r="I716" s="5" t="s">
        <v>37</v>
      </c>
      <c r="J716" s="5">
        <v>-37.147379999999998</v>
      </c>
      <c r="K716" s="5">
        <f t="shared" si="33"/>
        <v>-0.47021999999999997</v>
      </c>
      <c r="L716" s="5" t="e">
        <f t="shared" si="34"/>
        <v>#VALUE!</v>
      </c>
      <c r="M716" s="5" t="s">
        <v>39</v>
      </c>
      <c r="N716" s="5">
        <v>-37.147379999999998</v>
      </c>
      <c r="O716" s="5" t="s">
        <v>39</v>
      </c>
      <c r="P716" t="s">
        <v>969</v>
      </c>
      <c r="Q716" t="s">
        <v>90</v>
      </c>
      <c r="R716" t="s">
        <v>37</v>
      </c>
      <c r="S716" t="s">
        <v>91</v>
      </c>
      <c r="T716" t="s">
        <v>43</v>
      </c>
      <c r="U716" t="s">
        <v>44</v>
      </c>
      <c r="V716">
        <v>147</v>
      </c>
      <c r="W716" t="s">
        <v>92</v>
      </c>
      <c r="X716" t="s">
        <v>93</v>
      </c>
      <c r="Y716" t="s">
        <v>94</v>
      </c>
      <c r="Z716" t="s">
        <v>37</v>
      </c>
      <c r="AA716" t="s">
        <v>95</v>
      </c>
      <c r="AB716" t="s">
        <v>37</v>
      </c>
      <c r="AC716" s="6" t="s">
        <v>37</v>
      </c>
      <c r="AD716" s="6" t="s">
        <v>37</v>
      </c>
      <c r="AE716" t="s">
        <v>37</v>
      </c>
      <c r="AF716" t="s">
        <v>37</v>
      </c>
      <c r="AG716" s="6">
        <v>-1092.57</v>
      </c>
      <c r="AH716">
        <v>215100008</v>
      </c>
      <c r="AI716" t="s">
        <v>37</v>
      </c>
      <c r="AJ716" t="str">
        <f t="shared" si="35"/>
        <v>1VBBCE3CB07W5JKBMG</v>
      </c>
    </row>
    <row r="717" spans="1:36" ht="15" customHeight="1" x14ac:dyDescent="0.25">
      <c r="A717" t="s">
        <v>118</v>
      </c>
      <c r="B717" t="s">
        <v>37</v>
      </c>
      <c r="C717" t="s">
        <v>37</v>
      </c>
      <c r="D717" t="s">
        <v>38</v>
      </c>
      <c r="E717" s="4">
        <v>12</v>
      </c>
      <c r="F717" s="5">
        <v>246</v>
      </c>
      <c r="G717" s="5" t="s">
        <v>39</v>
      </c>
      <c r="H717" s="5">
        <v>246</v>
      </c>
      <c r="I717" s="5" t="s">
        <v>39</v>
      </c>
      <c r="J717" s="5">
        <v>8.3640000000000008</v>
      </c>
      <c r="K717" s="5">
        <f t="shared" si="33"/>
        <v>0.69700000000000006</v>
      </c>
      <c r="L717" s="5">
        <f t="shared" si="34"/>
        <v>20.5</v>
      </c>
      <c r="M717" s="5" t="s">
        <v>39</v>
      </c>
      <c r="N717" s="5">
        <v>8.3640000000000008</v>
      </c>
      <c r="O717" s="5" t="s">
        <v>39</v>
      </c>
      <c r="P717" t="s">
        <v>128</v>
      </c>
      <c r="Q717" t="s">
        <v>1375</v>
      </c>
      <c r="R717" t="s">
        <v>37</v>
      </c>
      <c r="S717" t="s">
        <v>1376</v>
      </c>
      <c r="T717" t="s">
        <v>43</v>
      </c>
      <c r="U717" t="s">
        <v>44</v>
      </c>
      <c r="V717">
        <v>147</v>
      </c>
      <c r="W717" t="s">
        <v>45</v>
      </c>
      <c r="X717" t="s">
        <v>389</v>
      </c>
      <c r="Y717" t="s">
        <v>1377</v>
      </c>
      <c r="Z717" t="s">
        <v>37</v>
      </c>
      <c r="AA717" t="s">
        <v>55</v>
      </c>
      <c r="AB717" t="s">
        <v>37</v>
      </c>
      <c r="AC717" s="6" t="s">
        <v>37</v>
      </c>
      <c r="AD717" s="6" t="s">
        <v>37</v>
      </c>
      <c r="AE717" t="s">
        <v>37</v>
      </c>
      <c r="AF717" t="s">
        <v>37</v>
      </c>
      <c r="AG717" s="6" t="s">
        <v>37</v>
      </c>
      <c r="AH717" t="s">
        <v>37</v>
      </c>
      <c r="AI717" t="s">
        <v>37</v>
      </c>
      <c r="AJ717" t="str">
        <f t="shared" si="35"/>
        <v>7RAC5F9EB00EUUXFFS</v>
      </c>
    </row>
    <row r="718" spans="1:36" ht="15" customHeight="1" x14ac:dyDescent="0.25">
      <c r="A718" t="s">
        <v>127</v>
      </c>
      <c r="B718" t="s">
        <v>37</v>
      </c>
      <c r="C718" t="s">
        <v>37</v>
      </c>
      <c r="D718" t="s">
        <v>38</v>
      </c>
      <c r="E718" s="4">
        <v>18</v>
      </c>
      <c r="F718" s="5">
        <v>3789.36</v>
      </c>
      <c r="G718" s="5" t="s">
        <v>39</v>
      </c>
      <c r="H718" s="5">
        <v>6049.08</v>
      </c>
      <c r="I718" s="5" t="s">
        <v>39</v>
      </c>
      <c r="J718" s="5">
        <v>128.83824000000001</v>
      </c>
      <c r="K718" s="5">
        <f t="shared" si="33"/>
        <v>7.1576800000000009</v>
      </c>
      <c r="L718" s="5">
        <f t="shared" si="34"/>
        <v>210.52</v>
      </c>
      <c r="M718" s="5" t="s">
        <v>39</v>
      </c>
      <c r="N718" s="5">
        <v>128.83824000000001</v>
      </c>
      <c r="O718" s="5" t="s">
        <v>39</v>
      </c>
      <c r="P718" t="s">
        <v>246</v>
      </c>
      <c r="Q718" t="s">
        <v>233</v>
      </c>
      <c r="R718" t="s">
        <v>234</v>
      </c>
      <c r="S718" t="s">
        <v>235</v>
      </c>
      <c r="T718" t="s">
        <v>43</v>
      </c>
      <c r="U718" t="s">
        <v>44</v>
      </c>
      <c r="V718">
        <v>147</v>
      </c>
      <c r="W718" t="s">
        <v>45</v>
      </c>
      <c r="X718" t="s">
        <v>46</v>
      </c>
      <c r="Y718" t="s">
        <v>236</v>
      </c>
      <c r="Z718" t="s">
        <v>37</v>
      </c>
      <c r="AA718" t="s">
        <v>55</v>
      </c>
      <c r="AB718" t="s">
        <v>37</v>
      </c>
      <c r="AC718" s="6" t="s">
        <v>37</v>
      </c>
      <c r="AD718" s="6" t="s">
        <v>37</v>
      </c>
      <c r="AE718" t="s">
        <v>37</v>
      </c>
      <c r="AF718" t="s">
        <v>37</v>
      </c>
      <c r="AG718" s="6" t="s">
        <v>37</v>
      </c>
      <c r="AH718" t="s">
        <v>37</v>
      </c>
      <c r="AI718" t="s">
        <v>37</v>
      </c>
      <c r="AJ718" t="str">
        <f t="shared" si="35"/>
        <v>1PSIXGLTB013Y78YY4</v>
      </c>
    </row>
    <row r="719" spans="1:36" ht="15" customHeight="1" x14ac:dyDescent="0.25">
      <c r="A719" t="s">
        <v>411</v>
      </c>
      <c r="B719" t="s">
        <v>37</v>
      </c>
      <c r="C719" t="s">
        <v>37</v>
      </c>
      <c r="D719" t="s">
        <v>38</v>
      </c>
      <c r="E719" s="4">
        <v>56</v>
      </c>
      <c r="F719" s="5">
        <v>8909.0400000000009</v>
      </c>
      <c r="G719" s="5" t="s">
        <v>39</v>
      </c>
      <c r="H719" s="5">
        <v>10557.12</v>
      </c>
      <c r="I719" s="5" t="s">
        <v>39</v>
      </c>
      <c r="J719" s="5">
        <v>302.90735999999998</v>
      </c>
      <c r="K719" s="5">
        <f t="shared" si="33"/>
        <v>5.4090599999999993</v>
      </c>
      <c r="L719" s="5">
        <f t="shared" si="34"/>
        <v>159.09</v>
      </c>
      <c r="M719" s="5" t="s">
        <v>39</v>
      </c>
      <c r="N719" s="5">
        <v>302.90735999999998</v>
      </c>
      <c r="O719" s="5" t="s">
        <v>39</v>
      </c>
      <c r="P719" t="s">
        <v>522</v>
      </c>
      <c r="Q719" t="s">
        <v>227</v>
      </c>
      <c r="R719" t="s">
        <v>228</v>
      </c>
      <c r="S719" t="s">
        <v>229</v>
      </c>
      <c r="T719" t="s">
        <v>43</v>
      </c>
      <c r="U719" t="s">
        <v>44</v>
      </c>
      <c r="V719">
        <v>267</v>
      </c>
      <c r="W719" t="s">
        <v>151</v>
      </c>
      <c r="X719" t="s">
        <v>152</v>
      </c>
      <c r="Y719" t="s">
        <v>230</v>
      </c>
      <c r="Z719" t="s">
        <v>37</v>
      </c>
      <c r="AA719" t="s">
        <v>95</v>
      </c>
      <c r="AB719" t="s">
        <v>37</v>
      </c>
      <c r="AC719" s="6" t="s">
        <v>37</v>
      </c>
      <c r="AD719" s="6" t="s">
        <v>37</v>
      </c>
      <c r="AE719" t="s">
        <v>37</v>
      </c>
      <c r="AF719" t="s">
        <v>37</v>
      </c>
      <c r="AG719" s="6" t="s">
        <v>37</v>
      </c>
      <c r="AH719" t="s">
        <v>37</v>
      </c>
      <c r="AI719" t="s">
        <v>37</v>
      </c>
      <c r="AJ719" t="str">
        <f t="shared" si="35"/>
        <v>24EUBTHXB078MHS3SC</v>
      </c>
    </row>
    <row r="720" spans="1:36" ht="15" customHeight="1" x14ac:dyDescent="0.25">
      <c r="A720" t="s">
        <v>96</v>
      </c>
      <c r="B720" t="s">
        <v>37</v>
      </c>
      <c r="C720" t="s">
        <v>37</v>
      </c>
      <c r="D720" t="s">
        <v>38</v>
      </c>
      <c r="E720" s="4">
        <v>4</v>
      </c>
      <c r="F720" s="5">
        <v>211.04</v>
      </c>
      <c r="G720" s="5" t="s">
        <v>39</v>
      </c>
      <c r="H720" s="5">
        <v>340.96</v>
      </c>
      <c r="I720" s="5" t="s">
        <v>39</v>
      </c>
      <c r="J720" s="5">
        <v>7.1753600000000004</v>
      </c>
      <c r="K720" s="5">
        <f t="shared" si="33"/>
        <v>1.7938400000000001</v>
      </c>
      <c r="L720" s="5">
        <f t="shared" si="34"/>
        <v>52.76</v>
      </c>
      <c r="M720" s="5" t="s">
        <v>39</v>
      </c>
      <c r="N720" s="5">
        <v>7.1753600000000004</v>
      </c>
      <c r="O720" s="5" t="s">
        <v>39</v>
      </c>
      <c r="P720" t="s">
        <v>106</v>
      </c>
      <c r="Q720" t="s">
        <v>304</v>
      </c>
      <c r="R720" t="s">
        <v>37</v>
      </c>
      <c r="S720" t="s">
        <v>305</v>
      </c>
      <c r="T720" t="s">
        <v>43</v>
      </c>
      <c r="U720" t="s">
        <v>44</v>
      </c>
      <c r="V720">
        <v>63</v>
      </c>
      <c r="W720" t="s">
        <v>45</v>
      </c>
      <c r="X720" t="s">
        <v>46</v>
      </c>
      <c r="Y720" t="s">
        <v>306</v>
      </c>
      <c r="Z720" t="s">
        <v>37</v>
      </c>
      <c r="AA720" t="s">
        <v>307</v>
      </c>
      <c r="AB720" t="s">
        <v>37</v>
      </c>
      <c r="AC720" s="6" t="s">
        <v>37</v>
      </c>
      <c r="AD720" s="6" t="s">
        <v>37</v>
      </c>
      <c r="AE720" t="s">
        <v>37</v>
      </c>
      <c r="AF720" t="s">
        <v>37</v>
      </c>
      <c r="AG720" s="6" t="s">
        <v>37</v>
      </c>
      <c r="AH720" t="s">
        <v>37</v>
      </c>
      <c r="AI720" t="s">
        <v>37</v>
      </c>
      <c r="AJ720" t="str">
        <f t="shared" si="35"/>
        <v>2CLMXQWQB07W6JGH8Z</v>
      </c>
    </row>
    <row r="721" spans="1:36" ht="15" customHeight="1" x14ac:dyDescent="0.25">
      <c r="A721" t="s">
        <v>210</v>
      </c>
      <c r="B721" t="s">
        <v>37</v>
      </c>
      <c r="C721" t="s">
        <v>37</v>
      </c>
      <c r="D721" t="s">
        <v>38</v>
      </c>
      <c r="E721" s="4">
        <v>432</v>
      </c>
      <c r="F721" s="5">
        <v>19370.88</v>
      </c>
      <c r="G721" s="5" t="s">
        <v>39</v>
      </c>
      <c r="H721" s="5">
        <v>31155.84</v>
      </c>
      <c r="I721" s="5" t="s">
        <v>39</v>
      </c>
      <c r="J721" s="5">
        <v>658.60991999999999</v>
      </c>
      <c r="K721" s="5">
        <f t="shared" si="33"/>
        <v>1.5245599999999999</v>
      </c>
      <c r="L721" s="5">
        <f t="shared" si="34"/>
        <v>44.84</v>
      </c>
      <c r="M721" s="5" t="s">
        <v>39</v>
      </c>
      <c r="N721" s="5">
        <v>658.60991999999999</v>
      </c>
      <c r="O721" s="5" t="s">
        <v>39</v>
      </c>
      <c r="P721" t="s">
        <v>416</v>
      </c>
      <c r="Q721" t="s">
        <v>1357</v>
      </c>
      <c r="R721" t="s">
        <v>37</v>
      </c>
      <c r="S721" t="s">
        <v>1358</v>
      </c>
      <c r="T721" t="s">
        <v>43</v>
      </c>
      <c r="U721" t="s">
        <v>44</v>
      </c>
      <c r="V721">
        <v>147</v>
      </c>
      <c r="W721" t="s">
        <v>45</v>
      </c>
      <c r="X721" t="s">
        <v>60</v>
      </c>
      <c r="Y721" t="s">
        <v>1359</v>
      </c>
      <c r="Z721" t="s">
        <v>37</v>
      </c>
      <c r="AA721" t="s">
        <v>55</v>
      </c>
      <c r="AB721" t="s">
        <v>37</v>
      </c>
      <c r="AC721" s="6" t="s">
        <v>37</v>
      </c>
      <c r="AD721" s="6" t="s">
        <v>37</v>
      </c>
      <c r="AE721" t="s">
        <v>37</v>
      </c>
      <c r="AF721" t="s">
        <v>37</v>
      </c>
      <c r="AG721" s="6" t="s">
        <v>37</v>
      </c>
      <c r="AH721" t="s">
        <v>37</v>
      </c>
      <c r="AI721" t="s">
        <v>37</v>
      </c>
      <c r="AJ721" t="str">
        <f t="shared" si="35"/>
        <v>69351YNLB07W6GVS5C</v>
      </c>
    </row>
    <row r="722" spans="1:36" ht="15" customHeight="1" x14ac:dyDescent="0.25">
      <c r="A722" t="s">
        <v>76</v>
      </c>
      <c r="B722" t="s">
        <v>37</v>
      </c>
      <c r="C722" t="s">
        <v>37</v>
      </c>
      <c r="D722" t="s">
        <v>38</v>
      </c>
      <c r="E722" s="4">
        <v>4</v>
      </c>
      <c r="F722" s="5">
        <v>420</v>
      </c>
      <c r="G722" s="5" t="s">
        <v>39</v>
      </c>
      <c r="H722" s="5">
        <v>685.2</v>
      </c>
      <c r="I722" s="5" t="s">
        <v>39</v>
      </c>
      <c r="J722" s="5">
        <v>14.28</v>
      </c>
      <c r="K722" s="5">
        <f t="shared" si="33"/>
        <v>3.57</v>
      </c>
      <c r="L722" s="5">
        <f t="shared" si="34"/>
        <v>105</v>
      </c>
      <c r="M722" s="5" t="s">
        <v>39</v>
      </c>
      <c r="N722" s="5">
        <v>14.28</v>
      </c>
      <c r="O722" s="5" t="s">
        <v>39</v>
      </c>
      <c r="P722" t="s">
        <v>1378</v>
      </c>
      <c r="Q722" t="s">
        <v>1379</v>
      </c>
      <c r="R722" t="s">
        <v>37</v>
      </c>
      <c r="S722" t="s">
        <v>1380</v>
      </c>
      <c r="T722" t="s">
        <v>43</v>
      </c>
      <c r="U722" t="s">
        <v>44</v>
      </c>
      <c r="V722">
        <v>147</v>
      </c>
      <c r="W722" t="s">
        <v>45</v>
      </c>
      <c r="X722" t="s">
        <v>46</v>
      </c>
      <c r="Y722" t="s">
        <v>1381</v>
      </c>
      <c r="Z722" t="s">
        <v>37</v>
      </c>
      <c r="AA722" t="s">
        <v>48</v>
      </c>
      <c r="AB722" t="s">
        <v>37</v>
      </c>
      <c r="AC722" s="6" t="s">
        <v>37</v>
      </c>
      <c r="AD722" s="6" t="s">
        <v>37</v>
      </c>
      <c r="AE722" t="s">
        <v>37</v>
      </c>
      <c r="AF722" t="s">
        <v>37</v>
      </c>
      <c r="AG722" s="6" t="s">
        <v>37</v>
      </c>
      <c r="AH722" t="s">
        <v>37</v>
      </c>
      <c r="AI722" t="s">
        <v>37</v>
      </c>
      <c r="AJ722" t="str">
        <f t="shared" si="35"/>
        <v>5YWSGF4JB01G7AWZEA</v>
      </c>
    </row>
    <row r="723" spans="1:36" ht="15" customHeight="1" x14ac:dyDescent="0.25">
      <c r="A723" t="s">
        <v>36</v>
      </c>
      <c r="B723" t="s">
        <v>37</v>
      </c>
      <c r="C723" t="s">
        <v>37</v>
      </c>
      <c r="D723" t="s">
        <v>38</v>
      </c>
      <c r="E723" s="4">
        <v>44</v>
      </c>
      <c r="F723" s="5">
        <v>1545.72</v>
      </c>
      <c r="G723" s="5" t="s">
        <v>39</v>
      </c>
      <c r="H723" s="5">
        <v>2235.64</v>
      </c>
      <c r="I723" s="5" t="s">
        <v>39</v>
      </c>
      <c r="J723" s="5">
        <v>52.554479999999998</v>
      </c>
      <c r="K723" s="5">
        <f t="shared" si="33"/>
        <v>1.19442</v>
      </c>
      <c r="L723" s="5">
        <f t="shared" si="34"/>
        <v>35.130000000000003</v>
      </c>
      <c r="M723" s="5" t="s">
        <v>39</v>
      </c>
      <c r="N723" s="5">
        <v>52.554479999999998</v>
      </c>
      <c r="O723" s="5" t="s">
        <v>39</v>
      </c>
      <c r="P723" t="s">
        <v>119</v>
      </c>
      <c r="Q723" t="s">
        <v>837</v>
      </c>
      <c r="R723" t="s">
        <v>37</v>
      </c>
      <c r="S723" t="s">
        <v>838</v>
      </c>
      <c r="T723" t="s">
        <v>43</v>
      </c>
      <c r="U723" t="s">
        <v>44</v>
      </c>
      <c r="V723">
        <v>147</v>
      </c>
      <c r="W723" t="s">
        <v>45</v>
      </c>
      <c r="X723" t="s">
        <v>60</v>
      </c>
      <c r="Y723" t="s">
        <v>839</v>
      </c>
      <c r="Z723" t="s">
        <v>37</v>
      </c>
      <c r="AA723" t="s">
        <v>55</v>
      </c>
      <c r="AB723" t="s">
        <v>37</v>
      </c>
      <c r="AC723" s="6" t="s">
        <v>37</v>
      </c>
      <c r="AD723" s="6" t="s">
        <v>37</v>
      </c>
      <c r="AE723" t="s">
        <v>37</v>
      </c>
      <c r="AF723" t="s">
        <v>37</v>
      </c>
      <c r="AG723" s="6" t="s">
        <v>37</v>
      </c>
      <c r="AH723" t="s">
        <v>37</v>
      </c>
      <c r="AI723" t="s">
        <v>37</v>
      </c>
      <c r="AJ723" t="str">
        <f t="shared" si="35"/>
        <v>31DJDC7QB07VK1S68S</v>
      </c>
    </row>
    <row r="724" spans="1:36" ht="15" customHeight="1" x14ac:dyDescent="0.25">
      <c r="A724" t="s">
        <v>71</v>
      </c>
      <c r="B724" t="s">
        <v>37</v>
      </c>
      <c r="C724" t="s">
        <v>37</v>
      </c>
      <c r="D724" t="s">
        <v>38</v>
      </c>
      <c r="E724" s="4">
        <v>0</v>
      </c>
      <c r="F724" s="5">
        <v>0</v>
      </c>
      <c r="G724" s="5" t="s">
        <v>39</v>
      </c>
      <c r="H724" s="5">
        <v>0</v>
      </c>
      <c r="I724" s="5" t="s">
        <v>39</v>
      </c>
      <c r="J724" s="5">
        <v>0</v>
      </c>
      <c r="K724" s="5" t="e">
        <f t="shared" si="33"/>
        <v>#DIV/0!</v>
      </c>
      <c r="L724" s="5" t="e">
        <f t="shared" si="34"/>
        <v>#DIV/0!</v>
      </c>
      <c r="M724" s="5" t="s">
        <v>39</v>
      </c>
      <c r="N724" s="5">
        <v>0</v>
      </c>
      <c r="O724" s="5" t="s">
        <v>39</v>
      </c>
      <c r="P724" t="s">
        <v>270</v>
      </c>
      <c r="Q724" t="s">
        <v>797</v>
      </c>
      <c r="R724" t="s">
        <v>37</v>
      </c>
      <c r="S724" t="s">
        <v>798</v>
      </c>
      <c r="T724" t="s">
        <v>43</v>
      </c>
      <c r="U724" t="s">
        <v>44</v>
      </c>
      <c r="V724">
        <v>147</v>
      </c>
      <c r="W724" t="s">
        <v>45</v>
      </c>
      <c r="X724" t="s">
        <v>53</v>
      </c>
      <c r="Y724" t="s">
        <v>799</v>
      </c>
      <c r="Z724" t="s">
        <v>37</v>
      </c>
      <c r="AA724" t="s">
        <v>55</v>
      </c>
      <c r="AB724" t="s">
        <v>37</v>
      </c>
      <c r="AC724" s="6" t="s">
        <v>37</v>
      </c>
      <c r="AD724" s="6" t="s">
        <v>37</v>
      </c>
      <c r="AE724" t="s">
        <v>37</v>
      </c>
      <c r="AF724" t="s">
        <v>37</v>
      </c>
      <c r="AG724" s="6" t="s">
        <v>37</v>
      </c>
      <c r="AH724" t="s">
        <v>37</v>
      </c>
      <c r="AI724" t="s">
        <v>37</v>
      </c>
      <c r="AJ724" t="str">
        <f t="shared" si="35"/>
        <v>1X4DXX4TB01LCQTF4M</v>
      </c>
    </row>
    <row r="725" spans="1:36" ht="15" customHeight="1" x14ac:dyDescent="0.25">
      <c r="A725" t="s">
        <v>49</v>
      </c>
      <c r="B725" t="s">
        <v>37</v>
      </c>
      <c r="C725" t="s">
        <v>411</v>
      </c>
      <c r="D725" t="s">
        <v>1374</v>
      </c>
      <c r="E725" s="4">
        <v>40</v>
      </c>
      <c r="F725" s="5" t="s">
        <v>37</v>
      </c>
      <c r="G725" s="5" t="s">
        <v>37</v>
      </c>
      <c r="H725" s="5" t="s">
        <v>37</v>
      </c>
      <c r="I725" s="5" t="s">
        <v>37</v>
      </c>
      <c r="J725" s="5">
        <v>-18.808800000000002</v>
      </c>
      <c r="K725" s="5">
        <f t="shared" si="33"/>
        <v>-0.47022000000000003</v>
      </c>
      <c r="L725" s="5" t="e">
        <f t="shared" si="34"/>
        <v>#VALUE!</v>
      </c>
      <c r="M725" s="5" t="s">
        <v>39</v>
      </c>
      <c r="N725" s="5">
        <v>-18.808800000000002</v>
      </c>
      <c r="O725" s="5" t="s">
        <v>39</v>
      </c>
      <c r="P725" t="s">
        <v>969</v>
      </c>
      <c r="Q725" t="s">
        <v>90</v>
      </c>
      <c r="R725" t="s">
        <v>37</v>
      </c>
      <c r="S725" t="s">
        <v>91</v>
      </c>
      <c r="T725" t="s">
        <v>43</v>
      </c>
      <c r="U725" t="s">
        <v>44</v>
      </c>
      <c r="V725">
        <v>147</v>
      </c>
      <c r="W725" t="s">
        <v>92</v>
      </c>
      <c r="X725" t="s">
        <v>93</v>
      </c>
      <c r="Y725" t="s">
        <v>94</v>
      </c>
      <c r="Z725" t="s">
        <v>37</v>
      </c>
      <c r="AA725" t="s">
        <v>95</v>
      </c>
      <c r="AB725" t="s">
        <v>37</v>
      </c>
      <c r="AC725" s="6" t="s">
        <v>37</v>
      </c>
      <c r="AD725" s="6" t="s">
        <v>37</v>
      </c>
      <c r="AE725" t="s">
        <v>37</v>
      </c>
      <c r="AF725" t="s">
        <v>37</v>
      </c>
      <c r="AG725" s="6">
        <v>-553.20000000000005</v>
      </c>
      <c r="AH725">
        <v>215100008</v>
      </c>
      <c r="AI725" t="s">
        <v>37</v>
      </c>
      <c r="AJ725" t="str">
        <f t="shared" si="35"/>
        <v>1VBBCE3CB07W5JKBMG</v>
      </c>
    </row>
    <row r="726" spans="1:36" ht="15" customHeight="1" x14ac:dyDescent="0.25">
      <c r="A726" t="s">
        <v>36</v>
      </c>
      <c r="B726" t="s">
        <v>37</v>
      </c>
      <c r="C726" t="s">
        <v>37</v>
      </c>
      <c r="D726" t="s">
        <v>38</v>
      </c>
      <c r="E726" s="4">
        <v>8</v>
      </c>
      <c r="F726" s="5">
        <v>586.72</v>
      </c>
      <c r="G726" s="5" t="s">
        <v>39</v>
      </c>
      <c r="H726" s="5">
        <v>1160</v>
      </c>
      <c r="I726" s="5" t="s">
        <v>39</v>
      </c>
      <c r="J726" s="5">
        <v>19.94848</v>
      </c>
      <c r="K726" s="5">
        <f t="shared" si="33"/>
        <v>2.49356</v>
      </c>
      <c r="L726" s="5">
        <f t="shared" si="34"/>
        <v>73.34</v>
      </c>
      <c r="M726" s="5" t="s">
        <v>39</v>
      </c>
      <c r="N726" s="5">
        <v>19.94848</v>
      </c>
      <c r="O726" s="5" t="s">
        <v>39</v>
      </c>
      <c r="P726" t="s">
        <v>40</v>
      </c>
      <c r="Q726" t="s">
        <v>1382</v>
      </c>
      <c r="R726" t="s">
        <v>37</v>
      </c>
      <c r="S726" t="s">
        <v>1383</v>
      </c>
      <c r="T726" t="s">
        <v>43</v>
      </c>
      <c r="U726" t="s">
        <v>44</v>
      </c>
      <c r="V726">
        <v>147</v>
      </c>
      <c r="W726" t="s">
        <v>45</v>
      </c>
      <c r="X726" t="s">
        <v>60</v>
      </c>
      <c r="Y726" t="s">
        <v>1384</v>
      </c>
      <c r="Z726" t="s">
        <v>1385</v>
      </c>
      <c r="AA726" t="s">
        <v>55</v>
      </c>
      <c r="AB726" t="s">
        <v>37</v>
      </c>
      <c r="AC726" s="6" t="s">
        <v>37</v>
      </c>
      <c r="AD726" s="6" t="s">
        <v>37</v>
      </c>
      <c r="AE726" t="s">
        <v>37</v>
      </c>
      <c r="AF726" t="s">
        <v>37</v>
      </c>
      <c r="AG726" s="6" t="s">
        <v>37</v>
      </c>
      <c r="AH726" t="s">
        <v>37</v>
      </c>
      <c r="AI726" t="s">
        <v>37</v>
      </c>
      <c r="AJ726" t="str">
        <f t="shared" si="35"/>
        <v>4A3KDTEZB07JB68RTK</v>
      </c>
    </row>
    <row r="727" spans="1:36" ht="15" customHeight="1" x14ac:dyDescent="0.25">
      <c r="A727" t="s">
        <v>101</v>
      </c>
      <c r="B727" t="s">
        <v>37</v>
      </c>
      <c r="C727" t="s">
        <v>37</v>
      </c>
      <c r="D727" t="s">
        <v>38</v>
      </c>
      <c r="E727" s="4">
        <v>20</v>
      </c>
      <c r="F727" s="5">
        <v>1055.2</v>
      </c>
      <c r="G727" s="5" t="s">
        <v>39</v>
      </c>
      <c r="H727" s="5">
        <v>1704.8</v>
      </c>
      <c r="I727" s="5" t="s">
        <v>39</v>
      </c>
      <c r="J727" s="5">
        <v>35.876800000000003</v>
      </c>
      <c r="K727" s="5">
        <f t="shared" si="33"/>
        <v>1.7938400000000001</v>
      </c>
      <c r="L727" s="5">
        <f t="shared" si="34"/>
        <v>52.760000000000005</v>
      </c>
      <c r="M727" s="5" t="s">
        <v>39</v>
      </c>
      <c r="N727" s="5">
        <v>35.876800000000003</v>
      </c>
      <c r="O727" s="5" t="s">
        <v>39</v>
      </c>
      <c r="P727" t="s">
        <v>120</v>
      </c>
      <c r="Q727" t="s">
        <v>304</v>
      </c>
      <c r="R727" t="s">
        <v>37</v>
      </c>
      <c r="S727" t="s">
        <v>305</v>
      </c>
      <c r="T727" t="s">
        <v>43</v>
      </c>
      <c r="U727" t="s">
        <v>44</v>
      </c>
      <c r="V727">
        <v>63</v>
      </c>
      <c r="W727" t="s">
        <v>45</v>
      </c>
      <c r="X727" t="s">
        <v>46</v>
      </c>
      <c r="Y727" t="s">
        <v>306</v>
      </c>
      <c r="Z727" t="s">
        <v>37</v>
      </c>
      <c r="AA727" t="s">
        <v>307</v>
      </c>
      <c r="AB727" t="s">
        <v>37</v>
      </c>
      <c r="AC727" s="6" t="s">
        <v>37</v>
      </c>
      <c r="AD727" s="6" t="s">
        <v>37</v>
      </c>
      <c r="AE727" t="s">
        <v>37</v>
      </c>
      <c r="AF727" t="s">
        <v>37</v>
      </c>
      <c r="AG727" s="6" t="s">
        <v>37</v>
      </c>
      <c r="AH727" t="s">
        <v>37</v>
      </c>
      <c r="AI727" t="s">
        <v>37</v>
      </c>
      <c r="AJ727" t="str">
        <f t="shared" si="35"/>
        <v>5MWU8WTDB07W6JGH8Z</v>
      </c>
    </row>
    <row r="728" spans="1:36" ht="15" customHeight="1" x14ac:dyDescent="0.25">
      <c r="A728" t="s">
        <v>76</v>
      </c>
      <c r="B728" t="s">
        <v>37</v>
      </c>
      <c r="C728" t="s">
        <v>37</v>
      </c>
      <c r="D728" t="s">
        <v>38</v>
      </c>
      <c r="E728" s="4">
        <v>4</v>
      </c>
      <c r="F728" s="5">
        <v>179.36</v>
      </c>
      <c r="G728" s="5" t="s">
        <v>39</v>
      </c>
      <c r="H728" s="5">
        <v>288.48</v>
      </c>
      <c r="I728" s="5" t="s">
        <v>39</v>
      </c>
      <c r="J728" s="5">
        <v>6.0982399999999997</v>
      </c>
      <c r="K728" s="5">
        <f t="shared" si="33"/>
        <v>1.5245599999999999</v>
      </c>
      <c r="L728" s="5">
        <f t="shared" si="34"/>
        <v>44.84</v>
      </c>
      <c r="M728" s="5" t="s">
        <v>39</v>
      </c>
      <c r="N728" s="5">
        <v>6.0982399999999997</v>
      </c>
      <c r="O728" s="5" t="s">
        <v>39</v>
      </c>
      <c r="P728" t="s">
        <v>968</v>
      </c>
      <c r="Q728" t="s">
        <v>596</v>
      </c>
      <c r="R728" t="s">
        <v>37</v>
      </c>
      <c r="S728" t="s">
        <v>597</v>
      </c>
      <c r="T728" t="s">
        <v>43</v>
      </c>
      <c r="U728" t="s">
        <v>44</v>
      </c>
      <c r="V728">
        <v>147</v>
      </c>
      <c r="W728" t="s">
        <v>45</v>
      </c>
      <c r="X728" t="s">
        <v>46</v>
      </c>
      <c r="Y728" t="s">
        <v>598</v>
      </c>
      <c r="Z728" t="s">
        <v>37</v>
      </c>
      <c r="AA728" t="s">
        <v>95</v>
      </c>
      <c r="AB728" t="s">
        <v>37</v>
      </c>
      <c r="AC728" s="6" t="s">
        <v>37</v>
      </c>
      <c r="AD728" s="6" t="s">
        <v>37</v>
      </c>
      <c r="AE728" t="s">
        <v>37</v>
      </c>
      <c r="AF728" t="s">
        <v>37</v>
      </c>
      <c r="AG728" s="6" t="s">
        <v>37</v>
      </c>
      <c r="AH728" t="s">
        <v>37</v>
      </c>
      <c r="AI728" t="s">
        <v>37</v>
      </c>
      <c r="AJ728" t="str">
        <f t="shared" si="35"/>
        <v>7LA8DZCZB07W4DHMVB</v>
      </c>
    </row>
    <row r="729" spans="1:36" ht="15" customHeight="1" x14ac:dyDescent="0.25">
      <c r="A729" t="s">
        <v>56</v>
      </c>
      <c r="B729" t="s">
        <v>37</v>
      </c>
      <c r="C729" t="s">
        <v>37</v>
      </c>
      <c r="D729" t="s">
        <v>38</v>
      </c>
      <c r="E729" s="4">
        <v>16</v>
      </c>
      <c r="F729" s="5">
        <v>1257.92</v>
      </c>
      <c r="G729" s="5" t="s">
        <v>39</v>
      </c>
      <c r="H729" s="5">
        <v>2032.64</v>
      </c>
      <c r="I729" s="5" t="s">
        <v>39</v>
      </c>
      <c r="J729" s="5">
        <v>42.769280000000002</v>
      </c>
      <c r="K729" s="5">
        <f t="shared" si="33"/>
        <v>2.6730800000000001</v>
      </c>
      <c r="L729" s="5">
        <f t="shared" si="34"/>
        <v>78.62</v>
      </c>
      <c r="M729" s="5" t="s">
        <v>39</v>
      </c>
      <c r="N729" s="5">
        <v>42.769280000000002</v>
      </c>
      <c r="O729" s="5" t="s">
        <v>39</v>
      </c>
      <c r="P729" t="s">
        <v>57</v>
      </c>
      <c r="Q729" t="s">
        <v>1222</v>
      </c>
      <c r="R729" t="s">
        <v>37</v>
      </c>
      <c r="S729" t="s">
        <v>1223</v>
      </c>
      <c r="T729" t="s">
        <v>43</v>
      </c>
      <c r="U729" t="s">
        <v>44</v>
      </c>
      <c r="V729">
        <v>147</v>
      </c>
      <c r="W729" t="s">
        <v>45</v>
      </c>
      <c r="X729" t="s">
        <v>46</v>
      </c>
      <c r="Y729" t="s">
        <v>1224</v>
      </c>
      <c r="Z729" t="s">
        <v>37</v>
      </c>
      <c r="AA729" t="s">
        <v>48</v>
      </c>
      <c r="AB729" t="s">
        <v>37</v>
      </c>
      <c r="AC729" s="6" t="s">
        <v>37</v>
      </c>
      <c r="AD729" s="6" t="s">
        <v>37</v>
      </c>
      <c r="AE729" t="s">
        <v>37</v>
      </c>
      <c r="AF729" t="s">
        <v>37</v>
      </c>
      <c r="AG729" s="6" t="s">
        <v>37</v>
      </c>
      <c r="AH729" t="s">
        <v>37</v>
      </c>
      <c r="AI729" t="s">
        <v>37</v>
      </c>
      <c r="AJ729" t="str">
        <f t="shared" si="35"/>
        <v>3GBCH66MB074C9LZVX</v>
      </c>
    </row>
    <row r="730" spans="1:36" ht="15" customHeight="1" x14ac:dyDescent="0.25">
      <c r="A730" t="s">
        <v>36</v>
      </c>
      <c r="B730" t="s">
        <v>37</v>
      </c>
      <c r="C730" t="s">
        <v>37</v>
      </c>
      <c r="D730" t="s">
        <v>38</v>
      </c>
      <c r="E730" s="4">
        <v>4</v>
      </c>
      <c r="F730" s="5">
        <v>189.92</v>
      </c>
      <c r="G730" s="5" t="s">
        <v>39</v>
      </c>
      <c r="H730" s="5">
        <v>295.04000000000002</v>
      </c>
      <c r="I730" s="5" t="s">
        <v>39</v>
      </c>
      <c r="J730" s="5">
        <v>6.4572799999999999</v>
      </c>
      <c r="K730" s="5">
        <f t="shared" si="33"/>
        <v>1.61432</v>
      </c>
      <c r="L730" s="5">
        <f t="shared" si="34"/>
        <v>47.48</v>
      </c>
      <c r="M730" s="5" t="s">
        <v>39</v>
      </c>
      <c r="N730" s="5">
        <v>6.4572799999999999</v>
      </c>
      <c r="O730" s="5" t="s">
        <v>39</v>
      </c>
      <c r="P730" t="s">
        <v>270</v>
      </c>
      <c r="Q730" t="s">
        <v>1260</v>
      </c>
      <c r="R730" t="s">
        <v>37</v>
      </c>
      <c r="S730" t="s">
        <v>1261</v>
      </c>
      <c r="T730" t="s">
        <v>43</v>
      </c>
      <c r="U730" t="s">
        <v>44</v>
      </c>
      <c r="V730">
        <v>147</v>
      </c>
      <c r="W730" t="s">
        <v>45</v>
      </c>
      <c r="X730" t="s">
        <v>53</v>
      </c>
      <c r="Y730" t="s">
        <v>1262</v>
      </c>
      <c r="Z730" t="s">
        <v>37</v>
      </c>
      <c r="AA730" t="s">
        <v>55</v>
      </c>
      <c r="AB730" t="s">
        <v>37</v>
      </c>
      <c r="AC730" s="6" t="s">
        <v>37</v>
      </c>
      <c r="AD730" s="6" t="s">
        <v>37</v>
      </c>
      <c r="AE730" t="s">
        <v>37</v>
      </c>
      <c r="AF730" t="s">
        <v>37</v>
      </c>
      <c r="AG730" s="6" t="s">
        <v>37</v>
      </c>
      <c r="AH730" t="s">
        <v>37</v>
      </c>
      <c r="AI730" t="s">
        <v>37</v>
      </c>
      <c r="AJ730" t="str">
        <f t="shared" si="35"/>
        <v>1X4DXX4TB07W6JP8N2</v>
      </c>
    </row>
    <row r="731" spans="1:36" ht="15" customHeight="1" x14ac:dyDescent="0.25">
      <c r="A731" t="s">
        <v>96</v>
      </c>
      <c r="B731" t="s">
        <v>37</v>
      </c>
      <c r="C731" t="s">
        <v>37</v>
      </c>
      <c r="D731" t="s">
        <v>38</v>
      </c>
      <c r="E731" s="4">
        <v>460</v>
      </c>
      <c r="F731" s="5">
        <v>14816.6</v>
      </c>
      <c r="G731" s="5" t="s">
        <v>39</v>
      </c>
      <c r="H731" s="5">
        <v>22241</v>
      </c>
      <c r="I731" s="5" t="s">
        <v>39</v>
      </c>
      <c r="J731" s="5">
        <v>503.76440000000002</v>
      </c>
      <c r="K731" s="5">
        <f t="shared" si="33"/>
        <v>1.09514</v>
      </c>
      <c r="L731" s="5">
        <f t="shared" si="34"/>
        <v>32.21</v>
      </c>
      <c r="M731" s="5" t="s">
        <v>39</v>
      </c>
      <c r="N731" s="5">
        <v>503.76440000000002</v>
      </c>
      <c r="O731" s="5" t="s">
        <v>39</v>
      </c>
      <c r="P731" t="s">
        <v>969</v>
      </c>
      <c r="Q731" t="s">
        <v>1386</v>
      </c>
      <c r="R731" t="s">
        <v>1387</v>
      </c>
      <c r="S731" t="s">
        <v>1388</v>
      </c>
      <c r="T731" t="s">
        <v>43</v>
      </c>
      <c r="U731" t="s">
        <v>44</v>
      </c>
      <c r="V731">
        <v>147</v>
      </c>
      <c r="W731" t="s">
        <v>45</v>
      </c>
      <c r="X731" t="s">
        <v>53</v>
      </c>
      <c r="Y731" t="s">
        <v>1389</v>
      </c>
      <c r="Z731" t="s">
        <v>37</v>
      </c>
      <c r="AA731" t="s">
        <v>55</v>
      </c>
      <c r="AB731" t="s">
        <v>37</v>
      </c>
      <c r="AC731" s="6" t="s">
        <v>37</v>
      </c>
      <c r="AD731" s="6" t="s">
        <v>37</v>
      </c>
      <c r="AE731" t="s">
        <v>37</v>
      </c>
      <c r="AF731" t="s">
        <v>37</v>
      </c>
      <c r="AG731" s="6" t="s">
        <v>37</v>
      </c>
      <c r="AH731" t="s">
        <v>37</v>
      </c>
      <c r="AI731" t="s">
        <v>37</v>
      </c>
      <c r="AJ731" t="str">
        <f t="shared" si="35"/>
        <v>1VBBCE3CB003STDR1E</v>
      </c>
    </row>
    <row r="732" spans="1:36" ht="15" customHeight="1" x14ac:dyDescent="0.25">
      <c r="A732" t="s">
        <v>118</v>
      </c>
      <c r="B732" t="s">
        <v>37</v>
      </c>
      <c r="C732" t="s">
        <v>37</v>
      </c>
      <c r="D732" t="s">
        <v>38</v>
      </c>
      <c r="E732" s="4">
        <v>16</v>
      </c>
      <c r="F732" s="5">
        <v>1021.28</v>
      </c>
      <c r="G732" s="5" t="s">
        <v>39</v>
      </c>
      <c r="H732" s="5">
        <v>1560.64</v>
      </c>
      <c r="I732" s="5" t="s">
        <v>39</v>
      </c>
      <c r="J732" s="5">
        <v>34.723520000000001</v>
      </c>
      <c r="K732" s="5">
        <f t="shared" si="33"/>
        <v>2.17022</v>
      </c>
      <c r="L732" s="5">
        <f t="shared" si="34"/>
        <v>63.83</v>
      </c>
      <c r="M732" s="5" t="s">
        <v>39</v>
      </c>
      <c r="N732" s="5">
        <v>34.723520000000001</v>
      </c>
      <c r="O732" s="5" t="s">
        <v>39</v>
      </c>
      <c r="P732" t="s">
        <v>707</v>
      </c>
      <c r="Q732" t="s">
        <v>1390</v>
      </c>
      <c r="R732" t="s">
        <v>1391</v>
      </c>
      <c r="S732" t="s">
        <v>1392</v>
      </c>
      <c r="T732" t="s">
        <v>43</v>
      </c>
      <c r="U732" t="s">
        <v>44</v>
      </c>
      <c r="V732">
        <v>23</v>
      </c>
      <c r="W732" t="s">
        <v>281</v>
      </c>
      <c r="X732" t="s">
        <v>282</v>
      </c>
      <c r="Y732" t="s">
        <v>1393</v>
      </c>
      <c r="Z732" t="s">
        <v>37</v>
      </c>
      <c r="AA732" t="s">
        <v>55</v>
      </c>
      <c r="AB732" t="s">
        <v>37</v>
      </c>
      <c r="AC732" s="6" t="s">
        <v>37</v>
      </c>
      <c r="AD732" s="6" t="s">
        <v>37</v>
      </c>
      <c r="AE732" t="s">
        <v>37</v>
      </c>
      <c r="AF732" t="s">
        <v>37</v>
      </c>
      <c r="AG732" s="6" t="s">
        <v>37</v>
      </c>
      <c r="AH732" t="s">
        <v>37</v>
      </c>
      <c r="AI732" t="s">
        <v>37</v>
      </c>
      <c r="AJ732" t="str">
        <f t="shared" si="35"/>
        <v>6AA7OKBNB076K126YZ</v>
      </c>
    </row>
    <row r="733" spans="1:36" ht="15" customHeight="1" x14ac:dyDescent="0.25">
      <c r="A733" t="s">
        <v>49</v>
      </c>
      <c r="B733" t="s">
        <v>37</v>
      </c>
      <c r="C733" t="s">
        <v>37</v>
      </c>
      <c r="D733" t="s">
        <v>38</v>
      </c>
      <c r="E733" s="4">
        <v>40</v>
      </c>
      <c r="F733" s="5">
        <v>1288.4000000000001</v>
      </c>
      <c r="G733" s="5" t="s">
        <v>39</v>
      </c>
      <c r="H733" s="5">
        <v>1934</v>
      </c>
      <c r="I733" s="5" t="s">
        <v>39</v>
      </c>
      <c r="J733" s="5">
        <v>43.805599999999998</v>
      </c>
      <c r="K733" s="5">
        <f t="shared" si="33"/>
        <v>1.09514</v>
      </c>
      <c r="L733" s="5">
        <f t="shared" si="34"/>
        <v>32.21</v>
      </c>
      <c r="M733" s="5" t="s">
        <v>39</v>
      </c>
      <c r="N733" s="5">
        <v>43.805599999999998</v>
      </c>
      <c r="O733" s="5" t="s">
        <v>39</v>
      </c>
      <c r="P733" t="s">
        <v>969</v>
      </c>
      <c r="Q733" t="s">
        <v>1386</v>
      </c>
      <c r="R733" t="s">
        <v>1387</v>
      </c>
      <c r="S733" t="s">
        <v>1388</v>
      </c>
      <c r="T733" t="s">
        <v>43</v>
      </c>
      <c r="U733" t="s">
        <v>44</v>
      </c>
      <c r="V733">
        <v>147</v>
      </c>
      <c r="W733" t="s">
        <v>45</v>
      </c>
      <c r="X733" t="s">
        <v>53</v>
      </c>
      <c r="Y733" t="s">
        <v>1389</v>
      </c>
      <c r="Z733" t="s">
        <v>37</v>
      </c>
      <c r="AA733" t="s">
        <v>55</v>
      </c>
      <c r="AB733" t="s">
        <v>37</v>
      </c>
      <c r="AC733" s="6" t="s">
        <v>37</v>
      </c>
      <c r="AD733" s="6" t="s">
        <v>37</v>
      </c>
      <c r="AE733" t="s">
        <v>37</v>
      </c>
      <c r="AF733" t="s">
        <v>37</v>
      </c>
      <c r="AG733" s="6" t="s">
        <v>37</v>
      </c>
      <c r="AH733" t="s">
        <v>37</v>
      </c>
      <c r="AI733" t="s">
        <v>37</v>
      </c>
      <c r="AJ733" t="str">
        <f t="shared" si="35"/>
        <v>1VBBCE3CB003STDR1E</v>
      </c>
    </row>
    <row r="734" spans="1:36" ht="15" customHeight="1" x14ac:dyDescent="0.25">
      <c r="A734" t="s">
        <v>96</v>
      </c>
      <c r="B734" t="s">
        <v>37</v>
      </c>
      <c r="C734" t="s">
        <v>37</v>
      </c>
      <c r="D734" t="s">
        <v>38</v>
      </c>
      <c r="E734" s="4">
        <v>12</v>
      </c>
      <c r="F734" s="5">
        <v>1070.04</v>
      </c>
      <c r="G734" s="5" t="s">
        <v>39</v>
      </c>
      <c r="H734" s="5">
        <v>1760.64</v>
      </c>
      <c r="I734" s="5" t="s">
        <v>39</v>
      </c>
      <c r="J734" s="5">
        <v>36.381360000000001</v>
      </c>
      <c r="K734" s="5">
        <f t="shared" si="33"/>
        <v>3.0317799999999999</v>
      </c>
      <c r="L734" s="5">
        <f t="shared" si="34"/>
        <v>89.17</v>
      </c>
      <c r="M734" s="5" t="s">
        <v>39</v>
      </c>
      <c r="N734" s="5">
        <v>36.381360000000001</v>
      </c>
      <c r="O734" s="5" t="s">
        <v>39</v>
      </c>
      <c r="P734" t="s">
        <v>195</v>
      </c>
      <c r="Q734" t="s">
        <v>1394</v>
      </c>
      <c r="R734" t="s">
        <v>37</v>
      </c>
      <c r="S734" t="s">
        <v>1395</v>
      </c>
      <c r="T734" t="s">
        <v>43</v>
      </c>
      <c r="U734" t="s">
        <v>44</v>
      </c>
      <c r="V734">
        <v>147</v>
      </c>
      <c r="W734" t="s">
        <v>45</v>
      </c>
      <c r="X734" t="s">
        <v>53</v>
      </c>
      <c r="Y734" t="s">
        <v>1396</v>
      </c>
      <c r="Z734" t="s">
        <v>37</v>
      </c>
      <c r="AA734" t="s">
        <v>55</v>
      </c>
      <c r="AB734" t="s">
        <v>37</v>
      </c>
      <c r="AC734" s="6" t="s">
        <v>37</v>
      </c>
      <c r="AD734" s="6" t="s">
        <v>37</v>
      </c>
      <c r="AE734" t="s">
        <v>37</v>
      </c>
      <c r="AF734" t="s">
        <v>37</v>
      </c>
      <c r="AG734" s="6" t="s">
        <v>37</v>
      </c>
      <c r="AH734" t="s">
        <v>37</v>
      </c>
      <c r="AI734" t="s">
        <v>37</v>
      </c>
      <c r="AJ734" t="str">
        <f t="shared" si="35"/>
        <v>5X1OU9ZGB07W5JJ1WM</v>
      </c>
    </row>
    <row r="735" spans="1:36" ht="15" customHeight="1" x14ac:dyDescent="0.25">
      <c r="A735" t="s">
        <v>96</v>
      </c>
      <c r="B735" t="s">
        <v>37</v>
      </c>
      <c r="C735" t="s">
        <v>37</v>
      </c>
      <c r="D735" t="s">
        <v>38</v>
      </c>
      <c r="E735" s="4">
        <v>10</v>
      </c>
      <c r="F735" s="5">
        <v>163.9</v>
      </c>
      <c r="G735" s="5" t="s">
        <v>39</v>
      </c>
      <c r="H735" s="5">
        <v>245.8</v>
      </c>
      <c r="I735" s="5" t="s">
        <v>39</v>
      </c>
      <c r="J735" s="5">
        <v>5.5726000000000004</v>
      </c>
      <c r="K735" s="5">
        <f t="shared" si="33"/>
        <v>0.55726000000000009</v>
      </c>
      <c r="L735" s="5">
        <f t="shared" si="34"/>
        <v>16.39</v>
      </c>
      <c r="M735" s="5" t="s">
        <v>39</v>
      </c>
      <c r="N735" s="5">
        <v>5.5726000000000004</v>
      </c>
      <c r="O735" s="5" t="s">
        <v>39</v>
      </c>
      <c r="P735" t="s">
        <v>479</v>
      </c>
      <c r="Q735" t="s">
        <v>173</v>
      </c>
      <c r="R735" t="s">
        <v>37</v>
      </c>
      <c r="S735" t="s">
        <v>174</v>
      </c>
      <c r="T735" t="s">
        <v>43</v>
      </c>
      <c r="U735" t="s">
        <v>44</v>
      </c>
      <c r="V735">
        <v>147</v>
      </c>
      <c r="W735" t="s">
        <v>45</v>
      </c>
      <c r="X735" t="s">
        <v>60</v>
      </c>
      <c r="Y735" t="s">
        <v>175</v>
      </c>
      <c r="Z735" t="s">
        <v>37</v>
      </c>
      <c r="AA735" t="s">
        <v>55</v>
      </c>
      <c r="AB735" t="s">
        <v>37</v>
      </c>
      <c r="AC735" s="6" t="s">
        <v>37</v>
      </c>
      <c r="AD735" s="6" t="s">
        <v>37</v>
      </c>
      <c r="AE735" t="s">
        <v>37</v>
      </c>
      <c r="AF735" t="s">
        <v>37</v>
      </c>
      <c r="AG735" s="6" t="s">
        <v>37</v>
      </c>
      <c r="AH735" t="s">
        <v>37</v>
      </c>
      <c r="AI735" t="s">
        <v>37</v>
      </c>
      <c r="AJ735" t="str">
        <f t="shared" si="35"/>
        <v>7SCVG2OTB077BT728N</v>
      </c>
    </row>
    <row r="736" spans="1:36" ht="15" customHeight="1" x14ac:dyDescent="0.25">
      <c r="A736" t="s">
        <v>118</v>
      </c>
      <c r="B736" t="s">
        <v>37</v>
      </c>
      <c r="C736" t="s">
        <v>37</v>
      </c>
      <c r="D736" t="s">
        <v>38</v>
      </c>
      <c r="E736" s="4">
        <v>138</v>
      </c>
      <c r="F736" s="5">
        <v>3636.3</v>
      </c>
      <c r="G736" s="5" t="s">
        <v>39</v>
      </c>
      <c r="H736" s="5">
        <v>5428.92</v>
      </c>
      <c r="I736" s="5" t="s">
        <v>39</v>
      </c>
      <c r="J736" s="5">
        <v>123.63420000000001</v>
      </c>
      <c r="K736" s="5">
        <f t="shared" si="33"/>
        <v>0.89590000000000003</v>
      </c>
      <c r="L736" s="5">
        <f t="shared" si="34"/>
        <v>26.35</v>
      </c>
      <c r="M736" s="5" t="s">
        <v>39</v>
      </c>
      <c r="N736" s="5">
        <v>123.63420000000001</v>
      </c>
      <c r="O736" s="5" t="s">
        <v>39</v>
      </c>
      <c r="P736" t="s">
        <v>1397</v>
      </c>
      <c r="Q736" t="s">
        <v>495</v>
      </c>
      <c r="R736" t="s">
        <v>37</v>
      </c>
      <c r="S736" t="s">
        <v>496</v>
      </c>
      <c r="T736" t="s">
        <v>43</v>
      </c>
      <c r="U736" t="s">
        <v>44</v>
      </c>
      <c r="V736">
        <v>147</v>
      </c>
      <c r="W736" t="s">
        <v>45</v>
      </c>
      <c r="X736" t="s">
        <v>60</v>
      </c>
      <c r="Y736" t="s">
        <v>497</v>
      </c>
      <c r="Z736" t="s">
        <v>37</v>
      </c>
      <c r="AA736" t="s">
        <v>55</v>
      </c>
      <c r="AB736" t="s">
        <v>37</v>
      </c>
      <c r="AC736" s="6" t="s">
        <v>37</v>
      </c>
      <c r="AD736" s="6" t="s">
        <v>37</v>
      </c>
      <c r="AE736" t="s">
        <v>37</v>
      </c>
      <c r="AF736" t="s">
        <v>37</v>
      </c>
      <c r="AG736" s="6" t="s">
        <v>37</v>
      </c>
      <c r="AH736" t="s">
        <v>37</v>
      </c>
      <c r="AI736" t="s">
        <v>37</v>
      </c>
      <c r="AJ736" t="str">
        <f t="shared" si="35"/>
        <v>7Z4XWHJOB00BCE30RS</v>
      </c>
    </row>
    <row r="737" spans="1:36" ht="15" customHeight="1" x14ac:dyDescent="0.25">
      <c r="A737" t="s">
        <v>36</v>
      </c>
      <c r="B737" t="s">
        <v>37</v>
      </c>
      <c r="C737" t="s">
        <v>37</v>
      </c>
      <c r="D737" t="s">
        <v>38</v>
      </c>
      <c r="E737" s="4">
        <v>16</v>
      </c>
      <c r="F737" s="5">
        <v>1328</v>
      </c>
      <c r="G737" s="5" t="s">
        <v>39</v>
      </c>
      <c r="H737" s="5">
        <v>1573.6</v>
      </c>
      <c r="I737" s="5" t="s">
        <v>39</v>
      </c>
      <c r="J737" s="5">
        <v>45.152000000000001</v>
      </c>
      <c r="K737" s="5">
        <f t="shared" si="33"/>
        <v>2.8220000000000001</v>
      </c>
      <c r="L737" s="5">
        <f t="shared" si="34"/>
        <v>83</v>
      </c>
      <c r="M737" s="5" t="s">
        <v>39</v>
      </c>
      <c r="N737" s="5">
        <v>45.152000000000001</v>
      </c>
      <c r="O737" s="5" t="s">
        <v>39</v>
      </c>
      <c r="P737" t="s">
        <v>67</v>
      </c>
      <c r="Q737" t="s">
        <v>1398</v>
      </c>
      <c r="R737" t="s">
        <v>37</v>
      </c>
      <c r="S737" t="s">
        <v>1399</v>
      </c>
      <c r="T737" t="s">
        <v>43</v>
      </c>
      <c r="U737" t="s">
        <v>44</v>
      </c>
      <c r="V737">
        <v>267</v>
      </c>
      <c r="W737" t="s">
        <v>151</v>
      </c>
      <c r="X737" t="s">
        <v>152</v>
      </c>
      <c r="Y737" t="s">
        <v>1400</v>
      </c>
      <c r="Z737" t="s">
        <v>37</v>
      </c>
      <c r="AA737" t="s">
        <v>95</v>
      </c>
      <c r="AB737" t="s">
        <v>37</v>
      </c>
      <c r="AC737" s="6" t="s">
        <v>37</v>
      </c>
      <c r="AD737" s="6" t="s">
        <v>37</v>
      </c>
      <c r="AE737" t="s">
        <v>37</v>
      </c>
      <c r="AF737" t="s">
        <v>37</v>
      </c>
      <c r="AG737" s="6" t="s">
        <v>37</v>
      </c>
      <c r="AH737" t="s">
        <v>37</v>
      </c>
      <c r="AI737" t="s">
        <v>37</v>
      </c>
      <c r="AJ737" t="str">
        <f t="shared" si="35"/>
        <v>2TMBDXBKB07W5JK3M6</v>
      </c>
    </row>
    <row r="738" spans="1:36" ht="15" customHeight="1" x14ac:dyDescent="0.25">
      <c r="A738" t="s">
        <v>127</v>
      </c>
      <c r="B738" t="s">
        <v>37</v>
      </c>
      <c r="C738" t="s">
        <v>37</v>
      </c>
      <c r="D738" t="s">
        <v>38</v>
      </c>
      <c r="E738" s="4">
        <v>0</v>
      </c>
      <c r="F738" s="5">
        <v>0</v>
      </c>
      <c r="G738" s="5" t="s">
        <v>39</v>
      </c>
      <c r="H738" s="5">
        <v>0</v>
      </c>
      <c r="I738" s="5" t="s">
        <v>39</v>
      </c>
      <c r="J738" s="5">
        <v>0</v>
      </c>
      <c r="K738" s="5" t="e">
        <f t="shared" si="33"/>
        <v>#DIV/0!</v>
      </c>
      <c r="L738" s="5" t="e">
        <f t="shared" si="34"/>
        <v>#DIV/0!</v>
      </c>
      <c r="M738" s="5" t="s">
        <v>39</v>
      </c>
      <c r="N738" s="5">
        <v>0</v>
      </c>
      <c r="O738" s="5" t="s">
        <v>39</v>
      </c>
      <c r="P738" t="s">
        <v>128</v>
      </c>
      <c r="Q738" t="s">
        <v>1401</v>
      </c>
      <c r="R738" t="s">
        <v>37</v>
      </c>
      <c r="S738" t="s">
        <v>1402</v>
      </c>
      <c r="T738" t="s">
        <v>43</v>
      </c>
      <c r="U738" t="s">
        <v>44</v>
      </c>
      <c r="V738">
        <v>147</v>
      </c>
      <c r="W738" t="s">
        <v>45</v>
      </c>
      <c r="X738" t="s">
        <v>60</v>
      </c>
      <c r="Y738" t="s">
        <v>1403</v>
      </c>
      <c r="Z738" t="s">
        <v>37</v>
      </c>
      <c r="AA738" t="s">
        <v>48</v>
      </c>
      <c r="AB738" t="s">
        <v>37</v>
      </c>
      <c r="AC738" s="6" t="s">
        <v>37</v>
      </c>
      <c r="AD738" s="6" t="s">
        <v>37</v>
      </c>
      <c r="AE738" t="s">
        <v>37</v>
      </c>
      <c r="AF738" t="s">
        <v>37</v>
      </c>
      <c r="AG738" s="6" t="s">
        <v>37</v>
      </c>
      <c r="AH738" t="s">
        <v>37</v>
      </c>
      <c r="AI738" t="s">
        <v>37</v>
      </c>
      <c r="AJ738" t="str">
        <f t="shared" si="35"/>
        <v>7RAC5F9EB013SL26LS</v>
      </c>
    </row>
    <row r="739" spans="1:36" ht="15" customHeight="1" x14ac:dyDescent="0.25">
      <c r="A739" t="s">
        <v>118</v>
      </c>
      <c r="B739" t="s">
        <v>37</v>
      </c>
      <c r="C739" t="s">
        <v>37</v>
      </c>
      <c r="D739" t="s">
        <v>38</v>
      </c>
      <c r="E739" s="4">
        <v>4</v>
      </c>
      <c r="F739" s="5">
        <v>175.68</v>
      </c>
      <c r="G739" s="5" t="s">
        <v>39</v>
      </c>
      <c r="H739" s="5">
        <v>262.27999999999997</v>
      </c>
      <c r="I739" s="5" t="s">
        <v>39</v>
      </c>
      <c r="J739" s="5">
        <v>5.9731199999999998</v>
      </c>
      <c r="K739" s="5">
        <f t="shared" si="33"/>
        <v>1.4932799999999999</v>
      </c>
      <c r="L739" s="5">
        <f t="shared" si="34"/>
        <v>43.92</v>
      </c>
      <c r="M739" s="5" t="s">
        <v>39</v>
      </c>
      <c r="N739" s="5">
        <v>5.9731199999999998</v>
      </c>
      <c r="O739" s="5" t="s">
        <v>39</v>
      </c>
      <c r="P739" t="s">
        <v>775</v>
      </c>
      <c r="Q739" t="s">
        <v>1404</v>
      </c>
      <c r="R739" t="s">
        <v>37</v>
      </c>
      <c r="S739" t="s">
        <v>1405</v>
      </c>
      <c r="T739" t="s">
        <v>43</v>
      </c>
      <c r="U739" t="s">
        <v>44</v>
      </c>
      <c r="V739">
        <v>107</v>
      </c>
      <c r="W739" t="s">
        <v>45</v>
      </c>
      <c r="X739" t="s">
        <v>60</v>
      </c>
      <c r="Y739" t="s">
        <v>1406</v>
      </c>
      <c r="Z739" t="s">
        <v>37</v>
      </c>
      <c r="AA739" t="s">
        <v>55</v>
      </c>
      <c r="AB739" t="s">
        <v>37</v>
      </c>
      <c r="AC739" s="6" t="s">
        <v>37</v>
      </c>
      <c r="AD739" s="6" t="s">
        <v>37</v>
      </c>
      <c r="AE739" t="s">
        <v>37</v>
      </c>
      <c r="AF739" t="s">
        <v>37</v>
      </c>
      <c r="AG739" s="6" t="s">
        <v>37</v>
      </c>
      <c r="AH739" t="s">
        <v>37</v>
      </c>
      <c r="AI739" t="s">
        <v>37</v>
      </c>
      <c r="AJ739" t="str">
        <f t="shared" si="35"/>
        <v>5UZID3SVB079YGFNC7</v>
      </c>
    </row>
    <row r="740" spans="1:36" ht="15" customHeight="1" x14ac:dyDescent="0.25">
      <c r="A740" t="s">
        <v>36</v>
      </c>
      <c r="B740" t="s">
        <v>37</v>
      </c>
      <c r="C740" t="s">
        <v>37</v>
      </c>
      <c r="D740" t="s">
        <v>38</v>
      </c>
      <c r="E740" s="4">
        <v>0</v>
      </c>
      <c r="F740" s="5">
        <v>0</v>
      </c>
      <c r="G740" s="5" t="s">
        <v>39</v>
      </c>
      <c r="H740" s="5">
        <v>0</v>
      </c>
      <c r="I740" s="5" t="s">
        <v>39</v>
      </c>
      <c r="J740" s="5">
        <v>0</v>
      </c>
      <c r="K740" s="5" t="e">
        <f t="shared" si="33"/>
        <v>#DIV/0!</v>
      </c>
      <c r="L740" s="5" t="e">
        <f t="shared" si="34"/>
        <v>#DIV/0!</v>
      </c>
      <c r="M740" s="5" t="s">
        <v>39</v>
      </c>
      <c r="N740" s="5">
        <v>0</v>
      </c>
      <c r="O740" s="5" t="s">
        <v>39</v>
      </c>
      <c r="P740" t="s">
        <v>119</v>
      </c>
      <c r="Q740" t="s">
        <v>732</v>
      </c>
      <c r="R740" t="s">
        <v>37</v>
      </c>
      <c r="S740" t="s">
        <v>733</v>
      </c>
      <c r="T740" t="s">
        <v>43</v>
      </c>
      <c r="U740" t="s">
        <v>44</v>
      </c>
      <c r="V740">
        <v>147</v>
      </c>
      <c r="W740" t="s">
        <v>45</v>
      </c>
      <c r="X740" t="s">
        <v>53</v>
      </c>
      <c r="Y740" t="s">
        <v>734</v>
      </c>
      <c r="Z740" t="s">
        <v>37</v>
      </c>
      <c r="AA740" t="s">
        <v>55</v>
      </c>
      <c r="AB740" t="s">
        <v>37</v>
      </c>
      <c r="AC740" s="6" t="s">
        <v>37</v>
      </c>
      <c r="AD740" s="6" t="s">
        <v>37</v>
      </c>
      <c r="AE740" t="s">
        <v>37</v>
      </c>
      <c r="AF740" t="s">
        <v>37</v>
      </c>
      <c r="AG740" s="6" t="s">
        <v>37</v>
      </c>
      <c r="AH740" t="s">
        <v>37</v>
      </c>
      <c r="AI740" t="s">
        <v>37</v>
      </c>
      <c r="AJ740" t="str">
        <f t="shared" si="35"/>
        <v>31DJDC7QB00552K0GM</v>
      </c>
    </row>
    <row r="741" spans="1:36" ht="15" customHeight="1" x14ac:dyDescent="0.25">
      <c r="A741" t="s">
        <v>411</v>
      </c>
      <c r="B741" t="s">
        <v>37</v>
      </c>
      <c r="C741" t="s">
        <v>37</v>
      </c>
      <c r="D741" t="s">
        <v>38</v>
      </c>
      <c r="E741" s="4">
        <v>0</v>
      </c>
      <c r="F741" s="5">
        <v>0</v>
      </c>
      <c r="G741" s="5" t="s">
        <v>39</v>
      </c>
      <c r="H741" s="5">
        <v>0</v>
      </c>
      <c r="I741" s="5" t="s">
        <v>39</v>
      </c>
      <c r="J741" s="5">
        <v>0</v>
      </c>
      <c r="K741" s="5" t="e">
        <f t="shared" si="33"/>
        <v>#DIV/0!</v>
      </c>
      <c r="L741" s="5" t="e">
        <f t="shared" si="34"/>
        <v>#DIV/0!</v>
      </c>
      <c r="M741" s="5" t="s">
        <v>39</v>
      </c>
      <c r="N741" s="5">
        <v>0</v>
      </c>
      <c r="O741" s="5" t="s">
        <v>39</v>
      </c>
      <c r="P741" t="s">
        <v>1407</v>
      </c>
      <c r="Q741" t="s">
        <v>441</v>
      </c>
      <c r="R741" t="s">
        <v>37</v>
      </c>
      <c r="S741" t="s">
        <v>442</v>
      </c>
      <c r="T741" t="s">
        <v>43</v>
      </c>
      <c r="U741" t="s">
        <v>44</v>
      </c>
      <c r="V741">
        <v>147</v>
      </c>
      <c r="W741" t="s">
        <v>45</v>
      </c>
      <c r="X741" t="s">
        <v>53</v>
      </c>
      <c r="Y741" t="s">
        <v>443</v>
      </c>
      <c r="Z741" t="s">
        <v>37</v>
      </c>
      <c r="AA741" t="s">
        <v>55</v>
      </c>
      <c r="AB741" t="s">
        <v>37</v>
      </c>
      <c r="AC741" s="6" t="s">
        <v>37</v>
      </c>
      <c r="AD741" s="6" t="s">
        <v>37</v>
      </c>
      <c r="AE741" t="s">
        <v>37</v>
      </c>
      <c r="AF741" t="s">
        <v>37</v>
      </c>
      <c r="AG741" s="6" t="s">
        <v>37</v>
      </c>
      <c r="AH741" t="s">
        <v>37</v>
      </c>
      <c r="AI741" t="s">
        <v>37</v>
      </c>
      <c r="AJ741" t="str">
        <f t="shared" si="35"/>
        <v>35T37A7JB07W5JHLCB</v>
      </c>
    </row>
    <row r="742" spans="1:36" ht="15" customHeight="1" x14ac:dyDescent="0.25">
      <c r="A742" t="s">
        <v>96</v>
      </c>
      <c r="B742" t="s">
        <v>37</v>
      </c>
      <c r="C742" t="s">
        <v>37</v>
      </c>
      <c r="D742" t="s">
        <v>38</v>
      </c>
      <c r="E742" s="4">
        <v>8</v>
      </c>
      <c r="F742" s="5">
        <v>552.24</v>
      </c>
      <c r="G742" s="5" t="s">
        <v>39</v>
      </c>
      <c r="H742" s="5">
        <v>845.92</v>
      </c>
      <c r="I742" s="5" t="s">
        <v>39</v>
      </c>
      <c r="J742" s="5">
        <v>18.776160000000001</v>
      </c>
      <c r="K742" s="5">
        <f t="shared" si="33"/>
        <v>2.3470200000000001</v>
      </c>
      <c r="L742" s="5">
        <f t="shared" si="34"/>
        <v>69.03</v>
      </c>
      <c r="M742" s="5" t="s">
        <v>39</v>
      </c>
      <c r="N742" s="5">
        <v>18.776160000000001</v>
      </c>
      <c r="O742" s="5" t="s">
        <v>39</v>
      </c>
      <c r="P742" t="s">
        <v>195</v>
      </c>
      <c r="Q742" t="s">
        <v>1408</v>
      </c>
      <c r="R742" t="s">
        <v>37</v>
      </c>
      <c r="S742" t="s">
        <v>1409</v>
      </c>
      <c r="T742" t="s">
        <v>43</v>
      </c>
      <c r="U742" t="s">
        <v>44</v>
      </c>
      <c r="V742">
        <v>147</v>
      </c>
      <c r="W742" t="s">
        <v>45</v>
      </c>
      <c r="X742" t="s">
        <v>60</v>
      </c>
      <c r="Y742" t="s">
        <v>1410</v>
      </c>
      <c r="Z742" t="s">
        <v>37</v>
      </c>
      <c r="AA742" t="s">
        <v>55</v>
      </c>
      <c r="AB742" t="s">
        <v>37</v>
      </c>
      <c r="AC742" s="6" t="s">
        <v>37</v>
      </c>
      <c r="AD742" s="6" t="s">
        <v>37</v>
      </c>
      <c r="AE742" t="s">
        <v>37</v>
      </c>
      <c r="AF742" t="s">
        <v>37</v>
      </c>
      <c r="AG742" s="6" t="s">
        <v>37</v>
      </c>
      <c r="AH742" t="s">
        <v>37</v>
      </c>
      <c r="AI742" t="s">
        <v>37</v>
      </c>
      <c r="AJ742" t="str">
        <f t="shared" si="35"/>
        <v>5X1OU9ZGB07W7L9JXH</v>
      </c>
    </row>
    <row r="743" spans="1:36" ht="15" customHeight="1" x14ac:dyDescent="0.25">
      <c r="A743" t="s">
        <v>101</v>
      </c>
      <c r="B743" t="s">
        <v>37</v>
      </c>
      <c r="C743" t="s">
        <v>37</v>
      </c>
      <c r="D743" t="s">
        <v>38</v>
      </c>
      <c r="E743" s="4">
        <v>48</v>
      </c>
      <c r="F743" s="5">
        <v>1405.44</v>
      </c>
      <c r="G743" s="5" t="s">
        <v>39</v>
      </c>
      <c r="H743" s="5">
        <v>4226.88</v>
      </c>
      <c r="I743" s="5" t="s">
        <v>39</v>
      </c>
      <c r="J743" s="5">
        <v>47.784959999999998</v>
      </c>
      <c r="K743" s="5">
        <f t="shared" si="33"/>
        <v>0.99551999999999996</v>
      </c>
      <c r="L743" s="5">
        <f t="shared" si="34"/>
        <v>29.28</v>
      </c>
      <c r="M743" s="5" t="s">
        <v>39</v>
      </c>
      <c r="N743" s="5">
        <v>47.784959999999998</v>
      </c>
      <c r="O743" s="5" t="s">
        <v>39</v>
      </c>
      <c r="P743" t="s">
        <v>274</v>
      </c>
      <c r="Q743" t="s">
        <v>1269</v>
      </c>
      <c r="R743" t="s">
        <v>1270</v>
      </c>
      <c r="S743" t="s">
        <v>1271</v>
      </c>
      <c r="T743" t="s">
        <v>43</v>
      </c>
      <c r="U743" t="s">
        <v>44</v>
      </c>
      <c r="V743">
        <v>147</v>
      </c>
      <c r="W743" t="s">
        <v>45</v>
      </c>
      <c r="X743" t="s">
        <v>239</v>
      </c>
      <c r="Y743" t="s">
        <v>1272</v>
      </c>
      <c r="Z743" t="s">
        <v>37</v>
      </c>
      <c r="AA743" t="s">
        <v>48</v>
      </c>
      <c r="AB743" t="s">
        <v>37</v>
      </c>
      <c r="AC743" s="6" t="s">
        <v>37</v>
      </c>
      <c r="AD743" s="6" t="s">
        <v>37</v>
      </c>
      <c r="AE743" t="s">
        <v>37</v>
      </c>
      <c r="AF743" t="s">
        <v>37</v>
      </c>
      <c r="AG743" s="6" t="s">
        <v>37</v>
      </c>
      <c r="AH743" t="s">
        <v>37</v>
      </c>
      <c r="AI743" t="s">
        <v>37</v>
      </c>
      <c r="AJ743" t="str">
        <f t="shared" si="35"/>
        <v>4LYATDUXB005BFCNYU</v>
      </c>
    </row>
    <row r="744" spans="1:36" ht="15" customHeight="1" x14ac:dyDescent="0.25">
      <c r="A744" t="s">
        <v>101</v>
      </c>
      <c r="B744" t="s">
        <v>37</v>
      </c>
      <c r="C744" t="s">
        <v>37</v>
      </c>
      <c r="D744" t="s">
        <v>38</v>
      </c>
      <c r="E744" s="4">
        <v>20</v>
      </c>
      <c r="F744" s="5">
        <v>638</v>
      </c>
      <c r="G744" s="5" t="s">
        <v>39</v>
      </c>
      <c r="H744" s="5">
        <v>967</v>
      </c>
      <c r="I744" s="5" t="s">
        <v>39</v>
      </c>
      <c r="J744" s="5">
        <v>21.692</v>
      </c>
      <c r="K744" s="5">
        <f t="shared" si="33"/>
        <v>1.0846</v>
      </c>
      <c r="L744" s="5">
        <f t="shared" si="34"/>
        <v>31.9</v>
      </c>
      <c r="M744" s="5" t="s">
        <v>39</v>
      </c>
      <c r="N744" s="5">
        <v>21.692</v>
      </c>
      <c r="O744" s="5" t="s">
        <v>39</v>
      </c>
      <c r="P744" t="s">
        <v>1411</v>
      </c>
      <c r="Q744" t="s">
        <v>1412</v>
      </c>
      <c r="R744" t="s">
        <v>37</v>
      </c>
      <c r="S744" t="s">
        <v>1413</v>
      </c>
      <c r="T744" t="s">
        <v>43</v>
      </c>
      <c r="U744" t="s">
        <v>44</v>
      </c>
      <c r="V744">
        <v>147</v>
      </c>
      <c r="W744" t="s">
        <v>45</v>
      </c>
      <c r="X744" t="s">
        <v>53</v>
      </c>
      <c r="Y744" t="s">
        <v>1414</v>
      </c>
      <c r="Z744" t="s">
        <v>37</v>
      </c>
      <c r="AA744" t="s">
        <v>55</v>
      </c>
      <c r="AB744" t="s">
        <v>37</v>
      </c>
      <c r="AC744" s="6" t="s">
        <v>37</v>
      </c>
      <c r="AD744" s="6" t="s">
        <v>37</v>
      </c>
      <c r="AE744" t="s">
        <v>37</v>
      </c>
      <c r="AF744" t="s">
        <v>37</v>
      </c>
      <c r="AG744" s="6" t="s">
        <v>37</v>
      </c>
      <c r="AH744" t="s">
        <v>37</v>
      </c>
      <c r="AI744" t="s">
        <v>37</v>
      </c>
      <c r="AJ744" t="str">
        <f t="shared" si="35"/>
        <v>5YIK1RKMB07W4DHQJ9</v>
      </c>
    </row>
    <row r="745" spans="1:36" ht="15" customHeight="1" x14ac:dyDescent="0.25">
      <c r="A745" t="s">
        <v>110</v>
      </c>
      <c r="B745" t="s">
        <v>37</v>
      </c>
      <c r="C745" t="s">
        <v>37</v>
      </c>
      <c r="D745" t="s">
        <v>38</v>
      </c>
      <c r="E745" s="4">
        <v>40</v>
      </c>
      <c r="F745" s="5">
        <v>1477.2</v>
      </c>
      <c r="G745" s="5" t="s">
        <v>39</v>
      </c>
      <c r="H745" s="5">
        <v>2458.8000000000002</v>
      </c>
      <c r="I745" s="5" t="s">
        <v>39</v>
      </c>
      <c r="J745" s="5">
        <v>50.224800000000002</v>
      </c>
      <c r="K745" s="5">
        <f t="shared" si="33"/>
        <v>1.25562</v>
      </c>
      <c r="L745" s="5">
        <f t="shared" si="34"/>
        <v>36.93</v>
      </c>
      <c r="M745" s="5" t="s">
        <v>39</v>
      </c>
      <c r="N745" s="5">
        <v>50.224800000000002</v>
      </c>
      <c r="O745" s="5" t="s">
        <v>39</v>
      </c>
      <c r="P745" t="s">
        <v>1415</v>
      </c>
      <c r="Q745" t="s">
        <v>266</v>
      </c>
      <c r="R745" t="s">
        <v>37</v>
      </c>
      <c r="S745" t="s">
        <v>267</v>
      </c>
      <c r="T745" t="s">
        <v>43</v>
      </c>
      <c r="U745" t="s">
        <v>44</v>
      </c>
      <c r="V745">
        <v>147</v>
      </c>
      <c r="W745" t="s">
        <v>45</v>
      </c>
      <c r="X745" t="s">
        <v>53</v>
      </c>
      <c r="Y745" t="s">
        <v>268</v>
      </c>
      <c r="Z745" t="s">
        <v>37</v>
      </c>
      <c r="AA745" t="s">
        <v>48</v>
      </c>
      <c r="AB745" t="s">
        <v>37</v>
      </c>
      <c r="AC745" s="6" t="s">
        <v>37</v>
      </c>
      <c r="AD745" s="6" t="s">
        <v>37</v>
      </c>
      <c r="AE745" t="s">
        <v>37</v>
      </c>
      <c r="AF745" t="s">
        <v>37</v>
      </c>
      <c r="AG745" s="6" t="s">
        <v>37</v>
      </c>
      <c r="AH745" t="s">
        <v>37</v>
      </c>
      <c r="AI745" t="s">
        <v>37</v>
      </c>
      <c r="AJ745" t="str">
        <f t="shared" si="35"/>
        <v>2NHJ23TZB07CGNDZR3</v>
      </c>
    </row>
    <row r="746" spans="1:36" ht="15" customHeight="1" x14ac:dyDescent="0.25">
      <c r="A746" t="s">
        <v>36</v>
      </c>
      <c r="B746" t="s">
        <v>37</v>
      </c>
      <c r="C746" t="s">
        <v>37</v>
      </c>
      <c r="D746" t="s">
        <v>38</v>
      </c>
      <c r="E746" s="4">
        <v>4</v>
      </c>
      <c r="F746" s="5">
        <v>189.92</v>
      </c>
      <c r="G746" s="5" t="s">
        <v>39</v>
      </c>
      <c r="H746" s="5">
        <v>311.44</v>
      </c>
      <c r="I746" s="5" t="s">
        <v>39</v>
      </c>
      <c r="J746" s="5">
        <v>6.4572799999999999</v>
      </c>
      <c r="K746" s="5">
        <f t="shared" si="33"/>
        <v>1.61432</v>
      </c>
      <c r="L746" s="5">
        <f t="shared" si="34"/>
        <v>47.48</v>
      </c>
      <c r="M746" s="5" t="s">
        <v>39</v>
      </c>
      <c r="N746" s="5">
        <v>6.4572799999999999</v>
      </c>
      <c r="O746" s="5" t="s">
        <v>39</v>
      </c>
      <c r="P746" t="s">
        <v>133</v>
      </c>
      <c r="Q746" t="s">
        <v>1416</v>
      </c>
      <c r="R746" t="s">
        <v>37</v>
      </c>
      <c r="S746" t="s">
        <v>1417</v>
      </c>
      <c r="T746" t="s">
        <v>43</v>
      </c>
      <c r="U746" t="s">
        <v>44</v>
      </c>
      <c r="V746">
        <v>147</v>
      </c>
      <c r="W746" t="s">
        <v>45</v>
      </c>
      <c r="X746" t="s">
        <v>53</v>
      </c>
      <c r="Y746" t="s">
        <v>1418</v>
      </c>
      <c r="Z746" t="s">
        <v>37</v>
      </c>
      <c r="AA746" t="s">
        <v>55</v>
      </c>
      <c r="AB746" t="s">
        <v>37</v>
      </c>
      <c r="AC746" s="6" t="s">
        <v>37</v>
      </c>
      <c r="AD746" s="6" t="s">
        <v>37</v>
      </c>
      <c r="AE746" t="s">
        <v>37</v>
      </c>
      <c r="AF746" t="s">
        <v>37</v>
      </c>
      <c r="AG746" s="6" t="s">
        <v>37</v>
      </c>
      <c r="AH746" t="s">
        <v>37</v>
      </c>
      <c r="AI746" t="s">
        <v>37</v>
      </c>
      <c r="AJ746" t="str">
        <f t="shared" si="35"/>
        <v>36BT7GGLB07W4DHY5F</v>
      </c>
    </row>
    <row r="747" spans="1:36" ht="15" customHeight="1" x14ac:dyDescent="0.25">
      <c r="A747" t="s">
        <v>88</v>
      </c>
      <c r="B747" t="s">
        <v>37</v>
      </c>
      <c r="C747" t="s">
        <v>37</v>
      </c>
      <c r="D747" t="s">
        <v>38</v>
      </c>
      <c r="E747" s="4">
        <v>0</v>
      </c>
      <c r="F747" s="5">
        <v>0</v>
      </c>
      <c r="G747" s="5" t="s">
        <v>39</v>
      </c>
      <c r="H747" s="5">
        <v>0</v>
      </c>
      <c r="I747" s="5" t="s">
        <v>39</v>
      </c>
      <c r="J747" s="5">
        <v>0</v>
      </c>
      <c r="K747" s="5" t="e">
        <f t="shared" si="33"/>
        <v>#DIV/0!</v>
      </c>
      <c r="L747" s="5" t="e">
        <f t="shared" si="34"/>
        <v>#DIV/0!</v>
      </c>
      <c r="M747" s="5" t="s">
        <v>39</v>
      </c>
      <c r="N747" s="5">
        <v>0</v>
      </c>
      <c r="O747" s="5" t="s">
        <v>39</v>
      </c>
      <c r="P747" t="s">
        <v>1310</v>
      </c>
      <c r="Q747" t="s">
        <v>1311</v>
      </c>
      <c r="R747" t="s">
        <v>37</v>
      </c>
      <c r="S747" t="s">
        <v>1312</v>
      </c>
      <c r="T747" t="s">
        <v>43</v>
      </c>
      <c r="U747" t="s">
        <v>44</v>
      </c>
      <c r="V747">
        <v>147</v>
      </c>
      <c r="W747" t="s">
        <v>45</v>
      </c>
      <c r="X747" t="s">
        <v>60</v>
      </c>
      <c r="Y747" t="s">
        <v>1313</v>
      </c>
      <c r="Z747" t="s">
        <v>37</v>
      </c>
      <c r="AA747" t="s">
        <v>55</v>
      </c>
      <c r="AB747" t="s">
        <v>37</v>
      </c>
      <c r="AC747" s="6" t="s">
        <v>37</v>
      </c>
      <c r="AD747" s="6" t="s">
        <v>37</v>
      </c>
      <c r="AE747" t="s">
        <v>37</v>
      </c>
      <c r="AF747" t="s">
        <v>37</v>
      </c>
      <c r="AG747" s="6" t="s">
        <v>37</v>
      </c>
      <c r="AH747" t="s">
        <v>37</v>
      </c>
      <c r="AI747" t="s">
        <v>37</v>
      </c>
      <c r="AJ747" t="str">
        <f t="shared" si="35"/>
        <v>33RKXX6HB003V4A5VG</v>
      </c>
    </row>
    <row r="748" spans="1:36" ht="15" customHeight="1" x14ac:dyDescent="0.25">
      <c r="A748" t="s">
        <v>36</v>
      </c>
      <c r="B748" t="s">
        <v>37</v>
      </c>
      <c r="C748" t="s">
        <v>37</v>
      </c>
      <c r="D748" t="s">
        <v>38</v>
      </c>
      <c r="E748" s="4">
        <v>8</v>
      </c>
      <c r="F748" s="5">
        <v>1067.3599999999999</v>
      </c>
      <c r="G748" s="5" t="s">
        <v>39</v>
      </c>
      <c r="H748" s="5">
        <v>1508.16</v>
      </c>
      <c r="I748" s="5" t="s">
        <v>39</v>
      </c>
      <c r="J748" s="5">
        <v>36.290239999999997</v>
      </c>
      <c r="K748" s="5">
        <f t="shared" si="33"/>
        <v>4.5362799999999996</v>
      </c>
      <c r="L748" s="5">
        <f t="shared" si="34"/>
        <v>133.41999999999999</v>
      </c>
      <c r="M748" s="5" t="s">
        <v>39</v>
      </c>
      <c r="N748" s="5">
        <v>36.290239999999997</v>
      </c>
      <c r="O748" s="5" t="s">
        <v>39</v>
      </c>
      <c r="P748" t="s">
        <v>67</v>
      </c>
      <c r="Q748" t="s">
        <v>257</v>
      </c>
      <c r="R748" t="s">
        <v>37</v>
      </c>
      <c r="S748" t="s">
        <v>258</v>
      </c>
      <c r="T748" t="s">
        <v>43</v>
      </c>
      <c r="U748" t="s">
        <v>44</v>
      </c>
      <c r="V748">
        <v>147</v>
      </c>
      <c r="W748" t="s">
        <v>45</v>
      </c>
      <c r="X748" t="s">
        <v>60</v>
      </c>
      <c r="Y748" t="s">
        <v>259</v>
      </c>
      <c r="Z748" t="s">
        <v>37</v>
      </c>
      <c r="AA748" t="s">
        <v>55</v>
      </c>
      <c r="AB748" t="s">
        <v>37</v>
      </c>
      <c r="AC748" s="6" t="s">
        <v>37</v>
      </c>
      <c r="AD748" s="6" t="s">
        <v>37</v>
      </c>
      <c r="AE748" t="s">
        <v>37</v>
      </c>
      <c r="AF748" t="s">
        <v>37</v>
      </c>
      <c r="AG748" s="6" t="s">
        <v>37</v>
      </c>
      <c r="AH748" t="s">
        <v>37</v>
      </c>
      <c r="AI748" t="s">
        <v>37</v>
      </c>
      <c r="AJ748" t="str">
        <f t="shared" si="35"/>
        <v>2TMBDXBKB07W6JNF81</v>
      </c>
    </row>
    <row r="749" spans="1:36" ht="15" customHeight="1" x14ac:dyDescent="0.25">
      <c r="A749" t="s">
        <v>101</v>
      </c>
      <c r="B749" t="s">
        <v>37</v>
      </c>
      <c r="C749" t="s">
        <v>37</v>
      </c>
      <c r="D749" t="s">
        <v>38</v>
      </c>
      <c r="E749" s="4">
        <v>12</v>
      </c>
      <c r="F749" s="5">
        <v>474.72</v>
      </c>
      <c r="G749" s="5" t="s">
        <v>39</v>
      </c>
      <c r="H749" s="5">
        <v>786.84</v>
      </c>
      <c r="I749" s="5" t="s">
        <v>39</v>
      </c>
      <c r="J749" s="5">
        <v>16.14048</v>
      </c>
      <c r="K749" s="5">
        <f t="shared" si="33"/>
        <v>1.34504</v>
      </c>
      <c r="L749" s="5">
        <f t="shared" si="34"/>
        <v>39.56</v>
      </c>
      <c r="M749" s="5" t="s">
        <v>39</v>
      </c>
      <c r="N749" s="5">
        <v>16.14048</v>
      </c>
      <c r="O749" s="5" t="s">
        <v>39</v>
      </c>
      <c r="P749" t="s">
        <v>320</v>
      </c>
      <c r="Q749" t="s">
        <v>1286</v>
      </c>
      <c r="R749" t="s">
        <v>37</v>
      </c>
      <c r="S749" t="s">
        <v>1287</v>
      </c>
      <c r="T749" t="s">
        <v>43</v>
      </c>
      <c r="U749" t="s">
        <v>44</v>
      </c>
      <c r="V749">
        <v>147</v>
      </c>
      <c r="W749" t="s">
        <v>45</v>
      </c>
      <c r="X749" t="s">
        <v>46</v>
      </c>
      <c r="Y749" t="s">
        <v>1288</v>
      </c>
      <c r="Z749" t="s">
        <v>37</v>
      </c>
      <c r="AA749" t="s">
        <v>95</v>
      </c>
      <c r="AB749" t="s">
        <v>37</v>
      </c>
      <c r="AC749" s="6" t="s">
        <v>37</v>
      </c>
      <c r="AD749" s="6" t="s">
        <v>37</v>
      </c>
      <c r="AE749" t="s">
        <v>37</v>
      </c>
      <c r="AF749" t="s">
        <v>37</v>
      </c>
      <c r="AG749" s="6" t="s">
        <v>37</v>
      </c>
      <c r="AH749" t="s">
        <v>37</v>
      </c>
      <c r="AI749" t="s">
        <v>37</v>
      </c>
      <c r="AJ749" t="str">
        <f t="shared" si="35"/>
        <v>8BG295LIB07W6JNK1Z</v>
      </c>
    </row>
    <row r="750" spans="1:36" ht="15" customHeight="1" x14ac:dyDescent="0.25">
      <c r="A750" t="s">
        <v>101</v>
      </c>
      <c r="B750" t="s">
        <v>37</v>
      </c>
      <c r="C750" t="s">
        <v>37</v>
      </c>
      <c r="D750" t="s">
        <v>38</v>
      </c>
      <c r="E750" s="4">
        <v>476</v>
      </c>
      <c r="F750" s="5">
        <v>17578.68</v>
      </c>
      <c r="G750" s="5" t="s">
        <v>39</v>
      </c>
      <c r="H750" s="5">
        <v>29259.72</v>
      </c>
      <c r="I750" s="5" t="s">
        <v>39</v>
      </c>
      <c r="J750" s="5">
        <v>597.67511999999999</v>
      </c>
      <c r="K750" s="5">
        <f t="shared" si="33"/>
        <v>1.25562</v>
      </c>
      <c r="L750" s="5">
        <f t="shared" si="34"/>
        <v>36.93</v>
      </c>
      <c r="M750" s="5" t="s">
        <v>39</v>
      </c>
      <c r="N750" s="5">
        <v>597.67511999999999</v>
      </c>
      <c r="O750" s="5" t="s">
        <v>39</v>
      </c>
      <c r="P750" t="s">
        <v>1415</v>
      </c>
      <c r="Q750" t="s">
        <v>266</v>
      </c>
      <c r="R750" t="s">
        <v>37</v>
      </c>
      <c r="S750" t="s">
        <v>267</v>
      </c>
      <c r="T750" t="s">
        <v>43</v>
      </c>
      <c r="U750" t="s">
        <v>44</v>
      </c>
      <c r="V750">
        <v>147</v>
      </c>
      <c r="W750" t="s">
        <v>45</v>
      </c>
      <c r="X750" t="s">
        <v>53</v>
      </c>
      <c r="Y750" t="s">
        <v>268</v>
      </c>
      <c r="Z750" t="s">
        <v>37</v>
      </c>
      <c r="AA750" t="s">
        <v>48</v>
      </c>
      <c r="AB750" t="s">
        <v>37</v>
      </c>
      <c r="AC750" s="6" t="s">
        <v>37</v>
      </c>
      <c r="AD750" s="6" t="s">
        <v>37</v>
      </c>
      <c r="AE750" t="s">
        <v>37</v>
      </c>
      <c r="AF750" t="s">
        <v>37</v>
      </c>
      <c r="AG750" s="6" t="s">
        <v>37</v>
      </c>
      <c r="AH750" t="s">
        <v>37</v>
      </c>
      <c r="AI750" t="s">
        <v>37</v>
      </c>
      <c r="AJ750" t="str">
        <f t="shared" si="35"/>
        <v>2NHJ23TZB07CGNDZR3</v>
      </c>
    </row>
    <row r="751" spans="1:36" ht="15" customHeight="1" x14ac:dyDescent="0.25">
      <c r="A751" t="s">
        <v>101</v>
      </c>
      <c r="B751" t="s">
        <v>37</v>
      </c>
      <c r="C751" t="s">
        <v>37</v>
      </c>
      <c r="D751" t="s">
        <v>38</v>
      </c>
      <c r="E751" s="4">
        <v>40</v>
      </c>
      <c r="F751" s="5">
        <v>1288.4000000000001</v>
      </c>
      <c r="G751" s="5" t="s">
        <v>39</v>
      </c>
      <c r="H751" s="5">
        <v>1934</v>
      </c>
      <c r="I751" s="5" t="s">
        <v>39</v>
      </c>
      <c r="J751" s="5">
        <v>43.805599999999998</v>
      </c>
      <c r="K751" s="5">
        <f t="shared" si="33"/>
        <v>1.09514</v>
      </c>
      <c r="L751" s="5">
        <f t="shared" si="34"/>
        <v>32.21</v>
      </c>
      <c r="M751" s="5" t="s">
        <v>39</v>
      </c>
      <c r="N751" s="5">
        <v>43.805599999999998</v>
      </c>
      <c r="O751" s="5" t="s">
        <v>39</v>
      </c>
      <c r="P751" t="s">
        <v>72</v>
      </c>
      <c r="Q751" t="s">
        <v>1419</v>
      </c>
      <c r="R751" t="s">
        <v>37</v>
      </c>
      <c r="S751" t="s">
        <v>1420</v>
      </c>
      <c r="T751" t="s">
        <v>43</v>
      </c>
      <c r="U751" t="s">
        <v>44</v>
      </c>
      <c r="V751">
        <v>147</v>
      </c>
      <c r="W751" t="s">
        <v>45</v>
      </c>
      <c r="X751" t="s">
        <v>60</v>
      </c>
      <c r="Y751" t="s">
        <v>1421</v>
      </c>
      <c r="Z751" t="s">
        <v>37</v>
      </c>
      <c r="AA751" t="s">
        <v>55</v>
      </c>
      <c r="AB751" t="s">
        <v>37</v>
      </c>
      <c r="AC751" s="6" t="s">
        <v>37</v>
      </c>
      <c r="AD751" s="6" t="s">
        <v>37</v>
      </c>
      <c r="AE751" t="s">
        <v>37</v>
      </c>
      <c r="AF751" t="s">
        <v>37</v>
      </c>
      <c r="AG751" s="6" t="s">
        <v>37</v>
      </c>
      <c r="AH751" t="s">
        <v>37</v>
      </c>
      <c r="AI751" t="s">
        <v>37</v>
      </c>
      <c r="AJ751" t="str">
        <f t="shared" si="35"/>
        <v>4GF112AEB07W4DHP2H</v>
      </c>
    </row>
    <row r="752" spans="1:36" ht="15" customHeight="1" x14ac:dyDescent="0.25">
      <c r="A752" t="s">
        <v>36</v>
      </c>
      <c r="B752" t="s">
        <v>37</v>
      </c>
      <c r="C752" t="s">
        <v>37</v>
      </c>
      <c r="D752" t="s">
        <v>38</v>
      </c>
      <c r="E752" s="4">
        <v>36</v>
      </c>
      <c r="F752" s="5">
        <v>1618.2</v>
      </c>
      <c r="G752" s="5" t="s">
        <v>39</v>
      </c>
      <c r="H752" s="5">
        <v>2065.3200000000002</v>
      </c>
      <c r="I752" s="5" t="s">
        <v>39</v>
      </c>
      <c r="J752" s="5">
        <v>55.018799999999999</v>
      </c>
      <c r="K752" s="5">
        <f t="shared" si="33"/>
        <v>1.5283</v>
      </c>
      <c r="L752" s="5">
        <f t="shared" si="34"/>
        <v>44.95</v>
      </c>
      <c r="M752" s="5" t="s">
        <v>39</v>
      </c>
      <c r="N752" s="5">
        <v>55.018799999999999</v>
      </c>
      <c r="O752" s="5" t="s">
        <v>39</v>
      </c>
      <c r="P752" t="s">
        <v>365</v>
      </c>
      <c r="Q752" t="s">
        <v>1138</v>
      </c>
      <c r="R752" t="s">
        <v>1139</v>
      </c>
      <c r="S752" t="s">
        <v>1140</v>
      </c>
      <c r="T752" t="s">
        <v>43</v>
      </c>
      <c r="U752" t="s">
        <v>44</v>
      </c>
      <c r="V752">
        <v>147</v>
      </c>
      <c r="W752" t="s">
        <v>45</v>
      </c>
      <c r="X752" t="s">
        <v>46</v>
      </c>
      <c r="Y752" t="s">
        <v>1141</v>
      </c>
      <c r="Z752" t="s">
        <v>37</v>
      </c>
      <c r="AA752" t="s">
        <v>307</v>
      </c>
      <c r="AB752" t="s">
        <v>37</v>
      </c>
      <c r="AC752" s="6" t="s">
        <v>37</v>
      </c>
      <c r="AD752" s="6" t="s">
        <v>37</v>
      </c>
      <c r="AE752" t="s">
        <v>37</v>
      </c>
      <c r="AF752" t="s">
        <v>37</v>
      </c>
      <c r="AG752" s="6" t="s">
        <v>37</v>
      </c>
      <c r="AH752" t="s">
        <v>37</v>
      </c>
      <c r="AI752" t="s">
        <v>37</v>
      </c>
      <c r="AJ752" t="str">
        <f t="shared" si="35"/>
        <v>3KYCEHVHB0711V7BV6</v>
      </c>
    </row>
    <row r="753" spans="1:36" ht="15" customHeight="1" x14ac:dyDescent="0.25">
      <c r="A753" t="s">
        <v>176</v>
      </c>
      <c r="B753" t="s">
        <v>37</v>
      </c>
      <c r="C753" t="s">
        <v>37</v>
      </c>
      <c r="D753" t="s">
        <v>38</v>
      </c>
      <c r="E753" s="4">
        <v>8</v>
      </c>
      <c r="F753" s="5">
        <v>257.68</v>
      </c>
      <c r="G753" s="5" t="s">
        <v>39</v>
      </c>
      <c r="H753" s="5">
        <v>386.8</v>
      </c>
      <c r="I753" s="5" t="s">
        <v>39</v>
      </c>
      <c r="J753" s="5">
        <v>8.76112</v>
      </c>
      <c r="K753" s="5">
        <f t="shared" si="33"/>
        <v>1.09514</v>
      </c>
      <c r="L753" s="5">
        <f t="shared" si="34"/>
        <v>32.21</v>
      </c>
      <c r="M753" s="5" t="s">
        <v>39</v>
      </c>
      <c r="N753" s="5">
        <v>8.76112</v>
      </c>
      <c r="O753" s="5" t="s">
        <v>39</v>
      </c>
      <c r="P753" t="s">
        <v>72</v>
      </c>
      <c r="Q753" t="s">
        <v>1419</v>
      </c>
      <c r="R753" t="s">
        <v>37</v>
      </c>
      <c r="S753" t="s">
        <v>1420</v>
      </c>
      <c r="T753" t="s">
        <v>43</v>
      </c>
      <c r="U753" t="s">
        <v>44</v>
      </c>
      <c r="V753">
        <v>147</v>
      </c>
      <c r="W753" t="s">
        <v>45</v>
      </c>
      <c r="X753" t="s">
        <v>60</v>
      </c>
      <c r="Y753" t="s">
        <v>1421</v>
      </c>
      <c r="Z753" t="s">
        <v>37</v>
      </c>
      <c r="AA753" t="s">
        <v>55</v>
      </c>
      <c r="AB753" t="s">
        <v>37</v>
      </c>
      <c r="AC753" s="6" t="s">
        <v>37</v>
      </c>
      <c r="AD753" s="6" t="s">
        <v>37</v>
      </c>
      <c r="AE753" t="s">
        <v>37</v>
      </c>
      <c r="AF753" t="s">
        <v>37</v>
      </c>
      <c r="AG753" s="6" t="s">
        <v>37</v>
      </c>
      <c r="AH753" t="s">
        <v>37</v>
      </c>
      <c r="AI753" t="s">
        <v>37</v>
      </c>
      <c r="AJ753" t="str">
        <f t="shared" si="35"/>
        <v>4GF112AEB07W4DHP2H</v>
      </c>
    </row>
    <row r="754" spans="1:36" ht="15" customHeight="1" x14ac:dyDescent="0.25">
      <c r="A754" t="s">
        <v>118</v>
      </c>
      <c r="B754" t="s">
        <v>37</v>
      </c>
      <c r="C754" t="s">
        <v>37</v>
      </c>
      <c r="D754" t="s">
        <v>38</v>
      </c>
      <c r="E754" s="4">
        <v>20</v>
      </c>
      <c r="F754" s="5">
        <v>2205.4</v>
      </c>
      <c r="G754" s="5" t="s">
        <v>39</v>
      </c>
      <c r="H754" s="5">
        <v>4580</v>
      </c>
      <c r="I754" s="5" t="s">
        <v>39</v>
      </c>
      <c r="J754" s="5">
        <v>74.983599999999996</v>
      </c>
      <c r="K754" s="5">
        <f t="shared" si="33"/>
        <v>3.74918</v>
      </c>
      <c r="L754" s="5">
        <f t="shared" si="34"/>
        <v>110.27000000000001</v>
      </c>
      <c r="M754" s="5" t="s">
        <v>39</v>
      </c>
      <c r="N754" s="5">
        <v>74.983599999999996</v>
      </c>
      <c r="O754" s="5" t="s">
        <v>39</v>
      </c>
      <c r="P754" t="s">
        <v>954</v>
      </c>
      <c r="Q754" t="s">
        <v>1422</v>
      </c>
      <c r="R754" t="s">
        <v>37</v>
      </c>
      <c r="S754" t="s">
        <v>1423</v>
      </c>
      <c r="T754" t="s">
        <v>43</v>
      </c>
      <c r="U754" t="s">
        <v>44</v>
      </c>
      <c r="V754">
        <v>147</v>
      </c>
      <c r="W754" t="s">
        <v>45</v>
      </c>
      <c r="X754" t="s">
        <v>60</v>
      </c>
      <c r="Y754" t="s">
        <v>1424</v>
      </c>
      <c r="Z754" t="s">
        <v>37</v>
      </c>
      <c r="AA754" t="s">
        <v>55</v>
      </c>
      <c r="AB754" t="s">
        <v>37</v>
      </c>
      <c r="AC754" s="6" t="s">
        <v>37</v>
      </c>
      <c r="AD754" s="6" t="s">
        <v>37</v>
      </c>
      <c r="AE754" t="s">
        <v>37</v>
      </c>
      <c r="AF754" t="s">
        <v>37</v>
      </c>
      <c r="AG754" s="6" t="s">
        <v>37</v>
      </c>
      <c r="AH754" t="s">
        <v>37</v>
      </c>
      <c r="AI754" t="s">
        <v>37</v>
      </c>
      <c r="AJ754" t="str">
        <f t="shared" si="35"/>
        <v>4VH7UODNB07VWF2HCL</v>
      </c>
    </row>
    <row r="755" spans="1:36" ht="15" customHeight="1" x14ac:dyDescent="0.25">
      <c r="A755" t="s">
        <v>36</v>
      </c>
      <c r="B755" t="s">
        <v>37</v>
      </c>
      <c r="C755" t="s">
        <v>37</v>
      </c>
      <c r="D755" t="s">
        <v>38</v>
      </c>
      <c r="E755" s="4">
        <v>20</v>
      </c>
      <c r="F755" s="5">
        <v>177.8</v>
      </c>
      <c r="G755" s="5" t="s">
        <v>39</v>
      </c>
      <c r="H755" s="5">
        <v>393.2</v>
      </c>
      <c r="I755" s="5" t="s">
        <v>39</v>
      </c>
      <c r="J755" s="5">
        <v>6.0452000000000004</v>
      </c>
      <c r="K755" s="5">
        <f t="shared" si="33"/>
        <v>0.30226000000000003</v>
      </c>
      <c r="L755" s="5">
        <f t="shared" si="34"/>
        <v>8.89</v>
      </c>
      <c r="M755" s="5" t="s">
        <v>39</v>
      </c>
      <c r="N755" s="5">
        <v>6.0452000000000004</v>
      </c>
      <c r="O755" s="5" t="s">
        <v>39</v>
      </c>
      <c r="P755" t="s">
        <v>365</v>
      </c>
      <c r="Q755" t="s">
        <v>690</v>
      </c>
      <c r="R755" t="s">
        <v>37</v>
      </c>
      <c r="S755" t="s">
        <v>691</v>
      </c>
      <c r="T755" t="s">
        <v>43</v>
      </c>
      <c r="U755" t="s">
        <v>44</v>
      </c>
      <c r="V755">
        <v>147</v>
      </c>
      <c r="W755" t="s">
        <v>45</v>
      </c>
      <c r="X755" t="s">
        <v>46</v>
      </c>
      <c r="Y755" t="s">
        <v>692</v>
      </c>
      <c r="Z755" t="s">
        <v>37</v>
      </c>
      <c r="AA755" t="s">
        <v>95</v>
      </c>
      <c r="AB755" t="s">
        <v>37</v>
      </c>
      <c r="AC755" s="6" t="s">
        <v>37</v>
      </c>
      <c r="AD755" s="6" t="s">
        <v>37</v>
      </c>
      <c r="AE755" t="s">
        <v>37</v>
      </c>
      <c r="AF755" t="s">
        <v>37</v>
      </c>
      <c r="AG755" s="6" t="s">
        <v>37</v>
      </c>
      <c r="AH755" t="s">
        <v>37</v>
      </c>
      <c r="AI755" t="s">
        <v>37</v>
      </c>
      <c r="AJ755" t="str">
        <f t="shared" si="35"/>
        <v>3KYCEHVHB07W5JJVFM</v>
      </c>
    </row>
    <row r="756" spans="1:36" ht="15" customHeight="1" x14ac:dyDescent="0.25">
      <c r="A756" t="s">
        <v>36</v>
      </c>
      <c r="B756" t="s">
        <v>37</v>
      </c>
      <c r="C756" t="s">
        <v>37</v>
      </c>
      <c r="D756" t="s">
        <v>38</v>
      </c>
      <c r="E756" s="4">
        <v>8</v>
      </c>
      <c r="F756" s="5">
        <v>168.8</v>
      </c>
      <c r="G756" s="5" t="s">
        <v>39</v>
      </c>
      <c r="H756" s="5">
        <v>288.48</v>
      </c>
      <c r="I756" s="5" t="s">
        <v>39</v>
      </c>
      <c r="J756" s="5">
        <v>5.7392000000000003</v>
      </c>
      <c r="K756" s="5">
        <f t="shared" si="33"/>
        <v>0.71740000000000004</v>
      </c>
      <c r="L756" s="5">
        <f t="shared" si="34"/>
        <v>21.1</v>
      </c>
      <c r="M756" s="5" t="s">
        <v>39</v>
      </c>
      <c r="N756" s="5">
        <v>5.7392000000000003</v>
      </c>
      <c r="O756" s="5" t="s">
        <v>39</v>
      </c>
      <c r="P756" t="s">
        <v>168</v>
      </c>
      <c r="Q756" t="s">
        <v>741</v>
      </c>
      <c r="R756" t="s">
        <v>742</v>
      </c>
      <c r="S756" t="s">
        <v>743</v>
      </c>
      <c r="T756" t="s">
        <v>43</v>
      </c>
      <c r="U756" t="s">
        <v>44</v>
      </c>
      <c r="V756">
        <v>147</v>
      </c>
      <c r="W756" t="s">
        <v>45</v>
      </c>
      <c r="X756" t="s">
        <v>46</v>
      </c>
      <c r="Y756" t="s">
        <v>744</v>
      </c>
      <c r="Z756" t="s">
        <v>37</v>
      </c>
      <c r="AA756" t="s">
        <v>48</v>
      </c>
      <c r="AB756" t="s">
        <v>37</v>
      </c>
      <c r="AC756" s="6" t="s">
        <v>37</v>
      </c>
      <c r="AD756" s="6" t="s">
        <v>37</v>
      </c>
      <c r="AE756" t="s">
        <v>37</v>
      </c>
      <c r="AF756" t="s">
        <v>37</v>
      </c>
      <c r="AG756" s="6" t="s">
        <v>37</v>
      </c>
      <c r="AH756" t="s">
        <v>37</v>
      </c>
      <c r="AI756" t="s">
        <v>37</v>
      </c>
      <c r="AJ756" t="str">
        <f t="shared" si="35"/>
        <v>2R6FMUZDB00CJ5FP04</v>
      </c>
    </row>
    <row r="757" spans="1:36" ht="15" customHeight="1" x14ac:dyDescent="0.25">
      <c r="A757" t="s">
        <v>101</v>
      </c>
      <c r="B757" t="s">
        <v>37</v>
      </c>
      <c r="C757" t="s">
        <v>37</v>
      </c>
      <c r="D757" t="s">
        <v>38</v>
      </c>
      <c r="E757" s="4">
        <v>20</v>
      </c>
      <c r="F757" s="5">
        <v>152.19999999999999</v>
      </c>
      <c r="G757" s="5" t="s">
        <v>39</v>
      </c>
      <c r="H757" s="5">
        <v>221.2</v>
      </c>
      <c r="I757" s="5" t="s">
        <v>39</v>
      </c>
      <c r="J757" s="5">
        <v>5.1748000000000003</v>
      </c>
      <c r="K757" s="5">
        <f t="shared" si="33"/>
        <v>0.25874000000000003</v>
      </c>
      <c r="L757" s="5">
        <f t="shared" si="34"/>
        <v>7.6099999999999994</v>
      </c>
      <c r="M757" s="5" t="s">
        <v>39</v>
      </c>
      <c r="N757" s="5">
        <v>5.1748000000000003</v>
      </c>
      <c r="O757" s="5" t="s">
        <v>39</v>
      </c>
      <c r="P757" t="s">
        <v>274</v>
      </c>
      <c r="Q757" t="s">
        <v>1425</v>
      </c>
      <c r="R757" t="s">
        <v>37</v>
      </c>
      <c r="S757" t="s">
        <v>1426</v>
      </c>
      <c r="T757" t="s">
        <v>43</v>
      </c>
      <c r="U757" t="s">
        <v>44</v>
      </c>
      <c r="V757">
        <v>147</v>
      </c>
      <c r="W757" t="s">
        <v>45</v>
      </c>
      <c r="X757" t="s">
        <v>53</v>
      </c>
      <c r="Y757" t="s">
        <v>1427</v>
      </c>
      <c r="Z757" t="s">
        <v>37</v>
      </c>
      <c r="AA757" t="s">
        <v>48</v>
      </c>
      <c r="AB757" t="s">
        <v>37</v>
      </c>
      <c r="AC757" s="6" t="s">
        <v>37</v>
      </c>
      <c r="AD757" s="6" t="s">
        <v>37</v>
      </c>
      <c r="AE757" t="s">
        <v>37</v>
      </c>
      <c r="AF757" t="s">
        <v>37</v>
      </c>
      <c r="AG757" s="6" t="s">
        <v>37</v>
      </c>
      <c r="AH757" t="s">
        <v>37</v>
      </c>
      <c r="AI757" t="s">
        <v>37</v>
      </c>
      <c r="AJ757" t="str">
        <f t="shared" si="35"/>
        <v>4LYATDUXB07W7L6HHN</v>
      </c>
    </row>
    <row r="758" spans="1:36" ht="15" customHeight="1" x14ac:dyDescent="0.25">
      <c r="A758" t="s">
        <v>101</v>
      </c>
      <c r="B758" t="s">
        <v>37</v>
      </c>
      <c r="C758" t="s">
        <v>37</v>
      </c>
      <c r="D758" t="s">
        <v>38</v>
      </c>
      <c r="E758" s="4">
        <v>56</v>
      </c>
      <c r="F758" s="5">
        <v>4464.88</v>
      </c>
      <c r="G758" s="5" t="s">
        <v>39</v>
      </c>
      <c r="H758" s="5">
        <v>6880.72</v>
      </c>
      <c r="I758" s="5" t="s">
        <v>39</v>
      </c>
      <c r="J758" s="5">
        <v>151.80591999999999</v>
      </c>
      <c r="K758" s="5">
        <f t="shared" si="33"/>
        <v>2.7108199999999996</v>
      </c>
      <c r="L758" s="5">
        <f t="shared" si="34"/>
        <v>79.73</v>
      </c>
      <c r="M758" s="5" t="s">
        <v>39</v>
      </c>
      <c r="N758" s="5">
        <v>151.80591999999999</v>
      </c>
      <c r="O758" s="5" t="s">
        <v>39</v>
      </c>
      <c r="P758" t="s">
        <v>102</v>
      </c>
      <c r="Q758" t="s">
        <v>1428</v>
      </c>
      <c r="R758" t="s">
        <v>37</v>
      </c>
      <c r="S758" t="s">
        <v>1429</v>
      </c>
      <c r="T758" t="s">
        <v>43</v>
      </c>
      <c r="U758" t="s">
        <v>44</v>
      </c>
      <c r="V758">
        <v>23</v>
      </c>
      <c r="W758" t="s">
        <v>281</v>
      </c>
      <c r="X758" t="s">
        <v>282</v>
      </c>
      <c r="Y758" t="s">
        <v>1430</v>
      </c>
      <c r="Z758" t="s">
        <v>37</v>
      </c>
      <c r="AA758" t="s">
        <v>95</v>
      </c>
      <c r="AB758" t="s">
        <v>37</v>
      </c>
      <c r="AC758" s="6" t="s">
        <v>37</v>
      </c>
      <c r="AD758" s="6" t="s">
        <v>37</v>
      </c>
      <c r="AE758" t="s">
        <v>37</v>
      </c>
      <c r="AF758" t="s">
        <v>37</v>
      </c>
      <c r="AG758" s="6" t="s">
        <v>37</v>
      </c>
      <c r="AH758" t="s">
        <v>37</v>
      </c>
      <c r="AI758" t="s">
        <v>37</v>
      </c>
      <c r="AJ758" t="str">
        <f t="shared" si="35"/>
        <v>2M7QFTCOB07G6MBCG3</v>
      </c>
    </row>
    <row r="759" spans="1:36" ht="15" customHeight="1" x14ac:dyDescent="0.25">
      <c r="A759" t="s">
        <v>118</v>
      </c>
      <c r="B759" t="s">
        <v>37</v>
      </c>
      <c r="C759" t="s">
        <v>37</v>
      </c>
      <c r="D759" t="s">
        <v>38</v>
      </c>
      <c r="E759" s="4">
        <v>10</v>
      </c>
      <c r="F759" s="5">
        <v>93.6</v>
      </c>
      <c r="G759" s="5" t="s">
        <v>39</v>
      </c>
      <c r="H759" s="5">
        <v>139.30000000000001</v>
      </c>
      <c r="I759" s="5" t="s">
        <v>39</v>
      </c>
      <c r="J759" s="5">
        <v>3.1823999999999999</v>
      </c>
      <c r="K759" s="5">
        <f t="shared" si="33"/>
        <v>0.31823999999999997</v>
      </c>
      <c r="L759" s="5">
        <f t="shared" si="34"/>
        <v>9.36</v>
      </c>
      <c r="M759" s="5" t="s">
        <v>39</v>
      </c>
      <c r="N759" s="5">
        <v>3.1823999999999999</v>
      </c>
      <c r="O759" s="5" t="s">
        <v>39</v>
      </c>
      <c r="P759" t="s">
        <v>707</v>
      </c>
      <c r="Q759" t="s">
        <v>78</v>
      </c>
      <c r="R759" t="s">
        <v>37</v>
      </c>
      <c r="S759" t="s">
        <v>79</v>
      </c>
      <c r="T759" t="s">
        <v>43</v>
      </c>
      <c r="U759" t="s">
        <v>44</v>
      </c>
      <c r="V759">
        <v>147</v>
      </c>
      <c r="W759" t="s">
        <v>45</v>
      </c>
      <c r="X759" t="s">
        <v>60</v>
      </c>
      <c r="Y759" t="s">
        <v>80</v>
      </c>
      <c r="Z759" t="s">
        <v>37</v>
      </c>
      <c r="AA759" t="s">
        <v>55</v>
      </c>
      <c r="AB759" t="s">
        <v>37</v>
      </c>
      <c r="AC759" s="6" t="s">
        <v>37</v>
      </c>
      <c r="AD759" s="6" t="s">
        <v>37</v>
      </c>
      <c r="AE759" t="s">
        <v>37</v>
      </c>
      <c r="AF759" t="s">
        <v>37</v>
      </c>
      <c r="AG759" s="6" t="s">
        <v>37</v>
      </c>
      <c r="AH759" t="s">
        <v>37</v>
      </c>
      <c r="AI759" t="s">
        <v>37</v>
      </c>
      <c r="AJ759" t="str">
        <f t="shared" si="35"/>
        <v>6AA7OKBNB003V0QEV0</v>
      </c>
    </row>
    <row r="760" spans="1:36" ht="15" customHeight="1" x14ac:dyDescent="0.25">
      <c r="A760" t="s">
        <v>284</v>
      </c>
      <c r="B760" t="s">
        <v>37</v>
      </c>
      <c r="C760" t="s">
        <v>37</v>
      </c>
      <c r="D760" t="s">
        <v>38</v>
      </c>
      <c r="E760" s="4">
        <v>293</v>
      </c>
      <c r="F760" s="5">
        <v>64773.51</v>
      </c>
      <c r="G760" s="5" t="s">
        <v>39</v>
      </c>
      <c r="H760" s="5">
        <v>98465.58</v>
      </c>
      <c r="I760" s="5" t="s">
        <v>39</v>
      </c>
      <c r="J760" s="5">
        <v>2202.29934</v>
      </c>
      <c r="K760" s="5">
        <f t="shared" si="33"/>
        <v>7.5163799999999998</v>
      </c>
      <c r="L760" s="5">
        <f t="shared" si="34"/>
        <v>221.07</v>
      </c>
      <c r="M760" s="5" t="s">
        <v>39</v>
      </c>
      <c r="N760" s="5">
        <v>2202.29934</v>
      </c>
      <c r="O760" s="5" t="s">
        <v>39</v>
      </c>
      <c r="P760" t="s">
        <v>211</v>
      </c>
      <c r="Q760" t="s">
        <v>298</v>
      </c>
      <c r="R760" t="s">
        <v>37</v>
      </c>
      <c r="S760" t="s">
        <v>299</v>
      </c>
      <c r="T760" t="s">
        <v>43</v>
      </c>
      <c r="U760" t="s">
        <v>44</v>
      </c>
      <c r="V760">
        <v>147</v>
      </c>
      <c r="W760" t="s">
        <v>45</v>
      </c>
      <c r="X760" t="s">
        <v>46</v>
      </c>
      <c r="Y760" t="s">
        <v>300</v>
      </c>
      <c r="Z760" t="s">
        <v>37</v>
      </c>
      <c r="AA760" t="s">
        <v>55</v>
      </c>
      <c r="AB760" t="s">
        <v>37</v>
      </c>
      <c r="AC760" s="6" t="s">
        <v>37</v>
      </c>
      <c r="AD760" s="6" t="s">
        <v>37</v>
      </c>
      <c r="AE760" t="s">
        <v>37</v>
      </c>
      <c r="AF760" t="s">
        <v>37</v>
      </c>
      <c r="AG760" s="6" t="s">
        <v>37</v>
      </c>
      <c r="AH760" t="s">
        <v>37</v>
      </c>
      <c r="AI760" t="s">
        <v>37</v>
      </c>
      <c r="AJ760" t="str">
        <f t="shared" si="35"/>
        <v>7ILTX3HJB00YUIM2J0</v>
      </c>
    </row>
    <row r="761" spans="1:36" ht="15" customHeight="1" x14ac:dyDescent="0.25">
      <c r="A761" t="s">
        <v>504</v>
      </c>
      <c r="B761" t="s">
        <v>37</v>
      </c>
      <c r="C761" t="s">
        <v>37</v>
      </c>
      <c r="D761" t="s">
        <v>38</v>
      </c>
      <c r="E761" s="4">
        <v>68</v>
      </c>
      <c r="F761" s="5">
        <v>4628.08</v>
      </c>
      <c r="G761" s="5" t="s">
        <v>39</v>
      </c>
      <c r="H761" s="5">
        <v>7747.24</v>
      </c>
      <c r="I761" s="5" t="s">
        <v>39</v>
      </c>
      <c r="J761" s="5">
        <v>157.35471999999999</v>
      </c>
      <c r="K761" s="5">
        <f t="shared" si="33"/>
        <v>2.3140399999999999</v>
      </c>
      <c r="L761" s="5">
        <f t="shared" si="34"/>
        <v>68.06</v>
      </c>
      <c r="M761" s="5" t="s">
        <v>39</v>
      </c>
      <c r="N761" s="5">
        <v>157.35471999999999</v>
      </c>
      <c r="O761" s="5" t="s">
        <v>39</v>
      </c>
      <c r="P761" t="s">
        <v>1431</v>
      </c>
      <c r="Q761" t="s">
        <v>545</v>
      </c>
      <c r="R761" t="s">
        <v>37</v>
      </c>
      <c r="S761" t="s">
        <v>546</v>
      </c>
      <c r="T761" t="s">
        <v>43</v>
      </c>
      <c r="U761" t="s">
        <v>44</v>
      </c>
      <c r="V761">
        <v>147</v>
      </c>
      <c r="W761" t="s">
        <v>45</v>
      </c>
      <c r="X761" t="s">
        <v>60</v>
      </c>
      <c r="Y761" t="s">
        <v>547</v>
      </c>
      <c r="Z761" t="s">
        <v>37</v>
      </c>
      <c r="AA761" t="s">
        <v>55</v>
      </c>
      <c r="AB761" t="s">
        <v>37</v>
      </c>
      <c r="AC761" s="6" t="s">
        <v>37</v>
      </c>
      <c r="AD761" s="6" t="s">
        <v>37</v>
      </c>
      <c r="AE761" t="s">
        <v>37</v>
      </c>
      <c r="AF761" t="s">
        <v>37</v>
      </c>
      <c r="AG761" s="6" t="s">
        <v>37</v>
      </c>
      <c r="AH761" t="s">
        <v>37</v>
      </c>
      <c r="AI761" t="s">
        <v>37</v>
      </c>
      <c r="AJ761" t="str">
        <f t="shared" si="35"/>
        <v>3OL6Y8AFB07W5JJP7D</v>
      </c>
    </row>
    <row r="762" spans="1:36" ht="15" customHeight="1" x14ac:dyDescent="0.25">
      <c r="A762" t="s">
        <v>118</v>
      </c>
      <c r="B762" t="s">
        <v>37</v>
      </c>
      <c r="C762" t="s">
        <v>37</v>
      </c>
      <c r="D762" t="s">
        <v>38</v>
      </c>
      <c r="E762" s="4">
        <v>1710</v>
      </c>
      <c r="F762" s="5">
        <v>18006.3</v>
      </c>
      <c r="G762" s="5" t="s">
        <v>39</v>
      </c>
      <c r="H762" s="5">
        <v>25222.5</v>
      </c>
      <c r="I762" s="5" t="s">
        <v>39</v>
      </c>
      <c r="J762" s="5">
        <v>612.21420000000001</v>
      </c>
      <c r="K762" s="5">
        <f t="shared" si="33"/>
        <v>0.35802</v>
      </c>
      <c r="L762" s="5">
        <f t="shared" si="34"/>
        <v>10.53</v>
      </c>
      <c r="M762" s="5" t="s">
        <v>39</v>
      </c>
      <c r="N762" s="5">
        <v>612.21420000000001</v>
      </c>
      <c r="O762" s="5" t="s">
        <v>39</v>
      </c>
      <c r="P762" t="s">
        <v>119</v>
      </c>
      <c r="Q762" t="s">
        <v>732</v>
      </c>
      <c r="R762" t="s">
        <v>37</v>
      </c>
      <c r="S762" t="s">
        <v>733</v>
      </c>
      <c r="T762" t="s">
        <v>43</v>
      </c>
      <c r="U762" t="s">
        <v>44</v>
      </c>
      <c r="V762">
        <v>147</v>
      </c>
      <c r="W762" t="s">
        <v>45</v>
      </c>
      <c r="X762" t="s">
        <v>53</v>
      </c>
      <c r="Y762" t="s">
        <v>734</v>
      </c>
      <c r="Z762" t="s">
        <v>37</v>
      </c>
      <c r="AA762" t="s">
        <v>55</v>
      </c>
      <c r="AB762" t="s">
        <v>37</v>
      </c>
      <c r="AC762" s="6" t="s">
        <v>37</v>
      </c>
      <c r="AD762" s="6" t="s">
        <v>37</v>
      </c>
      <c r="AE762" t="s">
        <v>37</v>
      </c>
      <c r="AF762" t="s">
        <v>37</v>
      </c>
      <c r="AG762" s="6" t="s">
        <v>37</v>
      </c>
      <c r="AH762" t="s">
        <v>37</v>
      </c>
      <c r="AI762" t="s">
        <v>37</v>
      </c>
      <c r="AJ762" t="str">
        <f t="shared" si="35"/>
        <v>31DJDC7QB00552K0GM</v>
      </c>
    </row>
    <row r="763" spans="1:36" ht="15" customHeight="1" x14ac:dyDescent="0.25">
      <c r="A763" t="s">
        <v>36</v>
      </c>
      <c r="B763" t="s">
        <v>37</v>
      </c>
      <c r="C763" t="s">
        <v>37</v>
      </c>
      <c r="D763" t="s">
        <v>38</v>
      </c>
      <c r="E763" s="4">
        <v>108</v>
      </c>
      <c r="F763" s="5">
        <v>3959.28</v>
      </c>
      <c r="G763" s="5" t="s">
        <v>39</v>
      </c>
      <c r="H763" s="5">
        <v>5221.8</v>
      </c>
      <c r="I763" s="5" t="s">
        <v>39</v>
      </c>
      <c r="J763" s="5">
        <v>134.61552</v>
      </c>
      <c r="K763" s="5">
        <f t="shared" si="33"/>
        <v>1.24644</v>
      </c>
      <c r="L763" s="5">
        <f t="shared" si="34"/>
        <v>36.660000000000004</v>
      </c>
      <c r="M763" s="5" t="s">
        <v>39</v>
      </c>
      <c r="N763" s="5">
        <v>134.61552</v>
      </c>
      <c r="O763" s="5" t="s">
        <v>39</v>
      </c>
      <c r="P763" t="s">
        <v>67</v>
      </c>
      <c r="Q763" t="s">
        <v>1432</v>
      </c>
      <c r="R763" t="s">
        <v>1433</v>
      </c>
      <c r="S763" t="s">
        <v>1434</v>
      </c>
      <c r="T763" t="s">
        <v>43</v>
      </c>
      <c r="U763" t="s">
        <v>44</v>
      </c>
      <c r="V763">
        <v>147</v>
      </c>
      <c r="W763" t="s">
        <v>45</v>
      </c>
      <c r="X763" t="s">
        <v>239</v>
      </c>
      <c r="Y763" t="s">
        <v>1435</v>
      </c>
      <c r="Z763" t="s">
        <v>37</v>
      </c>
      <c r="AA763" t="s">
        <v>95</v>
      </c>
      <c r="AB763" t="s">
        <v>37</v>
      </c>
      <c r="AC763" s="6" t="s">
        <v>37</v>
      </c>
      <c r="AD763" s="6" t="s">
        <v>37</v>
      </c>
      <c r="AE763" t="s">
        <v>37</v>
      </c>
      <c r="AF763" t="s">
        <v>37</v>
      </c>
      <c r="AG763" s="6" t="s">
        <v>37</v>
      </c>
      <c r="AH763" t="s">
        <v>37</v>
      </c>
      <c r="AI763" t="s">
        <v>37</v>
      </c>
      <c r="AJ763" t="str">
        <f t="shared" si="35"/>
        <v>2TMBDXBKB00M6MLYZU</v>
      </c>
    </row>
    <row r="764" spans="1:36" ht="15" customHeight="1" x14ac:dyDescent="0.25">
      <c r="A764" t="s">
        <v>215</v>
      </c>
      <c r="B764" t="s">
        <v>37</v>
      </c>
      <c r="C764" t="s">
        <v>37</v>
      </c>
      <c r="D764" t="s">
        <v>38</v>
      </c>
      <c r="E764" s="4">
        <v>0</v>
      </c>
      <c r="F764" s="5">
        <v>0</v>
      </c>
      <c r="G764" s="5" t="s">
        <v>39</v>
      </c>
      <c r="H764" s="5">
        <v>0</v>
      </c>
      <c r="I764" s="5" t="s">
        <v>39</v>
      </c>
      <c r="J764" s="5">
        <v>0</v>
      </c>
      <c r="K764" s="5" t="e">
        <f t="shared" si="33"/>
        <v>#DIV/0!</v>
      </c>
      <c r="L764" s="5" t="e">
        <f t="shared" si="34"/>
        <v>#DIV/0!</v>
      </c>
      <c r="M764" s="5" t="s">
        <v>39</v>
      </c>
      <c r="N764" s="5">
        <v>0</v>
      </c>
      <c r="O764" s="5" t="s">
        <v>39</v>
      </c>
      <c r="P764" t="s">
        <v>67</v>
      </c>
      <c r="Q764" t="s">
        <v>1432</v>
      </c>
      <c r="R764" t="s">
        <v>1433</v>
      </c>
      <c r="S764" t="s">
        <v>1434</v>
      </c>
      <c r="T764" t="s">
        <v>43</v>
      </c>
      <c r="U764" t="s">
        <v>44</v>
      </c>
      <c r="V764">
        <v>147</v>
      </c>
      <c r="W764" t="s">
        <v>45</v>
      </c>
      <c r="X764" t="s">
        <v>239</v>
      </c>
      <c r="Y764" t="s">
        <v>1435</v>
      </c>
      <c r="Z764" t="s">
        <v>37</v>
      </c>
      <c r="AA764" t="s">
        <v>95</v>
      </c>
      <c r="AB764" t="s">
        <v>37</v>
      </c>
      <c r="AC764" s="6" t="s">
        <v>37</v>
      </c>
      <c r="AD764" s="6" t="s">
        <v>37</v>
      </c>
      <c r="AE764" t="s">
        <v>37</v>
      </c>
      <c r="AF764" t="s">
        <v>37</v>
      </c>
      <c r="AG764" s="6" t="s">
        <v>37</v>
      </c>
      <c r="AH764" t="s">
        <v>37</v>
      </c>
      <c r="AI764" t="s">
        <v>37</v>
      </c>
      <c r="AJ764" t="str">
        <f t="shared" si="35"/>
        <v>2TMBDXBKB00M6MLYZU</v>
      </c>
    </row>
    <row r="765" spans="1:36" ht="15" customHeight="1" x14ac:dyDescent="0.25">
      <c r="A765" t="s">
        <v>1436</v>
      </c>
      <c r="B765" t="s">
        <v>37</v>
      </c>
      <c r="C765" t="s">
        <v>37</v>
      </c>
      <c r="D765" t="s">
        <v>38</v>
      </c>
      <c r="E765" s="4">
        <v>0</v>
      </c>
      <c r="F765" s="5">
        <v>0</v>
      </c>
      <c r="G765" s="5" t="s">
        <v>39</v>
      </c>
      <c r="H765" s="5">
        <v>0</v>
      </c>
      <c r="I765" s="5" t="s">
        <v>39</v>
      </c>
      <c r="J765" s="5">
        <v>0</v>
      </c>
      <c r="K765" s="5" t="e">
        <f t="shared" si="33"/>
        <v>#DIV/0!</v>
      </c>
      <c r="L765" s="5" t="e">
        <f t="shared" si="34"/>
        <v>#DIV/0!</v>
      </c>
      <c r="M765" s="5" t="s">
        <v>39</v>
      </c>
      <c r="N765" s="5">
        <v>0</v>
      </c>
      <c r="O765" s="5" t="s">
        <v>39</v>
      </c>
      <c r="P765" t="s">
        <v>128</v>
      </c>
      <c r="Q765" t="s">
        <v>1401</v>
      </c>
      <c r="R765" t="s">
        <v>37</v>
      </c>
      <c r="S765" t="s">
        <v>1402</v>
      </c>
      <c r="T765" t="s">
        <v>43</v>
      </c>
      <c r="U765" t="s">
        <v>44</v>
      </c>
      <c r="V765">
        <v>147</v>
      </c>
      <c r="W765" t="s">
        <v>45</v>
      </c>
      <c r="X765" t="s">
        <v>60</v>
      </c>
      <c r="Y765" t="s">
        <v>1403</v>
      </c>
      <c r="Z765" t="s">
        <v>37</v>
      </c>
      <c r="AA765" t="s">
        <v>48</v>
      </c>
      <c r="AB765" t="s">
        <v>37</v>
      </c>
      <c r="AC765" s="6" t="s">
        <v>37</v>
      </c>
      <c r="AD765" s="6" t="s">
        <v>37</v>
      </c>
      <c r="AE765" t="s">
        <v>37</v>
      </c>
      <c r="AF765" t="s">
        <v>37</v>
      </c>
      <c r="AG765" s="6" t="s">
        <v>37</v>
      </c>
      <c r="AH765" t="s">
        <v>37</v>
      </c>
      <c r="AI765" t="s">
        <v>37</v>
      </c>
      <c r="AJ765" t="str">
        <f t="shared" si="35"/>
        <v>7RAC5F9EB013SL26LS</v>
      </c>
    </row>
    <row r="766" spans="1:36" ht="15" customHeight="1" x14ac:dyDescent="0.25">
      <c r="A766" t="s">
        <v>221</v>
      </c>
      <c r="B766" t="s">
        <v>37</v>
      </c>
      <c r="C766" t="s">
        <v>37</v>
      </c>
      <c r="D766" t="s">
        <v>38</v>
      </c>
      <c r="E766" s="4">
        <v>12</v>
      </c>
      <c r="F766" s="5">
        <v>443.16</v>
      </c>
      <c r="G766" s="5" t="s">
        <v>39</v>
      </c>
      <c r="H766" s="5">
        <v>737.64</v>
      </c>
      <c r="I766" s="5" t="s">
        <v>39</v>
      </c>
      <c r="J766" s="5">
        <v>15.06744</v>
      </c>
      <c r="K766" s="5">
        <f t="shared" si="33"/>
        <v>1.25562</v>
      </c>
      <c r="L766" s="5">
        <f t="shared" si="34"/>
        <v>36.93</v>
      </c>
      <c r="M766" s="5" t="s">
        <v>39</v>
      </c>
      <c r="N766" s="5">
        <v>15.06744</v>
      </c>
      <c r="O766" s="5" t="s">
        <v>39</v>
      </c>
      <c r="P766" t="s">
        <v>1415</v>
      </c>
      <c r="Q766" t="s">
        <v>266</v>
      </c>
      <c r="R766" t="s">
        <v>37</v>
      </c>
      <c r="S766" t="s">
        <v>267</v>
      </c>
      <c r="T766" t="s">
        <v>43</v>
      </c>
      <c r="U766" t="s">
        <v>44</v>
      </c>
      <c r="V766">
        <v>147</v>
      </c>
      <c r="W766" t="s">
        <v>45</v>
      </c>
      <c r="X766" t="s">
        <v>53</v>
      </c>
      <c r="Y766" t="s">
        <v>268</v>
      </c>
      <c r="Z766" t="s">
        <v>37</v>
      </c>
      <c r="AA766" t="s">
        <v>48</v>
      </c>
      <c r="AB766" t="s">
        <v>37</v>
      </c>
      <c r="AC766" s="6" t="s">
        <v>37</v>
      </c>
      <c r="AD766" s="6" t="s">
        <v>37</v>
      </c>
      <c r="AE766" t="s">
        <v>37</v>
      </c>
      <c r="AF766" t="s">
        <v>37</v>
      </c>
      <c r="AG766" s="6" t="s">
        <v>37</v>
      </c>
      <c r="AH766" t="s">
        <v>37</v>
      </c>
      <c r="AI766" t="s">
        <v>37</v>
      </c>
      <c r="AJ766" t="str">
        <f t="shared" si="35"/>
        <v>2NHJ23TZB07CGNDZR3</v>
      </c>
    </row>
    <row r="767" spans="1:36" ht="15" customHeight="1" x14ac:dyDescent="0.25">
      <c r="A767" t="s">
        <v>71</v>
      </c>
      <c r="B767" t="s">
        <v>37</v>
      </c>
      <c r="C767" t="s">
        <v>37</v>
      </c>
      <c r="D767" t="s">
        <v>38</v>
      </c>
      <c r="E767" s="4">
        <v>0</v>
      </c>
      <c r="F767" s="5">
        <v>0</v>
      </c>
      <c r="G767" s="5" t="s">
        <v>39</v>
      </c>
      <c r="H767" s="5">
        <v>0</v>
      </c>
      <c r="I767" s="5" t="s">
        <v>39</v>
      </c>
      <c r="J767" s="5">
        <v>0</v>
      </c>
      <c r="K767" s="5" t="e">
        <f t="shared" si="33"/>
        <v>#DIV/0!</v>
      </c>
      <c r="L767" s="5" t="e">
        <f t="shared" si="34"/>
        <v>#DIV/0!</v>
      </c>
      <c r="M767" s="5" t="s">
        <v>39</v>
      </c>
      <c r="N767" s="5">
        <v>0</v>
      </c>
      <c r="O767" s="5" t="s">
        <v>39</v>
      </c>
      <c r="P767" t="s">
        <v>1415</v>
      </c>
      <c r="Q767" t="s">
        <v>266</v>
      </c>
      <c r="R767" t="s">
        <v>37</v>
      </c>
      <c r="S767" t="s">
        <v>267</v>
      </c>
      <c r="T767" t="s">
        <v>43</v>
      </c>
      <c r="U767" t="s">
        <v>44</v>
      </c>
      <c r="V767">
        <v>147</v>
      </c>
      <c r="W767" t="s">
        <v>45</v>
      </c>
      <c r="X767" t="s">
        <v>53</v>
      </c>
      <c r="Y767" t="s">
        <v>268</v>
      </c>
      <c r="Z767" t="s">
        <v>37</v>
      </c>
      <c r="AA767" t="s">
        <v>48</v>
      </c>
      <c r="AB767" t="s">
        <v>37</v>
      </c>
      <c r="AC767" s="6" t="s">
        <v>37</v>
      </c>
      <c r="AD767" s="6" t="s">
        <v>37</v>
      </c>
      <c r="AE767" t="s">
        <v>37</v>
      </c>
      <c r="AF767" t="s">
        <v>37</v>
      </c>
      <c r="AG767" s="6" t="s">
        <v>37</v>
      </c>
      <c r="AH767" t="s">
        <v>37</v>
      </c>
      <c r="AI767" t="s">
        <v>37</v>
      </c>
      <c r="AJ767" t="str">
        <f t="shared" si="35"/>
        <v>2NHJ23TZB07CGNDZR3</v>
      </c>
    </row>
    <row r="768" spans="1:36" ht="15" customHeight="1" x14ac:dyDescent="0.25">
      <c r="A768" t="s">
        <v>162</v>
      </c>
      <c r="B768" t="s">
        <v>37</v>
      </c>
      <c r="C768" t="s">
        <v>37</v>
      </c>
      <c r="D768" t="s">
        <v>38</v>
      </c>
      <c r="E768" s="4">
        <v>4</v>
      </c>
      <c r="F768" s="5">
        <v>94.96</v>
      </c>
      <c r="G768" s="5" t="s">
        <v>39</v>
      </c>
      <c r="H768" s="5">
        <v>134.4</v>
      </c>
      <c r="I768" s="5" t="s">
        <v>39</v>
      </c>
      <c r="J768" s="5">
        <v>3.22864</v>
      </c>
      <c r="K768" s="5">
        <f t="shared" si="33"/>
        <v>0.80715999999999999</v>
      </c>
      <c r="L768" s="5">
        <f t="shared" si="34"/>
        <v>23.74</v>
      </c>
      <c r="M768" s="5" t="s">
        <v>39</v>
      </c>
      <c r="N768" s="5">
        <v>3.22864</v>
      </c>
      <c r="O768" s="5" t="s">
        <v>39</v>
      </c>
      <c r="P768" t="s">
        <v>168</v>
      </c>
      <c r="Q768" t="s">
        <v>657</v>
      </c>
      <c r="R768" t="s">
        <v>37</v>
      </c>
      <c r="S768" t="s">
        <v>658</v>
      </c>
      <c r="T768" t="s">
        <v>43</v>
      </c>
      <c r="U768" t="s">
        <v>44</v>
      </c>
      <c r="V768">
        <v>147</v>
      </c>
      <c r="W768" t="s">
        <v>45</v>
      </c>
      <c r="X768" t="s">
        <v>53</v>
      </c>
      <c r="Y768" t="s">
        <v>659</v>
      </c>
      <c r="Z768" t="s">
        <v>37</v>
      </c>
      <c r="AA768" t="s">
        <v>55</v>
      </c>
      <c r="AB768" t="s">
        <v>37</v>
      </c>
      <c r="AC768" s="6" t="s">
        <v>37</v>
      </c>
      <c r="AD768" s="6" t="s">
        <v>37</v>
      </c>
      <c r="AE768" t="s">
        <v>37</v>
      </c>
      <c r="AF768" t="s">
        <v>37</v>
      </c>
      <c r="AG768" s="6" t="s">
        <v>37</v>
      </c>
      <c r="AH768" t="s">
        <v>37</v>
      </c>
      <c r="AI768" t="s">
        <v>37</v>
      </c>
      <c r="AJ768" t="str">
        <f t="shared" si="35"/>
        <v>2R6FMUZDB07W5JKFQC</v>
      </c>
    </row>
    <row r="769" spans="1:36" ht="15" customHeight="1" x14ac:dyDescent="0.25">
      <c r="A769" t="s">
        <v>36</v>
      </c>
      <c r="B769" t="s">
        <v>37</v>
      </c>
      <c r="C769" t="s">
        <v>37</v>
      </c>
      <c r="D769" t="s">
        <v>38</v>
      </c>
      <c r="E769" s="4">
        <v>24</v>
      </c>
      <c r="F769" s="5">
        <v>632.88</v>
      </c>
      <c r="G769" s="5" t="s">
        <v>39</v>
      </c>
      <c r="H769" s="5">
        <v>1022.64</v>
      </c>
      <c r="I769" s="5" t="s">
        <v>39</v>
      </c>
      <c r="J769" s="5">
        <v>21.51792</v>
      </c>
      <c r="K769" s="5">
        <f t="shared" si="33"/>
        <v>0.89658000000000004</v>
      </c>
      <c r="L769" s="5">
        <f t="shared" si="34"/>
        <v>26.37</v>
      </c>
      <c r="M769" s="5" t="s">
        <v>39</v>
      </c>
      <c r="N769" s="5">
        <v>21.51792</v>
      </c>
      <c r="O769" s="5" t="s">
        <v>39</v>
      </c>
      <c r="P769" t="s">
        <v>365</v>
      </c>
      <c r="Q769" t="s">
        <v>588</v>
      </c>
      <c r="R769" t="s">
        <v>37</v>
      </c>
      <c r="S769" t="s">
        <v>589</v>
      </c>
      <c r="T769" t="s">
        <v>43</v>
      </c>
      <c r="U769" t="s">
        <v>44</v>
      </c>
      <c r="V769">
        <v>147</v>
      </c>
      <c r="W769" t="s">
        <v>45</v>
      </c>
      <c r="X769" t="s">
        <v>590</v>
      </c>
      <c r="Y769" t="s">
        <v>591</v>
      </c>
      <c r="Z769" t="s">
        <v>37</v>
      </c>
      <c r="AA769" t="s">
        <v>55</v>
      </c>
      <c r="AB769" t="s">
        <v>37</v>
      </c>
      <c r="AC769" s="6" t="s">
        <v>37</v>
      </c>
      <c r="AD769" s="6" t="s">
        <v>37</v>
      </c>
      <c r="AE769" t="s">
        <v>37</v>
      </c>
      <c r="AF769" t="s">
        <v>37</v>
      </c>
      <c r="AG769" s="6" t="s">
        <v>37</v>
      </c>
      <c r="AH769" t="s">
        <v>37</v>
      </c>
      <c r="AI769" t="s">
        <v>37</v>
      </c>
      <c r="AJ769" t="str">
        <f t="shared" si="35"/>
        <v>3KYCEHVHB07W6HFDR8</v>
      </c>
    </row>
    <row r="770" spans="1:36" ht="15" customHeight="1" x14ac:dyDescent="0.25">
      <c r="A770" t="s">
        <v>118</v>
      </c>
      <c r="B770" t="s">
        <v>37</v>
      </c>
      <c r="C770" t="s">
        <v>37</v>
      </c>
      <c r="D770" t="s">
        <v>38</v>
      </c>
      <c r="E770" s="4">
        <v>4</v>
      </c>
      <c r="F770" s="5">
        <v>93.68</v>
      </c>
      <c r="G770" s="5" t="s">
        <v>39</v>
      </c>
      <c r="H770" s="5">
        <v>144.24</v>
      </c>
      <c r="I770" s="5" t="s">
        <v>39</v>
      </c>
      <c r="J770" s="5">
        <v>3.18512</v>
      </c>
      <c r="K770" s="5">
        <f t="shared" si="33"/>
        <v>0.79627999999999999</v>
      </c>
      <c r="L770" s="5">
        <f t="shared" si="34"/>
        <v>23.42</v>
      </c>
      <c r="M770" s="5" t="s">
        <v>39</v>
      </c>
      <c r="N770" s="5">
        <v>3.18512</v>
      </c>
      <c r="O770" s="5" t="s">
        <v>39</v>
      </c>
      <c r="P770" t="s">
        <v>462</v>
      </c>
      <c r="Q770" t="s">
        <v>761</v>
      </c>
      <c r="R770" t="s">
        <v>762</v>
      </c>
      <c r="S770" t="s">
        <v>763</v>
      </c>
      <c r="T770" t="s">
        <v>43</v>
      </c>
      <c r="U770" t="s">
        <v>44</v>
      </c>
      <c r="V770">
        <v>147</v>
      </c>
      <c r="W770" t="s">
        <v>45</v>
      </c>
      <c r="X770" t="s">
        <v>60</v>
      </c>
      <c r="Y770" t="s">
        <v>764</v>
      </c>
      <c r="Z770" t="s">
        <v>37</v>
      </c>
      <c r="AA770" t="s">
        <v>55</v>
      </c>
      <c r="AB770" t="s">
        <v>37</v>
      </c>
      <c r="AC770" s="6" t="s">
        <v>37</v>
      </c>
      <c r="AD770" s="6" t="s">
        <v>37</v>
      </c>
      <c r="AE770" t="s">
        <v>37</v>
      </c>
      <c r="AF770" t="s">
        <v>37</v>
      </c>
      <c r="AG770" s="6" t="s">
        <v>37</v>
      </c>
      <c r="AH770" t="s">
        <v>37</v>
      </c>
      <c r="AI770" t="s">
        <v>37</v>
      </c>
      <c r="AJ770" t="str">
        <f t="shared" si="35"/>
        <v>17D6YHERB0074486GA</v>
      </c>
    </row>
    <row r="771" spans="1:36" ht="15" customHeight="1" x14ac:dyDescent="0.25">
      <c r="A771" t="s">
        <v>76</v>
      </c>
      <c r="B771" t="s">
        <v>37</v>
      </c>
      <c r="C771" t="s">
        <v>37</v>
      </c>
      <c r="D771" t="s">
        <v>38</v>
      </c>
      <c r="E771" s="4">
        <v>8</v>
      </c>
      <c r="F771" s="5">
        <v>257.68</v>
      </c>
      <c r="G771" s="5" t="s">
        <v>39</v>
      </c>
      <c r="H771" s="5">
        <v>386.8</v>
      </c>
      <c r="I771" s="5" t="s">
        <v>39</v>
      </c>
      <c r="J771" s="5">
        <v>8.76112</v>
      </c>
      <c r="K771" s="5">
        <f t="shared" ref="K771:K834" si="36">J771/E771</f>
        <v>1.09514</v>
      </c>
      <c r="L771" s="5">
        <f t="shared" ref="L771:L834" si="37">F771/E771</f>
        <v>32.21</v>
      </c>
      <c r="M771" s="5" t="s">
        <v>39</v>
      </c>
      <c r="N771" s="5">
        <v>8.76112</v>
      </c>
      <c r="O771" s="5" t="s">
        <v>39</v>
      </c>
      <c r="P771" t="s">
        <v>102</v>
      </c>
      <c r="Q771" t="s">
        <v>693</v>
      </c>
      <c r="R771" t="s">
        <v>37</v>
      </c>
      <c r="S771" t="s">
        <v>694</v>
      </c>
      <c r="T771" t="s">
        <v>43</v>
      </c>
      <c r="U771" t="s">
        <v>44</v>
      </c>
      <c r="V771">
        <v>147</v>
      </c>
      <c r="W771" t="s">
        <v>45</v>
      </c>
      <c r="X771" t="s">
        <v>60</v>
      </c>
      <c r="Y771" t="s">
        <v>695</v>
      </c>
      <c r="Z771" t="s">
        <v>37</v>
      </c>
      <c r="AA771" t="s">
        <v>55</v>
      </c>
      <c r="AB771" t="s">
        <v>37</v>
      </c>
      <c r="AC771" s="6" t="s">
        <v>37</v>
      </c>
      <c r="AD771" s="6" t="s">
        <v>37</v>
      </c>
      <c r="AE771" t="s">
        <v>37</v>
      </c>
      <c r="AF771" t="s">
        <v>37</v>
      </c>
      <c r="AG771" s="6" t="s">
        <v>37</v>
      </c>
      <c r="AH771" t="s">
        <v>37</v>
      </c>
      <c r="AI771" t="s">
        <v>37</v>
      </c>
      <c r="AJ771" t="str">
        <f t="shared" ref="AJ771:AJ834" si="38">P771&amp;Q771</f>
        <v>2M7QFTCOB00MWNDUDM</v>
      </c>
    </row>
    <row r="772" spans="1:36" ht="15" customHeight="1" x14ac:dyDescent="0.25">
      <c r="A772" t="s">
        <v>36</v>
      </c>
      <c r="B772" t="s">
        <v>37</v>
      </c>
      <c r="C772" t="s">
        <v>37</v>
      </c>
      <c r="D772" t="s">
        <v>38</v>
      </c>
      <c r="E772" s="4">
        <v>4</v>
      </c>
      <c r="F772" s="5">
        <v>335.56</v>
      </c>
      <c r="G772" s="5" t="s">
        <v>39</v>
      </c>
      <c r="H772" s="5">
        <v>554.08000000000004</v>
      </c>
      <c r="I772" s="5" t="s">
        <v>39</v>
      </c>
      <c r="J772" s="5">
        <v>11.409039999999999</v>
      </c>
      <c r="K772" s="5">
        <f t="shared" si="36"/>
        <v>2.8522599999999998</v>
      </c>
      <c r="L772" s="5">
        <f t="shared" si="37"/>
        <v>83.89</v>
      </c>
      <c r="M772" s="5" t="s">
        <v>39</v>
      </c>
      <c r="N772" s="5">
        <v>11.409039999999999</v>
      </c>
      <c r="O772" s="5" t="s">
        <v>39</v>
      </c>
      <c r="P772" t="s">
        <v>1437</v>
      </c>
      <c r="Q772" t="s">
        <v>1438</v>
      </c>
      <c r="R772" t="s">
        <v>37</v>
      </c>
      <c r="S772" t="s">
        <v>1439</v>
      </c>
      <c r="T772" t="s">
        <v>43</v>
      </c>
      <c r="U772" t="s">
        <v>44</v>
      </c>
      <c r="V772">
        <v>147</v>
      </c>
      <c r="W772" t="s">
        <v>45</v>
      </c>
      <c r="X772" t="s">
        <v>46</v>
      </c>
      <c r="Y772" t="s">
        <v>1440</v>
      </c>
      <c r="Z772" t="s">
        <v>37</v>
      </c>
      <c r="AA772" t="s">
        <v>55</v>
      </c>
      <c r="AB772" t="s">
        <v>37</v>
      </c>
      <c r="AC772" s="6" t="s">
        <v>37</v>
      </c>
      <c r="AD772" s="6" t="s">
        <v>37</v>
      </c>
      <c r="AE772" t="s">
        <v>37</v>
      </c>
      <c r="AF772" t="s">
        <v>37</v>
      </c>
      <c r="AG772" s="6" t="s">
        <v>37</v>
      </c>
      <c r="AH772" t="s">
        <v>37</v>
      </c>
      <c r="AI772" t="s">
        <v>37</v>
      </c>
      <c r="AJ772" t="str">
        <f t="shared" si="38"/>
        <v>33A3KRGGB07W6JNG13</v>
      </c>
    </row>
    <row r="773" spans="1:36" ht="15" customHeight="1" x14ac:dyDescent="0.25">
      <c r="A773" t="s">
        <v>101</v>
      </c>
      <c r="B773" t="s">
        <v>37</v>
      </c>
      <c r="C773" t="s">
        <v>37</v>
      </c>
      <c r="D773" t="s">
        <v>38</v>
      </c>
      <c r="E773" s="4">
        <v>40</v>
      </c>
      <c r="F773" s="5">
        <v>421.2</v>
      </c>
      <c r="G773" s="5" t="s">
        <v>39</v>
      </c>
      <c r="H773" s="5">
        <v>655.6</v>
      </c>
      <c r="I773" s="5" t="s">
        <v>39</v>
      </c>
      <c r="J773" s="5">
        <v>14.3208</v>
      </c>
      <c r="K773" s="5">
        <f t="shared" si="36"/>
        <v>0.35802</v>
      </c>
      <c r="L773" s="5">
        <f t="shared" si="37"/>
        <v>10.53</v>
      </c>
      <c r="M773" s="5" t="s">
        <v>39</v>
      </c>
      <c r="N773" s="5">
        <v>14.3208</v>
      </c>
      <c r="O773" s="5" t="s">
        <v>39</v>
      </c>
      <c r="P773" t="s">
        <v>274</v>
      </c>
      <c r="Q773" t="s">
        <v>1441</v>
      </c>
      <c r="R773" t="s">
        <v>37</v>
      </c>
      <c r="S773" t="s">
        <v>1442</v>
      </c>
      <c r="T773" t="s">
        <v>43</v>
      </c>
      <c r="U773" t="s">
        <v>44</v>
      </c>
      <c r="V773">
        <v>147</v>
      </c>
      <c r="W773" t="s">
        <v>45</v>
      </c>
      <c r="X773" t="s">
        <v>53</v>
      </c>
      <c r="Y773" t="s">
        <v>1443</v>
      </c>
      <c r="Z773" t="s">
        <v>37</v>
      </c>
      <c r="AA773" t="s">
        <v>55</v>
      </c>
      <c r="AB773" t="s">
        <v>37</v>
      </c>
      <c r="AC773" s="6" t="s">
        <v>37</v>
      </c>
      <c r="AD773" s="6" t="s">
        <v>37</v>
      </c>
      <c r="AE773" t="s">
        <v>37</v>
      </c>
      <c r="AF773" t="s">
        <v>37</v>
      </c>
      <c r="AG773" s="6" t="s">
        <v>37</v>
      </c>
      <c r="AH773" t="s">
        <v>37</v>
      </c>
      <c r="AI773" t="s">
        <v>37</v>
      </c>
      <c r="AJ773" t="str">
        <f t="shared" si="38"/>
        <v>4LYATDUXB07W5JK4VQ</v>
      </c>
    </row>
    <row r="774" spans="1:36" ht="15" customHeight="1" x14ac:dyDescent="0.25">
      <c r="A774" t="s">
        <v>101</v>
      </c>
      <c r="B774" t="s">
        <v>37</v>
      </c>
      <c r="C774" t="s">
        <v>37</v>
      </c>
      <c r="D774" t="s">
        <v>38</v>
      </c>
      <c r="E774" s="4">
        <v>10</v>
      </c>
      <c r="F774" s="5">
        <v>292.8</v>
      </c>
      <c r="G774" s="5" t="s">
        <v>39</v>
      </c>
      <c r="H774" s="5">
        <v>442.5</v>
      </c>
      <c r="I774" s="5" t="s">
        <v>39</v>
      </c>
      <c r="J774" s="5">
        <v>9.9551999999999996</v>
      </c>
      <c r="K774" s="5">
        <f t="shared" si="36"/>
        <v>0.99551999999999996</v>
      </c>
      <c r="L774" s="5">
        <f t="shared" si="37"/>
        <v>29.28</v>
      </c>
      <c r="M774" s="5" t="s">
        <v>39</v>
      </c>
      <c r="N774" s="5">
        <v>9.9551999999999996</v>
      </c>
      <c r="O774" s="5" t="s">
        <v>39</v>
      </c>
      <c r="P774" t="s">
        <v>72</v>
      </c>
      <c r="Q774" t="s">
        <v>1444</v>
      </c>
      <c r="R774" t="s">
        <v>37</v>
      </c>
      <c r="S774" t="s">
        <v>1445</v>
      </c>
      <c r="T774" t="s">
        <v>43</v>
      </c>
      <c r="U774" t="s">
        <v>44</v>
      </c>
      <c r="V774">
        <v>147</v>
      </c>
      <c r="W774" t="s">
        <v>45</v>
      </c>
      <c r="X774" t="s">
        <v>53</v>
      </c>
      <c r="Y774" t="s">
        <v>1446</v>
      </c>
      <c r="Z774" t="s">
        <v>37</v>
      </c>
      <c r="AA774" t="s">
        <v>55</v>
      </c>
      <c r="AB774" t="s">
        <v>37</v>
      </c>
      <c r="AC774" s="6" t="s">
        <v>37</v>
      </c>
      <c r="AD774" s="6" t="s">
        <v>37</v>
      </c>
      <c r="AE774" t="s">
        <v>37</v>
      </c>
      <c r="AF774" t="s">
        <v>37</v>
      </c>
      <c r="AG774" s="6" t="s">
        <v>37</v>
      </c>
      <c r="AH774" t="s">
        <v>37</v>
      </c>
      <c r="AI774" t="s">
        <v>37</v>
      </c>
      <c r="AJ774" t="str">
        <f t="shared" si="38"/>
        <v>4GF112AEB07W6HSPY7</v>
      </c>
    </row>
    <row r="775" spans="1:36" ht="15" customHeight="1" x14ac:dyDescent="0.25">
      <c r="A775" t="s">
        <v>49</v>
      </c>
      <c r="B775" t="s">
        <v>37</v>
      </c>
      <c r="C775" t="s">
        <v>37</v>
      </c>
      <c r="D775" t="s">
        <v>38</v>
      </c>
      <c r="E775" s="4">
        <v>88</v>
      </c>
      <c r="F775" s="5">
        <v>2834.48</v>
      </c>
      <c r="G775" s="5" t="s">
        <v>39</v>
      </c>
      <c r="H775" s="5">
        <v>4254.8</v>
      </c>
      <c r="I775" s="5" t="s">
        <v>39</v>
      </c>
      <c r="J775" s="5">
        <v>96.372320000000002</v>
      </c>
      <c r="K775" s="5">
        <f t="shared" si="36"/>
        <v>1.09514</v>
      </c>
      <c r="L775" s="5">
        <f t="shared" si="37"/>
        <v>32.21</v>
      </c>
      <c r="M775" s="5" t="s">
        <v>39</v>
      </c>
      <c r="N775" s="5">
        <v>96.372320000000002</v>
      </c>
      <c r="O775" s="5" t="s">
        <v>39</v>
      </c>
      <c r="P775" t="s">
        <v>128</v>
      </c>
      <c r="Q775" t="s">
        <v>1401</v>
      </c>
      <c r="R775" t="s">
        <v>37</v>
      </c>
      <c r="S775" t="s">
        <v>1402</v>
      </c>
      <c r="T775" t="s">
        <v>43</v>
      </c>
      <c r="U775" t="s">
        <v>44</v>
      </c>
      <c r="V775">
        <v>147</v>
      </c>
      <c r="W775" t="s">
        <v>45</v>
      </c>
      <c r="X775" t="s">
        <v>60</v>
      </c>
      <c r="Y775" t="s">
        <v>1403</v>
      </c>
      <c r="Z775" t="s">
        <v>37</v>
      </c>
      <c r="AA775" t="s">
        <v>48</v>
      </c>
      <c r="AB775" t="s">
        <v>37</v>
      </c>
      <c r="AC775" s="6" t="s">
        <v>37</v>
      </c>
      <c r="AD775" s="6" t="s">
        <v>37</v>
      </c>
      <c r="AE775" t="s">
        <v>37</v>
      </c>
      <c r="AF775" t="s">
        <v>37</v>
      </c>
      <c r="AG775" s="6" t="s">
        <v>37</v>
      </c>
      <c r="AH775" t="s">
        <v>37</v>
      </c>
      <c r="AI775" t="s">
        <v>37</v>
      </c>
      <c r="AJ775" t="str">
        <f t="shared" si="38"/>
        <v>7RAC5F9EB013SL26LS</v>
      </c>
    </row>
    <row r="776" spans="1:36" ht="15" customHeight="1" x14ac:dyDescent="0.25">
      <c r="A776" t="s">
        <v>56</v>
      </c>
      <c r="B776" t="s">
        <v>37</v>
      </c>
      <c r="C776" t="s">
        <v>37</v>
      </c>
      <c r="D776" t="s">
        <v>38</v>
      </c>
      <c r="E776" s="4">
        <v>8</v>
      </c>
      <c r="F776" s="5">
        <v>187.36</v>
      </c>
      <c r="G776" s="5" t="s">
        <v>39</v>
      </c>
      <c r="H776" s="5">
        <v>288.48</v>
      </c>
      <c r="I776" s="5" t="s">
        <v>39</v>
      </c>
      <c r="J776" s="5">
        <v>6.3702399999999999</v>
      </c>
      <c r="K776" s="5">
        <f t="shared" si="36"/>
        <v>0.79627999999999999</v>
      </c>
      <c r="L776" s="5">
        <f t="shared" si="37"/>
        <v>23.42</v>
      </c>
      <c r="M776" s="5" t="s">
        <v>39</v>
      </c>
      <c r="N776" s="5">
        <v>6.3702399999999999</v>
      </c>
      <c r="O776" s="5" t="s">
        <v>39</v>
      </c>
      <c r="P776" t="s">
        <v>57</v>
      </c>
      <c r="Q776" t="s">
        <v>362</v>
      </c>
      <c r="R776" t="s">
        <v>37</v>
      </c>
      <c r="S776" t="s">
        <v>363</v>
      </c>
      <c r="T776" t="s">
        <v>43</v>
      </c>
      <c r="U776" t="s">
        <v>44</v>
      </c>
      <c r="V776">
        <v>147</v>
      </c>
      <c r="W776" t="s">
        <v>45</v>
      </c>
      <c r="X776" t="s">
        <v>60</v>
      </c>
      <c r="Y776" t="s">
        <v>364</v>
      </c>
      <c r="Z776" t="s">
        <v>37</v>
      </c>
      <c r="AA776" t="s">
        <v>55</v>
      </c>
      <c r="AB776" t="s">
        <v>37</v>
      </c>
      <c r="AC776" s="6" t="s">
        <v>37</v>
      </c>
      <c r="AD776" s="6" t="s">
        <v>37</v>
      </c>
      <c r="AE776" t="s">
        <v>37</v>
      </c>
      <c r="AF776" t="s">
        <v>37</v>
      </c>
      <c r="AG776" s="6" t="s">
        <v>37</v>
      </c>
      <c r="AH776" t="s">
        <v>37</v>
      </c>
      <c r="AI776" t="s">
        <v>37</v>
      </c>
      <c r="AJ776" t="str">
        <f t="shared" si="38"/>
        <v>3GBCH66MB01DKGAQNG</v>
      </c>
    </row>
    <row r="777" spans="1:36" ht="15" customHeight="1" x14ac:dyDescent="0.25">
      <c r="A777" t="s">
        <v>210</v>
      </c>
      <c r="B777" t="s">
        <v>37</v>
      </c>
      <c r="C777" t="s">
        <v>37</v>
      </c>
      <c r="D777" t="s">
        <v>38</v>
      </c>
      <c r="E777" s="4">
        <v>100</v>
      </c>
      <c r="F777" s="5">
        <v>6806</v>
      </c>
      <c r="G777" s="5" t="s">
        <v>39</v>
      </c>
      <c r="H777" s="5">
        <v>11393</v>
      </c>
      <c r="I777" s="5" t="s">
        <v>39</v>
      </c>
      <c r="J777" s="5">
        <v>231.404</v>
      </c>
      <c r="K777" s="5">
        <f t="shared" si="36"/>
        <v>2.3140399999999999</v>
      </c>
      <c r="L777" s="5">
        <f t="shared" si="37"/>
        <v>68.06</v>
      </c>
      <c r="M777" s="5" t="s">
        <v>39</v>
      </c>
      <c r="N777" s="5">
        <v>231.404</v>
      </c>
      <c r="O777" s="5" t="s">
        <v>39</v>
      </c>
      <c r="P777" t="s">
        <v>976</v>
      </c>
      <c r="Q777" t="s">
        <v>545</v>
      </c>
      <c r="R777" t="s">
        <v>37</v>
      </c>
      <c r="S777" t="s">
        <v>546</v>
      </c>
      <c r="T777" t="s">
        <v>43</v>
      </c>
      <c r="U777" t="s">
        <v>44</v>
      </c>
      <c r="V777">
        <v>147</v>
      </c>
      <c r="W777" t="s">
        <v>45</v>
      </c>
      <c r="X777" t="s">
        <v>60</v>
      </c>
      <c r="Y777" t="s">
        <v>547</v>
      </c>
      <c r="Z777" t="s">
        <v>37</v>
      </c>
      <c r="AA777" t="s">
        <v>55</v>
      </c>
      <c r="AB777" t="s">
        <v>37</v>
      </c>
      <c r="AC777" s="6" t="s">
        <v>37</v>
      </c>
      <c r="AD777" s="6" t="s">
        <v>37</v>
      </c>
      <c r="AE777" t="s">
        <v>37</v>
      </c>
      <c r="AF777" t="s">
        <v>37</v>
      </c>
      <c r="AG777" s="6" t="s">
        <v>37</v>
      </c>
      <c r="AH777" t="s">
        <v>37</v>
      </c>
      <c r="AI777" t="s">
        <v>37</v>
      </c>
      <c r="AJ777" t="str">
        <f t="shared" si="38"/>
        <v>8JIYRRZWB07W5JJP7D</v>
      </c>
    </row>
    <row r="778" spans="1:36" ht="15" customHeight="1" x14ac:dyDescent="0.25">
      <c r="A778" t="s">
        <v>88</v>
      </c>
      <c r="B778" t="s">
        <v>37</v>
      </c>
      <c r="C778" t="s">
        <v>37</v>
      </c>
      <c r="D778" t="s">
        <v>38</v>
      </c>
      <c r="E778" s="4">
        <v>28</v>
      </c>
      <c r="F778" s="5">
        <v>2111.48</v>
      </c>
      <c r="G778" s="5" t="s">
        <v>39</v>
      </c>
      <c r="H778" s="5">
        <v>3098.2</v>
      </c>
      <c r="I778" s="5" t="s">
        <v>39</v>
      </c>
      <c r="J778" s="5">
        <v>71.790319999999994</v>
      </c>
      <c r="K778" s="5">
        <f t="shared" si="36"/>
        <v>2.5639399999999997</v>
      </c>
      <c r="L778" s="5">
        <f t="shared" si="37"/>
        <v>75.41</v>
      </c>
      <c r="M778" s="5" t="s">
        <v>39</v>
      </c>
      <c r="N778" s="5">
        <v>71.790319999999994</v>
      </c>
      <c r="O778" s="5" t="s">
        <v>39</v>
      </c>
      <c r="P778" t="s">
        <v>133</v>
      </c>
      <c r="Q778" t="s">
        <v>1447</v>
      </c>
      <c r="R778" t="s">
        <v>37</v>
      </c>
      <c r="S778" t="s">
        <v>1448</v>
      </c>
      <c r="T778" t="s">
        <v>43</v>
      </c>
      <c r="U778" t="s">
        <v>44</v>
      </c>
      <c r="V778">
        <v>147</v>
      </c>
      <c r="W778" t="s">
        <v>45</v>
      </c>
      <c r="X778" t="s">
        <v>53</v>
      </c>
      <c r="Y778" t="s">
        <v>1449</v>
      </c>
      <c r="Z778" t="s">
        <v>37</v>
      </c>
      <c r="AA778" t="s">
        <v>48</v>
      </c>
      <c r="AB778" t="s">
        <v>37</v>
      </c>
      <c r="AC778" s="6" t="s">
        <v>37</v>
      </c>
      <c r="AD778" s="6" t="s">
        <v>37</v>
      </c>
      <c r="AE778" t="s">
        <v>37</v>
      </c>
      <c r="AF778" t="s">
        <v>37</v>
      </c>
      <c r="AG778" s="6" t="s">
        <v>37</v>
      </c>
      <c r="AH778" t="s">
        <v>37</v>
      </c>
      <c r="AI778" t="s">
        <v>37</v>
      </c>
      <c r="AJ778" t="str">
        <f t="shared" si="38"/>
        <v>36BT7GGLB07W5JKHFZ</v>
      </c>
    </row>
    <row r="779" spans="1:36" ht="15" customHeight="1" x14ac:dyDescent="0.25">
      <c r="A779" t="s">
        <v>36</v>
      </c>
      <c r="B779" t="s">
        <v>37</v>
      </c>
      <c r="C779" t="s">
        <v>37</v>
      </c>
      <c r="D779" t="s">
        <v>38</v>
      </c>
      <c r="E779" s="4">
        <v>160</v>
      </c>
      <c r="F779" s="5">
        <v>5153.6000000000004</v>
      </c>
      <c r="G779" s="5" t="s">
        <v>39</v>
      </c>
      <c r="H779" s="5">
        <v>7736</v>
      </c>
      <c r="I779" s="5" t="s">
        <v>39</v>
      </c>
      <c r="J779" s="5">
        <v>175.22239999999999</v>
      </c>
      <c r="K779" s="5">
        <f t="shared" si="36"/>
        <v>1.09514</v>
      </c>
      <c r="L779" s="5">
        <f t="shared" si="37"/>
        <v>32.21</v>
      </c>
      <c r="M779" s="5" t="s">
        <v>39</v>
      </c>
      <c r="N779" s="5">
        <v>175.22239999999999</v>
      </c>
      <c r="O779" s="5" t="s">
        <v>39</v>
      </c>
      <c r="P779" t="s">
        <v>133</v>
      </c>
      <c r="Q779" t="s">
        <v>519</v>
      </c>
      <c r="R779" t="s">
        <v>37</v>
      </c>
      <c r="S779" t="s">
        <v>520</v>
      </c>
      <c r="T779" t="s">
        <v>43</v>
      </c>
      <c r="U779" t="s">
        <v>44</v>
      </c>
      <c r="V779">
        <v>147</v>
      </c>
      <c r="W779" t="s">
        <v>45</v>
      </c>
      <c r="X779" t="s">
        <v>60</v>
      </c>
      <c r="Y779" t="s">
        <v>521</v>
      </c>
      <c r="Z779" t="s">
        <v>37</v>
      </c>
      <c r="AA779" t="s">
        <v>48</v>
      </c>
      <c r="AB779" t="s">
        <v>37</v>
      </c>
      <c r="AC779" s="6" t="s">
        <v>37</v>
      </c>
      <c r="AD779" s="6" t="s">
        <v>37</v>
      </c>
      <c r="AE779" t="s">
        <v>37</v>
      </c>
      <c r="AF779" t="s">
        <v>37</v>
      </c>
      <c r="AG779" s="6" t="s">
        <v>37</v>
      </c>
      <c r="AH779" t="s">
        <v>37</v>
      </c>
      <c r="AI779" t="s">
        <v>37</v>
      </c>
      <c r="AJ779" t="str">
        <f t="shared" si="38"/>
        <v>36BT7GGLB013SL1ZU6</v>
      </c>
    </row>
    <row r="780" spans="1:36" ht="15" customHeight="1" x14ac:dyDescent="0.25">
      <c r="A780" t="s">
        <v>56</v>
      </c>
      <c r="B780" t="s">
        <v>37</v>
      </c>
      <c r="C780" t="s">
        <v>37</v>
      </c>
      <c r="D780" t="s">
        <v>38</v>
      </c>
      <c r="E780" s="4">
        <v>10</v>
      </c>
      <c r="F780" s="5">
        <v>163.9</v>
      </c>
      <c r="G780" s="5" t="s">
        <v>39</v>
      </c>
      <c r="H780" s="5">
        <v>245.8</v>
      </c>
      <c r="I780" s="5" t="s">
        <v>39</v>
      </c>
      <c r="J780" s="5">
        <v>5.5726000000000004</v>
      </c>
      <c r="K780" s="5">
        <f t="shared" si="36"/>
        <v>0.55726000000000009</v>
      </c>
      <c r="L780" s="5">
        <f t="shared" si="37"/>
        <v>16.39</v>
      </c>
      <c r="M780" s="5" t="s">
        <v>39</v>
      </c>
      <c r="N780" s="5">
        <v>5.5726000000000004</v>
      </c>
      <c r="O780" s="5" t="s">
        <v>39</v>
      </c>
      <c r="P780" t="s">
        <v>1450</v>
      </c>
      <c r="Q780" t="s">
        <v>917</v>
      </c>
      <c r="R780" t="s">
        <v>37</v>
      </c>
      <c r="S780" t="s">
        <v>918</v>
      </c>
      <c r="T780" t="s">
        <v>43</v>
      </c>
      <c r="U780" t="s">
        <v>44</v>
      </c>
      <c r="V780">
        <v>147</v>
      </c>
      <c r="W780" t="s">
        <v>45</v>
      </c>
      <c r="X780" t="s">
        <v>60</v>
      </c>
      <c r="Y780" t="s">
        <v>919</v>
      </c>
      <c r="Z780" t="s">
        <v>37</v>
      </c>
      <c r="AA780" t="s">
        <v>55</v>
      </c>
      <c r="AB780" t="s">
        <v>37</v>
      </c>
      <c r="AC780" s="6" t="s">
        <v>37</v>
      </c>
      <c r="AD780" s="6" t="s">
        <v>37</v>
      </c>
      <c r="AE780" t="s">
        <v>37</v>
      </c>
      <c r="AF780" t="s">
        <v>37</v>
      </c>
      <c r="AG780" s="6" t="s">
        <v>37</v>
      </c>
      <c r="AH780" t="s">
        <v>37</v>
      </c>
      <c r="AI780" t="s">
        <v>37</v>
      </c>
      <c r="AJ780" t="str">
        <f t="shared" si="38"/>
        <v>1KVFEQGMB00EJ3RMDM</v>
      </c>
    </row>
    <row r="781" spans="1:36" ht="15" customHeight="1" x14ac:dyDescent="0.25">
      <c r="A781" t="s">
        <v>101</v>
      </c>
      <c r="B781" t="s">
        <v>37</v>
      </c>
      <c r="C781" t="s">
        <v>37</v>
      </c>
      <c r="D781" t="s">
        <v>38</v>
      </c>
      <c r="E781" s="4">
        <v>8</v>
      </c>
      <c r="F781" s="5">
        <v>696.08</v>
      </c>
      <c r="G781" s="5" t="s">
        <v>39</v>
      </c>
      <c r="H781" s="5">
        <v>1082</v>
      </c>
      <c r="I781" s="5" t="s">
        <v>39</v>
      </c>
      <c r="J781" s="5">
        <v>23.666720000000002</v>
      </c>
      <c r="K781" s="5">
        <f t="shared" si="36"/>
        <v>2.9583400000000002</v>
      </c>
      <c r="L781" s="5">
        <f t="shared" si="37"/>
        <v>87.01</v>
      </c>
      <c r="M781" s="5" t="s">
        <v>39</v>
      </c>
      <c r="N781" s="5">
        <v>23.666720000000002</v>
      </c>
      <c r="O781" s="5" t="s">
        <v>39</v>
      </c>
      <c r="P781" t="s">
        <v>320</v>
      </c>
      <c r="Q781" t="s">
        <v>1451</v>
      </c>
      <c r="R781" t="s">
        <v>37</v>
      </c>
      <c r="S781" t="s">
        <v>1452</v>
      </c>
      <c r="T781" t="s">
        <v>43</v>
      </c>
      <c r="U781" t="s">
        <v>44</v>
      </c>
      <c r="V781">
        <v>147</v>
      </c>
      <c r="W781" t="s">
        <v>45</v>
      </c>
      <c r="X781" t="s">
        <v>60</v>
      </c>
      <c r="Y781" t="s">
        <v>1453</v>
      </c>
      <c r="Z781" t="s">
        <v>37</v>
      </c>
      <c r="AA781" t="s">
        <v>55</v>
      </c>
      <c r="AB781" t="s">
        <v>37</v>
      </c>
      <c r="AC781" s="6" t="s">
        <v>37</v>
      </c>
      <c r="AD781" s="6" t="s">
        <v>37</v>
      </c>
      <c r="AE781" t="s">
        <v>37</v>
      </c>
      <c r="AF781" t="s">
        <v>37</v>
      </c>
      <c r="AG781" s="6" t="s">
        <v>37</v>
      </c>
      <c r="AH781" t="s">
        <v>37</v>
      </c>
      <c r="AI781" t="s">
        <v>37</v>
      </c>
      <c r="AJ781" t="str">
        <f t="shared" si="38"/>
        <v>8BG295LIB07W6JKJ5J</v>
      </c>
    </row>
    <row r="782" spans="1:36" ht="15" customHeight="1" x14ac:dyDescent="0.25">
      <c r="A782" t="s">
        <v>56</v>
      </c>
      <c r="B782" t="s">
        <v>37</v>
      </c>
      <c r="C782" t="s">
        <v>37</v>
      </c>
      <c r="D782" t="s">
        <v>38</v>
      </c>
      <c r="E782" s="4">
        <v>10</v>
      </c>
      <c r="F782" s="5">
        <v>163.9</v>
      </c>
      <c r="G782" s="5" t="s">
        <v>39</v>
      </c>
      <c r="H782" s="5">
        <v>245.8</v>
      </c>
      <c r="I782" s="5" t="s">
        <v>39</v>
      </c>
      <c r="J782" s="5">
        <v>5.5726000000000004</v>
      </c>
      <c r="K782" s="5">
        <f t="shared" si="36"/>
        <v>0.55726000000000009</v>
      </c>
      <c r="L782" s="5">
        <f t="shared" si="37"/>
        <v>16.39</v>
      </c>
      <c r="M782" s="5" t="s">
        <v>39</v>
      </c>
      <c r="N782" s="5">
        <v>5.5726000000000004</v>
      </c>
      <c r="O782" s="5" t="s">
        <v>39</v>
      </c>
      <c r="P782" t="s">
        <v>57</v>
      </c>
      <c r="Q782" t="s">
        <v>173</v>
      </c>
      <c r="R782" t="s">
        <v>37</v>
      </c>
      <c r="S782" t="s">
        <v>174</v>
      </c>
      <c r="T782" t="s">
        <v>43</v>
      </c>
      <c r="U782" t="s">
        <v>44</v>
      </c>
      <c r="V782">
        <v>147</v>
      </c>
      <c r="W782" t="s">
        <v>45</v>
      </c>
      <c r="X782" t="s">
        <v>60</v>
      </c>
      <c r="Y782" t="s">
        <v>175</v>
      </c>
      <c r="Z782" t="s">
        <v>37</v>
      </c>
      <c r="AA782" t="s">
        <v>55</v>
      </c>
      <c r="AB782" t="s">
        <v>37</v>
      </c>
      <c r="AC782" s="6" t="s">
        <v>37</v>
      </c>
      <c r="AD782" s="6" t="s">
        <v>37</v>
      </c>
      <c r="AE782" t="s">
        <v>37</v>
      </c>
      <c r="AF782" t="s">
        <v>37</v>
      </c>
      <c r="AG782" s="6" t="s">
        <v>37</v>
      </c>
      <c r="AH782" t="s">
        <v>37</v>
      </c>
      <c r="AI782" t="s">
        <v>37</v>
      </c>
      <c r="AJ782" t="str">
        <f t="shared" si="38"/>
        <v>3GBCH66MB077BT728N</v>
      </c>
    </row>
    <row r="783" spans="1:36" ht="15" customHeight="1" x14ac:dyDescent="0.25">
      <c r="A783" t="s">
        <v>127</v>
      </c>
      <c r="B783" t="s">
        <v>37</v>
      </c>
      <c r="C783" t="s">
        <v>37</v>
      </c>
      <c r="D783" t="s">
        <v>38</v>
      </c>
      <c r="E783" s="4">
        <v>12</v>
      </c>
      <c r="F783" s="5">
        <v>140.52000000000001</v>
      </c>
      <c r="G783" s="5" t="s">
        <v>39</v>
      </c>
      <c r="H783" s="5">
        <v>140.52000000000001</v>
      </c>
      <c r="I783" s="5" t="s">
        <v>39</v>
      </c>
      <c r="J783" s="5">
        <v>4.7776800000000001</v>
      </c>
      <c r="K783" s="5">
        <f t="shared" si="36"/>
        <v>0.39813999999999999</v>
      </c>
      <c r="L783" s="5">
        <f t="shared" si="37"/>
        <v>11.71</v>
      </c>
      <c r="M783" s="5" t="s">
        <v>39</v>
      </c>
      <c r="N783" s="5">
        <v>4.7776800000000001</v>
      </c>
      <c r="O783" s="5" t="s">
        <v>39</v>
      </c>
      <c r="P783" t="s">
        <v>202</v>
      </c>
      <c r="Q783" t="s">
        <v>1082</v>
      </c>
      <c r="R783" t="s">
        <v>37</v>
      </c>
      <c r="S783" t="s">
        <v>1083</v>
      </c>
      <c r="T783" t="s">
        <v>43</v>
      </c>
      <c r="U783" t="s">
        <v>44</v>
      </c>
      <c r="V783">
        <v>147</v>
      </c>
      <c r="W783" t="s">
        <v>281</v>
      </c>
      <c r="X783" t="s">
        <v>282</v>
      </c>
      <c r="Y783" t="s">
        <v>1084</v>
      </c>
      <c r="Z783" t="s">
        <v>37</v>
      </c>
      <c r="AA783" t="s">
        <v>55</v>
      </c>
      <c r="AB783" t="s">
        <v>37</v>
      </c>
      <c r="AC783" s="6" t="s">
        <v>37</v>
      </c>
      <c r="AD783" s="6" t="s">
        <v>37</v>
      </c>
      <c r="AE783" t="s">
        <v>37</v>
      </c>
      <c r="AF783" t="s">
        <v>37</v>
      </c>
      <c r="AG783" s="6" t="s">
        <v>37</v>
      </c>
      <c r="AH783" t="s">
        <v>37</v>
      </c>
      <c r="AI783" t="s">
        <v>37</v>
      </c>
      <c r="AJ783" t="str">
        <f t="shared" si="38"/>
        <v>39TAD6PCB000XUQ2LI</v>
      </c>
    </row>
    <row r="784" spans="1:36" ht="15" customHeight="1" x14ac:dyDescent="0.25">
      <c r="A784" t="s">
        <v>96</v>
      </c>
      <c r="B784" t="s">
        <v>37</v>
      </c>
      <c r="C784" t="s">
        <v>37</v>
      </c>
      <c r="D784" t="s">
        <v>38</v>
      </c>
      <c r="E784" s="4">
        <v>120</v>
      </c>
      <c r="F784" s="5">
        <v>1966.8</v>
      </c>
      <c r="G784" s="5" t="s">
        <v>39</v>
      </c>
      <c r="H784" s="5">
        <v>2949.6</v>
      </c>
      <c r="I784" s="5" t="s">
        <v>39</v>
      </c>
      <c r="J784" s="5">
        <v>66.871200000000002</v>
      </c>
      <c r="K784" s="5">
        <f t="shared" si="36"/>
        <v>0.55725999999999998</v>
      </c>
      <c r="L784" s="5">
        <f t="shared" si="37"/>
        <v>16.39</v>
      </c>
      <c r="M784" s="5" t="s">
        <v>39</v>
      </c>
      <c r="N784" s="5">
        <v>66.871200000000002</v>
      </c>
      <c r="O784" s="5" t="s">
        <v>39</v>
      </c>
      <c r="P784" t="s">
        <v>195</v>
      </c>
      <c r="Q784" t="s">
        <v>1219</v>
      </c>
      <c r="R784" t="s">
        <v>37</v>
      </c>
      <c r="S784" t="s">
        <v>1220</v>
      </c>
      <c r="T784" t="s">
        <v>43</v>
      </c>
      <c r="U784" t="s">
        <v>44</v>
      </c>
      <c r="V784">
        <v>147</v>
      </c>
      <c r="W784" t="s">
        <v>45</v>
      </c>
      <c r="X784" t="s">
        <v>53</v>
      </c>
      <c r="Y784" t="s">
        <v>1221</v>
      </c>
      <c r="Z784" t="s">
        <v>37</v>
      </c>
      <c r="AA784" t="s">
        <v>55</v>
      </c>
      <c r="AB784" t="s">
        <v>37</v>
      </c>
      <c r="AC784" s="6" t="s">
        <v>37</v>
      </c>
      <c r="AD784" s="6" t="s">
        <v>37</v>
      </c>
      <c r="AE784" t="s">
        <v>37</v>
      </c>
      <c r="AF784" t="s">
        <v>37</v>
      </c>
      <c r="AG784" s="6" t="s">
        <v>37</v>
      </c>
      <c r="AH784" t="s">
        <v>37</v>
      </c>
      <c r="AI784" t="s">
        <v>37</v>
      </c>
      <c r="AJ784" t="str">
        <f t="shared" si="38"/>
        <v>5X1OU9ZGB07W7MNYX5</v>
      </c>
    </row>
    <row r="785" spans="1:36" ht="15" customHeight="1" x14ac:dyDescent="0.25">
      <c r="A785" t="s">
        <v>36</v>
      </c>
      <c r="B785" t="s">
        <v>37</v>
      </c>
      <c r="C785" t="s">
        <v>37</v>
      </c>
      <c r="D785" t="s">
        <v>38</v>
      </c>
      <c r="E785" s="4">
        <v>100</v>
      </c>
      <c r="F785" s="5">
        <v>3112</v>
      </c>
      <c r="G785" s="5" t="s">
        <v>39</v>
      </c>
      <c r="H785" s="5">
        <v>3934</v>
      </c>
      <c r="I785" s="5" t="s">
        <v>39</v>
      </c>
      <c r="J785" s="5">
        <v>105.80800000000001</v>
      </c>
      <c r="K785" s="5">
        <f t="shared" si="36"/>
        <v>1.0580800000000001</v>
      </c>
      <c r="L785" s="5">
        <f t="shared" si="37"/>
        <v>31.12</v>
      </c>
      <c r="M785" s="5" t="s">
        <v>39</v>
      </c>
      <c r="N785" s="5">
        <v>105.80800000000001</v>
      </c>
      <c r="O785" s="5" t="s">
        <v>39</v>
      </c>
      <c r="P785" t="s">
        <v>168</v>
      </c>
      <c r="Q785" t="s">
        <v>90</v>
      </c>
      <c r="R785" t="s">
        <v>37</v>
      </c>
      <c r="S785" t="s">
        <v>91</v>
      </c>
      <c r="T785" t="s">
        <v>43</v>
      </c>
      <c r="U785" t="s">
        <v>44</v>
      </c>
      <c r="V785">
        <v>147</v>
      </c>
      <c r="W785" t="s">
        <v>92</v>
      </c>
      <c r="X785" t="s">
        <v>93</v>
      </c>
      <c r="Y785" t="s">
        <v>94</v>
      </c>
      <c r="Z785" t="s">
        <v>37</v>
      </c>
      <c r="AA785" t="s">
        <v>95</v>
      </c>
      <c r="AB785" t="s">
        <v>37</v>
      </c>
      <c r="AC785" s="6" t="s">
        <v>37</v>
      </c>
      <c r="AD785" s="6" t="s">
        <v>37</v>
      </c>
      <c r="AE785" t="s">
        <v>37</v>
      </c>
      <c r="AF785" t="s">
        <v>37</v>
      </c>
      <c r="AG785" s="6" t="s">
        <v>37</v>
      </c>
      <c r="AH785" t="s">
        <v>37</v>
      </c>
      <c r="AI785" t="s">
        <v>37</v>
      </c>
      <c r="AJ785" t="str">
        <f t="shared" si="38"/>
        <v>2R6FMUZDB07W5JKBMG</v>
      </c>
    </row>
    <row r="786" spans="1:36" ht="15" customHeight="1" x14ac:dyDescent="0.25">
      <c r="A786" t="s">
        <v>101</v>
      </c>
      <c r="B786" t="s">
        <v>37</v>
      </c>
      <c r="C786" t="s">
        <v>37</v>
      </c>
      <c r="D786" t="s">
        <v>38</v>
      </c>
      <c r="E786" s="4">
        <v>240</v>
      </c>
      <c r="F786" s="5">
        <v>7730.4</v>
      </c>
      <c r="G786" s="5" t="s">
        <v>39</v>
      </c>
      <c r="H786" s="5">
        <v>11604</v>
      </c>
      <c r="I786" s="5" t="s">
        <v>39</v>
      </c>
      <c r="J786" s="5">
        <v>262.83359999999999</v>
      </c>
      <c r="K786" s="5">
        <f t="shared" si="36"/>
        <v>1.09514</v>
      </c>
      <c r="L786" s="5">
        <f t="shared" si="37"/>
        <v>32.21</v>
      </c>
      <c r="M786" s="5" t="s">
        <v>39</v>
      </c>
      <c r="N786" s="5">
        <v>262.83359999999999</v>
      </c>
      <c r="O786" s="5" t="s">
        <v>39</v>
      </c>
      <c r="P786" t="s">
        <v>102</v>
      </c>
      <c r="Q786" t="s">
        <v>519</v>
      </c>
      <c r="R786" t="s">
        <v>37</v>
      </c>
      <c r="S786" t="s">
        <v>520</v>
      </c>
      <c r="T786" t="s">
        <v>43</v>
      </c>
      <c r="U786" t="s">
        <v>44</v>
      </c>
      <c r="V786">
        <v>147</v>
      </c>
      <c r="W786" t="s">
        <v>45</v>
      </c>
      <c r="X786" t="s">
        <v>60</v>
      </c>
      <c r="Y786" t="s">
        <v>521</v>
      </c>
      <c r="Z786" t="s">
        <v>37</v>
      </c>
      <c r="AA786" t="s">
        <v>48</v>
      </c>
      <c r="AB786" t="s">
        <v>37</v>
      </c>
      <c r="AC786" s="6" t="s">
        <v>37</v>
      </c>
      <c r="AD786" s="6" t="s">
        <v>37</v>
      </c>
      <c r="AE786" t="s">
        <v>37</v>
      </c>
      <c r="AF786" t="s">
        <v>37</v>
      </c>
      <c r="AG786" s="6" t="s">
        <v>37</v>
      </c>
      <c r="AH786" t="s">
        <v>37</v>
      </c>
      <c r="AI786" t="s">
        <v>37</v>
      </c>
      <c r="AJ786" t="str">
        <f t="shared" si="38"/>
        <v>2M7QFTCOB013SL1ZU6</v>
      </c>
    </row>
    <row r="787" spans="1:36" ht="15" customHeight="1" x14ac:dyDescent="0.25">
      <c r="A787" t="s">
        <v>101</v>
      </c>
      <c r="B787" t="s">
        <v>37</v>
      </c>
      <c r="C787" t="s">
        <v>37</v>
      </c>
      <c r="D787" t="s">
        <v>38</v>
      </c>
      <c r="E787" s="4">
        <v>12</v>
      </c>
      <c r="F787" s="5">
        <v>443.16</v>
      </c>
      <c r="G787" s="5" t="s">
        <v>39</v>
      </c>
      <c r="H787" s="5">
        <v>737.64</v>
      </c>
      <c r="I787" s="5" t="s">
        <v>39</v>
      </c>
      <c r="J787" s="5">
        <v>15.06744</v>
      </c>
      <c r="K787" s="5">
        <f t="shared" si="36"/>
        <v>1.25562</v>
      </c>
      <c r="L787" s="5">
        <f t="shared" si="37"/>
        <v>36.93</v>
      </c>
      <c r="M787" s="5" t="s">
        <v>39</v>
      </c>
      <c r="N787" s="5">
        <v>15.06744</v>
      </c>
      <c r="O787" s="5" t="s">
        <v>39</v>
      </c>
      <c r="P787" t="s">
        <v>72</v>
      </c>
      <c r="Q787" t="s">
        <v>1454</v>
      </c>
      <c r="R787" t="s">
        <v>37</v>
      </c>
      <c r="S787" t="s">
        <v>1455</v>
      </c>
      <c r="T787" t="s">
        <v>43</v>
      </c>
      <c r="U787" t="s">
        <v>44</v>
      </c>
      <c r="V787">
        <v>147</v>
      </c>
      <c r="W787" t="s">
        <v>45</v>
      </c>
      <c r="X787" t="s">
        <v>53</v>
      </c>
      <c r="Y787" t="s">
        <v>1456</v>
      </c>
      <c r="Z787" t="s">
        <v>37</v>
      </c>
      <c r="AA787" t="s">
        <v>55</v>
      </c>
      <c r="AB787" t="s">
        <v>37</v>
      </c>
      <c r="AC787" s="6" t="s">
        <v>37</v>
      </c>
      <c r="AD787" s="6" t="s">
        <v>37</v>
      </c>
      <c r="AE787" t="s">
        <v>37</v>
      </c>
      <c r="AF787" t="s">
        <v>37</v>
      </c>
      <c r="AG787" s="6" t="s">
        <v>37</v>
      </c>
      <c r="AH787" t="s">
        <v>37</v>
      </c>
      <c r="AI787" t="s">
        <v>37</v>
      </c>
      <c r="AJ787" t="str">
        <f t="shared" si="38"/>
        <v>4GF112AEB07W5JK8YR</v>
      </c>
    </row>
    <row r="788" spans="1:36" ht="15" customHeight="1" x14ac:dyDescent="0.25">
      <c r="A788" t="s">
        <v>36</v>
      </c>
      <c r="B788" t="s">
        <v>37</v>
      </c>
      <c r="C788" t="s">
        <v>37</v>
      </c>
      <c r="D788" t="s">
        <v>38</v>
      </c>
      <c r="E788" s="4">
        <v>16</v>
      </c>
      <c r="F788" s="5">
        <v>920.16</v>
      </c>
      <c r="G788" s="5" t="s">
        <v>39</v>
      </c>
      <c r="H788" s="5">
        <v>1560.64</v>
      </c>
      <c r="I788" s="5" t="s">
        <v>39</v>
      </c>
      <c r="J788" s="5">
        <v>31.285440000000001</v>
      </c>
      <c r="K788" s="5">
        <f t="shared" si="36"/>
        <v>1.9553400000000001</v>
      </c>
      <c r="L788" s="5">
        <f t="shared" si="37"/>
        <v>57.51</v>
      </c>
      <c r="M788" s="5" t="s">
        <v>39</v>
      </c>
      <c r="N788" s="5">
        <v>31.285440000000001</v>
      </c>
      <c r="O788" s="5" t="s">
        <v>39</v>
      </c>
      <c r="P788" t="s">
        <v>137</v>
      </c>
      <c r="Q788" t="s">
        <v>1057</v>
      </c>
      <c r="R788" t="s">
        <v>37</v>
      </c>
      <c r="S788" t="s">
        <v>1058</v>
      </c>
      <c r="T788" t="s">
        <v>43</v>
      </c>
      <c r="U788" t="s">
        <v>44</v>
      </c>
      <c r="V788">
        <v>147</v>
      </c>
      <c r="W788" t="s">
        <v>45</v>
      </c>
      <c r="X788" t="s">
        <v>53</v>
      </c>
      <c r="Y788" t="s">
        <v>1059</v>
      </c>
      <c r="Z788" t="s">
        <v>37</v>
      </c>
      <c r="AA788" t="s">
        <v>55</v>
      </c>
      <c r="AB788" t="s">
        <v>37</v>
      </c>
      <c r="AC788" s="6" t="s">
        <v>37</v>
      </c>
      <c r="AD788" s="6" t="s">
        <v>37</v>
      </c>
      <c r="AE788" t="s">
        <v>37</v>
      </c>
      <c r="AF788" t="s">
        <v>37</v>
      </c>
      <c r="AG788" s="6" t="s">
        <v>37</v>
      </c>
      <c r="AH788" t="s">
        <v>37</v>
      </c>
      <c r="AI788" t="s">
        <v>37</v>
      </c>
      <c r="AJ788" t="str">
        <f t="shared" si="38"/>
        <v>3UDP1VLYB07S7CKTBR</v>
      </c>
    </row>
    <row r="789" spans="1:36" ht="15" customHeight="1" x14ac:dyDescent="0.25">
      <c r="A789" t="s">
        <v>411</v>
      </c>
      <c r="B789" t="s">
        <v>37</v>
      </c>
      <c r="C789" t="s">
        <v>37</v>
      </c>
      <c r="D789" t="s">
        <v>38</v>
      </c>
      <c r="E789" s="4">
        <v>10</v>
      </c>
      <c r="F789" s="5">
        <v>163.9</v>
      </c>
      <c r="G789" s="5" t="s">
        <v>39</v>
      </c>
      <c r="H789" s="5">
        <v>245.8</v>
      </c>
      <c r="I789" s="5" t="s">
        <v>39</v>
      </c>
      <c r="J789" s="5">
        <v>5.5726000000000004</v>
      </c>
      <c r="K789" s="5">
        <f t="shared" si="36"/>
        <v>0.55726000000000009</v>
      </c>
      <c r="L789" s="5">
        <f t="shared" si="37"/>
        <v>16.39</v>
      </c>
      <c r="M789" s="5" t="s">
        <v>39</v>
      </c>
      <c r="N789" s="5">
        <v>5.5726000000000004</v>
      </c>
      <c r="O789" s="5" t="s">
        <v>39</v>
      </c>
      <c r="P789" t="s">
        <v>522</v>
      </c>
      <c r="Q789" t="s">
        <v>1457</v>
      </c>
      <c r="R789" t="s">
        <v>37</v>
      </c>
      <c r="S789" t="s">
        <v>1458</v>
      </c>
      <c r="T789" t="s">
        <v>43</v>
      </c>
      <c r="U789" t="s">
        <v>44</v>
      </c>
      <c r="V789">
        <v>147</v>
      </c>
      <c r="W789" t="s">
        <v>45</v>
      </c>
      <c r="X789" t="s">
        <v>60</v>
      </c>
      <c r="Y789" t="s">
        <v>1459</v>
      </c>
      <c r="Z789" t="s">
        <v>37</v>
      </c>
      <c r="AA789" t="s">
        <v>55</v>
      </c>
      <c r="AB789" t="s">
        <v>37</v>
      </c>
      <c r="AC789" s="6" t="s">
        <v>37</v>
      </c>
      <c r="AD789" s="6" t="s">
        <v>37</v>
      </c>
      <c r="AE789" t="s">
        <v>37</v>
      </c>
      <c r="AF789" t="s">
        <v>37</v>
      </c>
      <c r="AG789" s="6" t="s">
        <v>37</v>
      </c>
      <c r="AH789" t="s">
        <v>37</v>
      </c>
      <c r="AI789" t="s">
        <v>37</v>
      </c>
      <c r="AJ789" t="str">
        <f t="shared" si="38"/>
        <v>24EUBTHXB00EJ3RMRS</v>
      </c>
    </row>
    <row r="790" spans="1:36" ht="15" customHeight="1" x14ac:dyDescent="0.25">
      <c r="A790" t="s">
        <v>176</v>
      </c>
      <c r="B790" t="s">
        <v>37</v>
      </c>
      <c r="C790" t="s">
        <v>37</v>
      </c>
      <c r="D790" t="s">
        <v>38</v>
      </c>
      <c r="E790" s="4">
        <v>4</v>
      </c>
      <c r="F790" s="5">
        <v>93.68</v>
      </c>
      <c r="G790" s="5" t="s">
        <v>39</v>
      </c>
      <c r="H790" s="5">
        <v>144.24</v>
      </c>
      <c r="I790" s="5" t="s">
        <v>39</v>
      </c>
      <c r="J790" s="5">
        <v>3.18512</v>
      </c>
      <c r="K790" s="5">
        <f t="shared" si="36"/>
        <v>0.79627999999999999</v>
      </c>
      <c r="L790" s="5">
        <f t="shared" si="37"/>
        <v>23.42</v>
      </c>
      <c r="M790" s="5" t="s">
        <v>39</v>
      </c>
      <c r="N790" s="5">
        <v>3.18512</v>
      </c>
      <c r="O790" s="5" t="s">
        <v>39</v>
      </c>
      <c r="P790" t="s">
        <v>72</v>
      </c>
      <c r="Q790" t="s">
        <v>1460</v>
      </c>
      <c r="R790" t="s">
        <v>37</v>
      </c>
      <c r="S790" t="s">
        <v>1461</v>
      </c>
      <c r="T790" t="s">
        <v>43</v>
      </c>
      <c r="U790" t="s">
        <v>44</v>
      </c>
      <c r="V790">
        <v>147</v>
      </c>
      <c r="W790" t="s">
        <v>45</v>
      </c>
      <c r="X790" t="s">
        <v>60</v>
      </c>
      <c r="Y790" t="s">
        <v>1462</v>
      </c>
      <c r="Z790" t="s">
        <v>37</v>
      </c>
      <c r="AA790" t="s">
        <v>55</v>
      </c>
      <c r="AB790" t="s">
        <v>37</v>
      </c>
      <c r="AC790" s="6" t="s">
        <v>37</v>
      </c>
      <c r="AD790" s="6" t="s">
        <v>37</v>
      </c>
      <c r="AE790" t="s">
        <v>37</v>
      </c>
      <c r="AF790" t="s">
        <v>37</v>
      </c>
      <c r="AG790" s="6" t="s">
        <v>37</v>
      </c>
      <c r="AH790" t="s">
        <v>37</v>
      </c>
      <c r="AI790" t="s">
        <v>37</v>
      </c>
      <c r="AJ790" t="str">
        <f t="shared" si="38"/>
        <v>4GF112AEB0078M385M</v>
      </c>
    </row>
    <row r="791" spans="1:36" ht="15" customHeight="1" x14ac:dyDescent="0.25">
      <c r="A791" t="s">
        <v>101</v>
      </c>
      <c r="B791" t="s">
        <v>37</v>
      </c>
      <c r="C791" t="s">
        <v>37</v>
      </c>
      <c r="D791" t="s">
        <v>38</v>
      </c>
      <c r="E791" s="4">
        <v>36</v>
      </c>
      <c r="F791" s="5">
        <v>843.12</v>
      </c>
      <c r="G791" s="5" t="s">
        <v>39</v>
      </c>
      <c r="H791" s="5">
        <v>1298.1600000000001</v>
      </c>
      <c r="I791" s="5" t="s">
        <v>39</v>
      </c>
      <c r="J791" s="5">
        <v>28.666080000000001</v>
      </c>
      <c r="K791" s="5">
        <f t="shared" si="36"/>
        <v>0.79627999999999999</v>
      </c>
      <c r="L791" s="5">
        <f t="shared" si="37"/>
        <v>23.42</v>
      </c>
      <c r="M791" s="5" t="s">
        <v>39</v>
      </c>
      <c r="N791" s="5">
        <v>28.666080000000001</v>
      </c>
      <c r="O791" s="5" t="s">
        <v>39</v>
      </c>
      <c r="P791" t="s">
        <v>72</v>
      </c>
      <c r="Q791" t="s">
        <v>1460</v>
      </c>
      <c r="R791" t="s">
        <v>37</v>
      </c>
      <c r="S791" t="s">
        <v>1461</v>
      </c>
      <c r="T791" t="s">
        <v>43</v>
      </c>
      <c r="U791" t="s">
        <v>44</v>
      </c>
      <c r="V791">
        <v>147</v>
      </c>
      <c r="W791" t="s">
        <v>45</v>
      </c>
      <c r="X791" t="s">
        <v>60</v>
      </c>
      <c r="Y791" t="s">
        <v>1462</v>
      </c>
      <c r="Z791" t="s">
        <v>37</v>
      </c>
      <c r="AA791" t="s">
        <v>55</v>
      </c>
      <c r="AB791" t="s">
        <v>37</v>
      </c>
      <c r="AC791" s="6" t="s">
        <v>37</v>
      </c>
      <c r="AD791" s="6" t="s">
        <v>37</v>
      </c>
      <c r="AE791" t="s">
        <v>37</v>
      </c>
      <c r="AF791" t="s">
        <v>37</v>
      </c>
      <c r="AG791" s="6" t="s">
        <v>37</v>
      </c>
      <c r="AH791" t="s">
        <v>37</v>
      </c>
      <c r="AI791" t="s">
        <v>37</v>
      </c>
      <c r="AJ791" t="str">
        <f t="shared" si="38"/>
        <v>4GF112AEB0078M385M</v>
      </c>
    </row>
    <row r="792" spans="1:36" ht="15" customHeight="1" x14ac:dyDescent="0.25">
      <c r="A792" t="s">
        <v>36</v>
      </c>
      <c r="B792" t="s">
        <v>37</v>
      </c>
      <c r="C792" t="s">
        <v>37</v>
      </c>
      <c r="D792" t="s">
        <v>38</v>
      </c>
      <c r="E792" s="4">
        <v>16</v>
      </c>
      <c r="F792" s="5">
        <v>742.4</v>
      </c>
      <c r="G792" s="5" t="s">
        <v>39</v>
      </c>
      <c r="H792" s="5">
        <v>1075.2</v>
      </c>
      <c r="I792" s="5" t="s">
        <v>39</v>
      </c>
      <c r="J792" s="5">
        <v>25.241599999999998</v>
      </c>
      <c r="K792" s="5">
        <f t="shared" si="36"/>
        <v>1.5775999999999999</v>
      </c>
      <c r="L792" s="5">
        <f t="shared" si="37"/>
        <v>46.4</v>
      </c>
      <c r="M792" s="5" t="s">
        <v>39</v>
      </c>
      <c r="N792" s="5">
        <v>25.241599999999998</v>
      </c>
      <c r="O792" s="5" t="s">
        <v>39</v>
      </c>
      <c r="P792" t="s">
        <v>119</v>
      </c>
      <c r="Q792" t="s">
        <v>1463</v>
      </c>
      <c r="R792" t="s">
        <v>37</v>
      </c>
      <c r="S792" t="s">
        <v>1464</v>
      </c>
      <c r="T792" t="s">
        <v>43</v>
      </c>
      <c r="U792" t="s">
        <v>44</v>
      </c>
      <c r="V792">
        <v>147</v>
      </c>
      <c r="W792" t="s">
        <v>45</v>
      </c>
      <c r="X792" t="s">
        <v>53</v>
      </c>
      <c r="Y792" t="s">
        <v>1465</v>
      </c>
      <c r="Z792" t="s">
        <v>37</v>
      </c>
      <c r="AA792" t="s">
        <v>55</v>
      </c>
      <c r="AB792" t="s">
        <v>37</v>
      </c>
      <c r="AC792" s="6" t="s">
        <v>37</v>
      </c>
      <c r="AD792" s="6" t="s">
        <v>37</v>
      </c>
      <c r="AE792" t="s">
        <v>37</v>
      </c>
      <c r="AF792" t="s">
        <v>37</v>
      </c>
      <c r="AG792" s="6" t="s">
        <v>37</v>
      </c>
      <c r="AH792" t="s">
        <v>37</v>
      </c>
      <c r="AI792" t="s">
        <v>37</v>
      </c>
      <c r="AJ792" t="str">
        <f t="shared" si="38"/>
        <v>31DJDC7QB07W8P4PDD</v>
      </c>
    </row>
    <row r="793" spans="1:36" ht="15" customHeight="1" x14ac:dyDescent="0.25">
      <c r="A793" t="s">
        <v>36</v>
      </c>
      <c r="B793" t="s">
        <v>37</v>
      </c>
      <c r="C793" t="s">
        <v>37</v>
      </c>
      <c r="D793" t="s">
        <v>38</v>
      </c>
      <c r="E793" s="4">
        <v>12</v>
      </c>
      <c r="F793" s="5">
        <v>904.92</v>
      </c>
      <c r="G793" s="5" t="s">
        <v>39</v>
      </c>
      <c r="H793" s="5">
        <v>1327.8</v>
      </c>
      <c r="I793" s="5" t="s">
        <v>39</v>
      </c>
      <c r="J793" s="5">
        <v>30.76728</v>
      </c>
      <c r="K793" s="5">
        <f t="shared" si="36"/>
        <v>2.5639400000000001</v>
      </c>
      <c r="L793" s="5">
        <f t="shared" si="37"/>
        <v>75.41</v>
      </c>
      <c r="M793" s="5" t="s">
        <v>39</v>
      </c>
      <c r="N793" s="5">
        <v>30.76728</v>
      </c>
      <c r="O793" s="5" t="s">
        <v>39</v>
      </c>
      <c r="P793" t="s">
        <v>67</v>
      </c>
      <c r="Q793" t="s">
        <v>817</v>
      </c>
      <c r="R793" t="s">
        <v>37</v>
      </c>
      <c r="S793" t="s">
        <v>818</v>
      </c>
      <c r="T793" t="s">
        <v>43</v>
      </c>
      <c r="U793" t="s">
        <v>44</v>
      </c>
      <c r="V793">
        <v>147</v>
      </c>
      <c r="W793" t="s">
        <v>45</v>
      </c>
      <c r="X793" t="s">
        <v>60</v>
      </c>
      <c r="Y793" t="s">
        <v>819</v>
      </c>
      <c r="Z793" t="s">
        <v>37</v>
      </c>
      <c r="AA793" t="s">
        <v>55</v>
      </c>
      <c r="AB793" t="s">
        <v>37</v>
      </c>
      <c r="AC793" s="6" t="s">
        <v>37</v>
      </c>
      <c r="AD793" s="6" t="s">
        <v>37</v>
      </c>
      <c r="AE793" t="s">
        <v>37</v>
      </c>
      <c r="AF793" t="s">
        <v>37</v>
      </c>
      <c r="AG793" s="6" t="s">
        <v>37</v>
      </c>
      <c r="AH793" t="s">
        <v>37</v>
      </c>
      <c r="AI793" t="s">
        <v>37</v>
      </c>
      <c r="AJ793" t="str">
        <f t="shared" si="38"/>
        <v>2TMBDXBKB07W6HXZ5J</v>
      </c>
    </row>
    <row r="794" spans="1:36" ht="15" customHeight="1" x14ac:dyDescent="0.25">
      <c r="A794" t="s">
        <v>62</v>
      </c>
      <c r="B794" t="s">
        <v>37</v>
      </c>
      <c r="C794" t="s">
        <v>37</v>
      </c>
      <c r="D794" t="s">
        <v>38</v>
      </c>
      <c r="E794" s="4">
        <v>148</v>
      </c>
      <c r="F794" s="5">
        <v>3513.52</v>
      </c>
      <c r="G794" s="5" t="s">
        <v>39</v>
      </c>
      <c r="H794" s="5">
        <v>4972.8</v>
      </c>
      <c r="I794" s="5" t="s">
        <v>39</v>
      </c>
      <c r="J794" s="5">
        <v>119.45968000000001</v>
      </c>
      <c r="K794" s="5">
        <f t="shared" si="36"/>
        <v>0.80715999999999999</v>
      </c>
      <c r="L794" s="5">
        <f t="shared" si="37"/>
        <v>23.74</v>
      </c>
      <c r="M794" s="5" t="s">
        <v>39</v>
      </c>
      <c r="N794" s="5">
        <v>119.45968000000001</v>
      </c>
      <c r="O794" s="5" t="s">
        <v>39</v>
      </c>
      <c r="P794" t="s">
        <v>177</v>
      </c>
      <c r="Q794" t="s">
        <v>657</v>
      </c>
      <c r="R794" t="s">
        <v>37</v>
      </c>
      <c r="S794" t="s">
        <v>658</v>
      </c>
      <c r="T794" t="s">
        <v>43</v>
      </c>
      <c r="U794" t="s">
        <v>44</v>
      </c>
      <c r="V794">
        <v>147</v>
      </c>
      <c r="W794" t="s">
        <v>45</v>
      </c>
      <c r="X794" t="s">
        <v>53</v>
      </c>
      <c r="Y794" t="s">
        <v>659</v>
      </c>
      <c r="Z794" t="s">
        <v>37</v>
      </c>
      <c r="AA794" t="s">
        <v>55</v>
      </c>
      <c r="AB794" t="s">
        <v>37</v>
      </c>
      <c r="AC794" s="6" t="s">
        <v>37</v>
      </c>
      <c r="AD794" s="6" t="s">
        <v>37</v>
      </c>
      <c r="AE794" t="s">
        <v>37</v>
      </c>
      <c r="AF794" t="s">
        <v>37</v>
      </c>
      <c r="AG794" s="6" t="s">
        <v>37</v>
      </c>
      <c r="AH794" t="s">
        <v>37</v>
      </c>
      <c r="AI794" t="s">
        <v>37</v>
      </c>
      <c r="AJ794" t="str">
        <f t="shared" si="38"/>
        <v>4F3XMHTVB07W5JKFQC</v>
      </c>
    </row>
    <row r="795" spans="1:36" ht="15" customHeight="1" x14ac:dyDescent="0.25">
      <c r="A795" t="s">
        <v>96</v>
      </c>
      <c r="B795" t="s">
        <v>37</v>
      </c>
      <c r="C795" t="s">
        <v>37</v>
      </c>
      <c r="D795" t="s">
        <v>38</v>
      </c>
      <c r="E795" s="4">
        <v>16</v>
      </c>
      <c r="F795" s="5">
        <v>856.16</v>
      </c>
      <c r="G795" s="5" t="s">
        <v>39</v>
      </c>
      <c r="H795" s="5">
        <v>1311.36</v>
      </c>
      <c r="I795" s="5" t="s">
        <v>39</v>
      </c>
      <c r="J795" s="5">
        <v>29.109439999999999</v>
      </c>
      <c r="K795" s="5">
        <f t="shared" si="36"/>
        <v>1.81934</v>
      </c>
      <c r="L795" s="5">
        <f t="shared" si="37"/>
        <v>53.51</v>
      </c>
      <c r="M795" s="5" t="s">
        <v>39</v>
      </c>
      <c r="N795" s="5">
        <v>29.109439999999999</v>
      </c>
      <c r="O795" s="5" t="s">
        <v>39</v>
      </c>
      <c r="P795" t="s">
        <v>195</v>
      </c>
      <c r="Q795" t="s">
        <v>1466</v>
      </c>
      <c r="R795" t="s">
        <v>37</v>
      </c>
      <c r="S795" t="s">
        <v>1467</v>
      </c>
      <c r="T795" t="s">
        <v>43</v>
      </c>
      <c r="U795" t="s">
        <v>44</v>
      </c>
      <c r="V795">
        <v>23</v>
      </c>
      <c r="W795" t="s">
        <v>281</v>
      </c>
      <c r="X795" t="s">
        <v>282</v>
      </c>
      <c r="Y795" t="s">
        <v>1468</v>
      </c>
      <c r="Z795" t="s">
        <v>37</v>
      </c>
      <c r="AA795" t="s">
        <v>95</v>
      </c>
      <c r="AB795" t="s">
        <v>37</v>
      </c>
      <c r="AC795" s="6" t="s">
        <v>37</v>
      </c>
      <c r="AD795" s="6" t="s">
        <v>37</v>
      </c>
      <c r="AE795" t="s">
        <v>37</v>
      </c>
      <c r="AF795" t="s">
        <v>37</v>
      </c>
      <c r="AG795" s="6" t="s">
        <v>37</v>
      </c>
      <c r="AH795" t="s">
        <v>37</v>
      </c>
      <c r="AI795" t="s">
        <v>37</v>
      </c>
      <c r="AJ795" t="str">
        <f t="shared" si="38"/>
        <v>5X1OU9ZGB07W6GM6PW</v>
      </c>
    </row>
    <row r="796" spans="1:36" ht="15" customHeight="1" x14ac:dyDescent="0.25">
      <c r="A796" t="s">
        <v>411</v>
      </c>
      <c r="B796" t="s">
        <v>37</v>
      </c>
      <c r="C796" t="s">
        <v>37</v>
      </c>
      <c r="D796" t="s">
        <v>38</v>
      </c>
      <c r="E796" s="4">
        <v>280</v>
      </c>
      <c r="F796" s="5">
        <v>9836.4</v>
      </c>
      <c r="G796" s="5" t="s">
        <v>39</v>
      </c>
      <c r="H796" s="5">
        <v>14226.8</v>
      </c>
      <c r="I796" s="5" t="s">
        <v>39</v>
      </c>
      <c r="J796" s="5">
        <v>334.43759999999997</v>
      </c>
      <c r="K796" s="5">
        <f t="shared" si="36"/>
        <v>1.1944199999999998</v>
      </c>
      <c r="L796" s="5">
        <f t="shared" si="37"/>
        <v>35.129999999999995</v>
      </c>
      <c r="M796" s="5" t="s">
        <v>39</v>
      </c>
      <c r="N796" s="5">
        <v>334.43759999999997</v>
      </c>
      <c r="O796" s="5" t="s">
        <v>39</v>
      </c>
      <c r="P796" t="s">
        <v>416</v>
      </c>
      <c r="Q796" t="s">
        <v>837</v>
      </c>
      <c r="R796" t="s">
        <v>37</v>
      </c>
      <c r="S796" t="s">
        <v>838</v>
      </c>
      <c r="T796" t="s">
        <v>43</v>
      </c>
      <c r="U796" t="s">
        <v>44</v>
      </c>
      <c r="V796">
        <v>147</v>
      </c>
      <c r="W796" t="s">
        <v>45</v>
      </c>
      <c r="X796" t="s">
        <v>60</v>
      </c>
      <c r="Y796" t="s">
        <v>839</v>
      </c>
      <c r="Z796" t="s">
        <v>37</v>
      </c>
      <c r="AA796" t="s">
        <v>55</v>
      </c>
      <c r="AB796" t="s">
        <v>37</v>
      </c>
      <c r="AC796" s="6" t="s">
        <v>37</v>
      </c>
      <c r="AD796" s="6" t="s">
        <v>37</v>
      </c>
      <c r="AE796" t="s">
        <v>37</v>
      </c>
      <c r="AF796" t="s">
        <v>37</v>
      </c>
      <c r="AG796" s="6" t="s">
        <v>37</v>
      </c>
      <c r="AH796" t="s">
        <v>37</v>
      </c>
      <c r="AI796" t="s">
        <v>37</v>
      </c>
      <c r="AJ796" t="str">
        <f t="shared" si="38"/>
        <v>69351YNLB07VK1S68S</v>
      </c>
    </row>
    <row r="797" spans="1:36" ht="15" customHeight="1" x14ac:dyDescent="0.25">
      <c r="A797" t="s">
        <v>62</v>
      </c>
      <c r="B797" t="s">
        <v>37</v>
      </c>
      <c r="C797" t="s">
        <v>37</v>
      </c>
      <c r="D797" t="s">
        <v>38</v>
      </c>
      <c r="E797" s="4">
        <v>40</v>
      </c>
      <c r="F797" s="5">
        <v>1793.6</v>
      </c>
      <c r="G797" s="5" t="s">
        <v>39</v>
      </c>
      <c r="H797" s="5">
        <v>2884.8</v>
      </c>
      <c r="I797" s="5" t="s">
        <v>39</v>
      </c>
      <c r="J797" s="5">
        <v>60.982399999999998</v>
      </c>
      <c r="K797" s="5">
        <f t="shared" si="36"/>
        <v>1.5245599999999999</v>
      </c>
      <c r="L797" s="5">
        <f t="shared" si="37"/>
        <v>44.839999999999996</v>
      </c>
      <c r="M797" s="5" t="s">
        <v>39</v>
      </c>
      <c r="N797" s="5">
        <v>60.982399999999998</v>
      </c>
      <c r="O797" s="5" t="s">
        <v>39</v>
      </c>
      <c r="P797" t="s">
        <v>177</v>
      </c>
      <c r="Q797" t="s">
        <v>506</v>
      </c>
      <c r="R797" t="s">
        <v>37</v>
      </c>
      <c r="S797" t="s">
        <v>507</v>
      </c>
      <c r="T797" t="s">
        <v>43</v>
      </c>
      <c r="U797" t="s">
        <v>44</v>
      </c>
      <c r="V797">
        <v>147</v>
      </c>
      <c r="W797" t="s">
        <v>45</v>
      </c>
      <c r="X797" t="s">
        <v>46</v>
      </c>
      <c r="Y797" t="s">
        <v>508</v>
      </c>
      <c r="Z797" t="s">
        <v>37</v>
      </c>
      <c r="AA797" t="s">
        <v>48</v>
      </c>
      <c r="AB797" t="s">
        <v>37</v>
      </c>
      <c r="AC797" s="6" t="s">
        <v>37</v>
      </c>
      <c r="AD797" s="6" t="s">
        <v>37</v>
      </c>
      <c r="AE797" t="s">
        <v>37</v>
      </c>
      <c r="AF797" t="s">
        <v>37</v>
      </c>
      <c r="AG797" s="6" t="s">
        <v>37</v>
      </c>
      <c r="AH797" t="s">
        <v>37</v>
      </c>
      <c r="AI797" t="s">
        <v>37</v>
      </c>
      <c r="AJ797" t="str">
        <f t="shared" si="38"/>
        <v>4F3XMHTVB01MQ0GFUH</v>
      </c>
    </row>
    <row r="798" spans="1:36" ht="15" customHeight="1" x14ac:dyDescent="0.25">
      <c r="A798" t="s">
        <v>101</v>
      </c>
      <c r="B798" t="s">
        <v>37</v>
      </c>
      <c r="C798" t="s">
        <v>37</v>
      </c>
      <c r="D798" t="s">
        <v>38</v>
      </c>
      <c r="E798" s="4">
        <v>4</v>
      </c>
      <c r="F798" s="5">
        <v>93.68</v>
      </c>
      <c r="G798" s="5" t="s">
        <v>39</v>
      </c>
      <c r="H798" s="5">
        <v>144.24</v>
      </c>
      <c r="I798" s="5" t="s">
        <v>39</v>
      </c>
      <c r="J798" s="5">
        <v>3.18512</v>
      </c>
      <c r="K798" s="5">
        <f t="shared" si="36"/>
        <v>0.79627999999999999</v>
      </c>
      <c r="L798" s="5">
        <f t="shared" si="37"/>
        <v>23.42</v>
      </c>
      <c r="M798" s="5" t="s">
        <v>39</v>
      </c>
      <c r="N798" s="5">
        <v>3.18512</v>
      </c>
      <c r="O798" s="5" t="s">
        <v>39</v>
      </c>
      <c r="P798" t="s">
        <v>748</v>
      </c>
      <c r="Q798" t="s">
        <v>1469</v>
      </c>
      <c r="R798" t="s">
        <v>37</v>
      </c>
      <c r="S798" t="s">
        <v>1470</v>
      </c>
      <c r="T798" t="s">
        <v>43</v>
      </c>
      <c r="U798" t="s">
        <v>44</v>
      </c>
      <c r="V798">
        <v>147</v>
      </c>
      <c r="W798" t="s">
        <v>45</v>
      </c>
      <c r="X798" t="s">
        <v>60</v>
      </c>
      <c r="Y798" t="s">
        <v>1471</v>
      </c>
      <c r="Z798" t="s">
        <v>37</v>
      </c>
      <c r="AA798" t="s">
        <v>55</v>
      </c>
      <c r="AB798" t="s">
        <v>37</v>
      </c>
      <c r="AC798" s="6" t="s">
        <v>37</v>
      </c>
      <c r="AD798" s="6" t="s">
        <v>37</v>
      </c>
      <c r="AE798" t="s">
        <v>37</v>
      </c>
      <c r="AF798" t="s">
        <v>37</v>
      </c>
      <c r="AG798" s="6" t="s">
        <v>37</v>
      </c>
      <c r="AH798" t="s">
        <v>37</v>
      </c>
      <c r="AI798" t="s">
        <v>37</v>
      </c>
      <c r="AJ798" t="str">
        <f t="shared" si="38"/>
        <v>74WI6EYDB007BNE3QQ</v>
      </c>
    </row>
    <row r="799" spans="1:36" ht="15" customHeight="1" x14ac:dyDescent="0.25">
      <c r="A799" t="s">
        <v>411</v>
      </c>
      <c r="B799" t="s">
        <v>37</v>
      </c>
      <c r="C799" t="s">
        <v>37</v>
      </c>
      <c r="D799" t="s">
        <v>38</v>
      </c>
      <c r="E799" s="4">
        <v>10</v>
      </c>
      <c r="F799" s="5">
        <v>105.3</v>
      </c>
      <c r="G799" s="5" t="s">
        <v>39</v>
      </c>
      <c r="H799" s="5">
        <v>163.9</v>
      </c>
      <c r="I799" s="5" t="s">
        <v>39</v>
      </c>
      <c r="J799" s="5">
        <v>3.5802</v>
      </c>
      <c r="K799" s="5">
        <f t="shared" si="36"/>
        <v>0.35802</v>
      </c>
      <c r="L799" s="5">
        <f t="shared" si="37"/>
        <v>10.53</v>
      </c>
      <c r="M799" s="5" t="s">
        <v>39</v>
      </c>
      <c r="N799" s="5">
        <v>3.5802</v>
      </c>
      <c r="O799" s="5" t="s">
        <v>39</v>
      </c>
      <c r="P799" t="s">
        <v>336</v>
      </c>
      <c r="Q799" t="s">
        <v>1472</v>
      </c>
      <c r="R799" t="s">
        <v>37</v>
      </c>
      <c r="S799" t="s">
        <v>1473</v>
      </c>
      <c r="T799" t="s">
        <v>43</v>
      </c>
      <c r="U799" t="s">
        <v>44</v>
      </c>
      <c r="V799">
        <v>147</v>
      </c>
      <c r="W799" t="s">
        <v>45</v>
      </c>
      <c r="X799" t="s">
        <v>60</v>
      </c>
      <c r="Y799" t="s">
        <v>1474</v>
      </c>
      <c r="Z799" t="s">
        <v>37</v>
      </c>
      <c r="AA799" t="s">
        <v>55</v>
      </c>
      <c r="AB799" t="s">
        <v>37</v>
      </c>
      <c r="AC799" s="6" t="s">
        <v>37</v>
      </c>
      <c r="AD799" s="6" t="s">
        <v>37</v>
      </c>
      <c r="AE799" t="s">
        <v>37</v>
      </c>
      <c r="AF799" t="s">
        <v>37</v>
      </c>
      <c r="AG799" s="6" t="s">
        <v>37</v>
      </c>
      <c r="AH799" t="s">
        <v>37</v>
      </c>
      <c r="AI799" t="s">
        <v>37</v>
      </c>
      <c r="AJ799" t="str">
        <f t="shared" si="38"/>
        <v>3OB2IUIKB008M4RH1G</v>
      </c>
    </row>
    <row r="800" spans="1:36" ht="15" customHeight="1" x14ac:dyDescent="0.25">
      <c r="A800" t="s">
        <v>71</v>
      </c>
      <c r="B800" t="s">
        <v>37</v>
      </c>
      <c r="C800" t="s">
        <v>37</v>
      </c>
      <c r="D800" t="s">
        <v>38</v>
      </c>
      <c r="E800" s="4">
        <v>0</v>
      </c>
      <c r="F800" s="5">
        <v>0</v>
      </c>
      <c r="G800" s="5" t="s">
        <v>39</v>
      </c>
      <c r="H800" s="5">
        <v>0</v>
      </c>
      <c r="I800" s="5" t="s">
        <v>39</v>
      </c>
      <c r="J800" s="5">
        <v>0</v>
      </c>
      <c r="K800" s="5" t="e">
        <f t="shared" si="36"/>
        <v>#DIV/0!</v>
      </c>
      <c r="L800" s="5" t="e">
        <f t="shared" si="37"/>
        <v>#DIV/0!</v>
      </c>
      <c r="M800" s="5" t="s">
        <v>39</v>
      </c>
      <c r="N800" s="5">
        <v>0</v>
      </c>
      <c r="O800" s="5" t="s">
        <v>39</v>
      </c>
      <c r="P800" t="s">
        <v>274</v>
      </c>
      <c r="Q800" t="s">
        <v>64</v>
      </c>
      <c r="R800" t="s">
        <v>37</v>
      </c>
      <c r="S800" t="s">
        <v>65</v>
      </c>
      <c r="T800" t="s">
        <v>43</v>
      </c>
      <c r="U800" t="s">
        <v>44</v>
      </c>
      <c r="V800">
        <v>147</v>
      </c>
      <c r="W800" t="s">
        <v>45</v>
      </c>
      <c r="X800" t="s">
        <v>53</v>
      </c>
      <c r="Y800" t="s">
        <v>66</v>
      </c>
      <c r="Z800" t="s">
        <v>37</v>
      </c>
      <c r="AA800" t="s">
        <v>48</v>
      </c>
      <c r="AB800" t="s">
        <v>37</v>
      </c>
      <c r="AC800" s="6" t="s">
        <v>37</v>
      </c>
      <c r="AD800" s="6" t="s">
        <v>37</v>
      </c>
      <c r="AE800" t="s">
        <v>37</v>
      </c>
      <c r="AF800" t="s">
        <v>37</v>
      </c>
      <c r="AG800" s="6" t="s">
        <v>37</v>
      </c>
      <c r="AH800" t="s">
        <v>37</v>
      </c>
      <c r="AI800" t="s">
        <v>37</v>
      </c>
      <c r="AJ800" t="str">
        <f t="shared" si="38"/>
        <v>4LYATDUXB00Q6MR0UO</v>
      </c>
    </row>
    <row r="801" spans="1:36" ht="15" customHeight="1" x14ac:dyDescent="0.25">
      <c r="A801" t="s">
        <v>49</v>
      </c>
      <c r="B801" t="s">
        <v>37</v>
      </c>
      <c r="C801" t="s">
        <v>37</v>
      </c>
      <c r="D801" t="s">
        <v>38</v>
      </c>
      <c r="E801" s="4">
        <v>12</v>
      </c>
      <c r="F801" s="5">
        <v>351.36</v>
      </c>
      <c r="G801" s="5" t="s">
        <v>39</v>
      </c>
      <c r="H801" s="5">
        <v>351.36</v>
      </c>
      <c r="I801" s="5" t="s">
        <v>39</v>
      </c>
      <c r="J801" s="5">
        <v>11.94624</v>
      </c>
      <c r="K801" s="5">
        <f t="shared" si="36"/>
        <v>0.99551999999999996</v>
      </c>
      <c r="L801" s="5">
        <f t="shared" si="37"/>
        <v>29.28</v>
      </c>
      <c r="M801" s="5" t="s">
        <v>39</v>
      </c>
      <c r="N801" s="5">
        <v>11.94624</v>
      </c>
      <c r="O801" s="5" t="s">
        <v>39</v>
      </c>
      <c r="P801" t="s">
        <v>222</v>
      </c>
      <c r="Q801" t="s">
        <v>469</v>
      </c>
      <c r="R801" t="s">
        <v>37</v>
      </c>
      <c r="S801" t="s">
        <v>470</v>
      </c>
      <c r="T801" t="s">
        <v>43</v>
      </c>
      <c r="U801" t="s">
        <v>44</v>
      </c>
      <c r="V801">
        <v>147</v>
      </c>
      <c r="W801" t="s">
        <v>45</v>
      </c>
      <c r="X801" t="s">
        <v>389</v>
      </c>
      <c r="Y801" t="s">
        <v>471</v>
      </c>
      <c r="Z801" t="s">
        <v>37</v>
      </c>
      <c r="AA801" t="s">
        <v>95</v>
      </c>
      <c r="AB801" t="s">
        <v>37</v>
      </c>
      <c r="AC801" s="6" t="s">
        <v>37</v>
      </c>
      <c r="AD801" s="6" t="s">
        <v>37</v>
      </c>
      <c r="AE801" t="s">
        <v>37</v>
      </c>
      <c r="AF801" t="s">
        <v>37</v>
      </c>
      <c r="AG801" s="6" t="s">
        <v>37</v>
      </c>
      <c r="AH801" t="s">
        <v>37</v>
      </c>
      <c r="AI801" t="s">
        <v>37</v>
      </c>
      <c r="AJ801" t="str">
        <f t="shared" si="38"/>
        <v>2F7Y5WIXB00EUUXBDE</v>
      </c>
    </row>
    <row r="802" spans="1:36" ht="15" customHeight="1" x14ac:dyDescent="0.25">
      <c r="A802" t="s">
        <v>504</v>
      </c>
      <c r="B802" t="s">
        <v>37</v>
      </c>
      <c r="C802" t="s">
        <v>37</v>
      </c>
      <c r="D802" t="s">
        <v>38</v>
      </c>
      <c r="E802" s="4">
        <v>66</v>
      </c>
      <c r="F802" s="5">
        <v>5885.22</v>
      </c>
      <c r="G802" s="5" t="s">
        <v>39</v>
      </c>
      <c r="H802" s="5">
        <v>9683.52</v>
      </c>
      <c r="I802" s="5" t="s">
        <v>39</v>
      </c>
      <c r="J802" s="5">
        <v>200.09747999999999</v>
      </c>
      <c r="K802" s="5">
        <f t="shared" si="36"/>
        <v>3.0317799999999999</v>
      </c>
      <c r="L802" s="5">
        <f t="shared" si="37"/>
        <v>89.17</v>
      </c>
      <c r="M802" s="5" t="s">
        <v>39</v>
      </c>
      <c r="N802" s="5">
        <v>200.09747999999999</v>
      </c>
      <c r="O802" s="5" t="s">
        <v>39</v>
      </c>
      <c r="P802" t="s">
        <v>1475</v>
      </c>
      <c r="Q802" t="s">
        <v>1476</v>
      </c>
      <c r="R802" t="s">
        <v>37</v>
      </c>
      <c r="S802" t="s">
        <v>1477</v>
      </c>
      <c r="T802" t="s">
        <v>43</v>
      </c>
      <c r="U802" t="s">
        <v>44</v>
      </c>
      <c r="V802">
        <v>147</v>
      </c>
      <c r="W802" t="s">
        <v>45</v>
      </c>
      <c r="X802" t="s">
        <v>46</v>
      </c>
      <c r="Y802" t="s">
        <v>1478</v>
      </c>
      <c r="Z802" t="s">
        <v>37</v>
      </c>
      <c r="AA802" t="s">
        <v>48</v>
      </c>
      <c r="AB802" t="s">
        <v>37</v>
      </c>
      <c r="AC802" s="6" t="s">
        <v>37</v>
      </c>
      <c r="AD802" s="6" t="s">
        <v>37</v>
      </c>
      <c r="AE802" t="s">
        <v>37</v>
      </c>
      <c r="AF802" t="s">
        <v>37</v>
      </c>
      <c r="AG802" s="6" t="s">
        <v>37</v>
      </c>
      <c r="AH802" t="s">
        <v>37</v>
      </c>
      <c r="AI802" t="s">
        <v>37</v>
      </c>
      <c r="AJ802" t="str">
        <f t="shared" si="38"/>
        <v>172UACJHB01MCXJWD1</v>
      </c>
    </row>
    <row r="803" spans="1:36" ht="15" customHeight="1" x14ac:dyDescent="0.25">
      <c r="A803" t="s">
        <v>118</v>
      </c>
      <c r="B803" t="s">
        <v>37</v>
      </c>
      <c r="C803" t="s">
        <v>37</v>
      </c>
      <c r="D803" t="s">
        <v>38</v>
      </c>
      <c r="E803" s="4">
        <v>84</v>
      </c>
      <c r="F803" s="5">
        <v>17683.68</v>
      </c>
      <c r="G803" s="5" t="s">
        <v>39</v>
      </c>
      <c r="H803" s="5">
        <v>28229.040000000001</v>
      </c>
      <c r="I803" s="5" t="s">
        <v>39</v>
      </c>
      <c r="J803" s="5">
        <v>601.24512000000004</v>
      </c>
      <c r="K803" s="5">
        <f t="shared" si="36"/>
        <v>7.1576800000000009</v>
      </c>
      <c r="L803" s="5">
        <f t="shared" si="37"/>
        <v>210.52</v>
      </c>
      <c r="M803" s="5" t="s">
        <v>39</v>
      </c>
      <c r="N803" s="5">
        <v>601.24512000000004</v>
      </c>
      <c r="O803" s="5" t="s">
        <v>39</v>
      </c>
      <c r="P803" t="s">
        <v>232</v>
      </c>
      <c r="Q803" t="s">
        <v>1479</v>
      </c>
      <c r="R803" t="s">
        <v>37</v>
      </c>
      <c r="S803" t="s">
        <v>1480</v>
      </c>
      <c r="T803" t="s">
        <v>43</v>
      </c>
      <c r="U803" t="s">
        <v>44</v>
      </c>
      <c r="V803">
        <v>147</v>
      </c>
      <c r="W803" t="s">
        <v>45</v>
      </c>
      <c r="X803" t="s">
        <v>46</v>
      </c>
      <c r="Y803" t="s">
        <v>1481</v>
      </c>
      <c r="Z803" t="s">
        <v>37</v>
      </c>
      <c r="AA803" t="s">
        <v>55</v>
      </c>
      <c r="AB803" t="s">
        <v>37</v>
      </c>
      <c r="AC803" s="6" t="s">
        <v>37</v>
      </c>
      <c r="AD803" s="6" t="s">
        <v>37</v>
      </c>
      <c r="AE803" t="s">
        <v>37</v>
      </c>
      <c r="AF803" t="s">
        <v>37</v>
      </c>
      <c r="AG803" s="6" t="s">
        <v>37</v>
      </c>
      <c r="AH803" t="s">
        <v>37</v>
      </c>
      <c r="AI803" t="s">
        <v>37</v>
      </c>
      <c r="AJ803" t="str">
        <f t="shared" si="38"/>
        <v>23IZV8AJB07W6H9L5G</v>
      </c>
    </row>
    <row r="804" spans="1:36" ht="15" customHeight="1" x14ac:dyDescent="0.25">
      <c r="A804" t="s">
        <v>118</v>
      </c>
      <c r="B804" t="s">
        <v>37</v>
      </c>
      <c r="C804" t="s">
        <v>37</v>
      </c>
      <c r="D804" t="s">
        <v>38</v>
      </c>
      <c r="E804" s="4">
        <v>8</v>
      </c>
      <c r="F804" s="5">
        <v>774.64</v>
      </c>
      <c r="G804" s="5" t="s">
        <v>39</v>
      </c>
      <c r="H804" s="5">
        <v>918</v>
      </c>
      <c r="I804" s="5" t="s">
        <v>39</v>
      </c>
      <c r="J804" s="5">
        <v>26.337759999999999</v>
      </c>
      <c r="K804" s="5">
        <f t="shared" si="36"/>
        <v>3.2922199999999999</v>
      </c>
      <c r="L804" s="5">
        <f t="shared" si="37"/>
        <v>96.83</v>
      </c>
      <c r="M804" s="5" t="s">
        <v>39</v>
      </c>
      <c r="N804" s="5">
        <v>26.337759999999999</v>
      </c>
      <c r="O804" s="5" t="s">
        <v>39</v>
      </c>
      <c r="P804" t="s">
        <v>128</v>
      </c>
      <c r="Q804" t="s">
        <v>1482</v>
      </c>
      <c r="R804" t="s">
        <v>1483</v>
      </c>
      <c r="S804" t="s">
        <v>1484</v>
      </c>
      <c r="T804" t="s">
        <v>43</v>
      </c>
      <c r="U804" t="s">
        <v>44</v>
      </c>
      <c r="V804">
        <v>267</v>
      </c>
      <c r="W804" t="s">
        <v>151</v>
      </c>
      <c r="X804" t="s">
        <v>152</v>
      </c>
      <c r="Y804" t="s">
        <v>1485</v>
      </c>
      <c r="Z804" t="s">
        <v>37</v>
      </c>
      <c r="AA804" t="s">
        <v>95</v>
      </c>
      <c r="AB804" t="s">
        <v>37</v>
      </c>
      <c r="AC804" s="6" t="s">
        <v>37</v>
      </c>
      <c r="AD804" s="6" t="s">
        <v>37</v>
      </c>
      <c r="AE804" t="s">
        <v>37</v>
      </c>
      <c r="AF804" t="s">
        <v>37</v>
      </c>
      <c r="AG804" s="6" t="s">
        <v>37</v>
      </c>
      <c r="AH804" t="s">
        <v>37</v>
      </c>
      <c r="AI804" t="s">
        <v>37</v>
      </c>
      <c r="AJ804" t="str">
        <f t="shared" si="38"/>
        <v>7RAC5F9EB00N1YPXW2</v>
      </c>
    </row>
    <row r="805" spans="1:36" ht="15" customHeight="1" x14ac:dyDescent="0.25">
      <c r="A805" t="s">
        <v>96</v>
      </c>
      <c r="B805" t="s">
        <v>37</v>
      </c>
      <c r="C805" t="s">
        <v>37</v>
      </c>
      <c r="D805" t="s">
        <v>38</v>
      </c>
      <c r="E805" s="4">
        <v>180</v>
      </c>
      <c r="F805" s="5">
        <v>5270.4</v>
      </c>
      <c r="G805" s="5" t="s">
        <v>39</v>
      </c>
      <c r="H805" s="5">
        <v>5270.4</v>
      </c>
      <c r="I805" s="5" t="s">
        <v>39</v>
      </c>
      <c r="J805" s="5">
        <v>179.1936</v>
      </c>
      <c r="K805" s="5">
        <f t="shared" si="36"/>
        <v>0.99552000000000007</v>
      </c>
      <c r="L805" s="5">
        <f t="shared" si="37"/>
        <v>29.279999999999998</v>
      </c>
      <c r="M805" s="5" t="s">
        <v>39</v>
      </c>
      <c r="N805" s="5">
        <v>179.1936</v>
      </c>
      <c r="O805" s="5" t="s">
        <v>39</v>
      </c>
      <c r="P805" t="s">
        <v>222</v>
      </c>
      <c r="Q805" t="s">
        <v>469</v>
      </c>
      <c r="R805" t="s">
        <v>37</v>
      </c>
      <c r="S805" t="s">
        <v>470</v>
      </c>
      <c r="T805" t="s">
        <v>43</v>
      </c>
      <c r="U805" t="s">
        <v>44</v>
      </c>
      <c r="V805">
        <v>147</v>
      </c>
      <c r="W805" t="s">
        <v>45</v>
      </c>
      <c r="X805" t="s">
        <v>389</v>
      </c>
      <c r="Y805" t="s">
        <v>471</v>
      </c>
      <c r="Z805" t="s">
        <v>37</v>
      </c>
      <c r="AA805" t="s">
        <v>95</v>
      </c>
      <c r="AB805" t="s">
        <v>37</v>
      </c>
      <c r="AC805" s="6" t="s">
        <v>37</v>
      </c>
      <c r="AD805" s="6" t="s">
        <v>37</v>
      </c>
      <c r="AE805" t="s">
        <v>37</v>
      </c>
      <c r="AF805" t="s">
        <v>37</v>
      </c>
      <c r="AG805" s="6" t="s">
        <v>37</v>
      </c>
      <c r="AH805" t="s">
        <v>37</v>
      </c>
      <c r="AI805" t="s">
        <v>37</v>
      </c>
      <c r="AJ805" t="str">
        <f t="shared" si="38"/>
        <v>2F7Y5WIXB00EUUXBDE</v>
      </c>
    </row>
    <row r="806" spans="1:36" ht="15" customHeight="1" x14ac:dyDescent="0.25">
      <c r="A806" t="s">
        <v>36</v>
      </c>
      <c r="B806" t="s">
        <v>37</v>
      </c>
      <c r="C806" t="s">
        <v>37</v>
      </c>
      <c r="D806" t="s">
        <v>38</v>
      </c>
      <c r="E806" s="4">
        <v>120</v>
      </c>
      <c r="F806" s="5">
        <v>3513.6</v>
      </c>
      <c r="G806" s="5" t="s">
        <v>39</v>
      </c>
      <c r="H806" s="5">
        <v>5310</v>
      </c>
      <c r="I806" s="5" t="s">
        <v>39</v>
      </c>
      <c r="J806" s="5">
        <v>119.4624</v>
      </c>
      <c r="K806" s="5">
        <f t="shared" si="36"/>
        <v>0.99552000000000007</v>
      </c>
      <c r="L806" s="5">
        <f t="shared" si="37"/>
        <v>29.279999999999998</v>
      </c>
      <c r="M806" s="5" t="s">
        <v>39</v>
      </c>
      <c r="N806" s="5">
        <v>119.4624</v>
      </c>
      <c r="O806" s="5" t="s">
        <v>39</v>
      </c>
      <c r="P806" t="s">
        <v>270</v>
      </c>
      <c r="Q806" t="s">
        <v>1486</v>
      </c>
      <c r="R806" t="s">
        <v>37</v>
      </c>
      <c r="S806" t="s">
        <v>1487</v>
      </c>
      <c r="T806" t="s">
        <v>43</v>
      </c>
      <c r="U806" t="s">
        <v>44</v>
      </c>
      <c r="V806">
        <v>147</v>
      </c>
      <c r="W806" t="s">
        <v>45</v>
      </c>
      <c r="X806" t="s">
        <v>60</v>
      </c>
      <c r="Y806" t="s">
        <v>1488</v>
      </c>
      <c r="Z806" t="s">
        <v>37</v>
      </c>
      <c r="AA806" t="s">
        <v>55</v>
      </c>
      <c r="AB806" t="s">
        <v>37</v>
      </c>
      <c r="AC806" s="6" t="s">
        <v>37</v>
      </c>
      <c r="AD806" s="6" t="s">
        <v>37</v>
      </c>
      <c r="AE806" t="s">
        <v>37</v>
      </c>
      <c r="AF806" t="s">
        <v>37</v>
      </c>
      <c r="AG806" s="6" t="s">
        <v>37</v>
      </c>
      <c r="AH806" t="s">
        <v>37</v>
      </c>
      <c r="AI806" t="s">
        <v>37</v>
      </c>
      <c r="AJ806" t="str">
        <f t="shared" si="38"/>
        <v>1X4DXX4TB004ZH0RHK</v>
      </c>
    </row>
    <row r="807" spans="1:36" ht="15" customHeight="1" x14ac:dyDescent="0.25">
      <c r="A807" t="s">
        <v>647</v>
      </c>
      <c r="B807" t="s">
        <v>37</v>
      </c>
      <c r="C807" t="s">
        <v>37</v>
      </c>
      <c r="D807" t="s">
        <v>38</v>
      </c>
      <c r="E807" s="4">
        <v>0</v>
      </c>
      <c r="F807" s="5">
        <v>0</v>
      </c>
      <c r="G807" s="5" t="s">
        <v>39</v>
      </c>
      <c r="H807" s="5">
        <v>0</v>
      </c>
      <c r="I807" s="5" t="s">
        <v>39</v>
      </c>
      <c r="J807" s="5">
        <v>0</v>
      </c>
      <c r="K807" s="5" t="e">
        <f t="shared" si="36"/>
        <v>#DIV/0!</v>
      </c>
      <c r="L807" s="5" t="e">
        <f t="shared" si="37"/>
        <v>#DIV/0!</v>
      </c>
      <c r="M807" s="5" t="s">
        <v>39</v>
      </c>
      <c r="N807" s="5">
        <v>0</v>
      </c>
      <c r="O807" s="5" t="s">
        <v>39</v>
      </c>
      <c r="P807" t="s">
        <v>274</v>
      </c>
      <c r="Q807" t="s">
        <v>64</v>
      </c>
      <c r="R807" t="s">
        <v>37</v>
      </c>
      <c r="S807" t="s">
        <v>65</v>
      </c>
      <c r="T807" t="s">
        <v>43</v>
      </c>
      <c r="U807" t="s">
        <v>44</v>
      </c>
      <c r="V807">
        <v>147</v>
      </c>
      <c r="W807" t="s">
        <v>45</v>
      </c>
      <c r="X807" t="s">
        <v>53</v>
      </c>
      <c r="Y807" t="s">
        <v>66</v>
      </c>
      <c r="Z807" t="s">
        <v>37</v>
      </c>
      <c r="AA807" t="s">
        <v>48</v>
      </c>
      <c r="AB807" t="s">
        <v>37</v>
      </c>
      <c r="AC807" s="6" t="s">
        <v>37</v>
      </c>
      <c r="AD807" s="6" t="s">
        <v>37</v>
      </c>
      <c r="AE807" t="s">
        <v>37</v>
      </c>
      <c r="AF807" t="s">
        <v>37</v>
      </c>
      <c r="AG807" s="6" t="s">
        <v>37</v>
      </c>
      <c r="AH807" t="s">
        <v>37</v>
      </c>
      <c r="AI807" t="s">
        <v>37</v>
      </c>
      <c r="AJ807" t="str">
        <f t="shared" si="38"/>
        <v>4LYATDUXB00Q6MR0UO</v>
      </c>
    </row>
    <row r="808" spans="1:36" ht="15" customHeight="1" x14ac:dyDescent="0.25">
      <c r="A808" t="s">
        <v>118</v>
      </c>
      <c r="B808" t="s">
        <v>37</v>
      </c>
      <c r="C808" t="s">
        <v>37</v>
      </c>
      <c r="D808" t="s">
        <v>38</v>
      </c>
      <c r="E808" s="4">
        <v>4</v>
      </c>
      <c r="F808" s="5">
        <v>179.36</v>
      </c>
      <c r="G808" s="5" t="s">
        <v>39</v>
      </c>
      <c r="H808" s="5">
        <v>288.48</v>
      </c>
      <c r="I808" s="5" t="s">
        <v>39</v>
      </c>
      <c r="J808" s="5">
        <v>6.0982399999999997</v>
      </c>
      <c r="K808" s="5">
        <f t="shared" si="36"/>
        <v>1.5245599999999999</v>
      </c>
      <c r="L808" s="5">
        <f t="shared" si="37"/>
        <v>44.84</v>
      </c>
      <c r="M808" s="5" t="s">
        <v>39</v>
      </c>
      <c r="N808" s="5">
        <v>6.0982399999999997</v>
      </c>
      <c r="O808" s="5" t="s">
        <v>39</v>
      </c>
      <c r="P808" t="s">
        <v>128</v>
      </c>
      <c r="Q808" t="s">
        <v>984</v>
      </c>
      <c r="R808" t="s">
        <v>37</v>
      </c>
      <c r="S808" t="s">
        <v>985</v>
      </c>
      <c r="T808" t="s">
        <v>43</v>
      </c>
      <c r="U808" t="s">
        <v>44</v>
      </c>
      <c r="V808">
        <v>147</v>
      </c>
      <c r="W808" t="s">
        <v>45</v>
      </c>
      <c r="X808" t="s">
        <v>46</v>
      </c>
      <c r="Y808" t="s">
        <v>986</v>
      </c>
      <c r="Z808" t="s">
        <v>37</v>
      </c>
      <c r="AA808" t="s">
        <v>95</v>
      </c>
      <c r="AB808" t="s">
        <v>37</v>
      </c>
      <c r="AC808" s="6" t="s">
        <v>37</v>
      </c>
      <c r="AD808" s="6" t="s">
        <v>37</v>
      </c>
      <c r="AE808" t="s">
        <v>37</v>
      </c>
      <c r="AF808" t="s">
        <v>37</v>
      </c>
      <c r="AG808" s="6" t="s">
        <v>37</v>
      </c>
      <c r="AH808" t="s">
        <v>37</v>
      </c>
      <c r="AI808" t="s">
        <v>37</v>
      </c>
      <c r="AJ808" t="str">
        <f t="shared" si="38"/>
        <v>7RAC5F9EB07W6JM35X</v>
      </c>
    </row>
    <row r="809" spans="1:36" ht="15" customHeight="1" x14ac:dyDescent="0.25">
      <c r="A809" t="s">
        <v>36</v>
      </c>
      <c r="B809" t="s">
        <v>37</v>
      </c>
      <c r="C809" t="s">
        <v>37</v>
      </c>
      <c r="D809" t="s">
        <v>38</v>
      </c>
      <c r="E809" s="4">
        <v>12</v>
      </c>
      <c r="F809" s="5">
        <v>556.79999999999995</v>
      </c>
      <c r="G809" s="5" t="s">
        <v>39</v>
      </c>
      <c r="H809" s="5">
        <v>806.4</v>
      </c>
      <c r="I809" s="5" t="s">
        <v>39</v>
      </c>
      <c r="J809" s="5">
        <v>18.9312</v>
      </c>
      <c r="K809" s="5">
        <f t="shared" si="36"/>
        <v>1.5776000000000001</v>
      </c>
      <c r="L809" s="5">
        <f t="shared" si="37"/>
        <v>46.4</v>
      </c>
      <c r="M809" s="5" t="s">
        <v>39</v>
      </c>
      <c r="N809" s="5">
        <v>18.9312</v>
      </c>
      <c r="O809" s="5" t="s">
        <v>39</v>
      </c>
      <c r="P809" t="s">
        <v>67</v>
      </c>
      <c r="Q809" t="s">
        <v>1463</v>
      </c>
      <c r="R809" t="s">
        <v>37</v>
      </c>
      <c r="S809" t="s">
        <v>1464</v>
      </c>
      <c r="T809" t="s">
        <v>43</v>
      </c>
      <c r="U809" t="s">
        <v>44</v>
      </c>
      <c r="V809">
        <v>147</v>
      </c>
      <c r="W809" t="s">
        <v>45</v>
      </c>
      <c r="X809" t="s">
        <v>53</v>
      </c>
      <c r="Y809" t="s">
        <v>1465</v>
      </c>
      <c r="Z809" t="s">
        <v>37</v>
      </c>
      <c r="AA809" t="s">
        <v>55</v>
      </c>
      <c r="AB809" t="s">
        <v>37</v>
      </c>
      <c r="AC809" s="6" t="s">
        <v>37</v>
      </c>
      <c r="AD809" s="6" t="s">
        <v>37</v>
      </c>
      <c r="AE809" t="s">
        <v>37</v>
      </c>
      <c r="AF809" t="s">
        <v>37</v>
      </c>
      <c r="AG809" s="6" t="s">
        <v>37</v>
      </c>
      <c r="AH809" t="s">
        <v>37</v>
      </c>
      <c r="AI809" t="s">
        <v>37</v>
      </c>
      <c r="AJ809" t="str">
        <f t="shared" si="38"/>
        <v>2TMBDXBKB07W8P4PDD</v>
      </c>
    </row>
    <row r="810" spans="1:36" ht="15" customHeight="1" x14ac:dyDescent="0.25">
      <c r="A810" t="s">
        <v>118</v>
      </c>
      <c r="B810" t="s">
        <v>37</v>
      </c>
      <c r="C810" t="s">
        <v>37</v>
      </c>
      <c r="D810" t="s">
        <v>38</v>
      </c>
      <c r="E810" s="4">
        <v>16</v>
      </c>
      <c r="F810" s="5">
        <v>421.92</v>
      </c>
      <c r="G810" s="5" t="s">
        <v>39</v>
      </c>
      <c r="H810" s="5">
        <v>708</v>
      </c>
      <c r="I810" s="5" t="s">
        <v>39</v>
      </c>
      <c r="J810" s="5">
        <v>14.345280000000001</v>
      </c>
      <c r="K810" s="5">
        <f t="shared" si="36"/>
        <v>0.89658000000000004</v>
      </c>
      <c r="L810" s="5">
        <f t="shared" si="37"/>
        <v>26.37</v>
      </c>
      <c r="M810" s="5" t="s">
        <v>39</v>
      </c>
      <c r="N810" s="5">
        <v>14.345280000000001</v>
      </c>
      <c r="O810" s="5" t="s">
        <v>39</v>
      </c>
      <c r="P810" t="s">
        <v>119</v>
      </c>
      <c r="Q810" t="s">
        <v>64</v>
      </c>
      <c r="R810" t="s">
        <v>37</v>
      </c>
      <c r="S810" t="s">
        <v>65</v>
      </c>
      <c r="T810" t="s">
        <v>43</v>
      </c>
      <c r="U810" t="s">
        <v>44</v>
      </c>
      <c r="V810">
        <v>147</v>
      </c>
      <c r="W810" t="s">
        <v>45</v>
      </c>
      <c r="X810" t="s">
        <v>53</v>
      </c>
      <c r="Y810" t="s">
        <v>66</v>
      </c>
      <c r="Z810" t="s">
        <v>37</v>
      </c>
      <c r="AA810" t="s">
        <v>48</v>
      </c>
      <c r="AB810" t="s">
        <v>37</v>
      </c>
      <c r="AC810" s="6" t="s">
        <v>37</v>
      </c>
      <c r="AD810" s="6" t="s">
        <v>37</v>
      </c>
      <c r="AE810" t="s">
        <v>37</v>
      </c>
      <c r="AF810" t="s">
        <v>37</v>
      </c>
      <c r="AG810" s="6" t="s">
        <v>37</v>
      </c>
      <c r="AH810" t="s">
        <v>37</v>
      </c>
      <c r="AI810" t="s">
        <v>37</v>
      </c>
      <c r="AJ810" t="str">
        <f t="shared" si="38"/>
        <v>31DJDC7QB00Q6MR0UO</v>
      </c>
    </row>
    <row r="811" spans="1:36" ht="15" customHeight="1" x14ac:dyDescent="0.25">
      <c r="A811" t="s">
        <v>76</v>
      </c>
      <c r="B811" t="s">
        <v>37</v>
      </c>
      <c r="C811" t="s">
        <v>37</v>
      </c>
      <c r="D811" t="s">
        <v>38</v>
      </c>
      <c r="E811" s="4">
        <v>20</v>
      </c>
      <c r="F811" s="5">
        <v>187.2</v>
      </c>
      <c r="G811" s="5" t="s">
        <v>39</v>
      </c>
      <c r="H811" s="5">
        <v>278.60000000000002</v>
      </c>
      <c r="I811" s="5" t="s">
        <v>39</v>
      </c>
      <c r="J811" s="5">
        <v>6.3647999999999998</v>
      </c>
      <c r="K811" s="5">
        <f t="shared" si="36"/>
        <v>0.31823999999999997</v>
      </c>
      <c r="L811" s="5">
        <f t="shared" si="37"/>
        <v>9.36</v>
      </c>
      <c r="M811" s="5" t="s">
        <v>39</v>
      </c>
      <c r="N811" s="5">
        <v>6.3647999999999998</v>
      </c>
      <c r="O811" s="5" t="s">
        <v>39</v>
      </c>
      <c r="P811" t="s">
        <v>114</v>
      </c>
      <c r="Q811" t="s">
        <v>1489</v>
      </c>
      <c r="R811" t="s">
        <v>1490</v>
      </c>
      <c r="S811" t="s">
        <v>1491</v>
      </c>
      <c r="T811" t="s">
        <v>43</v>
      </c>
      <c r="U811" t="s">
        <v>44</v>
      </c>
      <c r="V811">
        <v>147</v>
      </c>
      <c r="W811" t="s">
        <v>45</v>
      </c>
      <c r="X811" t="s">
        <v>60</v>
      </c>
      <c r="Y811" t="s">
        <v>1492</v>
      </c>
      <c r="Z811" t="s">
        <v>37</v>
      </c>
      <c r="AA811" t="s">
        <v>48</v>
      </c>
      <c r="AB811" t="s">
        <v>37</v>
      </c>
      <c r="AC811" s="6" t="s">
        <v>37</v>
      </c>
      <c r="AD811" s="6" t="s">
        <v>37</v>
      </c>
      <c r="AE811" t="s">
        <v>37</v>
      </c>
      <c r="AF811" t="s">
        <v>37</v>
      </c>
      <c r="AG811" s="6" t="s">
        <v>37</v>
      </c>
      <c r="AH811" t="s">
        <v>37</v>
      </c>
      <c r="AI811" t="s">
        <v>37</v>
      </c>
      <c r="AJ811" t="str">
        <f t="shared" si="38"/>
        <v>243WWSUAB003ZY9Z40</v>
      </c>
    </row>
    <row r="812" spans="1:36" ht="15" customHeight="1" x14ac:dyDescent="0.25">
      <c r="A812" t="s">
        <v>96</v>
      </c>
      <c r="B812" t="s">
        <v>37</v>
      </c>
      <c r="C812" t="s">
        <v>37</v>
      </c>
      <c r="D812" t="s">
        <v>38</v>
      </c>
      <c r="E812" s="4">
        <v>10</v>
      </c>
      <c r="F812" s="5">
        <v>322.10000000000002</v>
      </c>
      <c r="G812" s="5" t="s">
        <v>39</v>
      </c>
      <c r="H812" s="5">
        <v>483.5</v>
      </c>
      <c r="I812" s="5" t="s">
        <v>39</v>
      </c>
      <c r="J812" s="5">
        <v>10.9514</v>
      </c>
      <c r="K812" s="5">
        <f t="shared" si="36"/>
        <v>1.09514</v>
      </c>
      <c r="L812" s="5">
        <f t="shared" si="37"/>
        <v>32.21</v>
      </c>
      <c r="M812" s="5" t="s">
        <v>39</v>
      </c>
      <c r="N812" s="5">
        <v>10.9514</v>
      </c>
      <c r="O812" s="5" t="s">
        <v>39</v>
      </c>
      <c r="P812" t="s">
        <v>195</v>
      </c>
      <c r="Q812" t="s">
        <v>654</v>
      </c>
      <c r="R812" t="s">
        <v>37</v>
      </c>
      <c r="S812" t="s">
        <v>655</v>
      </c>
      <c r="T812" t="s">
        <v>43</v>
      </c>
      <c r="U812" t="s">
        <v>44</v>
      </c>
      <c r="V812">
        <v>147</v>
      </c>
      <c r="W812" t="s">
        <v>45</v>
      </c>
      <c r="X812" t="s">
        <v>60</v>
      </c>
      <c r="Y812" t="s">
        <v>656</v>
      </c>
      <c r="Z812" t="s">
        <v>37</v>
      </c>
      <c r="AA812" t="s">
        <v>55</v>
      </c>
      <c r="AB812" t="s">
        <v>37</v>
      </c>
      <c r="AC812" s="6" t="s">
        <v>37</v>
      </c>
      <c r="AD812" s="6" t="s">
        <v>37</v>
      </c>
      <c r="AE812" t="s">
        <v>37</v>
      </c>
      <c r="AF812" t="s">
        <v>37</v>
      </c>
      <c r="AG812" s="6" t="s">
        <v>37</v>
      </c>
      <c r="AH812" t="s">
        <v>37</v>
      </c>
      <c r="AI812" t="s">
        <v>37</v>
      </c>
      <c r="AJ812" t="str">
        <f t="shared" si="38"/>
        <v>5X1OU9ZGB010X0ZQ7S</v>
      </c>
    </row>
    <row r="813" spans="1:36" ht="15" customHeight="1" x14ac:dyDescent="0.25">
      <c r="A813" t="s">
        <v>88</v>
      </c>
      <c r="B813" t="s">
        <v>37</v>
      </c>
      <c r="C813" t="s">
        <v>37</v>
      </c>
      <c r="D813" t="s">
        <v>38</v>
      </c>
      <c r="E813" s="4">
        <v>0</v>
      </c>
      <c r="F813" s="5">
        <v>0</v>
      </c>
      <c r="G813" s="5" t="s">
        <v>39</v>
      </c>
      <c r="H813" s="5">
        <v>0</v>
      </c>
      <c r="I813" s="5" t="s">
        <v>39</v>
      </c>
      <c r="J813" s="5">
        <v>0</v>
      </c>
      <c r="K813" s="5" t="e">
        <f t="shared" si="36"/>
        <v>#DIV/0!</v>
      </c>
      <c r="L813" s="5" t="e">
        <f t="shared" si="37"/>
        <v>#DIV/0!</v>
      </c>
      <c r="M813" s="5" t="s">
        <v>39</v>
      </c>
      <c r="N813" s="5">
        <v>0</v>
      </c>
      <c r="O813" s="5" t="s">
        <v>39</v>
      </c>
      <c r="P813" t="s">
        <v>462</v>
      </c>
      <c r="Q813" t="s">
        <v>1493</v>
      </c>
      <c r="R813" t="s">
        <v>37</v>
      </c>
      <c r="S813" t="s">
        <v>1494</v>
      </c>
      <c r="T813" t="s">
        <v>43</v>
      </c>
      <c r="U813" t="s">
        <v>44</v>
      </c>
      <c r="V813">
        <v>147</v>
      </c>
      <c r="W813" t="s">
        <v>45</v>
      </c>
      <c r="X813" t="s">
        <v>356</v>
      </c>
      <c r="Y813" t="s">
        <v>1495</v>
      </c>
      <c r="Z813" t="s">
        <v>37</v>
      </c>
      <c r="AA813" t="s">
        <v>55</v>
      </c>
      <c r="AB813" t="s">
        <v>37</v>
      </c>
      <c r="AC813" s="6" t="s">
        <v>37</v>
      </c>
      <c r="AD813" s="6" t="s">
        <v>37</v>
      </c>
      <c r="AE813" t="s">
        <v>37</v>
      </c>
      <c r="AF813" t="s">
        <v>37</v>
      </c>
      <c r="AG813" s="6" t="s">
        <v>37</v>
      </c>
      <c r="AH813" t="s">
        <v>37</v>
      </c>
      <c r="AI813" t="s">
        <v>37</v>
      </c>
      <c r="AJ813" t="str">
        <f t="shared" si="38"/>
        <v>17D6YHERB07W4DGZ54</v>
      </c>
    </row>
    <row r="814" spans="1:36" ht="15" customHeight="1" x14ac:dyDescent="0.25">
      <c r="A814" t="s">
        <v>383</v>
      </c>
      <c r="B814" t="s">
        <v>37</v>
      </c>
      <c r="C814" t="s">
        <v>37</v>
      </c>
      <c r="D814" t="s">
        <v>38</v>
      </c>
      <c r="E814" s="4">
        <v>0</v>
      </c>
      <c r="F814" s="5">
        <v>0</v>
      </c>
      <c r="G814" s="5" t="s">
        <v>39</v>
      </c>
      <c r="H814" s="5">
        <v>0</v>
      </c>
      <c r="I814" s="5" t="s">
        <v>39</v>
      </c>
      <c r="J814" s="5">
        <v>0</v>
      </c>
      <c r="K814" s="5" t="e">
        <f t="shared" si="36"/>
        <v>#DIV/0!</v>
      </c>
      <c r="L814" s="5" t="e">
        <f t="shared" si="37"/>
        <v>#DIV/0!</v>
      </c>
      <c r="M814" s="5" t="s">
        <v>39</v>
      </c>
      <c r="N814" s="5">
        <v>0</v>
      </c>
      <c r="O814" s="5" t="s">
        <v>39</v>
      </c>
      <c r="P814" t="s">
        <v>969</v>
      </c>
      <c r="Q814" t="s">
        <v>203</v>
      </c>
      <c r="R814" t="s">
        <v>37</v>
      </c>
      <c r="S814" t="s">
        <v>204</v>
      </c>
      <c r="T814" t="s">
        <v>43</v>
      </c>
      <c r="U814" t="s">
        <v>44</v>
      </c>
      <c r="V814">
        <v>147</v>
      </c>
      <c r="W814" t="s">
        <v>45</v>
      </c>
      <c r="X814" t="s">
        <v>46</v>
      </c>
      <c r="Y814" t="s">
        <v>205</v>
      </c>
      <c r="Z814" t="s">
        <v>37</v>
      </c>
      <c r="AA814" t="s">
        <v>55</v>
      </c>
      <c r="AB814" t="s">
        <v>37</v>
      </c>
      <c r="AC814" s="6" t="s">
        <v>37</v>
      </c>
      <c r="AD814" s="6" t="s">
        <v>37</v>
      </c>
      <c r="AE814" t="s">
        <v>37</v>
      </c>
      <c r="AF814" t="s">
        <v>37</v>
      </c>
      <c r="AG814" s="6" t="s">
        <v>37</v>
      </c>
      <c r="AH814" t="s">
        <v>37</v>
      </c>
      <c r="AI814" t="s">
        <v>37</v>
      </c>
      <c r="AJ814" t="str">
        <f t="shared" si="38"/>
        <v>1VBBCE3CB07PMKHMFS</v>
      </c>
    </row>
    <row r="815" spans="1:36" ht="15" customHeight="1" x14ac:dyDescent="0.25">
      <c r="A815" t="s">
        <v>96</v>
      </c>
      <c r="B815" t="s">
        <v>37</v>
      </c>
      <c r="C815" t="s">
        <v>37</v>
      </c>
      <c r="D815" t="s">
        <v>38</v>
      </c>
      <c r="E815" s="4">
        <v>32</v>
      </c>
      <c r="F815" s="5">
        <v>1030.72</v>
      </c>
      <c r="G815" s="5" t="s">
        <v>39</v>
      </c>
      <c r="H815" s="5">
        <v>1547.2</v>
      </c>
      <c r="I815" s="5" t="s">
        <v>39</v>
      </c>
      <c r="J815" s="5">
        <v>35.04448</v>
      </c>
      <c r="K815" s="5">
        <f t="shared" si="36"/>
        <v>1.09514</v>
      </c>
      <c r="L815" s="5">
        <f t="shared" si="37"/>
        <v>32.21</v>
      </c>
      <c r="M815" s="5" t="s">
        <v>39</v>
      </c>
      <c r="N815" s="5">
        <v>35.04448</v>
      </c>
      <c r="O815" s="5" t="s">
        <v>39</v>
      </c>
      <c r="P815" t="s">
        <v>222</v>
      </c>
      <c r="Q815" t="s">
        <v>1401</v>
      </c>
      <c r="R815" t="s">
        <v>37</v>
      </c>
      <c r="S815" t="s">
        <v>1402</v>
      </c>
      <c r="T815" t="s">
        <v>43</v>
      </c>
      <c r="U815" t="s">
        <v>44</v>
      </c>
      <c r="V815">
        <v>147</v>
      </c>
      <c r="W815" t="s">
        <v>45</v>
      </c>
      <c r="X815" t="s">
        <v>60</v>
      </c>
      <c r="Y815" t="s">
        <v>1403</v>
      </c>
      <c r="Z815" t="s">
        <v>37</v>
      </c>
      <c r="AA815" t="s">
        <v>48</v>
      </c>
      <c r="AB815" t="s">
        <v>37</v>
      </c>
      <c r="AC815" s="6" t="s">
        <v>37</v>
      </c>
      <c r="AD815" s="6" t="s">
        <v>37</v>
      </c>
      <c r="AE815" t="s">
        <v>37</v>
      </c>
      <c r="AF815" t="s">
        <v>37</v>
      </c>
      <c r="AG815" s="6" t="s">
        <v>37</v>
      </c>
      <c r="AH815" t="s">
        <v>37</v>
      </c>
      <c r="AI815" t="s">
        <v>37</v>
      </c>
      <c r="AJ815" t="str">
        <f t="shared" si="38"/>
        <v>2F7Y5WIXB013SL26LS</v>
      </c>
    </row>
    <row r="816" spans="1:36" ht="15" customHeight="1" x14ac:dyDescent="0.25">
      <c r="A816" t="s">
        <v>96</v>
      </c>
      <c r="B816" t="s">
        <v>37</v>
      </c>
      <c r="C816" t="s">
        <v>37</v>
      </c>
      <c r="D816" t="s">
        <v>38</v>
      </c>
      <c r="E816" s="4">
        <v>28</v>
      </c>
      <c r="F816" s="5">
        <v>3272.92</v>
      </c>
      <c r="G816" s="5" t="s">
        <v>39</v>
      </c>
      <c r="H816" s="5">
        <v>4108.16</v>
      </c>
      <c r="I816" s="5" t="s">
        <v>39</v>
      </c>
      <c r="J816" s="5">
        <v>111.27928</v>
      </c>
      <c r="K816" s="5">
        <f t="shared" si="36"/>
        <v>3.9742600000000001</v>
      </c>
      <c r="L816" s="5">
        <f t="shared" si="37"/>
        <v>116.89</v>
      </c>
      <c r="M816" s="5" t="s">
        <v>39</v>
      </c>
      <c r="N816" s="5">
        <v>111.27928</v>
      </c>
      <c r="O816" s="5" t="s">
        <v>39</v>
      </c>
      <c r="P816" t="s">
        <v>969</v>
      </c>
      <c r="Q816" t="s">
        <v>203</v>
      </c>
      <c r="R816" t="s">
        <v>37</v>
      </c>
      <c r="S816" t="s">
        <v>204</v>
      </c>
      <c r="T816" t="s">
        <v>43</v>
      </c>
      <c r="U816" t="s">
        <v>44</v>
      </c>
      <c r="V816">
        <v>147</v>
      </c>
      <c r="W816" t="s">
        <v>45</v>
      </c>
      <c r="X816" t="s">
        <v>46</v>
      </c>
      <c r="Y816" t="s">
        <v>205</v>
      </c>
      <c r="Z816" t="s">
        <v>37</v>
      </c>
      <c r="AA816" t="s">
        <v>55</v>
      </c>
      <c r="AB816" t="s">
        <v>37</v>
      </c>
      <c r="AC816" s="6" t="s">
        <v>37</v>
      </c>
      <c r="AD816" s="6" t="s">
        <v>37</v>
      </c>
      <c r="AE816" t="s">
        <v>37</v>
      </c>
      <c r="AF816" t="s">
        <v>37</v>
      </c>
      <c r="AG816" s="6" t="s">
        <v>37</v>
      </c>
      <c r="AH816" t="s">
        <v>37</v>
      </c>
      <c r="AI816" t="s">
        <v>37</v>
      </c>
      <c r="AJ816" t="str">
        <f t="shared" si="38"/>
        <v>1VBBCE3CB07PMKHMFS</v>
      </c>
    </row>
    <row r="817" spans="1:36" ht="15" customHeight="1" x14ac:dyDescent="0.25">
      <c r="A817" t="s">
        <v>96</v>
      </c>
      <c r="B817" t="s">
        <v>37</v>
      </c>
      <c r="C817" t="s">
        <v>37</v>
      </c>
      <c r="D817" t="s">
        <v>38</v>
      </c>
      <c r="E817" s="4">
        <v>50</v>
      </c>
      <c r="F817" s="5">
        <v>1595</v>
      </c>
      <c r="G817" s="5" t="s">
        <v>39</v>
      </c>
      <c r="H817" s="5">
        <v>2417.5</v>
      </c>
      <c r="I817" s="5" t="s">
        <v>39</v>
      </c>
      <c r="J817" s="5">
        <v>54.23</v>
      </c>
      <c r="K817" s="5">
        <f t="shared" si="36"/>
        <v>1.0846</v>
      </c>
      <c r="L817" s="5">
        <f t="shared" si="37"/>
        <v>31.9</v>
      </c>
      <c r="M817" s="5" t="s">
        <v>39</v>
      </c>
      <c r="N817" s="5">
        <v>54.23</v>
      </c>
      <c r="O817" s="5" t="s">
        <v>39</v>
      </c>
      <c r="P817" t="s">
        <v>50</v>
      </c>
      <c r="Q817" t="s">
        <v>726</v>
      </c>
      <c r="R817" t="s">
        <v>37</v>
      </c>
      <c r="S817" t="s">
        <v>727</v>
      </c>
      <c r="T817" t="s">
        <v>43</v>
      </c>
      <c r="U817" t="s">
        <v>44</v>
      </c>
      <c r="V817">
        <v>147</v>
      </c>
      <c r="W817" t="s">
        <v>45</v>
      </c>
      <c r="X817" t="s">
        <v>53</v>
      </c>
      <c r="Y817" t="s">
        <v>728</v>
      </c>
      <c r="Z817" t="s">
        <v>37</v>
      </c>
      <c r="AA817" t="s">
        <v>55</v>
      </c>
      <c r="AB817" t="s">
        <v>37</v>
      </c>
      <c r="AC817" s="6" t="s">
        <v>37</v>
      </c>
      <c r="AD817" s="6" t="s">
        <v>37</v>
      </c>
      <c r="AE817" t="s">
        <v>37</v>
      </c>
      <c r="AF817" t="s">
        <v>37</v>
      </c>
      <c r="AG817" s="6" t="s">
        <v>37</v>
      </c>
      <c r="AH817" t="s">
        <v>37</v>
      </c>
      <c r="AI817" t="s">
        <v>37</v>
      </c>
      <c r="AJ817" t="str">
        <f t="shared" si="38"/>
        <v>3A946EXYB07W6HKMCN</v>
      </c>
    </row>
    <row r="818" spans="1:36" ht="15" customHeight="1" x14ac:dyDescent="0.25">
      <c r="A818" t="s">
        <v>36</v>
      </c>
      <c r="B818" t="s">
        <v>37</v>
      </c>
      <c r="C818" t="s">
        <v>37</v>
      </c>
      <c r="D818" t="s">
        <v>38</v>
      </c>
      <c r="E818" s="4">
        <v>8</v>
      </c>
      <c r="F818" s="5">
        <v>274.32</v>
      </c>
      <c r="G818" s="5" t="s">
        <v>39</v>
      </c>
      <c r="H818" s="5">
        <v>458.96</v>
      </c>
      <c r="I818" s="5" t="s">
        <v>39</v>
      </c>
      <c r="J818" s="5">
        <v>9.3268799999999992</v>
      </c>
      <c r="K818" s="5">
        <f t="shared" si="36"/>
        <v>1.1658599999999999</v>
      </c>
      <c r="L818" s="5">
        <f t="shared" si="37"/>
        <v>34.29</v>
      </c>
      <c r="M818" s="5" t="s">
        <v>39</v>
      </c>
      <c r="N818" s="5">
        <v>9.3268799999999992</v>
      </c>
      <c r="O818" s="5" t="s">
        <v>39</v>
      </c>
      <c r="P818" t="s">
        <v>137</v>
      </c>
      <c r="Q818" t="s">
        <v>523</v>
      </c>
      <c r="R818" t="s">
        <v>37</v>
      </c>
      <c r="S818" t="s">
        <v>524</v>
      </c>
      <c r="T818" t="s">
        <v>43</v>
      </c>
      <c r="U818" t="s">
        <v>44</v>
      </c>
      <c r="V818">
        <v>147</v>
      </c>
      <c r="W818" t="s">
        <v>45</v>
      </c>
      <c r="X818" t="s">
        <v>46</v>
      </c>
      <c r="Y818" t="s">
        <v>525</v>
      </c>
      <c r="Z818" t="s">
        <v>37</v>
      </c>
      <c r="AA818" t="s">
        <v>48</v>
      </c>
      <c r="AB818" t="s">
        <v>37</v>
      </c>
      <c r="AC818" s="6" t="s">
        <v>37</v>
      </c>
      <c r="AD818" s="6" t="s">
        <v>37</v>
      </c>
      <c r="AE818" t="s">
        <v>37</v>
      </c>
      <c r="AF818" t="s">
        <v>37</v>
      </c>
      <c r="AG818" s="6" t="s">
        <v>37</v>
      </c>
      <c r="AH818" t="s">
        <v>37</v>
      </c>
      <c r="AI818" t="s">
        <v>37</v>
      </c>
      <c r="AJ818" t="str">
        <f t="shared" si="38"/>
        <v>3UDP1VLYB00CJ5FPTA</v>
      </c>
    </row>
    <row r="819" spans="1:36" ht="15" customHeight="1" x14ac:dyDescent="0.25">
      <c r="A819" t="s">
        <v>101</v>
      </c>
      <c r="B819" t="s">
        <v>37</v>
      </c>
      <c r="C819" t="s">
        <v>37</v>
      </c>
      <c r="D819" t="s">
        <v>38</v>
      </c>
      <c r="E819" s="4">
        <v>10</v>
      </c>
      <c r="F819" s="5">
        <v>93.6</v>
      </c>
      <c r="G819" s="5" t="s">
        <v>39</v>
      </c>
      <c r="H819" s="5">
        <v>139.30000000000001</v>
      </c>
      <c r="I819" s="5" t="s">
        <v>39</v>
      </c>
      <c r="J819" s="5">
        <v>3.1823999999999999</v>
      </c>
      <c r="K819" s="5">
        <f t="shared" si="36"/>
        <v>0.31823999999999997</v>
      </c>
      <c r="L819" s="5">
        <f t="shared" si="37"/>
        <v>9.36</v>
      </c>
      <c r="M819" s="5" t="s">
        <v>39</v>
      </c>
      <c r="N819" s="5">
        <v>3.1823999999999999</v>
      </c>
      <c r="O819" s="5" t="s">
        <v>39</v>
      </c>
      <c r="P819" t="s">
        <v>206</v>
      </c>
      <c r="Q819" t="s">
        <v>1496</v>
      </c>
      <c r="R819" t="s">
        <v>1497</v>
      </c>
      <c r="S819" t="s">
        <v>1498</v>
      </c>
      <c r="T819" t="s">
        <v>43</v>
      </c>
      <c r="U819" t="s">
        <v>44</v>
      </c>
      <c r="V819">
        <v>147</v>
      </c>
      <c r="W819" t="s">
        <v>45</v>
      </c>
      <c r="X819" t="s">
        <v>60</v>
      </c>
      <c r="Y819" t="s">
        <v>1499</v>
      </c>
      <c r="Z819" t="s">
        <v>37</v>
      </c>
      <c r="AA819" t="s">
        <v>55</v>
      </c>
      <c r="AB819" t="s">
        <v>37</v>
      </c>
      <c r="AC819" s="6" t="s">
        <v>37</v>
      </c>
      <c r="AD819" s="6" t="s">
        <v>37</v>
      </c>
      <c r="AE819" t="s">
        <v>37</v>
      </c>
      <c r="AF819" t="s">
        <v>37</v>
      </c>
      <c r="AG819" s="6" t="s">
        <v>37</v>
      </c>
      <c r="AH819" t="s">
        <v>37</v>
      </c>
      <c r="AI819" t="s">
        <v>37</v>
      </c>
      <c r="AJ819" t="str">
        <f t="shared" si="38"/>
        <v>1MDL1DPEB004LAWLPW</v>
      </c>
    </row>
    <row r="820" spans="1:36" ht="15" customHeight="1" x14ac:dyDescent="0.25">
      <c r="A820" t="s">
        <v>118</v>
      </c>
      <c r="B820" t="s">
        <v>37</v>
      </c>
      <c r="C820" t="s">
        <v>37</v>
      </c>
      <c r="D820" t="s">
        <v>38</v>
      </c>
      <c r="E820" s="4">
        <v>8</v>
      </c>
      <c r="F820" s="5">
        <v>168.8</v>
      </c>
      <c r="G820" s="5" t="s">
        <v>39</v>
      </c>
      <c r="H820" s="5">
        <v>288.48</v>
      </c>
      <c r="I820" s="5" t="s">
        <v>39</v>
      </c>
      <c r="J820" s="5">
        <v>5.7392000000000003</v>
      </c>
      <c r="K820" s="5">
        <f t="shared" si="36"/>
        <v>0.71740000000000004</v>
      </c>
      <c r="L820" s="5">
        <f t="shared" si="37"/>
        <v>21.1</v>
      </c>
      <c r="M820" s="5" t="s">
        <v>39</v>
      </c>
      <c r="N820" s="5">
        <v>5.7392000000000003</v>
      </c>
      <c r="O820" s="5" t="s">
        <v>39</v>
      </c>
      <c r="P820" t="s">
        <v>537</v>
      </c>
      <c r="Q820" t="s">
        <v>741</v>
      </c>
      <c r="R820" t="s">
        <v>742</v>
      </c>
      <c r="S820" t="s">
        <v>743</v>
      </c>
      <c r="T820" t="s">
        <v>43</v>
      </c>
      <c r="U820" t="s">
        <v>44</v>
      </c>
      <c r="V820">
        <v>147</v>
      </c>
      <c r="W820" t="s">
        <v>45</v>
      </c>
      <c r="X820" t="s">
        <v>46</v>
      </c>
      <c r="Y820" t="s">
        <v>744</v>
      </c>
      <c r="Z820" t="s">
        <v>37</v>
      </c>
      <c r="AA820" t="s">
        <v>48</v>
      </c>
      <c r="AB820" t="s">
        <v>37</v>
      </c>
      <c r="AC820" s="6" t="s">
        <v>37</v>
      </c>
      <c r="AD820" s="6" t="s">
        <v>37</v>
      </c>
      <c r="AE820" t="s">
        <v>37</v>
      </c>
      <c r="AF820" t="s">
        <v>37</v>
      </c>
      <c r="AG820" s="6" t="s">
        <v>37</v>
      </c>
      <c r="AH820" t="s">
        <v>37</v>
      </c>
      <c r="AI820" t="s">
        <v>37</v>
      </c>
      <c r="AJ820" t="str">
        <f t="shared" si="38"/>
        <v>1LQM129ZB00CJ5FP04</v>
      </c>
    </row>
    <row r="821" spans="1:36" ht="15" customHeight="1" x14ac:dyDescent="0.25">
      <c r="A821" t="s">
        <v>62</v>
      </c>
      <c r="B821" t="s">
        <v>37</v>
      </c>
      <c r="C821" t="s">
        <v>37</v>
      </c>
      <c r="D821" t="s">
        <v>38</v>
      </c>
      <c r="E821" s="4">
        <v>20</v>
      </c>
      <c r="F821" s="5">
        <v>468.4</v>
      </c>
      <c r="G821" s="5" t="s">
        <v>39</v>
      </c>
      <c r="H821" s="5">
        <v>721.2</v>
      </c>
      <c r="I821" s="5" t="s">
        <v>39</v>
      </c>
      <c r="J821" s="5">
        <v>15.925599999999999</v>
      </c>
      <c r="K821" s="5">
        <f t="shared" si="36"/>
        <v>0.79627999999999999</v>
      </c>
      <c r="L821" s="5">
        <f t="shared" si="37"/>
        <v>23.419999999999998</v>
      </c>
      <c r="M821" s="5" t="s">
        <v>39</v>
      </c>
      <c r="N821" s="5">
        <v>15.925599999999999</v>
      </c>
      <c r="O821" s="5" t="s">
        <v>39</v>
      </c>
      <c r="P821" t="s">
        <v>63</v>
      </c>
      <c r="Q821" t="s">
        <v>1500</v>
      </c>
      <c r="R821" t="s">
        <v>37</v>
      </c>
      <c r="S821" t="s">
        <v>1501</v>
      </c>
      <c r="T821" t="s">
        <v>43</v>
      </c>
      <c r="U821" t="s">
        <v>44</v>
      </c>
      <c r="V821">
        <v>147</v>
      </c>
      <c r="W821" t="s">
        <v>45</v>
      </c>
      <c r="X821" t="s">
        <v>60</v>
      </c>
      <c r="Y821" t="s">
        <v>1502</v>
      </c>
      <c r="Z821" t="s">
        <v>37</v>
      </c>
      <c r="AA821" t="s">
        <v>55</v>
      </c>
      <c r="AB821" t="s">
        <v>37</v>
      </c>
      <c r="AC821" s="6" t="s">
        <v>37</v>
      </c>
      <c r="AD821" s="6" t="s">
        <v>37</v>
      </c>
      <c r="AE821" t="s">
        <v>37</v>
      </c>
      <c r="AF821" t="s">
        <v>37</v>
      </c>
      <c r="AG821" s="6" t="s">
        <v>37</v>
      </c>
      <c r="AH821" t="s">
        <v>37</v>
      </c>
      <c r="AI821" t="s">
        <v>37</v>
      </c>
      <c r="AJ821" t="str">
        <f t="shared" si="38"/>
        <v>7H9X1Z6SB00779631W</v>
      </c>
    </row>
    <row r="822" spans="1:36" ht="15" customHeight="1" x14ac:dyDescent="0.25">
      <c r="A822" t="s">
        <v>411</v>
      </c>
      <c r="B822" t="s">
        <v>37</v>
      </c>
      <c r="C822" t="s">
        <v>37</v>
      </c>
      <c r="D822" t="s">
        <v>38</v>
      </c>
      <c r="E822" s="4">
        <v>10</v>
      </c>
      <c r="F822" s="5">
        <v>163.9</v>
      </c>
      <c r="G822" s="5" t="s">
        <v>39</v>
      </c>
      <c r="H822" s="5">
        <v>245.8</v>
      </c>
      <c r="I822" s="5" t="s">
        <v>39</v>
      </c>
      <c r="J822" s="5">
        <v>5.5726000000000004</v>
      </c>
      <c r="K822" s="5">
        <f t="shared" si="36"/>
        <v>0.55726000000000009</v>
      </c>
      <c r="L822" s="5">
        <f t="shared" si="37"/>
        <v>16.39</v>
      </c>
      <c r="M822" s="5" t="s">
        <v>39</v>
      </c>
      <c r="N822" s="5">
        <v>5.5726000000000004</v>
      </c>
      <c r="O822" s="5" t="s">
        <v>39</v>
      </c>
      <c r="P822" t="s">
        <v>522</v>
      </c>
      <c r="Q822" t="s">
        <v>917</v>
      </c>
      <c r="R822" t="s">
        <v>37</v>
      </c>
      <c r="S822" t="s">
        <v>918</v>
      </c>
      <c r="T822" t="s">
        <v>43</v>
      </c>
      <c r="U822" t="s">
        <v>44</v>
      </c>
      <c r="V822">
        <v>147</v>
      </c>
      <c r="W822" t="s">
        <v>45</v>
      </c>
      <c r="X822" t="s">
        <v>60</v>
      </c>
      <c r="Y822" t="s">
        <v>919</v>
      </c>
      <c r="Z822" t="s">
        <v>37</v>
      </c>
      <c r="AA822" t="s">
        <v>55</v>
      </c>
      <c r="AB822" t="s">
        <v>37</v>
      </c>
      <c r="AC822" s="6" t="s">
        <v>37</v>
      </c>
      <c r="AD822" s="6" t="s">
        <v>37</v>
      </c>
      <c r="AE822" t="s">
        <v>37</v>
      </c>
      <c r="AF822" t="s">
        <v>37</v>
      </c>
      <c r="AG822" s="6" t="s">
        <v>37</v>
      </c>
      <c r="AH822" t="s">
        <v>37</v>
      </c>
      <c r="AI822" t="s">
        <v>37</v>
      </c>
      <c r="AJ822" t="str">
        <f t="shared" si="38"/>
        <v>24EUBTHXB00EJ3RMDM</v>
      </c>
    </row>
    <row r="823" spans="1:36" ht="15" customHeight="1" x14ac:dyDescent="0.25">
      <c r="A823" t="s">
        <v>36</v>
      </c>
      <c r="B823" t="s">
        <v>37</v>
      </c>
      <c r="C823" t="s">
        <v>37</v>
      </c>
      <c r="D823" t="s">
        <v>38</v>
      </c>
      <c r="E823" s="4">
        <v>24</v>
      </c>
      <c r="F823" s="5">
        <v>773.04</v>
      </c>
      <c r="G823" s="5" t="s">
        <v>39</v>
      </c>
      <c r="H823" s="5">
        <v>1160.4000000000001</v>
      </c>
      <c r="I823" s="5" t="s">
        <v>39</v>
      </c>
      <c r="J823" s="5">
        <v>26.283359999999998</v>
      </c>
      <c r="K823" s="5">
        <f t="shared" si="36"/>
        <v>1.09514</v>
      </c>
      <c r="L823" s="5">
        <f t="shared" si="37"/>
        <v>32.21</v>
      </c>
      <c r="M823" s="5" t="s">
        <v>39</v>
      </c>
      <c r="N823" s="5">
        <v>26.283359999999998</v>
      </c>
      <c r="O823" s="5" t="s">
        <v>39</v>
      </c>
      <c r="P823" t="s">
        <v>119</v>
      </c>
      <c r="Q823" t="s">
        <v>1503</v>
      </c>
      <c r="R823" t="s">
        <v>37</v>
      </c>
      <c r="S823" t="s">
        <v>1504</v>
      </c>
      <c r="T823" t="s">
        <v>43</v>
      </c>
      <c r="U823" t="s">
        <v>44</v>
      </c>
      <c r="V823">
        <v>147</v>
      </c>
      <c r="W823" t="s">
        <v>45</v>
      </c>
      <c r="X823" t="s">
        <v>60</v>
      </c>
      <c r="Y823" t="s">
        <v>1505</v>
      </c>
      <c r="Z823" t="s">
        <v>37</v>
      </c>
      <c r="AA823" t="s">
        <v>48</v>
      </c>
      <c r="AB823" t="s">
        <v>37</v>
      </c>
      <c r="AC823" s="6" t="s">
        <v>37</v>
      </c>
      <c r="AD823" s="6" t="s">
        <v>37</v>
      </c>
      <c r="AE823" t="s">
        <v>37</v>
      </c>
      <c r="AF823" t="s">
        <v>37</v>
      </c>
      <c r="AG823" s="6" t="s">
        <v>37</v>
      </c>
      <c r="AH823" t="s">
        <v>37</v>
      </c>
      <c r="AI823" t="s">
        <v>37</v>
      </c>
      <c r="AJ823" t="str">
        <f t="shared" si="38"/>
        <v>31DJDC7QB013SL2050</v>
      </c>
    </row>
    <row r="824" spans="1:36" ht="15" customHeight="1" x14ac:dyDescent="0.25">
      <c r="A824" t="s">
        <v>36</v>
      </c>
      <c r="B824" t="s">
        <v>37</v>
      </c>
      <c r="C824" t="s">
        <v>37</v>
      </c>
      <c r="D824" t="s">
        <v>38</v>
      </c>
      <c r="E824" s="4">
        <v>24</v>
      </c>
      <c r="F824" s="5">
        <v>1322.4</v>
      </c>
      <c r="G824" s="5" t="s">
        <v>39</v>
      </c>
      <c r="H824" s="5">
        <v>1573.68</v>
      </c>
      <c r="I824" s="5" t="s">
        <v>39</v>
      </c>
      <c r="J824" s="5">
        <v>44.961599999999997</v>
      </c>
      <c r="K824" s="5">
        <f t="shared" si="36"/>
        <v>1.8734</v>
      </c>
      <c r="L824" s="5">
        <f t="shared" si="37"/>
        <v>55.1</v>
      </c>
      <c r="M824" s="5" t="s">
        <v>39</v>
      </c>
      <c r="N824" s="5">
        <v>44.961599999999997</v>
      </c>
      <c r="O824" s="5" t="s">
        <v>39</v>
      </c>
      <c r="P824" t="s">
        <v>67</v>
      </c>
      <c r="Q824" t="s">
        <v>1506</v>
      </c>
      <c r="R824" t="s">
        <v>37</v>
      </c>
      <c r="S824" t="s">
        <v>1507</v>
      </c>
      <c r="T824" t="s">
        <v>43</v>
      </c>
      <c r="U824" t="s">
        <v>44</v>
      </c>
      <c r="V824">
        <v>147</v>
      </c>
      <c r="W824" t="s">
        <v>1508</v>
      </c>
      <c r="X824" t="s">
        <v>1509</v>
      </c>
      <c r="Y824" t="s">
        <v>1510</v>
      </c>
      <c r="Z824" t="s">
        <v>37</v>
      </c>
      <c r="AA824" t="s">
        <v>55</v>
      </c>
      <c r="AB824" t="s">
        <v>37</v>
      </c>
      <c r="AC824" s="6" t="s">
        <v>37</v>
      </c>
      <c r="AD824" s="6" t="s">
        <v>37</v>
      </c>
      <c r="AE824" t="s">
        <v>37</v>
      </c>
      <c r="AF824" t="s">
        <v>37</v>
      </c>
      <c r="AG824" s="6" t="s">
        <v>37</v>
      </c>
      <c r="AH824" t="s">
        <v>37</v>
      </c>
      <c r="AI824" t="s">
        <v>37</v>
      </c>
      <c r="AJ824" t="str">
        <f t="shared" si="38"/>
        <v>2TMBDXBKB07W7L3HJP</v>
      </c>
    </row>
    <row r="825" spans="1:36" ht="15" customHeight="1" x14ac:dyDescent="0.25">
      <c r="A825" t="s">
        <v>411</v>
      </c>
      <c r="B825" t="s">
        <v>37</v>
      </c>
      <c r="C825" t="s">
        <v>37</v>
      </c>
      <c r="D825" t="s">
        <v>38</v>
      </c>
      <c r="E825" s="4">
        <v>90</v>
      </c>
      <c r="F825" s="5">
        <v>2610</v>
      </c>
      <c r="G825" s="5" t="s">
        <v>39</v>
      </c>
      <c r="H825" s="5">
        <v>3982.5</v>
      </c>
      <c r="I825" s="5" t="s">
        <v>39</v>
      </c>
      <c r="J825" s="5">
        <v>88.74</v>
      </c>
      <c r="K825" s="5">
        <f t="shared" si="36"/>
        <v>0.98599999999999999</v>
      </c>
      <c r="L825" s="5">
        <f t="shared" si="37"/>
        <v>29</v>
      </c>
      <c r="M825" s="5" t="s">
        <v>39</v>
      </c>
      <c r="N825" s="5">
        <v>88.74</v>
      </c>
      <c r="O825" s="5" t="s">
        <v>39</v>
      </c>
      <c r="P825" t="s">
        <v>522</v>
      </c>
      <c r="Q825" t="s">
        <v>541</v>
      </c>
      <c r="R825" t="s">
        <v>37</v>
      </c>
      <c r="S825" t="s">
        <v>542</v>
      </c>
      <c r="T825" t="s">
        <v>43</v>
      </c>
      <c r="U825" t="s">
        <v>44</v>
      </c>
      <c r="V825">
        <v>147</v>
      </c>
      <c r="W825" t="s">
        <v>92</v>
      </c>
      <c r="X825" t="s">
        <v>543</v>
      </c>
      <c r="Y825" t="s">
        <v>544</v>
      </c>
      <c r="Z825" t="s">
        <v>37</v>
      </c>
      <c r="AA825" t="s">
        <v>55</v>
      </c>
      <c r="AB825" t="s">
        <v>37</v>
      </c>
      <c r="AC825" s="6" t="s">
        <v>37</v>
      </c>
      <c r="AD825" s="6" t="s">
        <v>37</v>
      </c>
      <c r="AE825" t="s">
        <v>37</v>
      </c>
      <c r="AF825" t="s">
        <v>37</v>
      </c>
      <c r="AG825" s="6" t="s">
        <v>37</v>
      </c>
      <c r="AH825" t="s">
        <v>37</v>
      </c>
      <c r="AI825" t="s">
        <v>37</v>
      </c>
      <c r="AJ825" t="str">
        <f t="shared" si="38"/>
        <v>24EUBTHXB07W7LF6F1</v>
      </c>
    </row>
    <row r="826" spans="1:36" ht="15" customHeight="1" x14ac:dyDescent="0.25">
      <c r="A826" t="s">
        <v>76</v>
      </c>
      <c r="B826" t="s">
        <v>37</v>
      </c>
      <c r="C826" t="s">
        <v>37</v>
      </c>
      <c r="D826" t="s">
        <v>38</v>
      </c>
      <c r="E826" s="4">
        <v>112</v>
      </c>
      <c r="F826" s="5">
        <v>4430.72</v>
      </c>
      <c r="G826" s="5" t="s">
        <v>39</v>
      </c>
      <c r="H826" s="5">
        <v>6425.44</v>
      </c>
      <c r="I826" s="5" t="s">
        <v>39</v>
      </c>
      <c r="J826" s="5">
        <v>150.64447999999999</v>
      </c>
      <c r="K826" s="5">
        <f t="shared" si="36"/>
        <v>1.3450399999999998</v>
      </c>
      <c r="L826" s="5">
        <f t="shared" si="37"/>
        <v>39.56</v>
      </c>
      <c r="M826" s="5" t="s">
        <v>39</v>
      </c>
      <c r="N826" s="5">
        <v>150.64447999999999</v>
      </c>
      <c r="O826" s="5" t="s">
        <v>39</v>
      </c>
      <c r="P826" t="s">
        <v>63</v>
      </c>
      <c r="Q826" t="s">
        <v>1511</v>
      </c>
      <c r="R826" t="s">
        <v>1512</v>
      </c>
      <c r="S826" t="s">
        <v>1513</v>
      </c>
      <c r="T826" t="s">
        <v>43</v>
      </c>
      <c r="U826" t="s">
        <v>44</v>
      </c>
      <c r="V826">
        <v>147</v>
      </c>
      <c r="W826" t="s">
        <v>45</v>
      </c>
      <c r="X826" t="s">
        <v>46</v>
      </c>
      <c r="Y826" t="s">
        <v>1514</v>
      </c>
      <c r="Z826" t="s">
        <v>37</v>
      </c>
      <c r="AA826" t="s">
        <v>55</v>
      </c>
      <c r="AB826" t="s">
        <v>37</v>
      </c>
      <c r="AC826" s="6" t="s">
        <v>37</v>
      </c>
      <c r="AD826" s="6" t="s">
        <v>37</v>
      </c>
      <c r="AE826" t="s">
        <v>37</v>
      </c>
      <c r="AF826" t="s">
        <v>37</v>
      </c>
      <c r="AG826" s="6" t="s">
        <v>37</v>
      </c>
      <c r="AH826" t="s">
        <v>37</v>
      </c>
      <c r="AI826" t="s">
        <v>37</v>
      </c>
      <c r="AJ826" t="str">
        <f t="shared" si="38"/>
        <v>7H9X1Z6SB00LFBEOUA</v>
      </c>
    </row>
    <row r="827" spans="1:36" ht="15" customHeight="1" x14ac:dyDescent="0.25">
      <c r="A827" t="s">
        <v>96</v>
      </c>
      <c r="B827" t="s">
        <v>37</v>
      </c>
      <c r="C827" t="s">
        <v>37</v>
      </c>
      <c r="D827" t="s">
        <v>38</v>
      </c>
      <c r="E827" s="4">
        <v>51</v>
      </c>
      <c r="F827" s="5">
        <v>8045.76</v>
      </c>
      <c r="G827" s="5" t="s">
        <v>39</v>
      </c>
      <c r="H827" s="5">
        <v>13335.48</v>
      </c>
      <c r="I827" s="5" t="s">
        <v>39</v>
      </c>
      <c r="J827" s="5">
        <v>273.55583999999999</v>
      </c>
      <c r="K827" s="5">
        <f t="shared" si="36"/>
        <v>5.3638399999999997</v>
      </c>
      <c r="L827" s="5">
        <f t="shared" si="37"/>
        <v>157.76</v>
      </c>
      <c r="M827" s="5" t="s">
        <v>39</v>
      </c>
      <c r="N827" s="5">
        <v>273.55583999999999</v>
      </c>
      <c r="O827" s="5" t="s">
        <v>39</v>
      </c>
      <c r="P827" t="s">
        <v>479</v>
      </c>
      <c r="Q827" t="s">
        <v>41</v>
      </c>
      <c r="R827" t="s">
        <v>37</v>
      </c>
      <c r="S827" t="s">
        <v>42</v>
      </c>
      <c r="T827" t="s">
        <v>43</v>
      </c>
      <c r="U827" t="s">
        <v>44</v>
      </c>
      <c r="V827">
        <v>147</v>
      </c>
      <c r="W827" t="s">
        <v>45</v>
      </c>
      <c r="X827" t="s">
        <v>46</v>
      </c>
      <c r="Y827" t="s">
        <v>47</v>
      </c>
      <c r="Z827" t="s">
        <v>37</v>
      </c>
      <c r="AA827" t="s">
        <v>48</v>
      </c>
      <c r="AB827" t="s">
        <v>37</v>
      </c>
      <c r="AC827" s="6" t="s">
        <v>37</v>
      </c>
      <c r="AD827" s="6" t="s">
        <v>37</v>
      </c>
      <c r="AE827" t="s">
        <v>37</v>
      </c>
      <c r="AF827" t="s">
        <v>37</v>
      </c>
      <c r="AG827" s="6" t="s">
        <v>37</v>
      </c>
      <c r="AH827" t="s">
        <v>37</v>
      </c>
      <c r="AI827" t="s">
        <v>37</v>
      </c>
      <c r="AJ827" t="str">
        <f t="shared" si="38"/>
        <v>7SCVG2OTB079Z3DSBK</v>
      </c>
    </row>
    <row r="828" spans="1:36" ht="15" customHeight="1" x14ac:dyDescent="0.25">
      <c r="A828" t="s">
        <v>96</v>
      </c>
      <c r="B828" t="s">
        <v>37</v>
      </c>
      <c r="C828" t="s">
        <v>37</v>
      </c>
      <c r="D828" t="s">
        <v>38</v>
      </c>
      <c r="E828" s="4">
        <v>11</v>
      </c>
      <c r="F828" s="5">
        <v>2315.7199999999998</v>
      </c>
      <c r="G828" s="5" t="s">
        <v>39</v>
      </c>
      <c r="H828" s="5">
        <v>3696.66</v>
      </c>
      <c r="I828" s="5" t="s">
        <v>39</v>
      </c>
      <c r="J828" s="5">
        <v>78.734480000000005</v>
      </c>
      <c r="K828" s="5">
        <f t="shared" si="36"/>
        <v>7.15768</v>
      </c>
      <c r="L828" s="5">
        <f t="shared" si="37"/>
        <v>210.51999999999998</v>
      </c>
      <c r="M828" s="5" t="s">
        <v>39</v>
      </c>
      <c r="N828" s="5">
        <v>78.734480000000005</v>
      </c>
      <c r="O828" s="5" t="s">
        <v>39</v>
      </c>
      <c r="P828" t="s">
        <v>479</v>
      </c>
      <c r="Q828" t="s">
        <v>233</v>
      </c>
      <c r="R828" t="s">
        <v>234</v>
      </c>
      <c r="S828" t="s">
        <v>235</v>
      </c>
      <c r="T828" t="s">
        <v>43</v>
      </c>
      <c r="U828" t="s">
        <v>44</v>
      </c>
      <c r="V828">
        <v>147</v>
      </c>
      <c r="W828" t="s">
        <v>45</v>
      </c>
      <c r="X828" t="s">
        <v>46</v>
      </c>
      <c r="Y828" t="s">
        <v>236</v>
      </c>
      <c r="Z828" t="s">
        <v>37</v>
      </c>
      <c r="AA828" t="s">
        <v>55</v>
      </c>
      <c r="AB828" t="s">
        <v>37</v>
      </c>
      <c r="AC828" s="6" t="s">
        <v>37</v>
      </c>
      <c r="AD828" s="6" t="s">
        <v>37</v>
      </c>
      <c r="AE828" t="s">
        <v>37</v>
      </c>
      <c r="AF828" t="s">
        <v>37</v>
      </c>
      <c r="AG828" s="6" t="s">
        <v>37</v>
      </c>
      <c r="AH828" t="s">
        <v>37</v>
      </c>
      <c r="AI828" t="s">
        <v>37</v>
      </c>
      <c r="AJ828" t="str">
        <f t="shared" si="38"/>
        <v>7SCVG2OTB013Y78YY4</v>
      </c>
    </row>
    <row r="829" spans="1:36" ht="15" customHeight="1" x14ac:dyDescent="0.25">
      <c r="A829" t="s">
        <v>36</v>
      </c>
      <c r="B829" t="s">
        <v>37</v>
      </c>
      <c r="C829" t="s">
        <v>37</v>
      </c>
      <c r="D829" t="s">
        <v>38</v>
      </c>
      <c r="E829" s="4">
        <v>60</v>
      </c>
      <c r="F829" s="5">
        <v>4176.6000000000004</v>
      </c>
      <c r="G829" s="5" t="s">
        <v>39</v>
      </c>
      <c r="H829" s="5">
        <v>6147</v>
      </c>
      <c r="I829" s="5" t="s">
        <v>39</v>
      </c>
      <c r="J829" s="5">
        <v>142.0044</v>
      </c>
      <c r="K829" s="5">
        <f t="shared" si="36"/>
        <v>2.3667400000000001</v>
      </c>
      <c r="L829" s="5">
        <f t="shared" si="37"/>
        <v>69.61</v>
      </c>
      <c r="M829" s="5" t="s">
        <v>39</v>
      </c>
      <c r="N829" s="5">
        <v>142.0044</v>
      </c>
      <c r="O829" s="5" t="s">
        <v>39</v>
      </c>
      <c r="P829" t="s">
        <v>128</v>
      </c>
      <c r="Q829" t="s">
        <v>513</v>
      </c>
      <c r="R829" t="s">
        <v>37</v>
      </c>
      <c r="S829" t="s">
        <v>514</v>
      </c>
      <c r="T829" t="s">
        <v>43</v>
      </c>
      <c r="U829" t="s">
        <v>44</v>
      </c>
      <c r="V829">
        <v>147</v>
      </c>
      <c r="W829" t="s">
        <v>45</v>
      </c>
      <c r="X829" t="s">
        <v>53</v>
      </c>
      <c r="Y829" t="s">
        <v>515</v>
      </c>
      <c r="Z829" t="s">
        <v>37</v>
      </c>
      <c r="AA829" t="s">
        <v>55</v>
      </c>
      <c r="AB829" t="s">
        <v>37</v>
      </c>
      <c r="AC829" s="6" t="s">
        <v>37</v>
      </c>
      <c r="AD829" s="6" t="s">
        <v>37</v>
      </c>
      <c r="AE829" t="s">
        <v>37</v>
      </c>
      <c r="AF829" t="s">
        <v>37</v>
      </c>
      <c r="AG829" s="6" t="s">
        <v>37</v>
      </c>
      <c r="AH829" t="s">
        <v>37</v>
      </c>
      <c r="AI829" t="s">
        <v>37</v>
      </c>
      <c r="AJ829" t="str">
        <f t="shared" si="38"/>
        <v>7RAC5F9EB074W227RK</v>
      </c>
    </row>
    <row r="830" spans="1:36" ht="15" customHeight="1" x14ac:dyDescent="0.25">
      <c r="A830" t="s">
        <v>36</v>
      </c>
      <c r="B830" t="s">
        <v>37</v>
      </c>
      <c r="C830" t="s">
        <v>37</v>
      </c>
      <c r="D830" t="s">
        <v>38</v>
      </c>
      <c r="E830" s="4">
        <v>4</v>
      </c>
      <c r="F830" s="5">
        <v>335.56</v>
      </c>
      <c r="G830" s="5" t="s">
        <v>39</v>
      </c>
      <c r="H830" s="5">
        <v>540.96</v>
      </c>
      <c r="I830" s="5" t="s">
        <v>39</v>
      </c>
      <c r="J830" s="5">
        <v>11.409039999999999</v>
      </c>
      <c r="K830" s="5">
        <f t="shared" si="36"/>
        <v>2.8522599999999998</v>
      </c>
      <c r="L830" s="5">
        <f t="shared" si="37"/>
        <v>83.89</v>
      </c>
      <c r="M830" s="5" t="s">
        <v>39</v>
      </c>
      <c r="N830" s="5">
        <v>11.409039999999999</v>
      </c>
      <c r="O830" s="5" t="s">
        <v>39</v>
      </c>
      <c r="P830" t="s">
        <v>119</v>
      </c>
      <c r="Q830" t="s">
        <v>51</v>
      </c>
      <c r="R830" t="s">
        <v>37</v>
      </c>
      <c r="S830" t="s">
        <v>52</v>
      </c>
      <c r="T830" t="s">
        <v>43</v>
      </c>
      <c r="U830" t="s">
        <v>44</v>
      </c>
      <c r="V830">
        <v>147</v>
      </c>
      <c r="W830" t="s">
        <v>45</v>
      </c>
      <c r="X830" t="s">
        <v>53</v>
      </c>
      <c r="Y830" t="s">
        <v>54</v>
      </c>
      <c r="Z830" t="s">
        <v>37</v>
      </c>
      <c r="AA830" t="s">
        <v>55</v>
      </c>
      <c r="AB830" t="s">
        <v>37</v>
      </c>
      <c r="AC830" s="6" t="s">
        <v>37</v>
      </c>
      <c r="AD830" s="6" t="s">
        <v>37</v>
      </c>
      <c r="AE830" t="s">
        <v>37</v>
      </c>
      <c r="AF830" t="s">
        <v>37</v>
      </c>
      <c r="AG830" s="6" t="s">
        <v>37</v>
      </c>
      <c r="AH830" t="s">
        <v>37</v>
      </c>
      <c r="AI830" t="s">
        <v>37</v>
      </c>
      <c r="AJ830" t="str">
        <f t="shared" si="38"/>
        <v>31DJDC7QB07W6G3KBL</v>
      </c>
    </row>
    <row r="831" spans="1:36" ht="15" customHeight="1" x14ac:dyDescent="0.25">
      <c r="A831" t="s">
        <v>221</v>
      </c>
      <c r="B831" t="s">
        <v>37</v>
      </c>
      <c r="C831" t="s">
        <v>37</v>
      </c>
      <c r="D831" t="s">
        <v>38</v>
      </c>
      <c r="E831" s="4">
        <v>292</v>
      </c>
      <c r="F831" s="5">
        <v>6932.08</v>
      </c>
      <c r="G831" s="5" t="s">
        <v>39</v>
      </c>
      <c r="H831" s="5">
        <v>9811.2000000000007</v>
      </c>
      <c r="I831" s="5" t="s">
        <v>39</v>
      </c>
      <c r="J831" s="5">
        <v>235.69072</v>
      </c>
      <c r="K831" s="5">
        <f t="shared" si="36"/>
        <v>0.80715999999999999</v>
      </c>
      <c r="L831" s="5">
        <f t="shared" si="37"/>
        <v>23.74</v>
      </c>
      <c r="M831" s="5" t="s">
        <v>39</v>
      </c>
      <c r="N831" s="5">
        <v>235.69072</v>
      </c>
      <c r="O831" s="5" t="s">
        <v>39</v>
      </c>
      <c r="P831" t="s">
        <v>120</v>
      </c>
      <c r="Q831" t="s">
        <v>657</v>
      </c>
      <c r="R831" t="s">
        <v>37</v>
      </c>
      <c r="S831" t="s">
        <v>658</v>
      </c>
      <c r="T831" t="s">
        <v>43</v>
      </c>
      <c r="U831" t="s">
        <v>44</v>
      </c>
      <c r="V831">
        <v>147</v>
      </c>
      <c r="W831" t="s">
        <v>45</v>
      </c>
      <c r="X831" t="s">
        <v>53</v>
      </c>
      <c r="Y831" t="s">
        <v>659</v>
      </c>
      <c r="Z831" t="s">
        <v>37</v>
      </c>
      <c r="AA831" t="s">
        <v>55</v>
      </c>
      <c r="AB831" t="s">
        <v>37</v>
      </c>
      <c r="AC831" s="6" t="s">
        <v>37</v>
      </c>
      <c r="AD831" s="6" t="s">
        <v>37</v>
      </c>
      <c r="AE831" t="s">
        <v>37</v>
      </c>
      <c r="AF831" t="s">
        <v>37</v>
      </c>
      <c r="AG831" s="6" t="s">
        <v>37</v>
      </c>
      <c r="AH831" t="s">
        <v>37</v>
      </c>
      <c r="AI831" t="s">
        <v>37</v>
      </c>
      <c r="AJ831" t="str">
        <f t="shared" si="38"/>
        <v>5MWU8WTDB07W5JKFQC</v>
      </c>
    </row>
    <row r="832" spans="1:36" ht="15" customHeight="1" x14ac:dyDescent="0.25">
      <c r="A832" t="s">
        <v>62</v>
      </c>
      <c r="B832" t="s">
        <v>37</v>
      </c>
      <c r="C832" t="s">
        <v>37</v>
      </c>
      <c r="D832" t="s">
        <v>38</v>
      </c>
      <c r="E832" s="4">
        <v>72</v>
      </c>
      <c r="F832" s="5">
        <v>2741.04</v>
      </c>
      <c r="G832" s="5" t="s">
        <v>39</v>
      </c>
      <c r="H832" s="5">
        <v>4130.6400000000003</v>
      </c>
      <c r="I832" s="5" t="s">
        <v>39</v>
      </c>
      <c r="J832" s="5">
        <v>93.195359999999994</v>
      </c>
      <c r="K832" s="5">
        <f t="shared" si="36"/>
        <v>1.2943799999999999</v>
      </c>
      <c r="L832" s="5">
        <f t="shared" si="37"/>
        <v>38.07</v>
      </c>
      <c r="M832" s="5" t="s">
        <v>39</v>
      </c>
      <c r="N832" s="5">
        <v>93.195359999999994</v>
      </c>
      <c r="O832" s="5" t="s">
        <v>39</v>
      </c>
      <c r="P832" t="s">
        <v>177</v>
      </c>
      <c r="Q832" t="s">
        <v>1515</v>
      </c>
      <c r="R832" t="s">
        <v>37</v>
      </c>
      <c r="S832" t="s">
        <v>1516</v>
      </c>
      <c r="T832" t="s">
        <v>43</v>
      </c>
      <c r="U832" t="s">
        <v>44</v>
      </c>
      <c r="V832">
        <v>147</v>
      </c>
      <c r="W832" t="s">
        <v>45</v>
      </c>
      <c r="X832" t="s">
        <v>239</v>
      </c>
      <c r="Y832" t="s">
        <v>1517</v>
      </c>
      <c r="Z832" t="s">
        <v>37</v>
      </c>
      <c r="AA832" t="s">
        <v>55</v>
      </c>
      <c r="AB832" t="s">
        <v>37</v>
      </c>
      <c r="AC832" s="6" t="s">
        <v>37</v>
      </c>
      <c r="AD832" s="6" t="s">
        <v>37</v>
      </c>
      <c r="AE832" t="s">
        <v>37</v>
      </c>
      <c r="AF832" t="s">
        <v>37</v>
      </c>
      <c r="AG832" s="6" t="s">
        <v>37</v>
      </c>
      <c r="AH832" t="s">
        <v>37</v>
      </c>
      <c r="AI832" t="s">
        <v>37</v>
      </c>
      <c r="AJ832" t="str">
        <f t="shared" si="38"/>
        <v>4F3XMHTVB07W7KB8L6</v>
      </c>
    </row>
    <row r="833" spans="1:36" ht="15" customHeight="1" x14ac:dyDescent="0.25">
      <c r="A833" t="s">
        <v>49</v>
      </c>
      <c r="B833" t="s">
        <v>37</v>
      </c>
      <c r="C833" t="s">
        <v>37</v>
      </c>
      <c r="D833" t="s">
        <v>38</v>
      </c>
      <c r="E833" s="4">
        <v>120</v>
      </c>
      <c r="F833" s="5">
        <v>1966.8</v>
      </c>
      <c r="G833" s="5" t="s">
        <v>39</v>
      </c>
      <c r="H833" s="5">
        <v>2949.6</v>
      </c>
      <c r="I833" s="5" t="s">
        <v>39</v>
      </c>
      <c r="J833" s="5">
        <v>66.871200000000002</v>
      </c>
      <c r="K833" s="5">
        <f t="shared" si="36"/>
        <v>0.55725999999999998</v>
      </c>
      <c r="L833" s="5">
        <f t="shared" si="37"/>
        <v>16.39</v>
      </c>
      <c r="M833" s="5" t="s">
        <v>39</v>
      </c>
      <c r="N833" s="5">
        <v>66.871200000000002</v>
      </c>
      <c r="O833" s="5" t="s">
        <v>39</v>
      </c>
      <c r="P833" t="s">
        <v>141</v>
      </c>
      <c r="Q833" t="s">
        <v>1325</v>
      </c>
      <c r="R833" t="s">
        <v>37</v>
      </c>
      <c r="S833" t="s">
        <v>1326</v>
      </c>
      <c r="T833" t="s">
        <v>43</v>
      </c>
      <c r="U833" t="s">
        <v>44</v>
      </c>
      <c r="V833">
        <v>147</v>
      </c>
      <c r="W833" t="s">
        <v>45</v>
      </c>
      <c r="X833" t="s">
        <v>53</v>
      </c>
      <c r="Y833" t="s">
        <v>1327</v>
      </c>
      <c r="Z833" t="s">
        <v>37</v>
      </c>
      <c r="AA833" t="s">
        <v>48</v>
      </c>
      <c r="AB833" t="s">
        <v>37</v>
      </c>
      <c r="AC833" s="6" t="s">
        <v>37</v>
      </c>
      <c r="AD833" s="6" t="s">
        <v>37</v>
      </c>
      <c r="AE833" t="s">
        <v>37</v>
      </c>
      <c r="AF833" t="s">
        <v>37</v>
      </c>
      <c r="AG833" s="6" t="s">
        <v>37</v>
      </c>
      <c r="AH833" t="s">
        <v>37</v>
      </c>
      <c r="AI833" t="s">
        <v>37</v>
      </c>
      <c r="AJ833" t="str">
        <f t="shared" si="38"/>
        <v>56UO2L2IB01K7GEAF2</v>
      </c>
    </row>
    <row r="834" spans="1:36" ht="15" customHeight="1" x14ac:dyDescent="0.25">
      <c r="A834" t="s">
        <v>36</v>
      </c>
      <c r="B834" t="s">
        <v>37</v>
      </c>
      <c r="C834" t="s">
        <v>37</v>
      </c>
      <c r="D834" t="s">
        <v>38</v>
      </c>
      <c r="E834" s="4">
        <v>10</v>
      </c>
      <c r="F834" s="5">
        <v>163.9</v>
      </c>
      <c r="G834" s="5" t="s">
        <v>39</v>
      </c>
      <c r="H834" s="5">
        <v>245.8</v>
      </c>
      <c r="I834" s="5" t="s">
        <v>39</v>
      </c>
      <c r="J834" s="5">
        <v>5.5726000000000004</v>
      </c>
      <c r="K834" s="5">
        <f t="shared" si="36"/>
        <v>0.55726000000000009</v>
      </c>
      <c r="L834" s="5">
        <f t="shared" si="37"/>
        <v>16.39</v>
      </c>
      <c r="M834" s="5" t="s">
        <v>39</v>
      </c>
      <c r="N834" s="5">
        <v>5.5726000000000004</v>
      </c>
      <c r="O834" s="5" t="s">
        <v>39</v>
      </c>
      <c r="P834" t="s">
        <v>270</v>
      </c>
      <c r="Q834" t="s">
        <v>103</v>
      </c>
      <c r="R834" t="s">
        <v>37</v>
      </c>
      <c r="S834" t="s">
        <v>104</v>
      </c>
      <c r="T834" t="s">
        <v>43</v>
      </c>
      <c r="U834" t="s">
        <v>44</v>
      </c>
      <c r="V834">
        <v>147</v>
      </c>
      <c r="W834" t="s">
        <v>45</v>
      </c>
      <c r="X834" t="s">
        <v>53</v>
      </c>
      <c r="Y834" t="s">
        <v>105</v>
      </c>
      <c r="Z834" t="s">
        <v>37</v>
      </c>
      <c r="AA834" t="s">
        <v>55</v>
      </c>
      <c r="AB834" t="s">
        <v>37</v>
      </c>
      <c r="AC834" s="6" t="s">
        <v>37</v>
      </c>
      <c r="AD834" s="6" t="s">
        <v>37</v>
      </c>
      <c r="AE834" t="s">
        <v>37</v>
      </c>
      <c r="AF834" t="s">
        <v>37</v>
      </c>
      <c r="AG834" s="6" t="s">
        <v>37</v>
      </c>
      <c r="AH834" t="s">
        <v>37</v>
      </c>
      <c r="AI834" t="s">
        <v>37</v>
      </c>
      <c r="AJ834" t="str">
        <f t="shared" si="38"/>
        <v>1X4DXX4TB07W7JYP91</v>
      </c>
    </row>
    <row r="835" spans="1:36" ht="15" customHeight="1" x14ac:dyDescent="0.25">
      <c r="A835" t="s">
        <v>210</v>
      </c>
      <c r="B835" t="s">
        <v>37</v>
      </c>
      <c r="C835" t="s">
        <v>37</v>
      </c>
      <c r="D835" t="s">
        <v>38</v>
      </c>
      <c r="E835" s="4">
        <v>10</v>
      </c>
      <c r="F835" s="5">
        <v>163.9</v>
      </c>
      <c r="G835" s="5" t="s">
        <v>39</v>
      </c>
      <c r="H835" s="5">
        <v>245.8</v>
      </c>
      <c r="I835" s="5" t="s">
        <v>39</v>
      </c>
      <c r="J835" s="5">
        <v>5.5726000000000004</v>
      </c>
      <c r="K835" s="5">
        <f t="shared" ref="K835:K898" si="39">J835/E835</f>
        <v>0.55726000000000009</v>
      </c>
      <c r="L835" s="5">
        <f t="shared" ref="L835:L898" si="40">F835/E835</f>
        <v>16.39</v>
      </c>
      <c r="M835" s="5" t="s">
        <v>39</v>
      </c>
      <c r="N835" s="5">
        <v>5.5726000000000004</v>
      </c>
      <c r="O835" s="5" t="s">
        <v>39</v>
      </c>
      <c r="P835" t="s">
        <v>141</v>
      </c>
      <c r="Q835" t="s">
        <v>1325</v>
      </c>
      <c r="R835" t="s">
        <v>37</v>
      </c>
      <c r="S835" t="s">
        <v>1326</v>
      </c>
      <c r="T835" t="s">
        <v>43</v>
      </c>
      <c r="U835" t="s">
        <v>44</v>
      </c>
      <c r="V835">
        <v>147</v>
      </c>
      <c r="W835" t="s">
        <v>45</v>
      </c>
      <c r="X835" t="s">
        <v>53</v>
      </c>
      <c r="Y835" t="s">
        <v>1327</v>
      </c>
      <c r="Z835" t="s">
        <v>37</v>
      </c>
      <c r="AA835" t="s">
        <v>48</v>
      </c>
      <c r="AB835" t="s">
        <v>37</v>
      </c>
      <c r="AC835" s="6" t="s">
        <v>37</v>
      </c>
      <c r="AD835" s="6" t="s">
        <v>37</v>
      </c>
      <c r="AE835" t="s">
        <v>37</v>
      </c>
      <c r="AF835" t="s">
        <v>37</v>
      </c>
      <c r="AG835" s="6" t="s">
        <v>37</v>
      </c>
      <c r="AH835" t="s">
        <v>37</v>
      </c>
      <c r="AI835" t="s">
        <v>37</v>
      </c>
      <c r="AJ835" t="str">
        <f t="shared" ref="AJ835:AJ898" si="41">P835&amp;Q835</f>
        <v>56UO2L2IB01K7GEAF2</v>
      </c>
    </row>
    <row r="836" spans="1:36" ht="15" customHeight="1" x14ac:dyDescent="0.25">
      <c r="A836" t="s">
        <v>96</v>
      </c>
      <c r="B836" t="s">
        <v>37</v>
      </c>
      <c r="C836" t="s">
        <v>37</v>
      </c>
      <c r="D836" t="s">
        <v>38</v>
      </c>
      <c r="E836" s="4">
        <v>8</v>
      </c>
      <c r="F836" s="5">
        <v>320.24</v>
      </c>
      <c r="G836" s="5" t="s">
        <v>39</v>
      </c>
      <c r="H836" s="5">
        <v>452.48</v>
      </c>
      <c r="I836" s="5" t="s">
        <v>39</v>
      </c>
      <c r="J836" s="5">
        <v>10.888159999999999</v>
      </c>
      <c r="K836" s="5">
        <f t="shared" si="39"/>
        <v>1.3610199999999999</v>
      </c>
      <c r="L836" s="5">
        <f t="shared" si="40"/>
        <v>40.03</v>
      </c>
      <c r="M836" s="5" t="s">
        <v>39</v>
      </c>
      <c r="N836" s="5">
        <v>10.888159999999999</v>
      </c>
      <c r="O836" s="5" t="s">
        <v>39</v>
      </c>
      <c r="P836" t="s">
        <v>50</v>
      </c>
      <c r="Q836" t="s">
        <v>851</v>
      </c>
      <c r="R836" t="s">
        <v>37</v>
      </c>
      <c r="S836" t="s">
        <v>852</v>
      </c>
      <c r="T836" t="s">
        <v>43</v>
      </c>
      <c r="U836" t="s">
        <v>44</v>
      </c>
      <c r="V836">
        <v>421</v>
      </c>
      <c r="W836" t="s">
        <v>45</v>
      </c>
      <c r="X836" t="s">
        <v>239</v>
      </c>
      <c r="Y836" t="s">
        <v>853</v>
      </c>
      <c r="Z836" t="s">
        <v>37</v>
      </c>
      <c r="AA836" t="s">
        <v>95</v>
      </c>
      <c r="AB836" t="s">
        <v>37</v>
      </c>
      <c r="AC836" s="6" t="s">
        <v>37</v>
      </c>
      <c r="AD836" s="6" t="s">
        <v>37</v>
      </c>
      <c r="AE836" t="s">
        <v>37</v>
      </c>
      <c r="AF836" t="s">
        <v>37</v>
      </c>
      <c r="AG836" s="6" t="s">
        <v>37</v>
      </c>
      <c r="AH836" t="s">
        <v>37</v>
      </c>
      <c r="AI836" t="s">
        <v>37</v>
      </c>
      <c r="AJ836" t="str">
        <f t="shared" si="41"/>
        <v>3A946EXYB07W4DHXC8</v>
      </c>
    </row>
    <row r="837" spans="1:36" ht="15" customHeight="1" x14ac:dyDescent="0.25">
      <c r="A837" t="s">
        <v>504</v>
      </c>
      <c r="B837" t="s">
        <v>37</v>
      </c>
      <c r="C837" t="s">
        <v>37</v>
      </c>
      <c r="D837" t="s">
        <v>38</v>
      </c>
      <c r="E837" s="4">
        <v>660</v>
      </c>
      <c r="F837" s="5">
        <v>145906.20000000001</v>
      </c>
      <c r="G837" s="5" t="s">
        <v>39</v>
      </c>
      <c r="H837" s="5">
        <v>221799.6</v>
      </c>
      <c r="I837" s="5" t="s">
        <v>39</v>
      </c>
      <c r="J837" s="5">
        <v>4960.8108000000002</v>
      </c>
      <c r="K837" s="5">
        <f t="shared" si="39"/>
        <v>7.5163800000000007</v>
      </c>
      <c r="L837" s="5">
        <f t="shared" si="40"/>
        <v>221.07000000000002</v>
      </c>
      <c r="M837" s="5" t="s">
        <v>39</v>
      </c>
      <c r="N837" s="5">
        <v>4960.8108000000002</v>
      </c>
      <c r="O837" s="5" t="s">
        <v>39</v>
      </c>
      <c r="P837" t="s">
        <v>670</v>
      </c>
      <c r="Q837" t="s">
        <v>298</v>
      </c>
      <c r="R837" t="s">
        <v>37</v>
      </c>
      <c r="S837" t="s">
        <v>299</v>
      </c>
      <c r="T837" t="s">
        <v>43</v>
      </c>
      <c r="U837" t="s">
        <v>44</v>
      </c>
      <c r="V837">
        <v>147</v>
      </c>
      <c r="W837" t="s">
        <v>45</v>
      </c>
      <c r="X837" t="s">
        <v>46</v>
      </c>
      <c r="Y837" t="s">
        <v>300</v>
      </c>
      <c r="Z837" t="s">
        <v>37</v>
      </c>
      <c r="AA837" t="s">
        <v>55</v>
      </c>
      <c r="AB837" t="s">
        <v>37</v>
      </c>
      <c r="AC837" s="6" t="s">
        <v>37</v>
      </c>
      <c r="AD837" s="6" t="s">
        <v>37</v>
      </c>
      <c r="AE837" t="s">
        <v>37</v>
      </c>
      <c r="AF837" t="s">
        <v>37</v>
      </c>
      <c r="AG837" s="6" t="s">
        <v>37</v>
      </c>
      <c r="AH837" t="s">
        <v>37</v>
      </c>
      <c r="AI837" t="s">
        <v>37</v>
      </c>
      <c r="AJ837" t="str">
        <f t="shared" si="41"/>
        <v>7TFUVBKWB00YUIM2J0</v>
      </c>
    </row>
    <row r="838" spans="1:36" ht="15" customHeight="1" x14ac:dyDescent="0.25">
      <c r="A838" t="s">
        <v>96</v>
      </c>
      <c r="B838" t="s">
        <v>37</v>
      </c>
      <c r="C838" t="s">
        <v>37</v>
      </c>
      <c r="D838" t="s">
        <v>38</v>
      </c>
      <c r="E838" s="4">
        <v>40</v>
      </c>
      <c r="F838" s="5">
        <v>3015.6</v>
      </c>
      <c r="G838" s="5" t="s">
        <v>39</v>
      </c>
      <c r="H838" s="5">
        <v>4426</v>
      </c>
      <c r="I838" s="5" t="s">
        <v>39</v>
      </c>
      <c r="J838" s="5">
        <v>102.5304</v>
      </c>
      <c r="K838" s="5">
        <f t="shared" si="39"/>
        <v>2.5632600000000001</v>
      </c>
      <c r="L838" s="5">
        <f t="shared" si="40"/>
        <v>75.39</v>
      </c>
      <c r="M838" s="5" t="s">
        <v>39</v>
      </c>
      <c r="N838" s="5">
        <v>102.5304</v>
      </c>
      <c r="O838" s="5" t="s">
        <v>39</v>
      </c>
      <c r="P838" t="s">
        <v>222</v>
      </c>
      <c r="Q838" t="s">
        <v>380</v>
      </c>
      <c r="R838" t="s">
        <v>37</v>
      </c>
      <c r="S838" t="s">
        <v>381</v>
      </c>
      <c r="T838" t="s">
        <v>43</v>
      </c>
      <c r="U838" t="s">
        <v>44</v>
      </c>
      <c r="V838">
        <v>147</v>
      </c>
      <c r="W838" t="s">
        <v>45</v>
      </c>
      <c r="X838" t="s">
        <v>60</v>
      </c>
      <c r="Y838" t="s">
        <v>382</v>
      </c>
      <c r="Z838" t="s">
        <v>37</v>
      </c>
      <c r="AA838" t="s">
        <v>55</v>
      </c>
      <c r="AB838" t="s">
        <v>37</v>
      </c>
      <c r="AC838" s="6" t="s">
        <v>37</v>
      </c>
      <c r="AD838" s="6" t="s">
        <v>37</v>
      </c>
      <c r="AE838" t="s">
        <v>37</v>
      </c>
      <c r="AF838" t="s">
        <v>37</v>
      </c>
      <c r="AG838" s="6" t="s">
        <v>37</v>
      </c>
      <c r="AH838" t="s">
        <v>37</v>
      </c>
      <c r="AI838" t="s">
        <v>37</v>
      </c>
      <c r="AJ838" t="str">
        <f t="shared" si="41"/>
        <v>2F7Y5WIXB07W7LW3VS</v>
      </c>
    </row>
    <row r="839" spans="1:36" ht="15" customHeight="1" x14ac:dyDescent="0.25">
      <c r="A839" t="s">
        <v>96</v>
      </c>
      <c r="B839" t="s">
        <v>37</v>
      </c>
      <c r="C839" t="s">
        <v>37</v>
      </c>
      <c r="D839" t="s">
        <v>38</v>
      </c>
      <c r="E839" s="4">
        <v>4</v>
      </c>
      <c r="F839" s="5">
        <v>485</v>
      </c>
      <c r="G839" s="5" t="s">
        <v>39</v>
      </c>
      <c r="H839" s="5">
        <v>750.8</v>
      </c>
      <c r="I839" s="5" t="s">
        <v>39</v>
      </c>
      <c r="J839" s="5">
        <v>16.489999999999998</v>
      </c>
      <c r="K839" s="5">
        <f t="shared" si="39"/>
        <v>4.1224999999999996</v>
      </c>
      <c r="L839" s="5">
        <f t="shared" si="40"/>
        <v>121.25</v>
      </c>
      <c r="M839" s="5" t="s">
        <v>39</v>
      </c>
      <c r="N839" s="5">
        <v>16.489999999999998</v>
      </c>
      <c r="O839" s="5" t="s">
        <v>39</v>
      </c>
      <c r="P839" t="s">
        <v>1518</v>
      </c>
      <c r="Q839" t="s">
        <v>1519</v>
      </c>
      <c r="R839" t="s">
        <v>37</v>
      </c>
      <c r="S839" t="s">
        <v>1520</v>
      </c>
      <c r="T839" t="s">
        <v>43</v>
      </c>
      <c r="U839" t="s">
        <v>44</v>
      </c>
      <c r="V839">
        <v>147</v>
      </c>
      <c r="W839" t="s">
        <v>45</v>
      </c>
      <c r="X839" t="s">
        <v>60</v>
      </c>
      <c r="Y839" t="s">
        <v>1521</v>
      </c>
      <c r="Z839" t="s">
        <v>37</v>
      </c>
      <c r="AA839" t="s">
        <v>55</v>
      </c>
      <c r="AB839" t="s">
        <v>37</v>
      </c>
      <c r="AC839" s="6" t="s">
        <v>37</v>
      </c>
      <c r="AD839" s="6" t="s">
        <v>37</v>
      </c>
      <c r="AE839" t="s">
        <v>37</v>
      </c>
      <c r="AF839" t="s">
        <v>37</v>
      </c>
      <c r="AG839" s="6" t="s">
        <v>37</v>
      </c>
      <c r="AH839" t="s">
        <v>37</v>
      </c>
      <c r="AI839" t="s">
        <v>37</v>
      </c>
      <c r="AJ839" t="str">
        <f t="shared" si="41"/>
        <v>13O47WAGB076CNH34R</v>
      </c>
    </row>
    <row r="840" spans="1:36" ht="15" customHeight="1" x14ac:dyDescent="0.25">
      <c r="A840" t="s">
        <v>36</v>
      </c>
      <c r="B840" t="s">
        <v>37</v>
      </c>
      <c r="C840" t="s">
        <v>37</v>
      </c>
      <c r="D840" t="s">
        <v>38</v>
      </c>
      <c r="E840" s="4">
        <v>28</v>
      </c>
      <c r="F840" s="5">
        <v>2111.48</v>
      </c>
      <c r="G840" s="5" t="s">
        <v>39</v>
      </c>
      <c r="H840" s="5">
        <v>3098.2</v>
      </c>
      <c r="I840" s="5" t="s">
        <v>39</v>
      </c>
      <c r="J840" s="5">
        <v>71.790319999999994</v>
      </c>
      <c r="K840" s="5">
        <f t="shared" si="39"/>
        <v>2.5639399999999997</v>
      </c>
      <c r="L840" s="5">
        <f t="shared" si="40"/>
        <v>75.41</v>
      </c>
      <c r="M840" s="5" t="s">
        <v>39</v>
      </c>
      <c r="N840" s="5">
        <v>71.790319999999994</v>
      </c>
      <c r="O840" s="5" t="s">
        <v>39</v>
      </c>
      <c r="P840" t="s">
        <v>67</v>
      </c>
      <c r="Q840" t="s">
        <v>1070</v>
      </c>
      <c r="R840" t="s">
        <v>37</v>
      </c>
      <c r="S840" t="s">
        <v>1071</v>
      </c>
      <c r="T840" t="s">
        <v>43</v>
      </c>
      <c r="U840" t="s">
        <v>44</v>
      </c>
      <c r="V840">
        <v>147</v>
      </c>
      <c r="W840" t="s">
        <v>45</v>
      </c>
      <c r="X840" t="s">
        <v>60</v>
      </c>
      <c r="Y840" t="s">
        <v>1072</v>
      </c>
      <c r="Z840" t="s">
        <v>37</v>
      </c>
      <c r="AA840" t="s">
        <v>55</v>
      </c>
      <c r="AB840" t="s">
        <v>37</v>
      </c>
      <c r="AC840" s="6" t="s">
        <v>37</v>
      </c>
      <c r="AD840" s="6" t="s">
        <v>37</v>
      </c>
      <c r="AE840" t="s">
        <v>37</v>
      </c>
      <c r="AF840" t="s">
        <v>37</v>
      </c>
      <c r="AG840" s="6" t="s">
        <v>37</v>
      </c>
      <c r="AH840" t="s">
        <v>37</v>
      </c>
      <c r="AI840" t="s">
        <v>37</v>
      </c>
      <c r="AJ840" t="str">
        <f t="shared" si="41"/>
        <v>2TMBDXBKB07W5JK1JN</v>
      </c>
    </row>
    <row r="841" spans="1:36" ht="15" customHeight="1" x14ac:dyDescent="0.25">
      <c r="A841" t="s">
        <v>101</v>
      </c>
      <c r="B841" t="s">
        <v>37</v>
      </c>
      <c r="C841" t="s">
        <v>37</v>
      </c>
      <c r="D841" t="s">
        <v>38</v>
      </c>
      <c r="E841" s="4">
        <v>16</v>
      </c>
      <c r="F841" s="5">
        <v>1856.32</v>
      </c>
      <c r="G841" s="5" t="s">
        <v>39</v>
      </c>
      <c r="H841" s="5">
        <v>2622.88</v>
      </c>
      <c r="I841" s="5" t="s">
        <v>39</v>
      </c>
      <c r="J841" s="5">
        <v>63.114879999999999</v>
      </c>
      <c r="K841" s="5">
        <f t="shared" si="39"/>
        <v>3.94468</v>
      </c>
      <c r="L841" s="5">
        <f t="shared" si="40"/>
        <v>116.02</v>
      </c>
      <c r="M841" s="5" t="s">
        <v>39</v>
      </c>
      <c r="N841" s="5">
        <v>63.114879999999999</v>
      </c>
      <c r="O841" s="5" t="s">
        <v>39</v>
      </c>
      <c r="P841" t="s">
        <v>320</v>
      </c>
      <c r="Q841" t="s">
        <v>510</v>
      </c>
      <c r="R841" t="s">
        <v>37</v>
      </c>
      <c r="S841" t="s">
        <v>511</v>
      </c>
      <c r="T841" t="s">
        <v>43</v>
      </c>
      <c r="U841" t="s">
        <v>44</v>
      </c>
      <c r="V841">
        <v>147</v>
      </c>
      <c r="W841" t="s">
        <v>45</v>
      </c>
      <c r="X841" t="s">
        <v>60</v>
      </c>
      <c r="Y841" t="s">
        <v>512</v>
      </c>
      <c r="Z841" t="s">
        <v>37</v>
      </c>
      <c r="AA841" t="s">
        <v>55</v>
      </c>
      <c r="AB841" t="s">
        <v>37</v>
      </c>
      <c r="AC841" s="6" t="s">
        <v>37</v>
      </c>
      <c r="AD841" s="6" t="s">
        <v>37</v>
      </c>
      <c r="AE841" t="s">
        <v>37</v>
      </c>
      <c r="AF841" t="s">
        <v>37</v>
      </c>
      <c r="AG841" s="6" t="s">
        <v>37</v>
      </c>
      <c r="AH841" t="s">
        <v>37</v>
      </c>
      <c r="AI841" t="s">
        <v>37</v>
      </c>
      <c r="AJ841" t="str">
        <f t="shared" si="41"/>
        <v>8BG295LIB07W7M4MZP</v>
      </c>
    </row>
    <row r="842" spans="1:36" ht="15" customHeight="1" x14ac:dyDescent="0.25">
      <c r="A842" t="s">
        <v>1436</v>
      </c>
      <c r="B842" t="s">
        <v>37</v>
      </c>
      <c r="C842" t="s">
        <v>37</v>
      </c>
      <c r="D842" t="s">
        <v>38</v>
      </c>
      <c r="E842" s="4">
        <v>0</v>
      </c>
      <c r="F842" s="5">
        <v>0</v>
      </c>
      <c r="G842" s="5" t="s">
        <v>39</v>
      </c>
      <c r="H842" s="5">
        <v>0</v>
      </c>
      <c r="I842" s="5" t="s">
        <v>39</v>
      </c>
      <c r="J842" s="5">
        <v>0</v>
      </c>
      <c r="K842" s="5" t="e">
        <f t="shared" si="39"/>
        <v>#DIV/0!</v>
      </c>
      <c r="L842" s="5" t="e">
        <f t="shared" si="40"/>
        <v>#DIV/0!</v>
      </c>
      <c r="M842" s="5" t="s">
        <v>39</v>
      </c>
      <c r="N842" s="5">
        <v>0</v>
      </c>
      <c r="O842" s="5" t="s">
        <v>39</v>
      </c>
      <c r="P842" t="s">
        <v>141</v>
      </c>
      <c r="Q842" t="s">
        <v>1325</v>
      </c>
      <c r="R842" t="s">
        <v>37</v>
      </c>
      <c r="S842" t="s">
        <v>1326</v>
      </c>
      <c r="T842" t="s">
        <v>43</v>
      </c>
      <c r="U842" t="s">
        <v>44</v>
      </c>
      <c r="V842">
        <v>147</v>
      </c>
      <c r="W842" t="s">
        <v>45</v>
      </c>
      <c r="X842" t="s">
        <v>53</v>
      </c>
      <c r="Y842" t="s">
        <v>1327</v>
      </c>
      <c r="Z842" t="s">
        <v>37</v>
      </c>
      <c r="AA842" t="s">
        <v>48</v>
      </c>
      <c r="AB842" t="s">
        <v>37</v>
      </c>
      <c r="AC842" s="6" t="s">
        <v>37</v>
      </c>
      <c r="AD842" s="6" t="s">
        <v>37</v>
      </c>
      <c r="AE842" t="s">
        <v>37</v>
      </c>
      <c r="AF842" t="s">
        <v>37</v>
      </c>
      <c r="AG842" s="6" t="s">
        <v>37</v>
      </c>
      <c r="AH842" t="s">
        <v>37</v>
      </c>
      <c r="AI842" t="s">
        <v>37</v>
      </c>
      <c r="AJ842" t="str">
        <f t="shared" si="41"/>
        <v>56UO2L2IB01K7GEAF2</v>
      </c>
    </row>
    <row r="843" spans="1:36" ht="15" customHeight="1" x14ac:dyDescent="0.25">
      <c r="A843" t="s">
        <v>411</v>
      </c>
      <c r="B843" t="s">
        <v>37</v>
      </c>
      <c r="C843" t="s">
        <v>37</v>
      </c>
      <c r="D843" t="s">
        <v>38</v>
      </c>
      <c r="E843" s="4">
        <v>4</v>
      </c>
      <c r="F843" s="5">
        <v>441.08</v>
      </c>
      <c r="G843" s="5" t="s">
        <v>39</v>
      </c>
      <c r="H843" s="5">
        <v>750.8</v>
      </c>
      <c r="I843" s="5" t="s">
        <v>39</v>
      </c>
      <c r="J843" s="5">
        <v>14.99672</v>
      </c>
      <c r="K843" s="5">
        <f t="shared" si="39"/>
        <v>3.74918</v>
      </c>
      <c r="L843" s="5">
        <f t="shared" si="40"/>
        <v>110.27</v>
      </c>
      <c r="M843" s="5" t="s">
        <v>39</v>
      </c>
      <c r="N843" s="5">
        <v>14.99672</v>
      </c>
      <c r="O843" s="5" t="s">
        <v>39</v>
      </c>
      <c r="P843" t="s">
        <v>1522</v>
      </c>
      <c r="Q843" t="s">
        <v>254</v>
      </c>
      <c r="R843" t="s">
        <v>37</v>
      </c>
      <c r="S843" t="s">
        <v>255</v>
      </c>
      <c r="T843" t="s">
        <v>43</v>
      </c>
      <c r="U843" t="s">
        <v>44</v>
      </c>
      <c r="V843">
        <v>147</v>
      </c>
      <c r="W843" t="s">
        <v>45</v>
      </c>
      <c r="X843" t="s">
        <v>46</v>
      </c>
      <c r="Y843" t="s">
        <v>256</v>
      </c>
      <c r="Z843" t="s">
        <v>37</v>
      </c>
      <c r="AA843" t="s">
        <v>55</v>
      </c>
      <c r="AB843" t="s">
        <v>37</v>
      </c>
      <c r="AC843" s="6" t="s">
        <v>37</v>
      </c>
      <c r="AD843" s="6" t="s">
        <v>37</v>
      </c>
      <c r="AE843" t="s">
        <v>37</v>
      </c>
      <c r="AF843" t="s">
        <v>37</v>
      </c>
      <c r="AG843" s="6" t="s">
        <v>37</v>
      </c>
      <c r="AH843" t="s">
        <v>37</v>
      </c>
      <c r="AI843" t="s">
        <v>37</v>
      </c>
      <c r="AJ843" t="str">
        <f t="shared" si="41"/>
        <v>3I9WF8IGB07VTSZ63W</v>
      </c>
    </row>
    <row r="844" spans="1:36" ht="15" customHeight="1" x14ac:dyDescent="0.25">
      <c r="A844" t="s">
        <v>613</v>
      </c>
      <c r="B844" t="s">
        <v>37</v>
      </c>
      <c r="C844" t="s">
        <v>37</v>
      </c>
      <c r="D844" t="s">
        <v>38</v>
      </c>
      <c r="E844" s="4">
        <v>12</v>
      </c>
      <c r="F844" s="5">
        <v>2652.84</v>
      </c>
      <c r="G844" s="5" t="s">
        <v>39</v>
      </c>
      <c r="H844" s="5">
        <v>4032.72</v>
      </c>
      <c r="I844" s="5" t="s">
        <v>39</v>
      </c>
      <c r="J844" s="5">
        <v>90.196560000000005</v>
      </c>
      <c r="K844" s="5">
        <f t="shared" si="39"/>
        <v>7.5163800000000007</v>
      </c>
      <c r="L844" s="5">
        <f t="shared" si="40"/>
        <v>221.07000000000002</v>
      </c>
      <c r="M844" s="5" t="s">
        <v>39</v>
      </c>
      <c r="N844" s="5">
        <v>90.196560000000005</v>
      </c>
      <c r="O844" s="5" t="s">
        <v>39</v>
      </c>
      <c r="P844" t="s">
        <v>670</v>
      </c>
      <c r="Q844" t="s">
        <v>298</v>
      </c>
      <c r="R844" t="s">
        <v>37</v>
      </c>
      <c r="S844" t="s">
        <v>299</v>
      </c>
      <c r="T844" t="s">
        <v>43</v>
      </c>
      <c r="U844" t="s">
        <v>44</v>
      </c>
      <c r="V844">
        <v>147</v>
      </c>
      <c r="W844" t="s">
        <v>45</v>
      </c>
      <c r="X844" t="s">
        <v>46</v>
      </c>
      <c r="Y844" t="s">
        <v>300</v>
      </c>
      <c r="Z844" t="s">
        <v>37</v>
      </c>
      <c r="AA844" t="s">
        <v>55</v>
      </c>
      <c r="AB844" t="s">
        <v>37</v>
      </c>
      <c r="AC844" s="6" t="s">
        <v>37</v>
      </c>
      <c r="AD844" s="6" t="s">
        <v>37</v>
      </c>
      <c r="AE844" t="s">
        <v>37</v>
      </c>
      <c r="AF844" t="s">
        <v>37</v>
      </c>
      <c r="AG844" s="6" t="s">
        <v>37</v>
      </c>
      <c r="AH844" t="s">
        <v>37</v>
      </c>
      <c r="AI844" t="s">
        <v>37</v>
      </c>
      <c r="AJ844" t="str">
        <f t="shared" si="41"/>
        <v>7TFUVBKWB00YUIM2J0</v>
      </c>
    </row>
    <row r="845" spans="1:36" ht="15" customHeight="1" x14ac:dyDescent="0.25">
      <c r="A845" t="s">
        <v>101</v>
      </c>
      <c r="B845" t="s">
        <v>37</v>
      </c>
      <c r="C845" t="s">
        <v>37</v>
      </c>
      <c r="D845" t="s">
        <v>38</v>
      </c>
      <c r="E845" s="4">
        <v>4</v>
      </c>
      <c r="F845" s="5">
        <v>140.52000000000001</v>
      </c>
      <c r="G845" s="5" t="s">
        <v>39</v>
      </c>
      <c r="H845" s="5">
        <v>140.52000000000001</v>
      </c>
      <c r="I845" s="5" t="s">
        <v>39</v>
      </c>
      <c r="J845" s="5">
        <v>4.7776800000000001</v>
      </c>
      <c r="K845" s="5">
        <f t="shared" si="39"/>
        <v>1.19442</v>
      </c>
      <c r="L845" s="5">
        <f t="shared" si="40"/>
        <v>35.130000000000003</v>
      </c>
      <c r="M845" s="5" t="s">
        <v>39</v>
      </c>
      <c r="N845" s="5">
        <v>4.7776800000000001</v>
      </c>
      <c r="O845" s="5" t="s">
        <v>39</v>
      </c>
      <c r="P845" t="s">
        <v>102</v>
      </c>
      <c r="Q845" t="s">
        <v>1523</v>
      </c>
      <c r="R845" t="s">
        <v>37</v>
      </c>
      <c r="S845" t="s">
        <v>1524</v>
      </c>
      <c r="T845" t="s">
        <v>43</v>
      </c>
      <c r="U845" t="s">
        <v>44</v>
      </c>
      <c r="V845">
        <v>147</v>
      </c>
      <c r="W845" t="s">
        <v>37</v>
      </c>
      <c r="X845" t="s">
        <v>37</v>
      </c>
      <c r="Y845" t="s">
        <v>1525</v>
      </c>
      <c r="Z845" t="s">
        <v>37</v>
      </c>
      <c r="AA845" t="s">
        <v>55</v>
      </c>
      <c r="AB845" t="s">
        <v>37</v>
      </c>
      <c r="AC845" s="6" t="s">
        <v>37</v>
      </c>
      <c r="AD845" s="6" t="s">
        <v>37</v>
      </c>
      <c r="AE845" t="s">
        <v>37</v>
      </c>
      <c r="AF845" t="s">
        <v>37</v>
      </c>
      <c r="AG845" s="6" t="s">
        <v>37</v>
      </c>
      <c r="AH845" t="s">
        <v>37</v>
      </c>
      <c r="AI845" t="s">
        <v>37</v>
      </c>
      <c r="AJ845" t="str">
        <f t="shared" si="41"/>
        <v>2M7QFTCOB07VRLJHFH</v>
      </c>
    </row>
    <row r="846" spans="1:36" ht="15" customHeight="1" x14ac:dyDescent="0.25">
      <c r="A846" t="s">
        <v>101</v>
      </c>
      <c r="B846" t="s">
        <v>37</v>
      </c>
      <c r="C846" t="s">
        <v>37</v>
      </c>
      <c r="D846" t="s">
        <v>38</v>
      </c>
      <c r="E846" s="4">
        <v>8</v>
      </c>
      <c r="F846" s="5">
        <v>664</v>
      </c>
      <c r="G846" s="5" t="s">
        <v>39</v>
      </c>
      <c r="H846" s="5">
        <v>786.8</v>
      </c>
      <c r="I846" s="5" t="s">
        <v>39</v>
      </c>
      <c r="J846" s="5">
        <v>22.576000000000001</v>
      </c>
      <c r="K846" s="5">
        <f t="shared" si="39"/>
        <v>2.8220000000000001</v>
      </c>
      <c r="L846" s="5">
        <f t="shared" si="40"/>
        <v>83</v>
      </c>
      <c r="M846" s="5" t="s">
        <v>39</v>
      </c>
      <c r="N846" s="5">
        <v>22.576000000000001</v>
      </c>
      <c r="O846" s="5" t="s">
        <v>39</v>
      </c>
      <c r="P846" t="s">
        <v>274</v>
      </c>
      <c r="Q846" t="s">
        <v>1044</v>
      </c>
      <c r="R846" t="s">
        <v>1045</v>
      </c>
      <c r="S846" t="s">
        <v>1046</v>
      </c>
      <c r="T846" t="s">
        <v>43</v>
      </c>
      <c r="U846" t="s">
        <v>44</v>
      </c>
      <c r="V846">
        <v>267</v>
      </c>
      <c r="W846" t="s">
        <v>151</v>
      </c>
      <c r="X846" t="s">
        <v>152</v>
      </c>
      <c r="Y846" t="s">
        <v>1047</v>
      </c>
      <c r="Z846" t="s">
        <v>37</v>
      </c>
      <c r="AA846" t="s">
        <v>95</v>
      </c>
      <c r="AB846" t="s">
        <v>37</v>
      </c>
      <c r="AC846" s="6" t="s">
        <v>37</v>
      </c>
      <c r="AD846" s="6" t="s">
        <v>37</v>
      </c>
      <c r="AE846" t="s">
        <v>37</v>
      </c>
      <c r="AF846" t="s">
        <v>37</v>
      </c>
      <c r="AG846" s="6" t="s">
        <v>37</v>
      </c>
      <c r="AH846" t="s">
        <v>37</v>
      </c>
      <c r="AI846" t="s">
        <v>37</v>
      </c>
      <c r="AJ846" t="str">
        <f t="shared" si="41"/>
        <v>4LYATDUXB07DTTGZ7M</v>
      </c>
    </row>
    <row r="847" spans="1:36" ht="15" customHeight="1" x14ac:dyDescent="0.25">
      <c r="A847" t="s">
        <v>36</v>
      </c>
      <c r="B847" t="s">
        <v>37</v>
      </c>
      <c r="C847" t="s">
        <v>37</v>
      </c>
      <c r="D847" t="s">
        <v>38</v>
      </c>
      <c r="E847" s="4">
        <v>2</v>
      </c>
      <c r="F847" s="5">
        <v>212.98</v>
      </c>
      <c r="G847" s="5" t="s">
        <v>39</v>
      </c>
      <c r="H847" s="5">
        <v>286.86</v>
      </c>
      <c r="I847" s="5" t="s">
        <v>39</v>
      </c>
      <c r="J847" s="5">
        <v>7.24132</v>
      </c>
      <c r="K847" s="5">
        <f t="shared" si="39"/>
        <v>3.62066</v>
      </c>
      <c r="L847" s="5">
        <f t="shared" si="40"/>
        <v>106.49</v>
      </c>
      <c r="M847" s="5" t="s">
        <v>39</v>
      </c>
      <c r="N847" s="5">
        <v>7.24132</v>
      </c>
      <c r="O847" s="5" t="s">
        <v>39</v>
      </c>
      <c r="P847" t="s">
        <v>133</v>
      </c>
      <c r="Q847" t="s">
        <v>1151</v>
      </c>
      <c r="R847" t="s">
        <v>37</v>
      </c>
      <c r="S847" t="s">
        <v>1152</v>
      </c>
      <c r="T847" t="s">
        <v>43</v>
      </c>
      <c r="U847" t="s">
        <v>44</v>
      </c>
      <c r="V847">
        <v>23</v>
      </c>
      <c r="W847" t="s">
        <v>281</v>
      </c>
      <c r="X847" t="s">
        <v>282</v>
      </c>
      <c r="Y847" t="s">
        <v>1153</v>
      </c>
      <c r="Z847" t="s">
        <v>37</v>
      </c>
      <c r="AA847" t="s">
        <v>95</v>
      </c>
      <c r="AB847" t="s">
        <v>37</v>
      </c>
      <c r="AC847" s="6" t="s">
        <v>37</v>
      </c>
      <c r="AD847" s="6" t="s">
        <v>37</v>
      </c>
      <c r="AE847" t="s">
        <v>37</v>
      </c>
      <c r="AF847" t="s">
        <v>37</v>
      </c>
      <c r="AG847" s="6" t="s">
        <v>37</v>
      </c>
      <c r="AH847" t="s">
        <v>37</v>
      </c>
      <c r="AI847" t="s">
        <v>37</v>
      </c>
      <c r="AJ847" t="str">
        <f t="shared" si="41"/>
        <v>36BT7GGLB07G6LWTG6</v>
      </c>
    </row>
    <row r="848" spans="1:36" ht="15" customHeight="1" x14ac:dyDescent="0.25">
      <c r="A848" t="s">
        <v>88</v>
      </c>
      <c r="B848" t="s">
        <v>37</v>
      </c>
      <c r="C848" t="s">
        <v>37</v>
      </c>
      <c r="D848" t="s">
        <v>38</v>
      </c>
      <c r="E848" s="4">
        <v>90</v>
      </c>
      <c r="F848" s="5">
        <v>5220</v>
      </c>
      <c r="G848" s="5" t="s">
        <v>39</v>
      </c>
      <c r="H848" s="5">
        <v>7671.6</v>
      </c>
      <c r="I848" s="5" t="s">
        <v>39</v>
      </c>
      <c r="J848" s="5">
        <v>177.48</v>
      </c>
      <c r="K848" s="5">
        <f t="shared" si="39"/>
        <v>1.972</v>
      </c>
      <c r="L848" s="5">
        <f t="shared" si="40"/>
        <v>58</v>
      </c>
      <c r="M848" s="5" t="s">
        <v>39</v>
      </c>
      <c r="N848" s="5">
        <v>177.48</v>
      </c>
      <c r="O848" s="5" t="s">
        <v>39</v>
      </c>
      <c r="P848" t="s">
        <v>89</v>
      </c>
      <c r="Q848" t="s">
        <v>441</v>
      </c>
      <c r="R848" t="s">
        <v>37</v>
      </c>
      <c r="S848" t="s">
        <v>442</v>
      </c>
      <c r="T848" t="s">
        <v>43</v>
      </c>
      <c r="U848" t="s">
        <v>44</v>
      </c>
      <c r="V848">
        <v>147</v>
      </c>
      <c r="W848" t="s">
        <v>45</v>
      </c>
      <c r="X848" t="s">
        <v>53</v>
      </c>
      <c r="Y848" t="s">
        <v>443</v>
      </c>
      <c r="Z848" t="s">
        <v>37</v>
      </c>
      <c r="AA848" t="s">
        <v>55</v>
      </c>
      <c r="AB848" t="s">
        <v>37</v>
      </c>
      <c r="AC848" s="6" t="s">
        <v>37</v>
      </c>
      <c r="AD848" s="6" t="s">
        <v>37</v>
      </c>
      <c r="AE848" t="s">
        <v>37</v>
      </c>
      <c r="AF848" t="s">
        <v>37</v>
      </c>
      <c r="AG848" s="6" t="s">
        <v>37</v>
      </c>
      <c r="AH848" t="s">
        <v>37</v>
      </c>
      <c r="AI848" t="s">
        <v>37</v>
      </c>
      <c r="AJ848" t="str">
        <f t="shared" si="41"/>
        <v>2W68T8TOB07W5JHLCB</v>
      </c>
    </row>
    <row r="849" spans="1:36" ht="15" customHeight="1" x14ac:dyDescent="0.25">
      <c r="A849" t="s">
        <v>36</v>
      </c>
      <c r="B849" t="s">
        <v>37</v>
      </c>
      <c r="C849" t="s">
        <v>37</v>
      </c>
      <c r="D849" t="s">
        <v>38</v>
      </c>
      <c r="E849" s="4">
        <v>8</v>
      </c>
      <c r="F849" s="5">
        <v>505.84</v>
      </c>
      <c r="G849" s="5" t="s">
        <v>39</v>
      </c>
      <c r="H849" s="5">
        <v>681.92</v>
      </c>
      <c r="I849" s="5" t="s">
        <v>39</v>
      </c>
      <c r="J849" s="5">
        <v>17.198560000000001</v>
      </c>
      <c r="K849" s="5">
        <f t="shared" si="39"/>
        <v>2.1498200000000001</v>
      </c>
      <c r="L849" s="5">
        <f t="shared" si="40"/>
        <v>63.23</v>
      </c>
      <c r="M849" s="5" t="s">
        <v>39</v>
      </c>
      <c r="N849" s="5">
        <v>17.198560000000001</v>
      </c>
      <c r="O849" s="5" t="s">
        <v>39</v>
      </c>
      <c r="P849" t="s">
        <v>202</v>
      </c>
      <c r="Q849" t="s">
        <v>1318</v>
      </c>
      <c r="R849" t="s">
        <v>1319</v>
      </c>
      <c r="S849" t="s">
        <v>1320</v>
      </c>
      <c r="T849" t="s">
        <v>43</v>
      </c>
      <c r="U849" t="s">
        <v>44</v>
      </c>
      <c r="V849">
        <v>147</v>
      </c>
      <c r="W849" t="s">
        <v>45</v>
      </c>
      <c r="X849" t="s">
        <v>239</v>
      </c>
      <c r="Y849" t="s">
        <v>1321</v>
      </c>
      <c r="Z849" t="s">
        <v>37</v>
      </c>
      <c r="AA849" t="s">
        <v>48</v>
      </c>
      <c r="AB849" t="s">
        <v>37</v>
      </c>
      <c r="AC849" s="6" t="s">
        <v>37</v>
      </c>
      <c r="AD849" s="6" t="s">
        <v>37</v>
      </c>
      <c r="AE849" t="s">
        <v>37</v>
      </c>
      <c r="AF849" t="s">
        <v>37</v>
      </c>
      <c r="AG849" s="6" t="s">
        <v>37</v>
      </c>
      <c r="AH849" t="s">
        <v>37</v>
      </c>
      <c r="AI849" t="s">
        <v>37</v>
      </c>
      <c r="AJ849" t="str">
        <f t="shared" si="41"/>
        <v>39TAD6PCB006A2Q81M</v>
      </c>
    </row>
    <row r="850" spans="1:36" ht="15" customHeight="1" x14ac:dyDescent="0.25">
      <c r="A850" t="s">
        <v>36</v>
      </c>
      <c r="B850" t="s">
        <v>37</v>
      </c>
      <c r="C850" t="s">
        <v>37</v>
      </c>
      <c r="D850" t="s">
        <v>38</v>
      </c>
      <c r="E850" s="4">
        <v>40</v>
      </c>
      <c r="F850" s="5">
        <v>2140.4</v>
      </c>
      <c r="G850" s="5" t="s">
        <v>39</v>
      </c>
      <c r="H850" s="5">
        <v>3278.4</v>
      </c>
      <c r="I850" s="5" t="s">
        <v>39</v>
      </c>
      <c r="J850" s="5">
        <v>72.773600000000002</v>
      </c>
      <c r="K850" s="5">
        <f t="shared" si="39"/>
        <v>1.81934</v>
      </c>
      <c r="L850" s="5">
        <f t="shared" si="40"/>
        <v>53.510000000000005</v>
      </c>
      <c r="M850" s="5" t="s">
        <v>39</v>
      </c>
      <c r="N850" s="5">
        <v>72.773600000000002</v>
      </c>
      <c r="O850" s="5" t="s">
        <v>39</v>
      </c>
      <c r="P850" t="s">
        <v>270</v>
      </c>
      <c r="Q850" t="s">
        <v>279</v>
      </c>
      <c r="R850" t="s">
        <v>37</v>
      </c>
      <c r="S850" t="s">
        <v>280</v>
      </c>
      <c r="T850" t="s">
        <v>43</v>
      </c>
      <c r="U850" t="s">
        <v>44</v>
      </c>
      <c r="V850">
        <v>23</v>
      </c>
      <c r="W850" t="s">
        <v>281</v>
      </c>
      <c r="X850" t="s">
        <v>282</v>
      </c>
      <c r="Y850" t="s">
        <v>283</v>
      </c>
      <c r="Z850" t="s">
        <v>37</v>
      </c>
      <c r="AA850" t="s">
        <v>95</v>
      </c>
      <c r="AB850" t="s">
        <v>37</v>
      </c>
      <c r="AC850" s="6" t="s">
        <v>37</v>
      </c>
      <c r="AD850" s="6" t="s">
        <v>37</v>
      </c>
      <c r="AE850" t="s">
        <v>37</v>
      </c>
      <c r="AF850" t="s">
        <v>37</v>
      </c>
      <c r="AG850" s="6" t="s">
        <v>37</v>
      </c>
      <c r="AH850" t="s">
        <v>37</v>
      </c>
      <c r="AI850" t="s">
        <v>37</v>
      </c>
      <c r="AJ850" t="str">
        <f t="shared" si="41"/>
        <v>1X4DXX4TB07W6HLQ35</v>
      </c>
    </row>
    <row r="851" spans="1:36" ht="15" customHeight="1" x14ac:dyDescent="0.25">
      <c r="A851" t="s">
        <v>101</v>
      </c>
      <c r="B851" t="s">
        <v>37</v>
      </c>
      <c r="C851" t="s">
        <v>37</v>
      </c>
      <c r="D851" t="s">
        <v>38</v>
      </c>
      <c r="E851" s="4">
        <v>288</v>
      </c>
      <c r="F851" s="5">
        <v>33413.760000000002</v>
      </c>
      <c r="G851" s="5" t="s">
        <v>39</v>
      </c>
      <c r="H851" s="5">
        <v>47211.839999999997</v>
      </c>
      <c r="I851" s="5" t="s">
        <v>39</v>
      </c>
      <c r="J851" s="5">
        <v>1136.0678399999999</v>
      </c>
      <c r="K851" s="5">
        <f t="shared" si="39"/>
        <v>3.94468</v>
      </c>
      <c r="L851" s="5">
        <f t="shared" si="40"/>
        <v>116.02000000000001</v>
      </c>
      <c r="M851" s="5" t="s">
        <v>39</v>
      </c>
      <c r="N851" s="5">
        <v>1136.0678399999999</v>
      </c>
      <c r="O851" s="5" t="s">
        <v>39</v>
      </c>
      <c r="P851" t="s">
        <v>120</v>
      </c>
      <c r="Q851" t="s">
        <v>124</v>
      </c>
      <c r="R851" t="s">
        <v>37</v>
      </c>
      <c r="S851" t="s">
        <v>125</v>
      </c>
      <c r="T851" t="s">
        <v>43</v>
      </c>
      <c r="U851" t="s">
        <v>44</v>
      </c>
      <c r="V851">
        <v>147</v>
      </c>
      <c r="W851" t="s">
        <v>45</v>
      </c>
      <c r="X851" t="s">
        <v>60</v>
      </c>
      <c r="Y851" t="s">
        <v>126</v>
      </c>
      <c r="Z851" t="s">
        <v>37</v>
      </c>
      <c r="AA851" t="s">
        <v>55</v>
      </c>
      <c r="AB851" t="s">
        <v>37</v>
      </c>
      <c r="AC851" s="6" t="s">
        <v>37</v>
      </c>
      <c r="AD851" s="6" t="s">
        <v>37</v>
      </c>
      <c r="AE851" t="s">
        <v>37</v>
      </c>
      <c r="AF851" t="s">
        <v>37</v>
      </c>
      <c r="AG851" s="6" t="s">
        <v>37</v>
      </c>
      <c r="AH851" t="s">
        <v>37</v>
      </c>
      <c r="AI851" t="s">
        <v>37</v>
      </c>
      <c r="AJ851" t="str">
        <f t="shared" si="41"/>
        <v>5MWU8WTDB07W6HPP3R</v>
      </c>
    </row>
    <row r="852" spans="1:36" ht="15" customHeight="1" x14ac:dyDescent="0.25">
      <c r="A852" t="s">
        <v>36</v>
      </c>
      <c r="B852" t="s">
        <v>37</v>
      </c>
      <c r="C852" t="s">
        <v>37</v>
      </c>
      <c r="D852" t="s">
        <v>38</v>
      </c>
      <c r="E852" s="4">
        <v>120</v>
      </c>
      <c r="F852" s="5">
        <v>15765.6</v>
      </c>
      <c r="G852" s="5" t="s">
        <v>39</v>
      </c>
      <c r="H852" s="5">
        <v>26458.799999999999</v>
      </c>
      <c r="I852" s="5" t="s">
        <v>39</v>
      </c>
      <c r="J852" s="5">
        <v>536.03039999999999</v>
      </c>
      <c r="K852" s="5">
        <f t="shared" si="39"/>
        <v>4.46692</v>
      </c>
      <c r="L852" s="5">
        <f t="shared" si="40"/>
        <v>131.38</v>
      </c>
      <c r="M852" s="5" t="s">
        <v>39</v>
      </c>
      <c r="N852" s="5">
        <v>536.03039999999999</v>
      </c>
      <c r="O852" s="5" t="s">
        <v>39</v>
      </c>
      <c r="P852" t="s">
        <v>270</v>
      </c>
      <c r="Q852" t="s">
        <v>1526</v>
      </c>
      <c r="R852" t="s">
        <v>37</v>
      </c>
      <c r="S852" t="s">
        <v>1527</v>
      </c>
      <c r="T852" t="s">
        <v>43</v>
      </c>
      <c r="U852" t="s">
        <v>44</v>
      </c>
      <c r="V852">
        <v>147</v>
      </c>
      <c r="W852" t="s">
        <v>45</v>
      </c>
      <c r="X852" t="s">
        <v>60</v>
      </c>
      <c r="Y852" t="s">
        <v>1528</v>
      </c>
      <c r="Z852" t="s">
        <v>37</v>
      </c>
      <c r="AA852" t="s">
        <v>55</v>
      </c>
      <c r="AB852" t="s">
        <v>37</v>
      </c>
      <c r="AC852" s="6" t="s">
        <v>37</v>
      </c>
      <c r="AD852" s="6" t="s">
        <v>37</v>
      </c>
      <c r="AE852" t="s">
        <v>37</v>
      </c>
      <c r="AF852" t="s">
        <v>37</v>
      </c>
      <c r="AG852" s="6" t="s">
        <v>37</v>
      </c>
      <c r="AH852" t="s">
        <v>37</v>
      </c>
      <c r="AI852" t="s">
        <v>37</v>
      </c>
      <c r="AJ852" t="str">
        <f t="shared" si="41"/>
        <v>1X4DXX4TB07W5JKB92</v>
      </c>
    </row>
    <row r="853" spans="1:36" ht="15" customHeight="1" x14ac:dyDescent="0.25">
      <c r="A853" t="s">
        <v>49</v>
      </c>
      <c r="B853" t="s">
        <v>37</v>
      </c>
      <c r="C853" t="s">
        <v>37</v>
      </c>
      <c r="D853" t="s">
        <v>38</v>
      </c>
      <c r="E853" s="4">
        <v>200</v>
      </c>
      <c r="F853" s="5">
        <v>44214</v>
      </c>
      <c r="G853" s="5" t="s">
        <v>39</v>
      </c>
      <c r="H853" s="5">
        <v>67212</v>
      </c>
      <c r="I853" s="5" t="s">
        <v>39</v>
      </c>
      <c r="J853" s="5">
        <v>1503.2760000000001</v>
      </c>
      <c r="K853" s="5">
        <f t="shared" si="39"/>
        <v>7.5163800000000007</v>
      </c>
      <c r="L853" s="5">
        <f t="shared" si="40"/>
        <v>221.07</v>
      </c>
      <c r="M853" s="5" t="s">
        <v>39</v>
      </c>
      <c r="N853" s="5">
        <v>1503.2760000000001</v>
      </c>
      <c r="O853" s="5" t="s">
        <v>39</v>
      </c>
      <c r="P853" t="s">
        <v>670</v>
      </c>
      <c r="Q853" t="s">
        <v>298</v>
      </c>
      <c r="R853" t="s">
        <v>37</v>
      </c>
      <c r="S853" t="s">
        <v>299</v>
      </c>
      <c r="T853" t="s">
        <v>43</v>
      </c>
      <c r="U853" t="s">
        <v>44</v>
      </c>
      <c r="V853">
        <v>147</v>
      </c>
      <c r="W853" t="s">
        <v>45</v>
      </c>
      <c r="X853" t="s">
        <v>46</v>
      </c>
      <c r="Y853" t="s">
        <v>300</v>
      </c>
      <c r="Z853" t="s">
        <v>37</v>
      </c>
      <c r="AA853" t="s">
        <v>55</v>
      </c>
      <c r="AB853" t="s">
        <v>37</v>
      </c>
      <c r="AC853" s="6" t="s">
        <v>37</v>
      </c>
      <c r="AD853" s="6" t="s">
        <v>37</v>
      </c>
      <c r="AE853" t="s">
        <v>37</v>
      </c>
      <c r="AF853" t="s">
        <v>37</v>
      </c>
      <c r="AG853" s="6" t="s">
        <v>37</v>
      </c>
      <c r="AH853" t="s">
        <v>37</v>
      </c>
      <c r="AI853" t="s">
        <v>37</v>
      </c>
      <c r="AJ853" t="str">
        <f t="shared" si="41"/>
        <v>7TFUVBKWB00YUIM2J0</v>
      </c>
    </row>
    <row r="854" spans="1:36" ht="15" customHeight="1" x14ac:dyDescent="0.25">
      <c r="A854" t="s">
        <v>101</v>
      </c>
      <c r="B854" t="s">
        <v>37</v>
      </c>
      <c r="C854" t="s">
        <v>37</v>
      </c>
      <c r="D854" t="s">
        <v>38</v>
      </c>
      <c r="E854" s="4">
        <v>10</v>
      </c>
      <c r="F854" s="5">
        <v>292.8</v>
      </c>
      <c r="G854" s="5" t="s">
        <v>39</v>
      </c>
      <c r="H854" s="5">
        <v>442.5</v>
      </c>
      <c r="I854" s="5" t="s">
        <v>39</v>
      </c>
      <c r="J854" s="5">
        <v>9.9551999999999996</v>
      </c>
      <c r="K854" s="5">
        <f t="shared" si="39"/>
        <v>0.99551999999999996</v>
      </c>
      <c r="L854" s="5">
        <f t="shared" si="40"/>
        <v>29.28</v>
      </c>
      <c r="M854" s="5" t="s">
        <v>39</v>
      </c>
      <c r="N854" s="5">
        <v>9.9551999999999996</v>
      </c>
      <c r="O854" s="5" t="s">
        <v>39</v>
      </c>
      <c r="P854" t="s">
        <v>102</v>
      </c>
      <c r="Q854" t="s">
        <v>884</v>
      </c>
      <c r="R854" t="s">
        <v>37</v>
      </c>
      <c r="S854" t="s">
        <v>885</v>
      </c>
      <c r="T854" t="s">
        <v>43</v>
      </c>
      <c r="U854" t="s">
        <v>44</v>
      </c>
      <c r="V854">
        <v>147</v>
      </c>
      <c r="W854" t="s">
        <v>45</v>
      </c>
      <c r="X854" t="s">
        <v>53</v>
      </c>
      <c r="Y854" t="s">
        <v>886</v>
      </c>
      <c r="Z854" t="s">
        <v>37</v>
      </c>
      <c r="AA854" t="s">
        <v>55</v>
      </c>
      <c r="AB854" t="s">
        <v>37</v>
      </c>
      <c r="AC854" s="6" t="s">
        <v>37</v>
      </c>
      <c r="AD854" s="6" t="s">
        <v>37</v>
      </c>
      <c r="AE854" t="s">
        <v>37</v>
      </c>
      <c r="AF854" t="s">
        <v>37</v>
      </c>
      <c r="AG854" s="6" t="s">
        <v>37</v>
      </c>
      <c r="AH854" t="s">
        <v>37</v>
      </c>
      <c r="AI854" t="s">
        <v>37</v>
      </c>
      <c r="AJ854" t="str">
        <f t="shared" si="41"/>
        <v>2M7QFTCOB07W6JHB2P</v>
      </c>
    </row>
    <row r="855" spans="1:36" ht="15" customHeight="1" x14ac:dyDescent="0.25">
      <c r="A855" t="s">
        <v>96</v>
      </c>
      <c r="B855" t="s">
        <v>37</v>
      </c>
      <c r="C855" t="s">
        <v>37</v>
      </c>
      <c r="D855" t="s">
        <v>38</v>
      </c>
      <c r="E855" s="4">
        <v>18</v>
      </c>
      <c r="F855" s="5">
        <v>1699.92</v>
      </c>
      <c r="G855" s="5" t="s">
        <v>39</v>
      </c>
      <c r="H855" s="5">
        <v>2729.34</v>
      </c>
      <c r="I855" s="5" t="s">
        <v>39</v>
      </c>
      <c r="J855" s="5">
        <v>57.797280000000001</v>
      </c>
      <c r="K855" s="5">
        <f t="shared" si="39"/>
        <v>3.21096</v>
      </c>
      <c r="L855" s="5">
        <f t="shared" si="40"/>
        <v>94.44</v>
      </c>
      <c r="M855" s="5" t="s">
        <v>39</v>
      </c>
      <c r="N855" s="5">
        <v>57.797280000000001</v>
      </c>
      <c r="O855" s="5" t="s">
        <v>39</v>
      </c>
      <c r="P855" t="s">
        <v>195</v>
      </c>
      <c r="Q855" t="s">
        <v>663</v>
      </c>
      <c r="R855" t="s">
        <v>37</v>
      </c>
      <c r="S855" t="s">
        <v>664</v>
      </c>
      <c r="T855" t="s">
        <v>43</v>
      </c>
      <c r="U855" t="s">
        <v>44</v>
      </c>
      <c r="V855">
        <v>147</v>
      </c>
      <c r="W855" t="s">
        <v>45</v>
      </c>
      <c r="X855" t="s">
        <v>46</v>
      </c>
      <c r="Y855" t="s">
        <v>665</v>
      </c>
      <c r="Z855" t="s">
        <v>37</v>
      </c>
      <c r="AA855" t="s">
        <v>48</v>
      </c>
      <c r="AB855" t="s">
        <v>37</v>
      </c>
      <c r="AC855" s="6" t="s">
        <v>37</v>
      </c>
      <c r="AD855" s="6" t="s">
        <v>37</v>
      </c>
      <c r="AE855" t="s">
        <v>37</v>
      </c>
      <c r="AF855" t="s">
        <v>37</v>
      </c>
      <c r="AG855" s="6" t="s">
        <v>37</v>
      </c>
      <c r="AH855" t="s">
        <v>37</v>
      </c>
      <c r="AI855" t="s">
        <v>37</v>
      </c>
      <c r="AJ855" t="str">
        <f t="shared" si="41"/>
        <v>5X1OU9ZGB01M9EWQ2W</v>
      </c>
    </row>
    <row r="856" spans="1:36" ht="15" customHeight="1" x14ac:dyDescent="0.25">
      <c r="A856" t="s">
        <v>76</v>
      </c>
      <c r="B856" t="s">
        <v>37</v>
      </c>
      <c r="C856" t="s">
        <v>37</v>
      </c>
      <c r="D856" t="s">
        <v>38</v>
      </c>
      <c r="E856" s="4">
        <v>8</v>
      </c>
      <c r="F856" s="5">
        <v>257.68</v>
      </c>
      <c r="G856" s="5" t="s">
        <v>39</v>
      </c>
      <c r="H856" s="5">
        <v>386.8</v>
      </c>
      <c r="I856" s="5" t="s">
        <v>39</v>
      </c>
      <c r="J856" s="5">
        <v>8.76112</v>
      </c>
      <c r="K856" s="5">
        <f t="shared" si="39"/>
        <v>1.09514</v>
      </c>
      <c r="L856" s="5">
        <f t="shared" si="40"/>
        <v>32.21</v>
      </c>
      <c r="M856" s="5" t="s">
        <v>39</v>
      </c>
      <c r="N856" s="5">
        <v>8.76112</v>
      </c>
      <c r="O856" s="5" t="s">
        <v>39</v>
      </c>
      <c r="P856" t="s">
        <v>102</v>
      </c>
      <c r="Q856" t="s">
        <v>519</v>
      </c>
      <c r="R856" t="s">
        <v>37</v>
      </c>
      <c r="S856" t="s">
        <v>520</v>
      </c>
      <c r="T856" t="s">
        <v>43</v>
      </c>
      <c r="U856" t="s">
        <v>44</v>
      </c>
      <c r="V856">
        <v>147</v>
      </c>
      <c r="W856" t="s">
        <v>45</v>
      </c>
      <c r="X856" t="s">
        <v>60</v>
      </c>
      <c r="Y856" t="s">
        <v>521</v>
      </c>
      <c r="Z856" t="s">
        <v>37</v>
      </c>
      <c r="AA856" t="s">
        <v>48</v>
      </c>
      <c r="AB856" t="s">
        <v>37</v>
      </c>
      <c r="AC856" s="6" t="s">
        <v>37</v>
      </c>
      <c r="AD856" s="6" t="s">
        <v>37</v>
      </c>
      <c r="AE856" t="s">
        <v>37</v>
      </c>
      <c r="AF856" t="s">
        <v>37</v>
      </c>
      <c r="AG856" s="6" t="s">
        <v>37</v>
      </c>
      <c r="AH856" t="s">
        <v>37</v>
      </c>
      <c r="AI856" t="s">
        <v>37</v>
      </c>
      <c r="AJ856" t="str">
        <f t="shared" si="41"/>
        <v>2M7QFTCOB013SL1ZU6</v>
      </c>
    </row>
    <row r="857" spans="1:36" ht="15" customHeight="1" x14ac:dyDescent="0.25">
      <c r="A857" t="s">
        <v>36</v>
      </c>
      <c r="B857" t="s">
        <v>37</v>
      </c>
      <c r="C857" t="s">
        <v>37</v>
      </c>
      <c r="D857" t="s">
        <v>38</v>
      </c>
      <c r="E857" s="4">
        <v>4</v>
      </c>
      <c r="F857" s="5">
        <v>441.08</v>
      </c>
      <c r="G857" s="5" t="s">
        <v>39</v>
      </c>
      <c r="H857" s="5">
        <v>750.8</v>
      </c>
      <c r="I857" s="5" t="s">
        <v>39</v>
      </c>
      <c r="J857" s="5">
        <v>14.99672</v>
      </c>
      <c r="K857" s="5">
        <f t="shared" si="39"/>
        <v>3.74918</v>
      </c>
      <c r="L857" s="5">
        <f t="shared" si="40"/>
        <v>110.27</v>
      </c>
      <c r="M857" s="5" t="s">
        <v>39</v>
      </c>
      <c r="N857" s="5">
        <v>14.99672</v>
      </c>
      <c r="O857" s="5" t="s">
        <v>39</v>
      </c>
      <c r="P857" t="s">
        <v>270</v>
      </c>
      <c r="Q857" t="s">
        <v>1529</v>
      </c>
      <c r="R857" t="s">
        <v>37</v>
      </c>
      <c r="S857" t="s">
        <v>1530</v>
      </c>
      <c r="T857" t="s">
        <v>318</v>
      </c>
      <c r="U857" t="s">
        <v>44</v>
      </c>
      <c r="V857">
        <v>147</v>
      </c>
      <c r="W857" t="s">
        <v>45</v>
      </c>
      <c r="X857" t="s">
        <v>60</v>
      </c>
      <c r="Y857" t="s">
        <v>935</v>
      </c>
      <c r="Z857" t="s">
        <v>37</v>
      </c>
      <c r="AA857" t="s">
        <v>55</v>
      </c>
      <c r="AB857" t="s">
        <v>37</v>
      </c>
      <c r="AC857" s="6" t="s">
        <v>37</v>
      </c>
      <c r="AD857" s="6" t="s">
        <v>37</v>
      </c>
      <c r="AE857" t="s">
        <v>37</v>
      </c>
      <c r="AF857" t="s">
        <v>37</v>
      </c>
      <c r="AG857" s="6" t="s">
        <v>37</v>
      </c>
      <c r="AH857" t="s">
        <v>37</v>
      </c>
      <c r="AI857" t="s">
        <v>37</v>
      </c>
      <c r="AJ857" t="str">
        <f t="shared" si="41"/>
        <v>1X4DXX4TB07W4DHYH6</v>
      </c>
    </row>
    <row r="858" spans="1:36" ht="15" customHeight="1" x14ac:dyDescent="0.25">
      <c r="A858" t="s">
        <v>110</v>
      </c>
      <c r="B858" t="s">
        <v>37</v>
      </c>
      <c r="C858" t="s">
        <v>37</v>
      </c>
      <c r="D858" t="s">
        <v>38</v>
      </c>
      <c r="E858" s="4">
        <v>4</v>
      </c>
      <c r="F858" s="5">
        <v>94.96</v>
      </c>
      <c r="G858" s="5" t="s">
        <v>39</v>
      </c>
      <c r="H858" s="5">
        <v>134.4</v>
      </c>
      <c r="I858" s="5" t="s">
        <v>39</v>
      </c>
      <c r="J858" s="5">
        <v>3.22864</v>
      </c>
      <c r="K858" s="5">
        <f t="shared" si="39"/>
        <v>0.80715999999999999</v>
      </c>
      <c r="L858" s="5">
        <f t="shared" si="40"/>
        <v>23.74</v>
      </c>
      <c r="M858" s="5" t="s">
        <v>39</v>
      </c>
      <c r="N858" s="5">
        <v>3.22864</v>
      </c>
      <c r="O858" s="5" t="s">
        <v>39</v>
      </c>
      <c r="P858" t="s">
        <v>120</v>
      </c>
      <c r="Q858" t="s">
        <v>657</v>
      </c>
      <c r="R858" t="s">
        <v>37</v>
      </c>
      <c r="S858" t="s">
        <v>658</v>
      </c>
      <c r="T858" t="s">
        <v>43</v>
      </c>
      <c r="U858" t="s">
        <v>44</v>
      </c>
      <c r="V858">
        <v>147</v>
      </c>
      <c r="W858" t="s">
        <v>45</v>
      </c>
      <c r="X858" t="s">
        <v>53</v>
      </c>
      <c r="Y858" t="s">
        <v>659</v>
      </c>
      <c r="Z858" t="s">
        <v>37</v>
      </c>
      <c r="AA858" t="s">
        <v>55</v>
      </c>
      <c r="AB858" t="s">
        <v>37</v>
      </c>
      <c r="AC858" s="6" t="s">
        <v>37</v>
      </c>
      <c r="AD858" s="6" t="s">
        <v>37</v>
      </c>
      <c r="AE858" t="s">
        <v>37</v>
      </c>
      <c r="AF858" t="s">
        <v>37</v>
      </c>
      <c r="AG858" s="6" t="s">
        <v>37</v>
      </c>
      <c r="AH858" t="s">
        <v>37</v>
      </c>
      <c r="AI858" t="s">
        <v>37</v>
      </c>
      <c r="AJ858" t="str">
        <f t="shared" si="41"/>
        <v>5MWU8WTDB07W5JKFQC</v>
      </c>
    </row>
    <row r="859" spans="1:36" ht="15" customHeight="1" x14ac:dyDescent="0.25">
      <c r="A859" t="s">
        <v>36</v>
      </c>
      <c r="B859" t="s">
        <v>37</v>
      </c>
      <c r="C859" t="s">
        <v>37</v>
      </c>
      <c r="D859" t="s">
        <v>38</v>
      </c>
      <c r="E859" s="4">
        <v>12</v>
      </c>
      <c r="F859" s="5">
        <v>799.92</v>
      </c>
      <c r="G859" s="5" t="s">
        <v>39</v>
      </c>
      <c r="H859" s="5">
        <v>1022.88</v>
      </c>
      <c r="I859" s="5" t="s">
        <v>39</v>
      </c>
      <c r="J859" s="5">
        <v>27.197279999999999</v>
      </c>
      <c r="K859" s="5">
        <f t="shared" si="39"/>
        <v>2.2664399999999998</v>
      </c>
      <c r="L859" s="5">
        <f t="shared" si="40"/>
        <v>66.66</v>
      </c>
      <c r="M859" s="5" t="s">
        <v>39</v>
      </c>
      <c r="N859" s="5">
        <v>27.197279999999999</v>
      </c>
      <c r="O859" s="5" t="s">
        <v>39</v>
      </c>
      <c r="P859" t="s">
        <v>365</v>
      </c>
      <c r="Q859" t="s">
        <v>1027</v>
      </c>
      <c r="R859" t="s">
        <v>1028</v>
      </c>
      <c r="S859" t="s">
        <v>1029</v>
      </c>
      <c r="T859" t="s">
        <v>43</v>
      </c>
      <c r="U859" t="s">
        <v>44</v>
      </c>
      <c r="V859">
        <v>147</v>
      </c>
      <c r="W859" t="s">
        <v>45</v>
      </c>
      <c r="X859" t="s">
        <v>53</v>
      </c>
      <c r="Y859" t="s">
        <v>1030</v>
      </c>
      <c r="Z859" t="s">
        <v>37</v>
      </c>
      <c r="AA859" t="s">
        <v>55</v>
      </c>
      <c r="AB859" t="s">
        <v>37</v>
      </c>
      <c r="AC859" s="6" t="s">
        <v>37</v>
      </c>
      <c r="AD859" s="6" t="s">
        <v>37</v>
      </c>
      <c r="AE859" t="s">
        <v>37</v>
      </c>
      <c r="AF859" t="s">
        <v>37</v>
      </c>
      <c r="AG859" s="6" t="s">
        <v>37</v>
      </c>
      <c r="AH859" t="s">
        <v>37</v>
      </c>
      <c r="AI859" t="s">
        <v>37</v>
      </c>
      <c r="AJ859" t="str">
        <f t="shared" si="41"/>
        <v>3KYCEHVHB071ZFMC9Q</v>
      </c>
    </row>
    <row r="860" spans="1:36" ht="15" customHeight="1" x14ac:dyDescent="0.25">
      <c r="A860" t="s">
        <v>36</v>
      </c>
      <c r="B860" t="s">
        <v>37</v>
      </c>
      <c r="C860" t="s">
        <v>37</v>
      </c>
      <c r="D860" t="s">
        <v>38</v>
      </c>
      <c r="E860" s="4">
        <v>4</v>
      </c>
      <c r="F860" s="5">
        <v>325.64</v>
      </c>
      <c r="G860" s="5" t="s">
        <v>39</v>
      </c>
      <c r="H860" s="5">
        <v>475.4</v>
      </c>
      <c r="I860" s="5" t="s">
        <v>39</v>
      </c>
      <c r="J860" s="5">
        <v>11.071759999999999</v>
      </c>
      <c r="K860" s="5">
        <f t="shared" si="39"/>
        <v>2.7679399999999998</v>
      </c>
      <c r="L860" s="5">
        <f t="shared" si="40"/>
        <v>81.41</v>
      </c>
      <c r="M860" s="5" t="s">
        <v>39</v>
      </c>
      <c r="N860" s="5">
        <v>11.071759999999999</v>
      </c>
      <c r="O860" s="5" t="s">
        <v>39</v>
      </c>
      <c r="P860" t="s">
        <v>270</v>
      </c>
      <c r="Q860" t="s">
        <v>768</v>
      </c>
      <c r="R860" t="s">
        <v>37</v>
      </c>
      <c r="S860" t="s">
        <v>769</v>
      </c>
      <c r="T860" t="s">
        <v>43</v>
      </c>
      <c r="U860" t="s">
        <v>44</v>
      </c>
      <c r="V860">
        <v>147</v>
      </c>
      <c r="W860" t="s">
        <v>45</v>
      </c>
      <c r="X860" t="s">
        <v>389</v>
      </c>
      <c r="Y860" t="s">
        <v>770</v>
      </c>
      <c r="Z860" t="s">
        <v>37</v>
      </c>
      <c r="AA860" t="s">
        <v>55</v>
      </c>
      <c r="AB860" t="s">
        <v>37</v>
      </c>
      <c r="AC860" s="6" t="s">
        <v>37</v>
      </c>
      <c r="AD860" s="6" t="s">
        <v>37</v>
      </c>
      <c r="AE860" t="s">
        <v>37</v>
      </c>
      <c r="AF860" t="s">
        <v>37</v>
      </c>
      <c r="AG860" s="6" t="s">
        <v>37</v>
      </c>
      <c r="AH860" t="s">
        <v>37</v>
      </c>
      <c r="AI860" t="s">
        <v>37</v>
      </c>
      <c r="AJ860" t="str">
        <f t="shared" si="41"/>
        <v>1X4DXX4TB0105Y2T5Y</v>
      </c>
    </row>
    <row r="861" spans="1:36" ht="15" customHeight="1" x14ac:dyDescent="0.25">
      <c r="A861" t="s">
        <v>118</v>
      </c>
      <c r="B861" t="s">
        <v>37</v>
      </c>
      <c r="C861" t="s">
        <v>37</v>
      </c>
      <c r="D861" t="s">
        <v>38</v>
      </c>
      <c r="E861" s="4">
        <v>32</v>
      </c>
      <c r="F861" s="5">
        <v>371.2</v>
      </c>
      <c r="G861" s="5" t="s">
        <v>39</v>
      </c>
      <c r="H861" s="5">
        <v>629.12</v>
      </c>
      <c r="I861" s="5" t="s">
        <v>39</v>
      </c>
      <c r="J861" s="5">
        <v>12.620799999999999</v>
      </c>
      <c r="K861" s="5">
        <f t="shared" si="39"/>
        <v>0.39439999999999997</v>
      </c>
      <c r="L861" s="5">
        <f t="shared" si="40"/>
        <v>11.6</v>
      </c>
      <c r="M861" s="5" t="s">
        <v>39</v>
      </c>
      <c r="N861" s="5">
        <v>12.620799999999999</v>
      </c>
      <c r="O861" s="5" t="s">
        <v>39</v>
      </c>
      <c r="P861" t="s">
        <v>537</v>
      </c>
      <c r="Q861" t="s">
        <v>1294</v>
      </c>
      <c r="R861" t="s">
        <v>37</v>
      </c>
      <c r="S861" t="s">
        <v>1295</v>
      </c>
      <c r="T861" t="s">
        <v>43</v>
      </c>
      <c r="U861" t="s">
        <v>44</v>
      </c>
      <c r="V861">
        <v>147</v>
      </c>
      <c r="W861" t="s">
        <v>45</v>
      </c>
      <c r="X861" t="s">
        <v>53</v>
      </c>
      <c r="Y861" t="s">
        <v>109</v>
      </c>
      <c r="Z861" t="s">
        <v>37</v>
      </c>
      <c r="AA861" t="s">
        <v>95</v>
      </c>
      <c r="AB861" t="s">
        <v>37</v>
      </c>
      <c r="AC861" s="6" t="s">
        <v>37</v>
      </c>
      <c r="AD861" s="6" t="s">
        <v>37</v>
      </c>
      <c r="AE861" t="s">
        <v>37</v>
      </c>
      <c r="AF861" t="s">
        <v>37</v>
      </c>
      <c r="AG861" s="6" t="s">
        <v>37</v>
      </c>
      <c r="AH861" t="s">
        <v>37</v>
      </c>
      <c r="AI861" t="s">
        <v>37</v>
      </c>
      <c r="AJ861" t="str">
        <f t="shared" si="41"/>
        <v>1LQM129ZB07W7LNTMC</v>
      </c>
    </row>
    <row r="862" spans="1:36" ht="15" customHeight="1" x14ac:dyDescent="0.25">
      <c r="A862" t="s">
        <v>96</v>
      </c>
      <c r="B862" t="s">
        <v>37</v>
      </c>
      <c r="C862" t="s">
        <v>37</v>
      </c>
      <c r="D862" t="s">
        <v>38</v>
      </c>
      <c r="E862" s="4">
        <v>8</v>
      </c>
      <c r="F862" s="5">
        <v>371.2</v>
      </c>
      <c r="G862" s="5" t="s">
        <v>39</v>
      </c>
      <c r="H862" s="5">
        <v>537.6</v>
      </c>
      <c r="I862" s="5" t="s">
        <v>39</v>
      </c>
      <c r="J862" s="5">
        <v>12.620799999999999</v>
      </c>
      <c r="K862" s="5">
        <f t="shared" si="39"/>
        <v>1.5775999999999999</v>
      </c>
      <c r="L862" s="5">
        <f t="shared" si="40"/>
        <v>46.4</v>
      </c>
      <c r="M862" s="5" t="s">
        <v>39</v>
      </c>
      <c r="N862" s="5">
        <v>12.620799999999999</v>
      </c>
      <c r="O862" s="5" t="s">
        <v>39</v>
      </c>
      <c r="P862" t="s">
        <v>195</v>
      </c>
      <c r="Q862" t="s">
        <v>1463</v>
      </c>
      <c r="R862" t="s">
        <v>37</v>
      </c>
      <c r="S862" t="s">
        <v>1464</v>
      </c>
      <c r="T862" t="s">
        <v>43</v>
      </c>
      <c r="U862" t="s">
        <v>44</v>
      </c>
      <c r="V862">
        <v>147</v>
      </c>
      <c r="W862" t="s">
        <v>45</v>
      </c>
      <c r="X862" t="s">
        <v>53</v>
      </c>
      <c r="Y862" t="s">
        <v>1465</v>
      </c>
      <c r="Z862" t="s">
        <v>37</v>
      </c>
      <c r="AA862" t="s">
        <v>55</v>
      </c>
      <c r="AB862" t="s">
        <v>37</v>
      </c>
      <c r="AC862" s="6" t="s">
        <v>37</v>
      </c>
      <c r="AD862" s="6" t="s">
        <v>37</v>
      </c>
      <c r="AE862" t="s">
        <v>37</v>
      </c>
      <c r="AF862" t="s">
        <v>37</v>
      </c>
      <c r="AG862" s="6" t="s">
        <v>37</v>
      </c>
      <c r="AH862" t="s">
        <v>37</v>
      </c>
      <c r="AI862" t="s">
        <v>37</v>
      </c>
      <c r="AJ862" t="str">
        <f t="shared" si="41"/>
        <v>5X1OU9ZGB07W8P4PDD</v>
      </c>
    </row>
    <row r="863" spans="1:36" ht="15" customHeight="1" x14ac:dyDescent="0.25">
      <c r="A863" t="s">
        <v>101</v>
      </c>
      <c r="B863" t="s">
        <v>37</v>
      </c>
      <c r="C863" t="s">
        <v>37</v>
      </c>
      <c r="D863" t="s">
        <v>38</v>
      </c>
      <c r="E863" s="4">
        <v>120</v>
      </c>
      <c r="F863" s="5">
        <v>3865.2</v>
      </c>
      <c r="G863" s="5" t="s">
        <v>39</v>
      </c>
      <c r="H863" s="5">
        <v>5802</v>
      </c>
      <c r="I863" s="5" t="s">
        <v>39</v>
      </c>
      <c r="J863" s="5">
        <v>131.41679999999999</v>
      </c>
      <c r="K863" s="5">
        <f t="shared" si="39"/>
        <v>1.09514</v>
      </c>
      <c r="L863" s="5">
        <f t="shared" si="40"/>
        <v>32.21</v>
      </c>
      <c r="M863" s="5" t="s">
        <v>39</v>
      </c>
      <c r="N863" s="5">
        <v>131.41679999999999</v>
      </c>
      <c r="O863" s="5" t="s">
        <v>39</v>
      </c>
      <c r="P863" t="s">
        <v>274</v>
      </c>
      <c r="Q863" t="s">
        <v>1108</v>
      </c>
      <c r="R863" t="s">
        <v>37</v>
      </c>
      <c r="S863" t="s">
        <v>1109</v>
      </c>
      <c r="T863" t="s">
        <v>43</v>
      </c>
      <c r="U863" t="s">
        <v>44</v>
      </c>
      <c r="V863">
        <v>147</v>
      </c>
      <c r="W863" t="s">
        <v>45</v>
      </c>
      <c r="X863" t="s">
        <v>356</v>
      </c>
      <c r="Y863" t="s">
        <v>1110</v>
      </c>
      <c r="Z863" t="s">
        <v>37</v>
      </c>
      <c r="AA863" t="s">
        <v>55</v>
      </c>
      <c r="AB863" t="s">
        <v>37</v>
      </c>
      <c r="AC863" s="6" t="s">
        <v>37</v>
      </c>
      <c r="AD863" s="6" t="s">
        <v>37</v>
      </c>
      <c r="AE863" t="s">
        <v>37</v>
      </c>
      <c r="AF863" t="s">
        <v>37</v>
      </c>
      <c r="AG863" s="6" t="s">
        <v>37</v>
      </c>
      <c r="AH863" t="s">
        <v>37</v>
      </c>
      <c r="AI863" t="s">
        <v>37</v>
      </c>
      <c r="AJ863" t="str">
        <f t="shared" si="41"/>
        <v>4LYATDUXB07W5JKKHL</v>
      </c>
    </row>
    <row r="864" spans="1:36" ht="15" customHeight="1" x14ac:dyDescent="0.25">
      <c r="A864" t="s">
        <v>110</v>
      </c>
      <c r="B864" t="s">
        <v>37</v>
      </c>
      <c r="C864" t="s">
        <v>37</v>
      </c>
      <c r="D864" t="s">
        <v>38</v>
      </c>
      <c r="E864" s="4">
        <v>8</v>
      </c>
      <c r="F864" s="5">
        <v>257.68</v>
      </c>
      <c r="G864" s="5" t="s">
        <v>39</v>
      </c>
      <c r="H864" s="5">
        <v>386.8</v>
      </c>
      <c r="I864" s="5" t="s">
        <v>39</v>
      </c>
      <c r="J864" s="5">
        <v>8.76112</v>
      </c>
      <c r="K864" s="5">
        <f t="shared" si="39"/>
        <v>1.09514</v>
      </c>
      <c r="L864" s="5">
        <f t="shared" si="40"/>
        <v>32.21</v>
      </c>
      <c r="M864" s="5" t="s">
        <v>39</v>
      </c>
      <c r="N864" s="5">
        <v>8.76112</v>
      </c>
      <c r="O864" s="5" t="s">
        <v>39</v>
      </c>
      <c r="P864" t="s">
        <v>274</v>
      </c>
      <c r="Q864" t="s">
        <v>1108</v>
      </c>
      <c r="R864" t="s">
        <v>37</v>
      </c>
      <c r="S864" t="s">
        <v>1109</v>
      </c>
      <c r="T864" t="s">
        <v>43</v>
      </c>
      <c r="U864" t="s">
        <v>44</v>
      </c>
      <c r="V864">
        <v>147</v>
      </c>
      <c r="W864" t="s">
        <v>45</v>
      </c>
      <c r="X864" t="s">
        <v>356</v>
      </c>
      <c r="Y864" t="s">
        <v>1110</v>
      </c>
      <c r="Z864" t="s">
        <v>37</v>
      </c>
      <c r="AA864" t="s">
        <v>55</v>
      </c>
      <c r="AB864" t="s">
        <v>37</v>
      </c>
      <c r="AC864" s="6" t="s">
        <v>37</v>
      </c>
      <c r="AD864" s="6" t="s">
        <v>37</v>
      </c>
      <c r="AE864" t="s">
        <v>37</v>
      </c>
      <c r="AF864" t="s">
        <v>37</v>
      </c>
      <c r="AG864" s="6" t="s">
        <v>37</v>
      </c>
      <c r="AH864" t="s">
        <v>37</v>
      </c>
      <c r="AI864" t="s">
        <v>37</v>
      </c>
      <c r="AJ864" t="str">
        <f t="shared" si="41"/>
        <v>4LYATDUXB07W5JKKHL</v>
      </c>
    </row>
    <row r="865" spans="1:36" ht="15" customHeight="1" x14ac:dyDescent="0.25">
      <c r="A865" t="s">
        <v>96</v>
      </c>
      <c r="B865" t="s">
        <v>37</v>
      </c>
      <c r="C865" t="s">
        <v>411</v>
      </c>
      <c r="D865" t="s">
        <v>1374</v>
      </c>
      <c r="E865" s="4">
        <v>12</v>
      </c>
      <c r="F865" s="5" t="s">
        <v>37</v>
      </c>
      <c r="G865" s="5" t="s">
        <v>37</v>
      </c>
      <c r="H865" s="5" t="s">
        <v>37</v>
      </c>
      <c r="I865" s="5" t="s">
        <v>37</v>
      </c>
      <c r="J865" s="5">
        <v>-2.1542400000000002</v>
      </c>
      <c r="K865" s="5">
        <f t="shared" si="39"/>
        <v>-0.17952000000000001</v>
      </c>
      <c r="L865" s="5" t="e">
        <f t="shared" si="40"/>
        <v>#VALUE!</v>
      </c>
      <c r="M865" s="5" t="s">
        <v>39</v>
      </c>
      <c r="N865" s="5">
        <v>-2.1542400000000002</v>
      </c>
      <c r="O865" s="5" t="s">
        <v>39</v>
      </c>
      <c r="P865" t="s">
        <v>195</v>
      </c>
      <c r="Q865" t="s">
        <v>1394</v>
      </c>
      <c r="R865" t="s">
        <v>37</v>
      </c>
      <c r="S865" t="s">
        <v>1395</v>
      </c>
      <c r="T865" t="s">
        <v>43</v>
      </c>
      <c r="U865" t="s">
        <v>44</v>
      </c>
      <c r="V865">
        <v>147</v>
      </c>
      <c r="W865" t="s">
        <v>45</v>
      </c>
      <c r="X865" t="s">
        <v>53</v>
      </c>
      <c r="Y865" t="s">
        <v>1396</v>
      </c>
      <c r="Z865" t="s">
        <v>37</v>
      </c>
      <c r="AA865" t="s">
        <v>55</v>
      </c>
      <c r="AB865" t="s">
        <v>37</v>
      </c>
      <c r="AC865" s="6" t="s">
        <v>37</v>
      </c>
      <c r="AD865" s="6" t="s">
        <v>37</v>
      </c>
      <c r="AE865" t="s">
        <v>37</v>
      </c>
      <c r="AF865" t="s">
        <v>37</v>
      </c>
      <c r="AG865" s="6">
        <v>-63.36</v>
      </c>
      <c r="AH865">
        <v>215100044</v>
      </c>
      <c r="AI865" t="s">
        <v>37</v>
      </c>
      <c r="AJ865" t="str">
        <f t="shared" si="41"/>
        <v>5X1OU9ZGB07W5JJ1WM</v>
      </c>
    </row>
    <row r="866" spans="1:36" ht="15" customHeight="1" x14ac:dyDescent="0.25">
      <c r="A866" t="s">
        <v>127</v>
      </c>
      <c r="B866" t="s">
        <v>37</v>
      </c>
      <c r="C866" t="s">
        <v>37</v>
      </c>
      <c r="D866" t="s">
        <v>38</v>
      </c>
      <c r="E866" s="4">
        <v>0</v>
      </c>
      <c r="F866" s="5">
        <v>0</v>
      </c>
      <c r="G866" s="5" t="s">
        <v>39</v>
      </c>
      <c r="H866" s="5">
        <v>0</v>
      </c>
      <c r="I866" s="5" t="s">
        <v>39</v>
      </c>
      <c r="J866" s="5">
        <v>0</v>
      </c>
      <c r="K866" s="5" t="e">
        <f t="shared" si="39"/>
        <v>#DIV/0!</v>
      </c>
      <c r="L866" s="5" t="e">
        <f t="shared" si="40"/>
        <v>#DIV/0!</v>
      </c>
      <c r="M866" s="5" t="s">
        <v>39</v>
      </c>
      <c r="N866" s="5">
        <v>0</v>
      </c>
      <c r="O866" s="5" t="s">
        <v>39</v>
      </c>
      <c r="P866" t="s">
        <v>141</v>
      </c>
      <c r="Q866" t="s">
        <v>1325</v>
      </c>
      <c r="R866" t="s">
        <v>37</v>
      </c>
      <c r="S866" t="s">
        <v>1326</v>
      </c>
      <c r="T866" t="s">
        <v>43</v>
      </c>
      <c r="U866" t="s">
        <v>44</v>
      </c>
      <c r="V866">
        <v>147</v>
      </c>
      <c r="W866" t="s">
        <v>45</v>
      </c>
      <c r="X866" t="s">
        <v>53</v>
      </c>
      <c r="Y866" t="s">
        <v>1327</v>
      </c>
      <c r="Z866" t="s">
        <v>37</v>
      </c>
      <c r="AA866" t="s">
        <v>48</v>
      </c>
      <c r="AB866" t="s">
        <v>37</v>
      </c>
      <c r="AC866" s="6" t="s">
        <v>37</v>
      </c>
      <c r="AD866" s="6" t="s">
        <v>37</v>
      </c>
      <c r="AE866" t="s">
        <v>37</v>
      </c>
      <c r="AF866" t="s">
        <v>37</v>
      </c>
      <c r="AG866" s="6" t="s">
        <v>37</v>
      </c>
      <c r="AH866" t="s">
        <v>37</v>
      </c>
      <c r="AI866" t="s">
        <v>37</v>
      </c>
      <c r="AJ866" t="str">
        <f t="shared" si="41"/>
        <v>56UO2L2IB01K7GEAF2</v>
      </c>
    </row>
    <row r="867" spans="1:36" ht="15" customHeight="1" x14ac:dyDescent="0.25">
      <c r="A867" t="s">
        <v>36</v>
      </c>
      <c r="B867" t="s">
        <v>37</v>
      </c>
      <c r="C867" t="s">
        <v>37</v>
      </c>
      <c r="D867" t="s">
        <v>38</v>
      </c>
      <c r="E867" s="4">
        <v>7</v>
      </c>
      <c r="F867" s="5">
        <v>1584.45</v>
      </c>
      <c r="G867" s="5" t="s">
        <v>39</v>
      </c>
      <c r="H867" s="5">
        <v>2518.88</v>
      </c>
      <c r="I867" s="5" t="s">
        <v>39</v>
      </c>
      <c r="J867" s="5">
        <v>53.871299999999998</v>
      </c>
      <c r="K867" s="5">
        <f t="shared" si="39"/>
        <v>7.6959</v>
      </c>
      <c r="L867" s="5">
        <f t="shared" si="40"/>
        <v>226.35</v>
      </c>
      <c r="M867" s="5" t="s">
        <v>39</v>
      </c>
      <c r="N867" s="5">
        <v>53.871299999999998</v>
      </c>
      <c r="O867" s="5" t="s">
        <v>39</v>
      </c>
      <c r="P867" t="s">
        <v>246</v>
      </c>
      <c r="Q867" t="s">
        <v>675</v>
      </c>
      <c r="R867" t="s">
        <v>37</v>
      </c>
      <c r="S867" t="s">
        <v>676</v>
      </c>
      <c r="T867" t="s">
        <v>43</v>
      </c>
      <c r="U867" t="s">
        <v>44</v>
      </c>
      <c r="V867">
        <v>147</v>
      </c>
      <c r="W867" t="s">
        <v>45</v>
      </c>
      <c r="X867" t="s">
        <v>46</v>
      </c>
      <c r="Y867" t="s">
        <v>677</v>
      </c>
      <c r="Z867" t="s">
        <v>37</v>
      </c>
      <c r="AA867" t="s">
        <v>55</v>
      </c>
      <c r="AB867" t="s">
        <v>37</v>
      </c>
      <c r="AC867" s="6" t="s">
        <v>37</v>
      </c>
      <c r="AD867" s="6" t="s">
        <v>37</v>
      </c>
      <c r="AE867" t="s">
        <v>37</v>
      </c>
      <c r="AF867" t="s">
        <v>37</v>
      </c>
      <c r="AG867" s="6" t="s">
        <v>37</v>
      </c>
      <c r="AH867" t="s">
        <v>37</v>
      </c>
      <c r="AI867" t="s">
        <v>37</v>
      </c>
      <c r="AJ867" t="str">
        <f t="shared" si="41"/>
        <v>1PSIXGLTB07W7KFFFF</v>
      </c>
    </row>
    <row r="868" spans="1:36" ht="15" customHeight="1" x14ac:dyDescent="0.25">
      <c r="A868" t="s">
        <v>210</v>
      </c>
      <c r="B868" t="s">
        <v>37</v>
      </c>
      <c r="C868" t="s">
        <v>37</v>
      </c>
      <c r="D868" t="s">
        <v>38</v>
      </c>
      <c r="E868" s="4">
        <v>16</v>
      </c>
      <c r="F868" s="5">
        <v>1206.56</v>
      </c>
      <c r="G868" s="5" t="s">
        <v>39</v>
      </c>
      <c r="H868" s="5">
        <v>1770.4</v>
      </c>
      <c r="I868" s="5" t="s">
        <v>39</v>
      </c>
      <c r="J868" s="5">
        <v>41.023040000000002</v>
      </c>
      <c r="K868" s="5">
        <f t="shared" si="39"/>
        <v>2.5639400000000001</v>
      </c>
      <c r="L868" s="5">
        <f t="shared" si="40"/>
        <v>75.41</v>
      </c>
      <c r="M868" s="5" t="s">
        <v>39</v>
      </c>
      <c r="N868" s="5">
        <v>41.023040000000002</v>
      </c>
      <c r="O868" s="5" t="s">
        <v>39</v>
      </c>
      <c r="P868" t="s">
        <v>211</v>
      </c>
      <c r="Q868" t="s">
        <v>417</v>
      </c>
      <c r="R868" t="s">
        <v>37</v>
      </c>
      <c r="S868" t="s">
        <v>418</v>
      </c>
      <c r="T868" t="s">
        <v>43</v>
      </c>
      <c r="U868" t="s">
        <v>44</v>
      </c>
      <c r="V868">
        <v>147</v>
      </c>
      <c r="W868" t="s">
        <v>45</v>
      </c>
      <c r="X868" t="s">
        <v>60</v>
      </c>
      <c r="Y868" t="s">
        <v>419</v>
      </c>
      <c r="Z868" t="s">
        <v>37</v>
      </c>
      <c r="AA868" t="s">
        <v>48</v>
      </c>
      <c r="AB868" t="s">
        <v>37</v>
      </c>
      <c r="AC868" s="6" t="s">
        <v>37</v>
      </c>
      <c r="AD868" s="6" t="s">
        <v>37</v>
      </c>
      <c r="AE868" t="s">
        <v>37</v>
      </c>
      <c r="AF868" t="s">
        <v>37</v>
      </c>
      <c r="AG868" s="6" t="s">
        <v>37</v>
      </c>
      <c r="AH868" t="s">
        <v>37</v>
      </c>
      <c r="AI868" t="s">
        <v>37</v>
      </c>
      <c r="AJ868" t="str">
        <f t="shared" si="41"/>
        <v>7ILTX3HJB01N6NGNQ8</v>
      </c>
    </row>
    <row r="869" spans="1:36" ht="15" customHeight="1" x14ac:dyDescent="0.25">
      <c r="A869" t="s">
        <v>127</v>
      </c>
      <c r="B869" t="s">
        <v>37</v>
      </c>
      <c r="C869" t="s">
        <v>37</v>
      </c>
      <c r="D869" t="s">
        <v>38</v>
      </c>
      <c r="E869" s="4">
        <v>0</v>
      </c>
      <c r="F869" s="5">
        <v>0</v>
      </c>
      <c r="G869" s="5" t="s">
        <v>39</v>
      </c>
      <c r="H869" s="5">
        <v>0</v>
      </c>
      <c r="I869" s="5" t="s">
        <v>39</v>
      </c>
      <c r="J869" s="5">
        <v>0</v>
      </c>
      <c r="K869" s="5" t="e">
        <f t="shared" si="39"/>
        <v>#DIV/0!</v>
      </c>
      <c r="L869" s="5" t="e">
        <f t="shared" si="40"/>
        <v>#DIV/0!</v>
      </c>
      <c r="M869" s="5" t="s">
        <v>39</v>
      </c>
      <c r="N869" s="5">
        <v>0</v>
      </c>
      <c r="O869" s="5" t="s">
        <v>39</v>
      </c>
      <c r="P869" t="s">
        <v>141</v>
      </c>
      <c r="Q869" t="s">
        <v>1531</v>
      </c>
      <c r="R869" t="s">
        <v>37</v>
      </c>
      <c r="S869" t="s">
        <v>1532</v>
      </c>
      <c r="T869" t="s">
        <v>43</v>
      </c>
      <c r="U869" t="s">
        <v>44</v>
      </c>
      <c r="V869">
        <v>147</v>
      </c>
      <c r="W869" t="s">
        <v>45</v>
      </c>
      <c r="X869" t="s">
        <v>60</v>
      </c>
      <c r="Y869" t="s">
        <v>1533</v>
      </c>
      <c r="Z869" t="s">
        <v>37</v>
      </c>
      <c r="AA869" t="s">
        <v>55</v>
      </c>
      <c r="AB869" t="s">
        <v>37</v>
      </c>
      <c r="AC869" s="6" t="s">
        <v>37</v>
      </c>
      <c r="AD869" s="6" t="s">
        <v>37</v>
      </c>
      <c r="AE869" t="s">
        <v>37</v>
      </c>
      <c r="AF869" t="s">
        <v>37</v>
      </c>
      <c r="AG869" s="6" t="s">
        <v>37</v>
      </c>
      <c r="AH869" t="s">
        <v>37</v>
      </c>
      <c r="AI869" t="s">
        <v>37</v>
      </c>
      <c r="AJ869" t="str">
        <f t="shared" si="41"/>
        <v>56UO2L2IB006T02YRM</v>
      </c>
    </row>
    <row r="870" spans="1:36" ht="15" customHeight="1" x14ac:dyDescent="0.25">
      <c r="A870" t="s">
        <v>36</v>
      </c>
      <c r="B870" t="s">
        <v>37</v>
      </c>
      <c r="C870" t="s">
        <v>37</v>
      </c>
      <c r="D870" t="s">
        <v>38</v>
      </c>
      <c r="E870" s="4">
        <v>16</v>
      </c>
      <c r="F870" s="5">
        <v>1299.3599999999999</v>
      </c>
      <c r="G870" s="5" t="s">
        <v>39</v>
      </c>
      <c r="H870" s="5">
        <v>1836</v>
      </c>
      <c r="I870" s="5" t="s">
        <v>39</v>
      </c>
      <c r="J870" s="5">
        <v>44.178240000000002</v>
      </c>
      <c r="K870" s="5">
        <f t="shared" si="39"/>
        <v>2.7611400000000001</v>
      </c>
      <c r="L870" s="5">
        <f t="shared" si="40"/>
        <v>81.209999999999994</v>
      </c>
      <c r="M870" s="5" t="s">
        <v>39</v>
      </c>
      <c r="N870" s="5">
        <v>44.178240000000002</v>
      </c>
      <c r="O870" s="5" t="s">
        <v>39</v>
      </c>
      <c r="P870" t="s">
        <v>365</v>
      </c>
      <c r="Q870" t="s">
        <v>1534</v>
      </c>
      <c r="R870" t="s">
        <v>37</v>
      </c>
      <c r="S870" t="s">
        <v>1535</v>
      </c>
      <c r="T870" t="s">
        <v>43</v>
      </c>
      <c r="U870" t="s">
        <v>44</v>
      </c>
      <c r="V870">
        <v>147</v>
      </c>
      <c r="W870" t="s">
        <v>45</v>
      </c>
      <c r="X870" t="s">
        <v>60</v>
      </c>
      <c r="Y870" t="s">
        <v>1536</v>
      </c>
      <c r="Z870" t="s">
        <v>37</v>
      </c>
      <c r="AA870" t="s">
        <v>55</v>
      </c>
      <c r="AB870" t="s">
        <v>37</v>
      </c>
      <c r="AC870" s="6" t="s">
        <v>37</v>
      </c>
      <c r="AD870" s="6" t="s">
        <v>37</v>
      </c>
      <c r="AE870" t="s">
        <v>37</v>
      </c>
      <c r="AF870" t="s">
        <v>37</v>
      </c>
      <c r="AG870" s="6" t="s">
        <v>37</v>
      </c>
      <c r="AH870" t="s">
        <v>37</v>
      </c>
      <c r="AI870" t="s">
        <v>37</v>
      </c>
      <c r="AJ870" t="str">
        <f t="shared" si="41"/>
        <v>3KYCEHVHB07W6JP5N1</v>
      </c>
    </row>
    <row r="871" spans="1:36" ht="15" customHeight="1" x14ac:dyDescent="0.25">
      <c r="A871" t="s">
        <v>62</v>
      </c>
      <c r="B871" t="s">
        <v>37</v>
      </c>
      <c r="C871" t="s">
        <v>37</v>
      </c>
      <c r="D871" t="s">
        <v>38</v>
      </c>
      <c r="E871" s="4">
        <v>120</v>
      </c>
      <c r="F871" s="5">
        <v>1123.2</v>
      </c>
      <c r="G871" s="5" t="s">
        <v>39</v>
      </c>
      <c r="H871" s="5">
        <v>1671.6</v>
      </c>
      <c r="I871" s="5" t="s">
        <v>39</v>
      </c>
      <c r="J871" s="5">
        <v>38.188800000000001</v>
      </c>
      <c r="K871" s="5">
        <f t="shared" si="39"/>
        <v>0.31824000000000002</v>
      </c>
      <c r="L871" s="5">
        <f t="shared" si="40"/>
        <v>9.3600000000000012</v>
      </c>
      <c r="M871" s="5" t="s">
        <v>39</v>
      </c>
      <c r="N871" s="5">
        <v>38.188800000000001</v>
      </c>
      <c r="O871" s="5" t="s">
        <v>39</v>
      </c>
      <c r="P871" t="s">
        <v>1537</v>
      </c>
      <c r="Q871" t="s">
        <v>182</v>
      </c>
      <c r="R871" t="s">
        <v>183</v>
      </c>
      <c r="S871" t="s">
        <v>184</v>
      </c>
      <c r="T871" t="s">
        <v>43</v>
      </c>
      <c r="U871" t="s">
        <v>44</v>
      </c>
      <c r="V871">
        <v>147</v>
      </c>
      <c r="W871" t="s">
        <v>45</v>
      </c>
      <c r="X871" t="s">
        <v>53</v>
      </c>
      <c r="Y871" t="s">
        <v>185</v>
      </c>
      <c r="Z871" t="s">
        <v>37</v>
      </c>
      <c r="AA871" t="s">
        <v>48</v>
      </c>
      <c r="AB871" t="s">
        <v>37</v>
      </c>
      <c r="AC871" s="6" t="s">
        <v>37</v>
      </c>
      <c r="AD871" s="6" t="s">
        <v>37</v>
      </c>
      <c r="AE871" t="s">
        <v>37</v>
      </c>
      <c r="AF871" t="s">
        <v>37</v>
      </c>
      <c r="AG871" s="6" t="s">
        <v>37</v>
      </c>
      <c r="AH871" t="s">
        <v>37</v>
      </c>
      <c r="AI871" t="s">
        <v>37</v>
      </c>
      <c r="AJ871" t="str">
        <f t="shared" si="41"/>
        <v>89YFM3QCB01A9HC69G</v>
      </c>
    </row>
    <row r="872" spans="1:36" ht="15" customHeight="1" x14ac:dyDescent="0.25">
      <c r="A872" t="s">
        <v>62</v>
      </c>
      <c r="B872" t="s">
        <v>37</v>
      </c>
      <c r="C872" t="s">
        <v>37</v>
      </c>
      <c r="D872" t="s">
        <v>38</v>
      </c>
      <c r="E872" s="4">
        <v>350</v>
      </c>
      <c r="F872" s="5">
        <v>3685.5</v>
      </c>
      <c r="G872" s="5" t="s">
        <v>39</v>
      </c>
      <c r="H872" s="5">
        <v>5736.5</v>
      </c>
      <c r="I872" s="5" t="s">
        <v>39</v>
      </c>
      <c r="J872" s="5">
        <v>125.307</v>
      </c>
      <c r="K872" s="5">
        <f t="shared" si="39"/>
        <v>0.35802</v>
      </c>
      <c r="L872" s="5">
        <f t="shared" si="40"/>
        <v>10.53</v>
      </c>
      <c r="M872" s="5" t="s">
        <v>39</v>
      </c>
      <c r="N872" s="5">
        <v>125.307</v>
      </c>
      <c r="O872" s="5" t="s">
        <v>39</v>
      </c>
      <c r="P872" t="s">
        <v>63</v>
      </c>
      <c r="Q872" t="s">
        <v>990</v>
      </c>
      <c r="R872" t="s">
        <v>37</v>
      </c>
      <c r="S872" t="s">
        <v>991</v>
      </c>
      <c r="T872" t="s">
        <v>43</v>
      </c>
      <c r="U872" t="s">
        <v>44</v>
      </c>
      <c r="V872">
        <v>147</v>
      </c>
      <c r="W872" t="s">
        <v>45</v>
      </c>
      <c r="X872" t="s">
        <v>53</v>
      </c>
      <c r="Y872" t="s">
        <v>992</v>
      </c>
      <c r="Z872" t="s">
        <v>37</v>
      </c>
      <c r="AA872" t="s">
        <v>55</v>
      </c>
      <c r="AB872" t="s">
        <v>37</v>
      </c>
      <c r="AC872" s="6" t="s">
        <v>37</v>
      </c>
      <c r="AD872" s="6" t="s">
        <v>37</v>
      </c>
      <c r="AE872" t="s">
        <v>37</v>
      </c>
      <c r="AF872" t="s">
        <v>37</v>
      </c>
      <c r="AG872" s="6" t="s">
        <v>37</v>
      </c>
      <c r="AH872" t="s">
        <v>37</v>
      </c>
      <c r="AI872" t="s">
        <v>37</v>
      </c>
      <c r="AJ872" t="str">
        <f t="shared" si="41"/>
        <v>7H9X1Z6SB07W6J6W4P</v>
      </c>
    </row>
    <row r="873" spans="1:36" ht="15" customHeight="1" x14ac:dyDescent="0.25">
      <c r="A873" t="s">
        <v>88</v>
      </c>
      <c r="B873" t="s">
        <v>37</v>
      </c>
      <c r="C873" t="s">
        <v>37</v>
      </c>
      <c r="D873" t="s">
        <v>38</v>
      </c>
      <c r="E873" s="4">
        <v>20</v>
      </c>
      <c r="F873" s="5">
        <v>1677.8</v>
      </c>
      <c r="G873" s="5" t="s">
        <v>39</v>
      </c>
      <c r="H873" s="5">
        <v>2934.4</v>
      </c>
      <c r="I873" s="5" t="s">
        <v>39</v>
      </c>
      <c r="J873" s="5">
        <v>57.045200000000001</v>
      </c>
      <c r="K873" s="5">
        <f t="shared" si="39"/>
        <v>2.8522600000000002</v>
      </c>
      <c r="L873" s="5">
        <f t="shared" si="40"/>
        <v>83.89</v>
      </c>
      <c r="M873" s="5" t="s">
        <v>39</v>
      </c>
      <c r="N873" s="5">
        <v>57.045200000000001</v>
      </c>
      <c r="O873" s="5" t="s">
        <v>39</v>
      </c>
      <c r="P873" t="s">
        <v>133</v>
      </c>
      <c r="Q873" t="s">
        <v>1394</v>
      </c>
      <c r="R873" t="s">
        <v>37</v>
      </c>
      <c r="S873" t="s">
        <v>1395</v>
      </c>
      <c r="T873" t="s">
        <v>43</v>
      </c>
      <c r="U873" t="s">
        <v>44</v>
      </c>
      <c r="V873">
        <v>147</v>
      </c>
      <c r="W873" t="s">
        <v>45</v>
      </c>
      <c r="X873" t="s">
        <v>53</v>
      </c>
      <c r="Y873" t="s">
        <v>1396</v>
      </c>
      <c r="Z873" t="s">
        <v>37</v>
      </c>
      <c r="AA873" t="s">
        <v>55</v>
      </c>
      <c r="AB873" t="s">
        <v>37</v>
      </c>
      <c r="AC873" s="6" t="s">
        <v>37</v>
      </c>
      <c r="AD873" s="6" t="s">
        <v>37</v>
      </c>
      <c r="AE873" t="s">
        <v>37</v>
      </c>
      <c r="AF873" t="s">
        <v>37</v>
      </c>
      <c r="AG873" s="6" t="s">
        <v>37</v>
      </c>
      <c r="AH873" t="s">
        <v>37</v>
      </c>
      <c r="AI873" t="s">
        <v>37</v>
      </c>
      <c r="AJ873" t="str">
        <f t="shared" si="41"/>
        <v>36BT7GGLB07W5JJ1WM</v>
      </c>
    </row>
    <row r="874" spans="1:36" ht="15" customHeight="1" x14ac:dyDescent="0.25">
      <c r="A874" t="s">
        <v>36</v>
      </c>
      <c r="B874" t="s">
        <v>37</v>
      </c>
      <c r="C874" t="s">
        <v>37</v>
      </c>
      <c r="D874" t="s">
        <v>38</v>
      </c>
      <c r="E874" s="4">
        <v>4</v>
      </c>
      <c r="F874" s="5">
        <v>335.56</v>
      </c>
      <c r="G874" s="5" t="s">
        <v>39</v>
      </c>
      <c r="H874" s="5">
        <v>586.88</v>
      </c>
      <c r="I874" s="5" t="s">
        <v>39</v>
      </c>
      <c r="J874" s="5">
        <v>11.409039999999999</v>
      </c>
      <c r="K874" s="5">
        <f t="shared" si="39"/>
        <v>2.8522599999999998</v>
      </c>
      <c r="L874" s="5">
        <f t="shared" si="40"/>
        <v>83.89</v>
      </c>
      <c r="M874" s="5" t="s">
        <v>39</v>
      </c>
      <c r="N874" s="5">
        <v>11.409039999999999</v>
      </c>
      <c r="O874" s="5" t="s">
        <v>39</v>
      </c>
      <c r="P874" t="s">
        <v>67</v>
      </c>
      <c r="Q874" t="s">
        <v>1538</v>
      </c>
      <c r="R874" t="s">
        <v>37</v>
      </c>
      <c r="S874" t="s">
        <v>1539</v>
      </c>
      <c r="T874" t="s">
        <v>43</v>
      </c>
      <c r="U874" t="s">
        <v>44</v>
      </c>
      <c r="V874">
        <v>147</v>
      </c>
      <c r="W874" t="s">
        <v>45</v>
      </c>
      <c r="X874" t="s">
        <v>53</v>
      </c>
      <c r="Y874" t="s">
        <v>1396</v>
      </c>
      <c r="Z874" t="s">
        <v>37</v>
      </c>
      <c r="AA874" t="s">
        <v>55</v>
      </c>
      <c r="AB874" t="s">
        <v>37</v>
      </c>
      <c r="AC874" s="6" t="s">
        <v>37</v>
      </c>
      <c r="AD874" s="6" t="s">
        <v>37</v>
      </c>
      <c r="AE874" t="s">
        <v>37</v>
      </c>
      <c r="AF874" t="s">
        <v>37</v>
      </c>
      <c r="AG874" s="6" t="s">
        <v>37</v>
      </c>
      <c r="AH874" t="s">
        <v>37</v>
      </c>
      <c r="AI874" t="s">
        <v>37</v>
      </c>
      <c r="AJ874" t="str">
        <f t="shared" si="41"/>
        <v>2TMBDXBKB07W5JJSBK</v>
      </c>
    </row>
    <row r="875" spans="1:36" ht="15" customHeight="1" x14ac:dyDescent="0.25">
      <c r="A875" t="s">
        <v>36</v>
      </c>
      <c r="B875" t="s">
        <v>37</v>
      </c>
      <c r="C875" t="s">
        <v>37</v>
      </c>
      <c r="D875" t="s">
        <v>38</v>
      </c>
      <c r="E875" s="4">
        <v>8</v>
      </c>
      <c r="F875" s="5">
        <v>295.44</v>
      </c>
      <c r="G875" s="5" t="s">
        <v>39</v>
      </c>
      <c r="H875" s="5">
        <v>491.76</v>
      </c>
      <c r="I875" s="5" t="s">
        <v>39</v>
      </c>
      <c r="J875" s="5">
        <v>10.04496</v>
      </c>
      <c r="K875" s="5">
        <f t="shared" si="39"/>
        <v>1.25562</v>
      </c>
      <c r="L875" s="5">
        <f t="shared" si="40"/>
        <v>36.93</v>
      </c>
      <c r="M875" s="5" t="s">
        <v>39</v>
      </c>
      <c r="N875" s="5">
        <v>10.04496</v>
      </c>
      <c r="O875" s="5" t="s">
        <v>39</v>
      </c>
      <c r="P875" t="s">
        <v>133</v>
      </c>
      <c r="Q875" t="s">
        <v>635</v>
      </c>
      <c r="R875" t="s">
        <v>37</v>
      </c>
      <c r="S875" t="s">
        <v>636</v>
      </c>
      <c r="T875" t="s">
        <v>43</v>
      </c>
      <c r="U875" t="s">
        <v>44</v>
      </c>
      <c r="V875">
        <v>147</v>
      </c>
      <c r="W875" t="s">
        <v>45</v>
      </c>
      <c r="X875" t="s">
        <v>53</v>
      </c>
      <c r="Y875" t="s">
        <v>637</v>
      </c>
      <c r="Z875" t="s">
        <v>37</v>
      </c>
      <c r="AA875" t="s">
        <v>55</v>
      </c>
      <c r="AB875" t="s">
        <v>37</v>
      </c>
      <c r="AC875" s="6" t="s">
        <v>37</v>
      </c>
      <c r="AD875" s="6" t="s">
        <v>37</v>
      </c>
      <c r="AE875" t="s">
        <v>37</v>
      </c>
      <c r="AF875" t="s">
        <v>37</v>
      </c>
      <c r="AG875" s="6" t="s">
        <v>37</v>
      </c>
      <c r="AH875" t="s">
        <v>37</v>
      </c>
      <c r="AI875" t="s">
        <v>37</v>
      </c>
      <c r="AJ875" t="str">
        <f t="shared" si="41"/>
        <v>36BT7GGLB07CGVGMLD</v>
      </c>
    </row>
    <row r="876" spans="1:36" ht="15" customHeight="1" x14ac:dyDescent="0.25">
      <c r="A876" t="s">
        <v>36</v>
      </c>
      <c r="B876" t="s">
        <v>37</v>
      </c>
      <c r="C876" t="s">
        <v>37</v>
      </c>
      <c r="D876" t="s">
        <v>38</v>
      </c>
      <c r="E876" s="4">
        <v>30</v>
      </c>
      <c r="F876" s="5">
        <v>315.89999999999998</v>
      </c>
      <c r="G876" s="5" t="s">
        <v>39</v>
      </c>
      <c r="H876" s="5">
        <v>315.89999999999998</v>
      </c>
      <c r="I876" s="5" t="s">
        <v>39</v>
      </c>
      <c r="J876" s="5">
        <v>10.740600000000001</v>
      </c>
      <c r="K876" s="5">
        <f t="shared" si="39"/>
        <v>0.35802</v>
      </c>
      <c r="L876" s="5">
        <f t="shared" si="40"/>
        <v>10.53</v>
      </c>
      <c r="M876" s="5" t="s">
        <v>39</v>
      </c>
      <c r="N876" s="5">
        <v>10.740600000000001</v>
      </c>
      <c r="O876" s="5" t="s">
        <v>39</v>
      </c>
      <c r="P876" t="s">
        <v>67</v>
      </c>
      <c r="Q876" t="s">
        <v>324</v>
      </c>
      <c r="R876" t="s">
        <v>325</v>
      </c>
      <c r="S876" t="s">
        <v>326</v>
      </c>
      <c r="T876" t="s">
        <v>43</v>
      </c>
      <c r="U876" t="s">
        <v>44</v>
      </c>
      <c r="V876">
        <v>147</v>
      </c>
      <c r="W876" t="s">
        <v>45</v>
      </c>
      <c r="X876" t="s">
        <v>53</v>
      </c>
      <c r="Y876" t="s">
        <v>327</v>
      </c>
      <c r="Z876" t="s">
        <v>37</v>
      </c>
      <c r="AA876" t="s">
        <v>48</v>
      </c>
      <c r="AB876" t="s">
        <v>37</v>
      </c>
      <c r="AC876" s="6" t="s">
        <v>37</v>
      </c>
      <c r="AD876" s="6" t="s">
        <v>37</v>
      </c>
      <c r="AE876" t="s">
        <v>37</v>
      </c>
      <c r="AF876" t="s">
        <v>37</v>
      </c>
      <c r="AG876" s="6" t="s">
        <v>37</v>
      </c>
      <c r="AH876" t="s">
        <v>37</v>
      </c>
      <c r="AI876" t="s">
        <v>37</v>
      </c>
      <c r="AJ876" t="str">
        <f t="shared" si="41"/>
        <v>2TMBDXBKB00544XFHC</v>
      </c>
    </row>
    <row r="877" spans="1:36" ht="15" customHeight="1" x14ac:dyDescent="0.25">
      <c r="A877" t="s">
        <v>36</v>
      </c>
      <c r="B877" t="s">
        <v>37</v>
      </c>
      <c r="C877" t="s">
        <v>37</v>
      </c>
      <c r="D877" t="s">
        <v>38</v>
      </c>
      <c r="E877" s="4">
        <v>7</v>
      </c>
      <c r="F877" s="5">
        <v>1547.49</v>
      </c>
      <c r="G877" s="5" t="s">
        <v>39</v>
      </c>
      <c r="H877" s="5">
        <v>2346.75</v>
      </c>
      <c r="I877" s="5" t="s">
        <v>39</v>
      </c>
      <c r="J877" s="5">
        <v>52.614660000000001</v>
      </c>
      <c r="K877" s="5">
        <f t="shared" si="39"/>
        <v>7.5163799999999998</v>
      </c>
      <c r="L877" s="5">
        <f t="shared" si="40"/>
        <v>221.07</v>
      </c>
      <c r="M877" s="5" t="s">
        <v>39</v>
      </c>
      <c r="N877" s="5">
        <v>52.614660000000001</v>
      </c>
      <c r="O877" s="5" t="s">
        <v>39</v>
      </c>
      <c r="P877" t="s">
        <v>40</v>
      </c>
      <c r="Q877" t="s">
        <v>671</v>
      </c>
      <c r="R877" t="s">
        <v>672</v>
      </c>
      <c r="S877" t="s">
        <v>673</v>
      </c>
      <c r="T877" t="s">
        <v>43</v>
      </c>
      <c r="U877" t="s">
        <v>44</v>
      </c>
      <c r="V877">
        <v>147</v>
      </c>
      <c r="W877" t="s">
        <v>45</v>
      </c>
      <c r="X877" t="s">
        <v>46</v>
      </c>
      <c r="Y877" t="s">
        <v>674</v>
      </c>
      <c r="Z877" t="s">
        <v>37</v>
      </c>
      <c r="AA877" t="s">
        <v>55</v>
      </c>
      <c r="AB877" t="s">
        <v>37</v>
      </c>
      <c r="AC877" s="6" t="s">
        <v>37</v>
      </c>
      <c r="AD877" s="6" t="s">
        <v>37</v>
      </c>
      <c r="AE877" t="s">
        <v>37</v>
      </c>
      <c r="AF877" t="s">
        <v>37</v>
      </c>
      <c r="AG877" s="6" t="s">
        <v>37</v>
      </c>
      <c r="AH877" t="s">
        <v>37</v>
      </c>
      <c r="AI877" t="s">
        <v>37</v>
      </c>
      <c r="AJ877" t="str">
        <f t="shared" si="41"/>
        <v>4A3KDTEZB011N78DMA</v>
      </c>
    </row>
    <row r="878" spans="1:36" ht="15" customHeight="1" x14ac:dyDescent="0.25">
      <c r="A878" t="s">
        <v>96</v>
      </c>
      <c r="B878" t="s">
        <v>37</v>
      </c>
      <c r="C878" t="s">
        <v>37</v>
      </c>
      <c r="D878" t="s">
        <v>38</v>
      </c>
      <c r="E878" s="4">
        <v>80</v>
      </c>
      <c r="F878" s="5">
        <v>6032.8</v>
      </c>
      <c r="G878" s="5" t="s">
        <v>39</v>
      </c>
      <c r="H878" s="5">
        <v>7540</v>
      </c>
      <c r="I878" s="5" t="s">
        <v>39</v>
      </c>
      <c r="J878" s="5">
        <v>205.11519999999999</v>
      </c>
      <c r="K878" s="5">
        <f t="shared" si="39"/>
        <v>2.5639399999999997</v>
      </c>
      <c r="L878" s="5">
        <f t="shared" si="40"/>
        <v>75.41</v>
      </c>
      <c r="M878" s="5" t="s">
        <v>39</v>
      </c>
      <c r="N878" s="5">
        <v>205.11519999999999</v>
      </c>
      <c r="O878" s="5" t="s">
        <v>39</v>
      </c>
      <c r="P878" t="s">
        <v>50</v>
      </c>
      <c r="Q878" t="s">
        <v>1540</v>
      </c>
      <c r="R878" t="s">
        <v>37</v>
      </c>
      <c r="S878" t="s">
        <v>1541</v>
      </c>
      <c r="T878" t="s">
        <v>43</v>
      </c>
      <c r="U878" t="s">
        <v>44</v>
      </c>
      <c r="V878">
        <v>147</v>
      </c>
      <c r="W878" t="s">
        <v>45</v>
      </c>
      <c r="X878" t="s">
        <v>60</v>
      </c>
      <c r="Y878" t="s">
        <v>1542</v>
      </c>
      <c r="Z878" t="s">
        <v>37</v>
      </c>
      <c r="AA878" t="s">
        <v>55</v>
      </c>
      <c r="AB878" t="s">
        <v>37</v>
      </c>
      <c r="AC878" s="6" t="s">
        <v>37</v>
      </c>
      <c r="AD878" s="6" t="s">
        <v>37</v>
      </c>
      <c r="AE878" t="s">
        <v>37</v>
      </c>
      <c r="AF878" t="s">
        <v>37</v>
      </c>
      <c r="AG878" s="6" t="s">
        <v>37</v>
      </c>
      <c r="AH878" t="s">
        <v>37</v>
      </c>
      <c r="AI878" t="s">
        <v>37</v>
      </c>
      <c r="AJ878" t="str">
        <f t="shared" si="41"/>
        <v>3A946EXYB07W7LLFVD</v>
      </c>
    </row>
    <row r="879" spans="1:36" ht="15" customHeight="1" x14ac:dyDescent="0.25">
      <c r="A879" t="s">
        <v>101</v>
      </c>
      <c r="B879" t="s">
        <v>37</v>
      </c>
      <c r="C879" t="s">
        <v>37</v>
      </c>
      <c r="D879" t="s">
        <v>38</v>
      </c>
      <c r="E879" s="4">
        <v>360</v>
      </c>
      <c r="F879" s="5">
        <v>11595.6</v>
      </c>
      <c r="G879" s="5" t="s">
        <v>39</v>
      </c>
      <c r="H879" s="5">
        <v>17406</v>
      </c>
      <c r="I879" s="5" t="s">
        <v>39</v>
      </c>
      <c r="J879" s="5">
        <v>394.25040000000001</v>
      </c>
      <c r="K879" s="5">
        <f t="shared" si="39"/>
        <v>1.09514</v>
      </c>
      <c r="L879" s="5">
        <f t="shared" si="40"/>
        <v>32.21</v>
      </c>
      <c r="M879" s="5" t="s">
        <v>39</v>
      </c>
      <c r="N879" s="5">
        <v>394.25040000000001</v>
      </c>
      <c r="O879" s="5" t="s">
        <v>39</v>
      </c>
      <c r="P879" t="s">
        <v>274</v>
      </c>
      <c r="Q879" t="s">
        <v>1543</v>
      </c>
      <c r="R879" t="s">
        <v>37</v>
      </c>
      <c r="S879" t="s">
        <v>1544</v>
      </c>
      <c r="T879" t="s">
        <v>43</v>
      </c>
      <c r="U879" t="s">
        <v>44</v>
      </c>
      <c r="V879">
        <v>147</v>
      </c>
      <c r="W879" t="s">
        <v>45</v>
      </c>
      <c r="X879" t="s">
        <v>53</v>
      </c>
      <c r="Y879" t="s">
        <v>1545</v>
      </c>
      <c r="Z879" t="s">
        <v>37</v>
      </c>
      <c r="AA879" t="s">
        <v>55</v>
      </c>
      <c r="AB879" t="s">
        <v>37</v>
      </c>
      <c r="AC879" s="6" t="s">
        <v>37</v>
      </c>
      <c r="AD879" s="6" t="s">
        <v>37</v>
      </c>
      <c r="AE879" t="s">
        <v>37</v>
      </c>
      <c r="AF879" t="s">
        <v>37</v>
      </c>
      <c r="AG879" s="6" t="s">
        <v>37</v>
      </c>
      <c r="AH879" t="s">
        <v>37</v>
      </c>
      <c r="AI879" t="s">
        <v>37</v>
      </c>
      <c r="AJ879" t="str">
        <f t="shared" si="41"/>
        <v>4LYATDUXB07W4DHT47</v>
      </c>
    </row>
    <row r="880" spans="1:36" ht="15" customHeight="1" x14ac:dyDescent="0.25">
      <c r="A880" t="s">
        <v>118</v>
      </c>
      <c r="B880" t="s">
        <v>37</v>
      </c>
      <c r="C880" t="s">
        <v>37</v>
      </c>
      <c r="D880" t="s">
        <v>38</v>
      </c>
      <c r="E880" s="4">
        <v>8</v>
      </c>
      <c r="F880" s="5">
        <v>379.84</v>
      </c>
      <c r="G880" s="5" t="s">
        <v>39</v>
      </c>
      <c r="H880" s="5">
        <v>622.88</v>
      </c>
      <c r="I880" s="5" t="s">
        <v>39</v>
      </c>
      <c r="J880" s="5">
        <v>12.91456</v>
      </c>
      <c r="K880" s="5">
        <f t="shared" si="39"/>
        <v>1.61432</v>
      </c>
      <c r="L880" s="5">
        <f t="shared" si="40"/>
        <v>47.48</v>
      </c>
      <c r="M880" s="5" t="s">
        <v>39</v>
      </c>
      <c r="N880" s="5">
        <v>12.91456</v>
      </c>
      <c r="O880" s="5" t="s">
        <v>39</v>
      </c>
      <c r="P880" t="s">
        <v>128</v>
      </c>
      <c r="Q880" t="s">
        <v>427</v>
      </c>
      <c r="R880" t="s">
        <v>37</v>
      </c>
      <c r="S880" t="s">
        <v>428</v>
      </c>
      <c r="T880" t="s">
        <v>43</v>
      </c>
      <c r="U880" t="s">
        <v>44</v>
      </c>
      <c r="V880">
        <v>147</v>
      </c>
      <c r="W880" t="s">
        <v>45</v>
      </c>
      <c r="X880" t="s">
        <v>46</v>
      </c>
      <c r="Y880" t="s">
        <v>429</v>
      </c>
      <c r="Z880" t="s">
        <v>37</v>
      </c>
      <c r="AA880" t="s">
        <v>95</v>
      </c>
      <c r="AB880" t="s">
        <v>37</v>
      </c>
      <c r="AC880" s="6" t="s">
        <v>37</v>
      </c>
      <c r="AD880" s="6" t="s">
        <v>37</v>
      </c>
      <c r="AE880" t="s">
        <v>37</v>
      </c>
      <c r="AF880" t="s">
        <v>37</v>
      </c>
      <c r="AG880" s="6" t="s">
        <v>37</v>
      </c>
      <c r="AH880" t="s">
        <v>37</v>
      </c>
      <c r="AI880" t="s">
        <v>37</v>
      </c>
      <c r="AJ880" t="str">
        <f t="shared" si="41"/>
        <v>7RAC5F9EB07MTXLFXV</v>
      </c>
    </row>
    <row r="881" spans="1:36" ht="15" customHeight="1" x14ac:dyDescent="0.25">
      <c r="A881" t="s">
        <v>88</v>
      </c>
      <c r="B881" t="s">
        <v>37</v>
      </c>
      <c r="C881" t="s">
        <v>37</v>
      </c>
      <c r="D881" t="s">
        <v>38</v>
      </c>
      <c r="E881" s="4">
        <v>4</v>
      </c>
      <c r="F881" s="5">
        <v>84.4</v>
      </c>
      <c r="G881" s="5" t="s">
        <v>39</v>
      </c>
      <c r="H881" s="5">
        <v>144.24</v>
      </c>
      <c r="I881" s="5" t="s">
        <v>39</v>
      </c>
      <c r="J881" s="5">
        <v>2.8696000000000002</v>
      </c>
      <c r="K881" s="5">
        <f t="shared" si="39"/>
        <v>0.71740000000000004</v>
      </c>
      <c r="L881" s="5">
        <f t="shared" si="40"/>
        <v>21.1</v>
      </c>
      <c r="M881" s="5" t="s">
        <v>39</v>
      </c>
      <c r="N881" s="5">
        <v>2.8696000000000002</v>
      </c>
      <c r="O881" s="5" t="s">
        <v>39</v>
      </c>
      <c r="P881" t="s">
        <v>89</v>
      </c>
      <c r="Q881" t="s">
        <v>1546</v>
      </c>
      <c r="R881" t="s">
        <v>37</v>
      </c>
      <c r="S881" t="s">
        <v>1547</v>
      </c>
      <c r="T881" t="s">
        <v>43</v>
      </c>
      <c r="U881" t="s">
        <v>44</v>
      </c>
      <c r="V881">
        <v>147</v>
      </c>
      <c r="W881" t="s">
        <v>45</v>
      </c>
      <c r="X881" t="s">
        <v>53</v>
      </c>
      <c r="Y881" t="s">
        <v>1548</v>
      </c>
      <c r="Z881" t="s">
        <v>37</v>
      </c>
      <c r="AA881" t="s">
        <v>95</v>
      </c>
      <c r="AB881" t="s">
        <v>37</v>
      </c>
      <c r="AC881" s="6" t="s">
        <v>37</v>
      </c>
      <c r="AD881" s="6" t="s">
        <v>37</v>
      </c>
      <c r="AE881" t="s">
        <v>37</v>
      </c>
      <c r="AF881" t="s">
        <v>37</v>
      </c>
      <c r="AG881" s="6" t="s">
        <v>37</v>
      </c>
      <c r="AH881" t="s">
        <v>37</v>
      </c>
      <c r="AI881" t="s">
        <v>37</v>
      </c>
      <c r="AJ881" t="str">
        <f t="shared" si="41"/>
        <v>2W68T8TOB07W4DHK3P</v>
      </c>
    </row>
    <row r="882" spans="1:36" ht="15" customHeight="1" x14ac:dyDescent="0.25">
      <c r="A882" t="s">
        <v>36</v>
      </c>
      <c r="B882" t="s">
        <v>37</v>
      </c>
      <c r="C882" t="s">
        <v>37</v>
      </c>
      <c r="D882" t="s">
        <v>38</v>
      </c>
      <c r="E882" s="4">
        <v>4</v>
      </c>
      <c r="F882" s="5">
        <v>636.36</v>
      </c>
      <c r="G882" s="5" t="s">
        <v>39</v>
      </c>
      <c r="H882" s="5">
        <v>754.08</v>
      </c>
      <c r="I882" s="5" t="s">
        <v>39</v>
      </c>
      <c r="J882" s="5">
        <v>21.636240000000001</v>
      </c>
      <c r="K882" s="5">
        <f t="shared" si="39"/>
        <v>5.4090600000000002</v>
      </c>
      <c r="L882" s="5">
        <f t="shared" si="40"/>
        <v>159.09</v>
      </c>
      <c r="M882" s="5" t="s">
        <v>39</v>
      </c>
      <c r="N882" s="5">
        <v>21.636240000000001</v>
      </c>
      <c r="O882" s="5" t="s">
        <v>39</v>
      </c>
      <c r="P882" t="s">
        <v>40</v>
      </c>
      <c r="Q882" t="s">
        <v>227</v>
      </c>
      <c r="R882" t="s">
        <v>228</v>
      </c>
      <c r="S882" t="s">
        <v>229</v>
      </c>
      <c r="T882" t="s">
        <v>43</v>
      </c>
      <c r="U882" t="s">
        <v>44</v>
      </c>
      <c r="V882">
        <v>267</v>
      </c>
      <c r="W882" t="s">
        <v>151</v>
      </c>
      <c r="X882" t="s">
        <v>152</v>
      </c>
      <c r="Y882" t="s">
        <v>230</v>
      </c>
      <c r="Z882" t="s">
        <v>37</v>
      </c>
      <c r="AA882" t="s">
        <v>95</v>
      </c>
      <c r="AB882" t="s">
        <v>37</v>
      </c>
      <c r="AC882" s="6" t="s">
        <v>37</v>
      </c>
      <c r="AD882" s="6" t="s">
        <v>37</v>
      </c>
      <c r="AE882" t="s">
        <v>37</v>
      </c>
      <c r="AF882" t="s">
        <v>37</v>
      </c>
      <c r="AG882" s="6" t="s">
        <v>37</v>
      </c>
      <c r="AH882" t="s">
        <v>37</v>
      </c>
      <c r="AI882" t="s">
        <v>37</v>
      </c>
      <c r="AJ882" t="str">
        <f t="shared" si="41"/>
        <v>4A3KDTEZB078MHS3SC</v>
      </c>
    </row>
    <row r="883" spans="1:36" ht="15" customHeight="1" x14ac:dyDescent="0.25">
      <c r="A883" t="s">
        <v>62</v>
      </c>
      <c r="B883" t="s">
        <v>37</v>
      </c>
      <c r="C883" t="s">
        <v>37</v>
      </c>
      <c r="D883" t="s">
        <v>38</v>
      </c>
      <c r="E883" s="4">
        <v>224</v>
      </c>
      <c r="F883" s="5">
        <v>54075.839999999997</v>
      </c>
      <c r="G883" s="5" t="s">
        <v>39</v>
      </c>
      <c r="H883" s="5">
        <v>66095.679999999993</v>
      </c>
      <c r="I883" s="5" t="s">
        <v>39</v>
      </c>
      <c r="J883" s="5">
        <v>1838.5785599999999</v>
      </c>
      <c r="K883" s="5">
        <f t="shared" si="39"/>
        <v>8.2079399999999989</v>
      </c>
      <c r="L883" s="5">
        <f t="shared" si="40"/>
        <v>241.41</v>
      </c>
      <c r="M883" s="5" t="s">
        <v>39</v>
      </c>
      <c r="N883" s="5">
        <v>1838.5785599999999</v>
      </c>
      <c r="O883" s="5" t="s">
        <v>39</v>
      </c>
      <c r="P883" t="s">
        <v>63</v>
      </c>
      <c r="Q883" t="s">
        <v>1549</v>
      </c>
      <c r="R883" t="s">
        <v>37</v>
      </c>
      <c r="S883" t="s">
        <v>1550</v>
      </c>
      <c r="T883" t="s">
        <v>43</v>
      </c>
      <c r="U883" t="s">
        <v>44</v>
      </c>
      <c r="V883">
        <v>267</v>
      </c>
      <c r="W883" t="s">
        <v>151</v>
      </c>
      <c r="X883" t="s">
        <v>152</v>
      </c>
      <c r="Y883" t="s">
        <v>1551</v>
      </c>
      <c r="Z883" t="s">
        <v>37</v>
      </c>
      <c r="AA883" t="s">
        <v>95</v>
      </c>
      <c r="AB883" t="s">
        <v>37</v>
      </c>
      <c r="AC883" s="6" t="s">
        <v>37</v>
      </c>
      <c r="AD883" s="6" t="s">
        <v>37</v>
      </c>
      <c r="AE883" t="s">
        <v>37</v>
      </c>
      <c r="AF883" t="s">
        <v>37</v>
      </c>
      <c r="AG883" s="6" t="s">
        <v>37</v>
      </c>
      <c r="AH883" t="s">
        <v>37</v>
      </c>
      <c r="AI883" t="s">
        <v>37</v>
      </c>
      <c r="AJ883" t="str">
        <f t="shared" si="41"/>
        <v>7H9X1Z6SB07W5JKHPG</v>
      </c>
    </row>
    <row r="884" spans="1:36" ht="15" customHeight="1" x14ac:dyDescent="0.25">
      <c r="A884" t="s">
        <v>1242</v>
      </c>
      <c r="B884" t="s">
        <v>37</v>
      </c>
      <c r="C884" t="s">
        <v>37</v>
      </c>
      <c r="D884" t="s">
        <v>38</v>
      </c>
      <c r="E884" s="4">
        <v>4</v>
      </c>
      <c r="F884" s="5">
        <v>965.64</v>
      </c>
      <c r="G884" s="5" t="s">
        <v>39</v>
      </c>
      <c r="H884" s="5">
        <v>1180.28</v>
      </c>
      <c r="I884" s="5" t="s">
        <v>39</v>
      </c>
      <c r="J884" s="5">
        <v>32.831760000000003</v>
      </c>
      <c r="K884" s="5">
        <f t="shared" si="39"/>
        <v>8.2079400000000007</v>
      </c>
      <c r="L884" s="5">
        <f t="shared" si="40"/>
        <v>241.41</v>
      </c>
      <c r="M884" s="5" t="s">
        <v>39</v>
      </c>
      <c r="N884" s="5">
        <v>32.831760000000003</v>
      </c>
      <c r="O884" s="5" t="s">
        <v>39</v>
      </c>
      <c r="P884" t="s">
        <v>63</v>
      </c>
      <c r="Q884" t="s">
        <v>1549</v>
      </c>
      <c r="R884" t="s">
        <v>37</v>
      </c>
      <c r="S884" t="s">
        <v>1550</v>
      </c>
      <c r="T884" t="s">
        <v>43</v>
      </c>
      <c r="U884" t="s">
        <v>44</v>
      </c>
      <c r="V884">
        <v>267</v>
      </c>
      <c r="W884" t="s">
        <v>151</v>
      </c>
      <c r="X884" t="s">
        <v>152</v>
      </c>
      <c r="Y884" t="s">
        <v>1551</v>
      </c>
      <c r="Z884" t="s">
        <v>37</v>
      </c>
      <c r="AA884" t="s">
        <v>95</v>
      </c>
      <c r="AB884" t="s">
        <v>37</v>
      </c>
      <c r="AC884" s="6" t="s">
        <v>37</v>
      </c>
      <c r="AD884" s="6" t="s">
        <v>37</v>
      </c>
      <c r="AE884" t="s">
        <v>37</v>
      </c>
      <c r="AF884" t="s">
        <v>37</v>
      </c>
      <c r="AG884" s="6" t="s">
        <v>37</v>
      </c>
      <c r="AH884" t="s">
        <v>37</v>
      </c>
      <c r="AI884" t="s">
        <v>37</v>
      </c>
      <c r="AJ884" t="str">
        <f t="shared" si="41"/>
        <v>7H9X1Z6SB07W5JKHPG</v>
      </c>
    </row>
    <row r="885" spans="1:36" ht="15" customHeight="1" x14ac:dyDescent="0.25">
      <c r="A885" t="s">
        <v>101</v>
      </c>
      <c r="B885" t="s">
        <v>37</v>
      </c>
      <c r="C885" t="s">
        <v>37</v>
      </c>
      <c r="D885" t="s">
        <v>38</v>
      </c>
      <c r="E885" s="4">
        <v>164</v>
      </c>
      <c r="F885" s="5">
        <v>13075.72</v>
      </c>
      <c r="G885" s="5" t="s">
        <v>39</v>
      </c>
      <c r="H885" s="5">
        <v>20150.68</v>
      </c>
      <c r="I885" s="5" t="s">
        <v>39</v>
      </c>
      <c r="J885" s="5">
        <v>444.57447999999999</v>
      </c>
      <c r="K885" s="5">
        <f t="shared" si="39"/>
        <v>2.71082</v>
      </c>
      <c r="L885" s="5">
        <f t="shared" si="40"/>
        <v>79.72999999999999</v>
      </c>
      <c r="M885" s="5" t="s">
        <v>39</v>
      </c>
      <c r="N885" s="5">
        <v>444.57447999999999</v>
      </c>
      <c r="O885" s="5" t="s">
        <v>39</v>
      </c>
      <c r="P885" t="s">
        <v>1415</v>
      </c>
      <c r="Q885" t="s">
        <v>1552</v>
      </c>
      <c r="R885" t="s">
        <v>37</v>
      </c>
      <c r="S885" t="s">
        <v>1553</v>
      </c>
      <c r="T885" t="s">
        <v>43</v>
      </c>
      <c r="U885" t="s">
        <v>44</v>
      </c>
      <c r="V885">
        <v>23</v>
      </c>
      <c r="W885" t="s">
        <v>281</v>
      </c>
      <c r="X885" t="s">
        <v>282</v>
      </c>
      <c r="Y885" t="s">
        <v>1554</v>
      </c>
      <c r="Z885" t="s">
        <v>37</v>
      </c>
      <c r="AA885" t="s">
        <v>95</v>
      </c>
      <c r="AB885" t="s">
        <v>37</v>
      </c>
      <c r="AC885" s="6" t="s">
        <v>37</v>
      </c>
      <c r="AD885" s="6" t="s">
        <v>37</v>
      </c>
      <c r="AE885" t="s">
        <v>37</v>
      </c>
      <c r="AF885" t="s">
        <v>37</v>
      </c>
      <c r="AG885" s="6" t="s">
        <v>37</v>
      </c>
      <c r="AH885" t="s">
        <v>37</v>
      </c>
      <c r="AI885" t="s">
        <v>37</v>
      </c>
      <c r="AJ885" t="str">
        <f t="shared" si="41"/>
        <v>2NHJ23TZB07G6CQQYG</v>
      </c>
    </row>
    <row r="886" spans="1:36" ht="15" customHeight="1" x14ac:dyDescent="0.25">
      <c r="A886" t="s">
        <v>96</v>
      </c>
      <c r="B886" t="s">
        <v>37</v>
      </c>
      <c r="C886" t="s">
        <v>37</v>
      </c>
      <c r="D886" t="s">
        <v>38</v>
      </c>
      <c r="E886" s="4">
        <v>4</v>
      </c>
      <c r="F886" s="5">
        <v>293.36</v>
      </c>
      <c r="G886" s="5" t="s">
        <v>39</v>
      </c>
      <c r="H886" s="5">
        <v>475.4</v>
      </c>
      <c r="I886" s="5" t="s">
        <v>39</v>
      </c>
      <c r="J886" s="5">
        <v>9.97424</v>
      </c>
      <c r="K886" s="5">
        <f t="shared" si="39"/>
        <v>2.49356</v>
      </c>
      <c r="L886" s="5">
        <f t="shared" si="40"/>
        <v>73.34</v>
      </c>
      <c r="M886" s="5" t="s">
        <v>39</v>
      </c>
      <c r="N886" s="5">
        <v>9.97424</v>
      </c>
      <c r="O886" s="5" t="s">
        <v>39</v>
      </c>
      <c r="P886" t="s">
        <v>148</v>
      </c>
      <c r="Q886" t="s">
        <v>1555</v>
      </c>
      <c r="R886" t="s">
        <v>37</v>
      </c>
      <c r="S886" t="s">
        <v>1556</v>
      </c>
      <c r="T886" t="s">
        <v>43</v>
      </c>
      <c r="U886" t="s">
        <v>44</v>
      </c>
      <c r="V886">
        <v>147</v>
      </c>
      <c r="W886" t="s">
        <v>45</v>
      </c>
      <c r="X886" t="s">
        <v>46</v>
      </c>
      <c r="Y886" t="s">
        <v>1557</v>
      </c>
      <c r="Z886" t="s">
        <v>37</v>
      </c>
      <c r="AA886" t="s">
        <v>95</v>
      </c>
      <c r="AB886" t="s">
        <v>37</v>
      </c>
      <c r="AC886" s="6" t="s">
        <v>37</v>
      </c>
      <c r="AD886" s="6" t="s">
        <v>37</v>
      </c>
      <c r="AE886" t="s">
        <v>37</v>
      </c>
      <c r="AF886" t="s">
        <v>37</v>
      </c>
      <c r="AG886" s="6" t="s">
        <v>37</v>
      </c>
      <c r="AH886" t="s">
        <v>37</v>
      </c>
      <c r="AI886" t="s">
        <v>37</v>
      </c>
      <c r="AJ886" t="str">
        <f t="shared" si="41"/>
        <v>5FPQ9KSZB07W6FQ659</v>
      </c>
    </row>
    <row r="887" spans="1:36" ht="15" customHeight="1" x14ac:dyDescent="0.25">
      <c r="A887" t="s">
        <v>49</v>
      </c>
      <c r="B887" t="s">
        <v>37</v>
      </c>
      <c r="C887" t="s">
        <v>37</v>
      </c>
      <c r="D887" t="s">
        <v>38</v>
      </c>
      <c r="E887" s="4">
        <v>8</v>
      </c>
      <c r="F887" s="5">
        <v>164</v>
      </c>
      <c r="G887" s="5" t="s">
        <v>39</v>
      </c>
      <c r="H887" s="5">
        <v>327.52</v>
      </c>
      <c r="I887" s="5" t="s">
        <v>39</v>
      </c>
      <c r="J887" s="5">
        <v>5.5759999999999996</v>
      </c>
      <c r="K887" s="5">
        <f t="shared" si="39"/>
        <v>0.69699999999999995</v>
      </c>
      <c r="L887" s="5">
        <f t="shared" si="40"/>
        <v>20.5</v>
      </c>
      <c r="M887" s="5" t="s">
        <v>39</v>
      </c>
      <c r="N887" s="5">
        <v>5.5759999999999996</v>
      </c>
      <c r="O887" s="5" t="s">
        <v>39</v>
      </c>
      <c r="P887" t="s">
        <v>148</v>
      </c>
      <c r="Q887" t="s">
        <v>129</v>
      </c>
      <c r="R887" t="s">
        <v>130</v>
      </c>
      <c r="S887" t="s">
        <v>131</v>
      </c>
      <c r="T887" t="s">
        <v>43</v>
      </c>
      <c r="U887" t="s">
        <v>44</v>
      </c>
      <c r="V887">
        <v>147</v>
      </c>
      <c r="W887" t="s">
        <v>45</v>
      </c>
      <c r="X887" t="s">
        <v>60</v>
      </c>
      <c r="Y887" t="s">
        <v>132</v>
      </c>
      <c r="Z887" t="s">
        <v>37</v>
      </c>
      <c r="AA887" t="s">
        <v>95</v>
      </c>
      <c r="AB887" t="s">
        <v>37</v>
      </c>
      <c r="AC887" s="6" t="s">
        <v>37</v>
      </c>
      <c r="AD887" s="6" t="s">
        <v>37</v>
      </c>
      <c r="AE887" t="s">
        <v>37</v>
      </c>
      <c r="AF887" t="s">
        <v>37</v>
      </c>
      <c r="AG887" s="6" t="s">
        <v>37</v>
      </c>
      <c r="AH887" t="s">
        <v>37</v>
      </c>
      <c r="AI887" t="s">
        <v>37</v>
      </c>
      <c r="AJ887" t="str">
        <f t="shared" si="41"/>
        <v>5FPQ9KSZB002L3TSLQ</v>
      </c>
    </row>
    <row r="888" spans="1:36" ht="15" customHeight="1" x14ac:dyDescent="0.25">
      <c r="A888" t="s">
        <v>96</v>
      </c>
      <c r="B888" t="s">
        <v>37</v>
      </c>
      <c r="C888" t="s">
        <v>37</v>
      </c>
      <c r="D888" t="s">
        <v>38</v>
      </c>
      <c r="E888" s="4">
        <v>184</v>
      </c>
      <c r="F888" s="5">
        <v>3772</v>
      </c>
      <c r="G888" s="5" t="s">
        <v>39</v>
      </c>
      <c r="H888" s="5">
        <v>7532.96</v>
      </c>
      <c r="I888" s="5" t="s">
        <v>39</v>
      </c>
      <c r="J888" s="5">
        <v>128.24799999999999</v>
      </c>
      <c r="K888" s="5">
        <f t="shared" si="39"/>
        <v>0.69699999999999995</v>
      </c>
      <c r="L888" s="5">
        <f t="shared" si="40"/>
        <v>20.5</v>
      </c>
      <c r="M888" s="5" t="s">
        <v>39</v>
      </c>
      <c r="N888" s="5">
        <v>128.24799999999999</v>
      </c>
      <c r="O888" s="5" t="s">
        <v>39</v>
      </c>
      <c r="P888" t="s">
        <v>148</v>
      </c>
      <c r="Q888" t="s">
        <v>129</v>
      </c>
      <c r="R888" t="s">
        <v>130</v>
      </c>
      <c r="S888" t="s">
        <v>131</v>
      </c>
      <c r="T888" t="s">
        <v>43</v>
      </c>
      <c r="U888" t="s">
        <v>44</v>
      </c>
      <c r="V888">
        <v>147</v>
      </c>
      <c r="W888" t="s">
        <v>45</v>
      </c>
      <c r="X888" t="s">
        <v>60</v>
      </c>
      <c r="Y888" t="s">
        <v>132</v>
      </c>
      <c r="Z888" t="s">
        <v>37</v>
      </c>
      <c r="AA888" t="s">
        <v>95</v>
      </c>
      <c r="AB888" t="s">
        <v>37</v>
      </c>
      <c r="AC888" s="6" t="s">
        <v>37</v>
      </c>
      <c r="AD888" s="6" t="s">
        <v>37</v>
      </c>
      <c r="AE888" t="s">
        <v>37</v>
      </c>
      <c r="AF888" t="s">
        <v>37</v>
      </c>
      <c r="AG888" s="6" t="s">
        <v>37</v>
      </c>
      <c r="AH888" t="s">
        <v>37</v>
      </c>
      <c r="AI888" t="s">
        <v>37</v>
      </c>
      <c r="AJ888" t="str">
        <f t="shared" si="41"/>
        <v>5FPQ9KSZB002L3TSLQ</v>
      </c>
    </row>
    <row r="889" spans="1:36" ht="15" customHeight="1" x14ac:dyDescent="0.25">
      <c r="A889" t="s">
        <v>36</v>
      </c>
      <c r="B889" t="s">
        <v>37</v>
      </c>
      <c r="C889" t="s">
        <v>37</v>
      </c>
      <c r="D889" t="s">
        <v>38</v>
      </c>
      <c r="E889" s="4">
        <v>148</v>
      </c>
      <c r="F889" s="5">
        <v>11635.76</v>
      </c>
      <c r="G889" s="5" t="s">
        <v>39</v>
      </c>
      <c r="H889" s="5">
        <v>18801.919999999998</v>
      </c>
      <c r="I889" s="5" t="s">
        <v>39</v>
      </c>
      <c r="J889" s="5">
        <v>395.61583999999999</v>
      </c>
      <c r="K889" s="5">
        <f t="shared" si="39"/>
        <v>2.6730800000000001</v>
      </c>
      <c r="L889" s="5">
        <f t="shared" si="40"/>
        <v>78.62</v>
      </c>
      <c r="M889" s="5" t="s">
        <v>39</v>
      </c>
      <c r="N889" s="5">
        <v>395.61583999999999</v>
      </c>
      <c r="O889" s="5" t="s">
        <v>39</v>
      </c>
      <c r="P889" t="s">
        <v>133</v>
      </c>
      <c r="Q889" t="s">
        <v>528</v>
      </c>
      <c r="R889" t="s">
        <v>37</v>
      </c>
      <c r="S889" t="s">
        <v>529</v>
      </c>
      <c r="T889" t="s">
        <v>43</v>
      </c>
      <c r="U889" t="s">
        <v>44</v>
      </c>
      <c r="V889">
        <v>147</v>
      </c>
      <c r="W889" t="s">
        <v>45</v>
      </c>
      <c r="X889" t="s">
        <v>46</v>
      </c>
      <c r="Y889" t="s">
        <v>530</v>
      </c>
      <c r="Z889" t="s">
        <v>37</v>
      </c>
      <c r="AA889" t="s">
        <v>48</v>
      </c>
      <c r="AB889" t="s">
        <v>37</v>
      </c>
      <c r="AC889" s="6" t="s">
        <v>37</v>
      </c>
      <c r="AD889" s="6" t="s">
        <v>37</v>
      </c>
      <c r="AE889" t="s">
        <v>37</v>
      </c>
      <c r="AF889" t="s">
        <v>37</v>
      </c>
      <c r="AG889" s="6" t="s">
        <v>37</v>
      </c>
      <c r="AH889" t="s">
        <v>37</v>
      </c>
      <c r="AI889" t="s">
        <v>37</v>
      </c>
      <c r="AJ889" t="str">
        <f t="shared" si="41"/>
        <v>36BT7GGLB01MYW8COY</v>
      </c>
    </row>
    <row r="890" spans="1:36" ht="15" customHeight="1" x14ac:dyDescent="0.25">
      <c r="A890" t="s">
        <v>96</v>
      </c>
      <c r="B890" t="s">
        <v>37</v>
      </c>
      <c r="C890" t="s">
        <v>37</v>
      </c>
      <c r="D890" t="s">
        <v>38</v>
      </c>
      <c r="E890" s="4">
        <v>4</v>
      </c>
      <c r="F890" s="5">
        <v>3056.36</v>
      </c>
      <c r="G890" s="5" t="s">
        <v>39</v>
      </c>
      <c r="H890" s="5">
        <v>3767.2</v>
      </c>
      <c r="I890" s="5" t="s">
        <v>39</v>
      </c>
      <c r="J890" s="5">
        <v>103.91624</v>
      </c>
      <c r="K890" s="5">
        <f t="shared" si="39"/>
        <v>25.97906</v>
      </c>
      <c r="L890" s="5">
        <f t="shared" si="40"/>
        <v>764.09</v>
      </c>
      <c r="M890" s="5" t="s">
        <v>39</v>
      </c>
      <c r="N890" s="5">
        <v>103.91624</v>
      </c>
      <c r="O890" s="5" t="s">
        <v>39</v>
      </c>
      <c r="P890" t="s">
        <v>195</v>
      </c>
      <c r="Q890" t="s">
        <v>1338</v>
      </c>
      <c r="R890" t="s">
        <v>37</v>
      </c>
      <c r="S890" t="s">
        <v>1339</v>
      </c>
      <c r="T890" t="s">
        <v>43</v>
      </c>
      <c r="U890" t="s">
        <v>44</v>
      </c>
      <c r="V890">
        <v>147</v>
      </c>
      <c r="W890" t="s">
        <v>45</v>
      </c>
      <c r="X890" t="s">
        <v>239</v>
      </c>
      <c r="Y890" t="s">
        <v>1340</v>
      </c>
      <c r="Z890" t="s">
        <v>37</v>
      </c>
      <c r="AA890" t="s">
        <v>55</v>
      </c>
      <c r="AB890" t="s">
        <v>37</v>
      </c>
      <c r="AC890" s="6" t="s">
        <v>37</v>
      </c>
      <c r="AD890" s="6" t="s">
        <v>37</v>
      </c>
      <c r="AE890" t="s">
        <v>37</v>
      </c>
      <c r="AF890" t="s">
        <v>37</v>
      </c>
      <c r="AG890" s="6" t="s">
        <v>37</v>
      </c>
      <c r="AH890" t="s">
        <v>37</v>
      </c>
      <c r="AI890" t="s">
        <v>37</v>
      </c>
      <c r="AJ890" t="str">
        <f t="shared" si="41"/>
        <v>5X1OU9ZGB07W4DGQC1</v>
      </c>
    </row>
    <row r="891" spans="1:36" ht="15" customHeight="1" x14ac:dyDescent="0.25">
      <c r="A891" t="s">
        <v>76</v>
      </c>
      <c r="B891" t="s">
        <v>37</v>
      </c>
      <c r="C891" t="s">
        <v>37</v>
      </c>
      <c r="D891" t="s">
        <v>38</v>
      </c>
      <c r="E891" s="4">
        <v>120</v>
      </c>
      <c r="F891" s="5">
        <v>6612</v>
      </c>
      <c r="G891" s="5" t="s">
        <v>39</v>
      </c>
      <c r="H891" s="5">
        <v>7868.4</v>
      </c>
      <c r="I891" s="5" t="s">
        <v>39</v>
      </c>
      <c r="J891" s="5">
        <v>224.80799999999999</v>
      </c>
      <c r="K891" s="5">
        <f t="shared" si="39"/>
        <v>1.8734</v>
      </c>
      <c r="L891" s="5">
        <f t="shared" si="40"/>
        <v>55.1</v>
      </c>
      <c r="M891" s="5" t="s">
        <v>39</v>
      </c>
      <c r="N891" s="5">
        <v>224.80799999999999</v>
      </c>
      <c r="O891" s="5" t="s">
        <v>39</v>
      </c>
      <c r="P891" t="s">
        <v>274</v>
      </c>
      <c r="Q891" t="s">
        <v>1506</v>
      </c>
      <c r="R891" t="s">
        <v>37</v>
      </c>
      <c r="S891" t="s">
        <v>1507</v>
      </c>
      <c r="T891" t="s">
        <v>43</v>
      </c>
      <c r="U891" t="s">
        <v>44</v>
      </c>
      <c r="V891">
        <v>147</v>
      </c>
      <c r="W891" t="s">
        <v>1508</v>
      </c>
      <c r="X891" t="s">
        <v>1509</v>
      </c>
      <c r="Y891" t="s">
        <v>1510</v>
      </c>
      <c r="Z891" t="s">
        <v>37</v>
      </c>
      <c r="AA891" t="s">
        <v>55</v>
      </c>
      <c r="AB891" t="s">
        <v>37</v>
      </c>
      <c r="AC891" s="6" t="s">
        <v>37</v>
      </c>
      <c r="AD891" s="6" t="s">
        <v>37</v>
      </c>
      <c r="AE891" t="s">
        <v>37</v>
      </c>
      <c r="AF891" t="s">
        <v>37</v>
      </c>
      <c r="AG891" s="6" t="s">
        <v>37</v>
      </c>
      <c r="AH891" t="s">
        <v>37</v>
      </c>
      <c r="AI891" t="s">
        <v>37</v>
      </c>
      <c r="AJ891" t="str">
        <f t="shared" si="41"/>
        <v>4LYATDUXB07W7L3HJP</v>
      </c>
    </row>
    <row r="892" spans="1:36" ht="15" customHeight="1" x14ac:dyDescent="0.25">
      <c r="A892" t="s">
        <v>101</v>
      </c>
      <c r="B892" t="s">
        <v>37</v>
      </c>
      <c r="C892" t="s">
        <v>37</v>
      </c>
      <c r="D892" t="s">
        <v>38</v>
      </c>
      <c r="E892" s="4">
        <v>16</v>
      </c>
      <c r="F892" s="5">
        <v>1257.92</v>
      </c>
      <c r="G892" s="5" t="s">
        <v>39</v>
      </c>
      <c r="H892" s="5">
        <v>2032.64</v>
      </c>
      <c r="I892" s="5" t="s">
        <v>39</v>
      </c>
      <c r="J892" s="5">
        <v>42.769280000000002</v>
      </c>
      <c r="K892" s="5">
        <f t="shared" si="39"/>
        <v>2.6730800000000001</v>
      </c>
      <c r="L892" s="5">
        <f t="shared" si="40"/>
        <v>78.62</v>
      </c>
      <c r="M892" s="5" t="s">
        <v>39</v>
      </c>
      <c r="N892" s="5">
        <v>42.769280000000002</v>
      </c>
      <c r="O892" s="5" t="s">
        <v>39</v>
      </c>
      <c r="P892" t="s">
        <v>102</v>
      </c>
      <c r="Q892" t="s">
        <v>528</v>
      </c>
      <c r="R892" t="s">
        <v>37</v>
      </c>
      <c r="S892" t="s">
        <v>529</v>
      </c>
      <c r="T892" t="s">
        <v>43</v>
      </c>
      <c r="U892" t="s">
        <v>44</v>
      </c>
      <c r="V892">
        <v>147</v>
      </c>
      <c r="W892" t="s">
        <v>45</v>
      </c>
      <c r="X892" t="s">
        <v>46</v>
      </c>
      <c r="Y892" t="s">
        <v>530</v>
      </c>
      <c r="Z892" t="s">
        <v>37</v>
      </c>
      <c r="AA892" t="s">
        <v>48</v>
      </c>
      <c r="AB892" t="s">
        <v>37</v>
      </c>
      <c r="AC892" s="6" t="s">
        <v>37</v>
      </c>
      <c r="AD892" s="6" t="s">
        <v>37</v>
      </c>
      <c r="AE892" t="s">
        <v>37</v>
      </c>
      <c r="AF892" t="s">
        <v>37</v>
      </c>
      <c r="AG892" s="6" t="s">
        <v>37</v>
      </c>
      <c r="AH892" t="s">
        <v>37</v>
      </c>
      <c r="AI892" t="s">
        <v>37</v>
      </c>
      <c r="AJ892" t="str">
        <f t="shared" si="41"/>
        <v>2M7QFTCOB01MYW8COY</v>
      </c>
    </row>
    <row r="893" spans="1:36" ht="15" customHeight="1" x14ac:dyDescent="0.25">
      <c r="A893" t="s">
        <v>36</v>
      </c>
      <c r="B893" t="s">
        <v>37</v>
      </c>
      <c r="C893" t="s">
        <v>37</v>
      </c>
      <c r="D893" t="s">
        <v>38</v>
      </c>
      <c r="E893" s="4">
        <v>27</v>
      </c>
      <c r="F893" s="5">
        <v>3116.88</v>
      </c>
      <c r="G893" s="5" t="s">
        <v>39</v>
      </c>
      <c r="H893" s="5">
        <v>3961.44</v>
      </c>
      <c r="I893" s="5" t="s">
        <v>39</v>
      </c>
      <c r="J893" s="5">
        <v>105.97392000000001</v>
      </c>
      <c r="K893" s="5">
        <f t="shared" si="39"/>
        <v>3.9249600000000004</v>
      </c>
      <c r="L893" s="5">
        <f t="shared" si="40"/>
        <v>115.44</v>
      </c>
      <c r="M893" s="5" t="s">
        <v>39</v>
      </c>
      <c r="N893" s="5">
        <v>105.97392000000001</v>
      </c>
      <c r="O893" s="5" t="s">
        <v>39</v>
      </c>
      <c r="P893" t="s">
        <v>40</v>
      </c>
      <c r="Q893" t="s">
        <v>480</v>
      </c>
      <c r="R893" t="s">
        <v>481</v>
      </c>
      <c r="S893" t="s">
        <v>482</v>
      </c>
      <c r="T893" t="s">
        <v>43</v>
      </c>
      <c r="U893" t="s">
        <v>44</v>
      </c>
      <c r="V893">
        <v>147</v>
      </c>
      <c r="W893" t="s">
        <v>45</v>
      </c>
      <c r="X893" t="s">
        <v>389</v>
      </c>
      <c r="Y893" t="s">
        <v>483</v>
      </c>
      <c r="Z893" t="s">
        <v>37</v>
      </c>
      <c r="AA893" t="s">
        <v>95</v>
      </c>
      <c r="AB893" t="s">
        <v>37</v>
      </c>
      <c r="AC893" s="6" t="s">
        <v>37</v>
      </c>
      <c r="AD893" s="6" t="s">
        <v>37</v>
      </c>
      <c r="AE893" t="s">
        <v>37</v>
      </c>
      <c r="AF893" t="s">
        <v>37</v>
      </c>
      <c r="AG893" s="6" t="s">
        <v>37</v>
      </c>
      <c r="AH893" t="s">
        <v>37</v>
      </c>
      <c r="AI893" t="s">
        <v>37</v>
      </c>
      <c r="AJ893" t="str">
        <f t="shared" si="41"/>
        <v>4A3KDTEZB003UPJXIC</v>
      </c>
    </row>
    <row r="894" spans="1:36" ht="15" customHeight="1" x14ac:dyDescent="0.25">
      <c r="A894" t="s">
        <v>1242</v>
      </c>
      <c r="B894" t="s">
        <v>37</v>
      </c>
      <c r="C894" t="s">
        <v>37</v>
      </c>
      <c r="D894" t="s">
        <v>38</v>
      </c>
      <c r="E894" s="4">
        <v>0</v>
      </c>
      <c r="F894" s="5">
        <v>0</v>
      </c>
      <c r="G894" s="5" t="s">
        <v>39</v>
      </c>
      <c r="H894" s="5">
        <v>0</v>
      </c>
      <c r="I894" s="5" t="s">
        <v>39</v>
      </c>
      <c r="J894" s="5">
        <v>0</v>
      </c>
      <c r="K894" s="5" t="e">
        <f t="shared" si="39"/>
        <v>#DIV/0!</v>
      </c>
      <c r="L894" s="5" t="e">
        <f t="shared" si="40"/>
        <v>#DIV/0!</v>
      </c>
      <c r="M894" s="5" t="s">
        <v>39</v>
      </c>
      <c r="N894" s="5">
        <v>0</v>
      </c>
      <c r="O894" s="5" t="s">
        <v>39</v>
      </c>
      <c r="P894" t="s">
        <v>1415</v>
      </c>
      <c r="Q894" t="s">
        <v>1552</v>
      </c>
      <c r="R894" t="s">
        <v>37</v>
      </c>
      <c r="S894" t="s">
        <v>1553</v>
      </c>
      <c r="T894" t="s">
        <v>43</v>
      </c>
      <c r="U894" t="s">
        <v>44</v>
      </c>
      <c r="V894">
        <v>23</v>
      </c>
      <c r="W894" t="s">
        <v>281</v>
      </c>
      <c r="X894" t="s">
        <v>282</v>
      </c>
      <c r="Y894" t="s">
        <v>1554</v>
      </c>
      <c r="Z894" t="s">
        <v>37</v>
      </c>
      <c r="AA894" t="s">
        <v>95</v>
      </c>
      <c r="AB894" t="s">
        <v>37</v>
      </c>
      <c r="AC894" s="6" t="s">
        <v>37</v>
      </c>
      <c r="AD894" s="6" t="s">
        <v>37</v>
      </c>
      <c r="AE894" t="s">
        <v>37</v>
      </c>
      <c r="AF894" t="s">
        <v>37</v>
      </c>
      <c r="AG894" s="6" t="s">
        <v>37</v>
      </c>
      <c r="AH894" t="s">
        <v>37</v>
      </c>
      <c r="AI894" t="s">
        <v>37</v>
      </c>
      <c r="AJ894" t="str">
        <f t="shared" si="41"/>
        <v>2NHJ23TZB07G6CQQYG</v>
      </c>
    </row>
    <row r="895" spans="1:36" ht="15" customHeight="1" x14ac:dyDescent="0.25">
      <c r="A895" t="s">
        <v>62</v>
      </c>
      <c r="B895" t="s">
        <v>37</v>
      </c>
      <c r="C895" t="s">
        <v>37</v>
      </c>
      <c r="D895" t="s">
        <v>38</v>
      </c>
      <c r="E895" s="4">
        <v>24</v>
      </c>
      <c r="F895" s="5">
        <v>2505.84</v>
      </c>
      <c r="G895" s="5" t="s">
        <v>39</v>
      </c>
      <c r="H895" s="5">
        <v>3718.08</v>
      </c>
      <c r="I895" s="5" t="s">
        <v>39</v>
      </c>
      <c r="J895" s="5">
        <v>85.198560000000001</v>
      </c>
      <c r="K895" s="5">
        <f t="shared" si="39"/>
        <v>3.5499399999999999</v>
      </c>
      <c r="L895" s="5">
        <f t="shared" si="40"/>
        <v>104.41000000000001</v>
      </c>
      <c r="M895" s="5" t="s">
        <v>39</v>
      </c>
      <c r="N895" s="5">
        <v>85.198560000000001</v>
      </c>
      <c r="O895" s="5" t="s">
        <v>39</v>
      </c>
      <c r="P895" t="s">
        <v>177</v>
      </c>
      <c r="Q895" t="s">
        <v>712</v>
      </c>
      <c r="R895" t="s">
        <v>37</v>
      </c>
      <c r="S895" t="s">
        <v>713</v>
      </c>
      <c r="T895" t="s">
        <v>43</v>
      </c>
      <c r="U895" t="s">
        <v>44</v>
      </c>
      <c r="V895">
        <v>147</v>
      </c>
      <c r="W895" t="s">
        <v>45</v>
      </c>
      <c r="X895" t="s">
        <v>60</v>
      </c>
      <c r="Y895" t="s">
        <v>714</v>
      </c>
      <c r="Z895" t="s">
        <v>37</v>
      </c>
      <c r="AA895" t="s">
        <v>55</v>
      </c>
      <c r="AB895" t="s">
        <v>37</v>
      </c>
      <c r="AC895" s="6" t="s">
        <v>37</v>
      </c>
      <c r="AD895" s="6" t="s">
        <v>37</v>
      </c>
      <c r="AE895" t="s">
        <v>37</v>
      </c>
      <c r="AF895" t="s">
        <v>37</v>
      </c>
      <c r="AG895" s="6" t="s">
        <v>37</v>
      </c>
      <c r="AH895" t="s">
        <v>37</v>
      </c>
      <c r="AI895" t="s">
        <v>37</v>
      </c>
      <c r="AJ895" t="str">
        <f t="shared" si="41"/>
        <v>4F3XMHTVB07W6J3W3B</v>
      </c>
    </row>
    <row r="896" spans="1:36" ht="15" customHeight="1" x14ac:dyDescent="0.25">
      <c r="A896" t="s">
        <v>76</v>
      </c>
      <c r="B896" t="s">
        <v>37</v>
      </c>
      <c r="C896" t="s">
        <v>37</v>
      </c>
      <c r="D896" t="s">
        <v>38</v>
      </c>
      <c r="E896" s="4">
        <v>312</v>
      </c>
      <c r="F896" s="5">
        <v>12667.2</v>
      </c>
      <c r="G896" s="5" t="s">
        <v>39</v>
      </c>
      <c r="H896" s="5">
        <v>18411.12</v>
      </c>
      <c r="I896" s="5" t="s">
        <v>39</v>
      </c>
      <c r="J896" s="5">
        <v>430.6848</v>
      </c>
      <c r="K896" s="5">
        <f t="shared" si="39"/>
        <v>1.3804000000000001</v>
      </c>
      <c r="L896" s="5">
        <f t="shared" si="40"/>
        <v>40.6</v>
      </c>
      <c r="M896" s="5" t="s">
        <v>39</v>
      </c>
      <c r="N896" s="5">
        <v>430.6848</v>
      </c>
      <c r="O896" s="5" t="s">
        <v>39</v>
      </c>
      <c r="P896" t="s">
        <v>968</v>
      </c>
      <c r="Q896" t="s">
        <v>1099</v>
      </c>
      <c r="R896" t="s">
        <v>37</v>
      </c>
      <c r="S896" t="s">
        <v>1100</v>
      </c>
      <c r="T896" t="s">
        <v>43</v>
      </c>
      <c r="U896" t="s">
        <v>44</v>
      </c>
      <c r="V896">
        <v>147</v>
      </c>
      <c r="W896" t="s">
        <v>45</v>
      </c>
      <c r="X896" t="s">
        <v>60</v>
      </c>
      <c r="Y896" t="s">
        <v>1101</v>
      </c>
      <c r="Z896" t="s">
        <v>37</v>
      </c>
      <c r="AA896" t="s">
        <v>48</v>
      </c>
      <c r="AB896" t="s">
        <v>37</v>
      </c>
      <c r="AC896" s="6" t="s">
        <v>37</v>
      </c>
      <c r="AD896" s="6" t="s">
        <v>37</v>
      </c>
      <c r="AE896" t="s">
        <v>37</v>
      </c>
      <c r="AF896" t="s">
        <v>37</v>
      </c>
      <c r="AG896" s="6" t="s">
        <v>37</v>
      </c>
      <c r="AH896" t="s">
        <v>37</v>
      </c>
      <c r="AI896" t="s">
        <v>37</v>
      </c>
      <c r="AJ896" t="str">
        <f t="shared" si="41"/>
        <v>7LA8DZCZB00O8K42LQ</v>
      </c>
    </row>
    <row r="897" spans="1:36" ht="15" customHeight="1" x14ac:dyDescent="0.25">
      <c r="A897" t="s">
        <v>36</v>
      </c>
      <c r="B897" t="s">
        <v>37</v>
      </c>
      <c r="C897" t="s">
        <v>37</v>
      </c>
      <c r="D897" t="s">
        <v>38</v>
      </c>
      <c r="E897" s="4">
        <v>8</v>
      </c>
      <c r="F897" s="5">
        <v>234.24</v>
      </c>
      <c r="G897" s="5" t="s">
        <v>39</v>
      </c>
      <c r="H897" s="5">
        <v>340.88</v>
      </c>
      <c r="I897" s="5" t="s">
        <v>39</v>
      </c>
      <c r="J897" s="5">
        <v>7.9641599999999997</v>
      </c>
      <c r="K897" s="5">
        <f t="shared" si="39"/>
        <v>0.99551999999999996</v>
      </c>
      <c r="L897" s="5">
        <f t="shared" si="40"/>
        <v>29.28</v>
      </c>
      <c r="M897" s="5" t="s">
        <v>39</v>
      </c>
      <c r="N897" s="5">
        <v>7.9641599999999997</v>
      </c>
      <c r="O897" s="5" t="s">
        <v>39</v>
      </c>
      <c r="P897" t="s">
        <v>119</v>
      </c>
      <c r="Q897" t="s">
        <v>1037</v>
      </c>
      <c r="R897" t="s">
        <v>37</v>
      </c>
      <c r="S897" t="s">
        <v>1038</v>
      </c>
      <c r="T897" t="s">
        <v>43</v>
      </c>
      <c r="U897" t="s">
        <v>44</v>
      </c>
      <c r="V897">
        <v>147</v>
      </c>
      <c r="W897" t="s">
        <v>45</v>
      </c>
      <c r="X897" t="s">
        <v>1039</v>
      </c>
      <c r="Y897" t="s">
        <v>1040</v>
      </c>
      <c r="Z897" t="s">
        <v>37</v>
      </c>
      <c r="AA897" t="s">
        <v>55</v>
      </c>
      <c r="AB897" t="s">
        <v>37</v>
      </c>
      <c r="AC897" s="6" t="s">
        <v>37</v>
      </c>
      <c r="AD897" s="6" t="s">
        <v>37</v>
      </c>
      <c r="AE897" t="s">
        <v>37</v>
      </c>
      <c r="AF897" t="s">
        <v>37</v>
      </c>
      <c r="AG897" s="6" t="s">
        <v>37</v>
      </c>
      <c r="AH897" t="s">
        <v>37</v>
      </c>
      <c r="AI897" t="s">
        <v>37</v>
      </c>
      <c r="AJ897" t="str">
        <f t="shared" si="41"/>
        <v>31DJDC7QB07W4DG827</v>
      </c>
    </row>
    <row r="898" spans="1:36" ht="15" customHeight="1" x14ac:dyDescent="0.25">
      <c r="A898" t="s">
        <v>96</v>
      </c>
      <c r="B898" t="s">
        <v>37</v>
      </c>
      <c r="C898" t="s">
        <v>37</v>
      </c>
      <c r="D898" t="s">
        <v>38</v>
      </c>
      <c r="E898" s="4">
        <v>4</v>
      </c>
      <c r="F898" s="5">
        <v>93.68</v>
      </c>
      <c r="G898" s="5" t="s">
        <v>39</v>
      </c>
      <c r="H898" s="5">
        <v>93.68</v>
      </c>
      <c r="I898" s="5" t="s">
        <v>39</v>
      </c>
      <c r="J898" s="5">
        <v>3.18512</v>
      </c>
      <c r="K898" s="5">
        <f t="shared" si="39"/>
        <v>0.79627999999999999</v>
      </c>
      <c r="L898" s="5">
        <f t="shared" si="40"/>
        <v>23.42</v>
      </c>
      <c r="M898" s="5" t="s">
        <v>39</v>
      </c>
      <c r="N898" s="5">
        <v>3.18512</v>
      </c>
      <c r="O898" s="5" t="s">
        <v>39</v>
      </c>
      <c r="P898" t="s">
        <v>195</v>
      </c>
      <c r="Q898" t="s">
        <v>1531</v>
      </c>
      <c r="R898" t="s">
        <v>37</v>
      </c>
      <c r="S898" t="s">
        <v>1532</v>
      </c>
      <c r="T898" t="s">
        <v>43</v>
      </c>
      <c r="U898" t="s">
        <v>44</v>
      </c>
      <c r="V898">
        <v>147</v>
      </c>
      <c r="W898" t="s">
        <v>45</v>
      </c>
      <c r="X898" t="s">
        <v>60</v>
      </c>
      <c r="Y898" t="s">
        <v>1533</v>
      </c>
      <c r="Z898" t="s">
        <v>37</v>
      </c>
      <c r="AA898" t="s">
        <v>55</v>
      </c>
      <c r="AB898" t="s">
        <v>37</v>
      </c>
      <c r="AC898" s="6" t="s">
        <v>37</v>
      </c>
      <c r="AD898" s="6" t="s">
        <v>37</v>
      </c>
      <c r="AE898" t="s">
        <v>37</v>
      </c>
      <c r="AF898" t="s">
        <v>37</v>
      </c>
      <c r="AG898" s="6" t="s">
        <v>37</v>
      </c>
      <c r="AH898" t="s">
        <v>37</v>
      </c>
      <c r="AI898" t="s">
        <v>37</v>
      </c>
      <c r="AJ898" t="str">
        <f t="shared" si="41"/>
        <v>5X1OU9ZGB006T02YRM</v>
      </c>
    </row>
    <row r="899" spans="1:36" ht="15" customHeight="1" x14ac:dyDescent="0.25">
      <c r="A899" t="s">
        <v>504</v>
      </c>
      <c r="B899" t="s">
        <v>37</v>
      </c>
      <c r="C899" t="s">
        <v>37</v>
      </c>
      <c r="D899" t="s">
        <v>38</v>
      </c>
      <c r="E899" s="4">
        <v>0</v>
      </c>
      <c r="F899" s="5">
        <v>0</v>
      </c>
      <c r="G899" s="5" t="s">
        <v>39</v>
      </c>
      <c r="H899" s="5">
        <v>0</v>
      </c>
      <c r="I899" s="5" t="s">
        <v>39</v>
      </c>
      <c r="J899" s="5">
        <v>0</v>
      </c>
      <c r="K899" s="5" t="e">
        <f t="shared" ref="K899:K962" si="42">J899/E899</f>
        <v>#DIV/0!</v>
      </c>
      <c r="L899" s="5" t="e">
        <f t="shared" ref="L899:L962" si="43">F899/E899</f>
        <v>#DIV/0!</v>
      </c>
      <c r="M899" s="5" t="s">
        <v>39</v>
      </c>
      <c r="N899" s="5">
        <v>0</v>
      </c>
      <c r="O899" s="5" t="s">
        <v>39</v>
      </c>
      <c r="P899" t="s">
        <v>1558</v>
      </c>
      <c r="Q899" t="s">
        <v>1269</v>
      </c>
      <c r="R899" t="s">
        <v>1270</v>
      </c>
      <c r="S899" t="s">
        <v>1271</v>
      </c>
      <c r="T899" t="s">
        <v>43</v>
      </c>
      <c r="U899" t="s">
        <v>44</v>
      </c>
      <c r="V899">
        <v>147</v>
      </c>
      <c r="W899" t="s">
        <v>45</v>
      </c>
      <c r="X899" t="s">
        <v>239</v>
      </c>
      <c r="Y899" t="s">
        <v>1272</v>
      </c>
      <c r="Z899" t="s">
        <v>37</v>
      </c>
      <c r="AA899" t="s">
        <v>48</v>
      </c>
      <c r="AB899" t="s">
        <v>37</v>
      </c>
      <c r="AC899" s="6" t="s">
        <v>37</v>
      </c>
      <c r="AD899" s="6" t="s">
        <v>37</v>
      </c>
      <c r="AE899" t="s">
        <v>37</v>
      </c>
      <c r="AF899" t="s">
        <v>37</v>
      </c>
      <c r="AG899" s="6" t="s">
        <v>37</v>
      </c>
      <c r="AH899" t="s">
        <v>37</v>
      </c>
      <c r="AI899" t="s">
        <v>37</v>
      </c>
      <c r="AJ899" t="str">
        <f t="shared" ref="AJ899:AJ962" si="44">P899&amp;Q899</f>
        <v>23FZKHHHB005BFCNYU</v>
      </c>
    </row>
    <row r="900" spans="1:36" ht="15" customHeight="1" x14ac:dyDescent="0.25">
      <c r="A900" t="s">
        <v>36</v>
      </c>
      <c r="B900" t="s">
        <v>37</v>
      </c>
      <c r="C900" t="s">
        <v>37</v>
      </c>
      <c r="D900" t="s">
        <v>38</v>
      </c>
      <c r="E900" s="4">
        <v>4</v>
      </c>
      <c r="F900" s="5">
        <v>179.36</v>
      </c>
      <c r="G900" s="5" t="s">
        <v>39</v>
      </c>
      <c r="H900" s="5">
        <v>288.48</v>
      </c>
      <c r="I900" s="5" t="s">
        <v>39</v>
      </c>
      <c r="J900" s="5">
        <v>6.0982399999999997</v>
      </c>
      <c r="K900" s="5">
        <f t="shared" si="42"/>
        <v>1.5245599999999999</v>
      </c>
      <c r="L900" s="5">
        <f t="shared" si="43"/>
        <v>44.84</v>
      </c>
      <c r="M900" s="5" t="s">
        <v>39</v>
      </c>
      <c r="N900" s="5">
        <v>6.0982399999999997</v>
      </c>
      <c r="O900" s="5" t="s">
        <v>39</v>
      </c>
      <c r="P900" t="s">
        <v>246</v>
      </c>
      <c r="Q900" t="s">
        <v>1357</v>
      </c>
      <c r="R900" t="s">
        <v>37</v>
      </c>
      <c r="S900" t="s">
        <v>1358</v>
      </c>
      <c r="T900" t="s">
        <v>43</v>
      </c>
      <c r="U900" t="s">
        <v>44</v>
      </c>
      <c r="V900">
        <v>147</v>
      </c>
      <c r="W900" t="s">
        <v>45</v>
      </c>
      <c r="X900" t="s">
        <v>60</v>
      </c>
      <c r="Y900" t="s">
        <v>1359</v>
      </c>
      <c r="Z900" t="s">
        <v>37</v>
      </c>
      <c r="AA900" t="s">
        <v>55</v>
      </c>
      <c r="AB900" t="s">
        <v>37</v>
      </c>
      <c r="AC900" s="6" t="s">
        <v>37</v>
      </c>
      <c r="AD900" s="6" t="s">
        <v>37</v>
      </c>
      <c r="AE900" t="s">
        <v>37</v>
      </c>
      <c r="AF900" t="s">
        <v>37</v>
      </c>
      <c r="AG900" s="6" t="s">
        <v>37</v>
      </c>
      <c r="AH900" t="s">
        <v>37</v>
      </c>
      <c r="AI900" t="s">
        <v>37</v>
      </c>
      <c r="AJ900" t="str">
        <f t="shared" si="44"/>
        <v>1PSIXGLTB07W6GVS5C</v>
      </c>
    </row>
    <row r="901" spans="1:36" ht="15" customHeight="1" x14ac:dyDescent="0.25">
      <c r="A901" t="s">
        <v>62</v>
      </c>
      <c r="B901" t="s">
        <v>37</v>
      </c>
      <c r="C901" t="s">
        <v>37</v>
      </c>
      <c r="D901" t="s">
        <v>38</v>
      </c>
      <c r="E901" s="4">
        <v>8</v>
      </c>
      <c r="F901" s="5">
        <v>324.8</v>
      </c>
      <c r="G901" s="5" t="s">
        <v>39</v>
      </c>
      <c r="H901" s="5">
        <v>472.08</v>
      </c>
      <c r="I901" s="5" t="s">
        <v>39</v>
      </c>
      <c r="J901" s="5">
        <v>11.043200000000001</v>
      </c>
      <c r="K901" s="5">
        <f t="shared" si="42"/>
        <v>1.3804000000000001</v>
      </c>
      <c r="L901" s="5">
        <f t="shared" si="43"/>
        <v>40.6</v>
      </c>
      <c r="M901" s="5" t="s">
        <v>39</v>
      </c>
      <c r="N901" s="5">
        <v>11.043200000000001</v>
      </c>
      <c r="O901" s="5" t="s">
        <v>39</v>
      </c>
      <c r="P901" t="s">
        <v>968</v>
      </c>
      <c r="Q901" t="s">
        <v>1099</v>
      </c>
      <c r="R901" t="s">
        <v>37</v>
      </c>
      <c r="S901" t="s">
        <v>1100</v>
      </c>
      <c r="T901" t="s">
        <v>43</v>
      </c>
      <c r="U901" t="s">
        <v>44</v>
      </c>
      <c r="V901">
        <v>147</v>
      </c>
      <c r="W901" t="s">
        <v>45</v>
      </c>
      <c r="X901" t="s">
        <v>60</v>
      </c>
      <c r="Y901" t="s">
        <v>1101</v>
      </c>
      <c r="Z901" t="s">
        <v>37</v>
      </c>
      <c r="AA901" t="s">
        <v>48</v>
      </c>
      <c r="AB901" t="s">
        <v>37</v>
      </c>
      <c r="AC901" s="6" t="s">
        <v>37</v>
      </c>
      <c r="AD901" s="6" t="s">
        <v>37</v>
      </c>
      <c r="AE901" t="s">
        <v>37</v>
      </c>
      <c r="AF901" t="s">
        <v>37</v>
      </c>
      <c r="AG901" s="6" t="s">
        <v>37</v>
      </c>
      <c r="AH901" t="s">
        <v>37</v>
      </c>
      <c r="AI901" t="s">
        <v>37</v>
      </c>
      <c r="AJ901" t="str">
        <f t="shared" si="44"/>
        <v>7LA8DZCZB00O8K42LQ</v>
      </c>
    </row>
    <row r="902" spans="1:36" ht="15" customHeight="1" x14ac:dyDescent="0.25">
      <c r="A902" t="s">
        <v>76</v>
      </c>
      <c r="B902" t="s">
        <v>37</v>
      </c>
      <c r="C902" t="s">
        <v>37</v>
      </c>
      <c r="D902" t="s">
        <v>38</v>
      </c>
      <c r="E902" s="4">
        <v>880</v>
      </c>
      <c r="F902" s="5">
        <v>7216</v>
      </c>
      <c r="G902" s="5" t="s">
        <v>39</v>
      </c>
      <c r="H902" s="5">
        <v>7911.2</v>
      </c>
      <c r="I902" s="5" t="s">
        <v>39</v>
      </c>
      <c r="J902" s="5">
        <v>245.34399999999999</v>
      </c>
      <c r="K902" s="5">
        <f t="shared" si="42"/>
        <v>0.27879999999999999</v>
      </c>
      <c r="L902" s="5">
        <f t="shared" si="43"/>
        <v>8.1999999999999993</v>
      </c>
      <c r="M902" s="5" t="s">
        <v>39</v>
      </c>
      <c r="N902" s="5">
        <v>245.34399999999999</v>
      </c>
      <c r="O902" s="5" t="s">
        <v>39</v>
      </c>
      <c r="P902" t="s">
        <v>63</v>
      </c>
      <c r="Q902" t="s">
        <v>1559</v>
      </c>
      <c r="R902" t="s">
        <v>37</v>
      </c>
      <c r="S902" t="s">
        <v>1560</v>
      </c>
      <c r="T902" t="s">
        <v>43</v>
      </c>
      <c r="U902" t="s">
        <v>44</v>
      </c>
      <c r="V902">
        <v>147</v>
      </c>
      <c r="W902" t="s">
        <v>45</v>
      </c>
      <c r="X902" t="s">
        <v>53</v>
      </c>
      <c r="Y902" t="s">
        <v>1561</v>
      </c>
      <c r="Z902" t="s">
        <v>37</v>
      </c>
      <c r="AA902" t="s">
        <v>48</v>
      </c>
      <c r="AB902" t="s">
        <v>37</v>
      </c>
      <c r="AC902" s="6" t="s">
        <v>37</v>
      </c>
      <c r="AD902" s="6" t="s">
        <v>37</v>
      </c>
      <c r="AE902" t="s">
        <v>37</v>
      </c>
      <c r="AF902" t="s">
        <v>37</v>
      </c>
      <c r="AG902" s="6" t="s">
        <v>37</v>
      </c>
      <c r="AH902" t="s">
        <v>37</v>
      </c>
      <c r="AI902" t="s">
        <v>37</v>
      </c>
      <c r="AJ902" t="str">
        <f t="shared" si="44"/>
        <v>7H9X1Z6SB00C1CVMSY</v>
      </c>
    </row>
    <row r="903" spans="1:36" ht="15" customHeight="1" x14ac:dyDescent="0.25">
      <c r="A903" t="s">
        <v>96</v>
      </c>
      <c r="B903" t="s">
        <v>37</v>
      </c>
      <c r="C903" t="s">
        <v>37</v>
      </c>
      <c r="D903" t="s">
        <v>38</v>
      </c>
      <c r="E903" s="4">
        <v>20</v>
      </c>
      <c r="F903" s="5">
        <v>327.8</v>
      </c>
      <c r="G903" s="5" t="s">
        <v>39</v>
      </c>
      <c r="H903" s="5">
        <v>491.6</v>
      </c>
      <c r="I903" s="5" t="s">
        <v>39</v>
      </c>
      <c r="J903" s="5">
        <v>11.145200000000001</v>
      </c>
      <c r="K903" s="5">
        <f t="shared" si="42"/>
        <v>0.55726000000000009</v>
      </c>
      <c r="L903" s="5">
        <f t="shared" si="43"/>
        <v>16.39</v>
      </c>
      <c r="M903" s="5" t="s">
        <v>39</v>
      </c>
      <c r="N903" s="5">
        <v>11.145200000000001</v>
      </c>
      <c r="O903" s="5" t="s">
        <v>39</v>
      </c>
      <c r="P903" t="s">
        <v>195</v>
      </c>
      <c r="Q903" t="s">
        <v>1562</v>
      </c>
      <c r="R903" t="s">
        <v>37</v>
      </c>
      <c r="S903" t="s">
        <v>1563</v>
      </c>
      <c r="T903" t="s">
        <v>43</v>
      </c>
      <c r="U903" t="s">
        <v>44</v>
      </c>
      <c r="V903">
        <v>147</v>
      </c>
      <c r="W903" t="s">
        <v>45</v>
      </c>
      <c r="X903" t="s">
        <v>53</v>
      </c>
      <c r="Y903" t="s">
        <v>1564</v>
      </c>
      <c r="Z903" t="s">
        <v>37</v>
      </c>
      <c r="AA903" t="s">
        <v>55</v>
      </c>
      <c r="AB903" t="s">
        <v>37</v>
      </c>
      <c r="AC903" s="6" t="s">
        <v>37</v>
      </c>
      <c r="AD903" s="6" t="s">
        <v>37</v>
      </c>
      <c r="AE903" t="s">
        <v>37</v>
      </c>
      <c r="AF903" t="s">
        <v>37</v>
      </c>
      <c r="AG903" s="6" t="s">
        <v>37</v>
      </c>
      <c r="AH903" t="s">
        <v>37</v>
      </c>
      <c r="AI903" t="s">
        <v>37</v>
      </c>
      <c r="AJ903" t="str">
        <f t="shared" si="44"/>
        <v>5X1OU9ZGB07W6GVZFL</v>
      </c>
    </row>
    <row r="904" spans="1:36" ht="15" customHeight="1" x14ac:dyDescent="0.25">
      <c r="A904" t="s">
        <v>36</v>
      </c>
      <c r="B904" t="s">
        <v>37</v>
      </c>
      <c r="C904" t="s">
        <v>37</v>
      </c>
      <c r="D904" t="s">
        <v>38</v>
      </c>
      <c r="E904" s="4">
        <v>548</v>
      </c>
      <c r="F904" s="5">
        <v>41324.68</v>
      </c>
      <c r="G904" s="5" t="s">
        <v>39</v>
      </c>
      <c r="H904" s="5">
        <v>51649</v>
      </c>
      <c r="I904" s="5" t="s">
        <v>39</v>
      </c>
      <c r="J904" s="5">
        <v>1405.0391199999999</v>
      </c>
      <c r="K904" s="5">
        <f t="shared" si="42"/>
        <v>2.5639399999999997</v>
      </c>
      <c r="L904" s="5">
        <f t="shared" si="43"/>
        <v>75.41</v>
      </c>
      <c r="M904" s="5" t="s">
        <v>39</v>
      </c>
      <c r="N904" s="5">
        <v>1405.0391199999999</v>
      </c>
      <c r="O904" s="5" t="s">
        <v>39</v>
      </c>
      <c r="P904" t="s">
        <v>133</v>
      </c>
      <c r="Q904" t="s">
        <v>1565</v>
      </c>
      <c r="R904" t="s">
        <v>37</v>
      </c>
      <c r="S904" t="s">
        <v>1566</v>
      </c>
      <c r="T904" t="s">
        <v>43</v>
      </c>
      <c r="U904" t="s">
        <v>44</v>
      </c>
      <c r="V904">
        <v>147</v>
      </c>
      <c r="W904" t="s">
        <v>45</v>
      </c>
      <c r="X904" t="s">
        <v>60</v>
      </c>
      <c r="Y904" t="s">
        <v>1567</v>
      </c>
      <c r="Z904" t="s">
        <v>37</v>
      </c>
      <c r="AA904" t="s">
        <v>55</v>
      </c>
      <c r="AB904" t="s">
        <v>37</v>
      </c>
      <c r="AC904" s="6" t="s">
        <v>37</v>
      </c>
      <c r="AD904" s="6" t="s">
        <v>37</v>
      </c>
      <c r="AE904" t="s">
        <v>37</v>
      </c>
      <c r="AF904" t="s">
        <v>37</v>
      </c>
      <c r="AG904" s="6" t="s">
        <v>37</v>
      </c>
      <c r="AH904" t="s">
        <v>37</v>
      </c>
      <c r="AI904" t="s">
        <v>37</v>
      </c>
      <c r="AJ904" t="str">
        <f t="shared" si="44"/>
        <v>36BT7GGLB07W6JFPT1</v>
      </c>
    </row>
    <row r="905" spans="1:36" ht="15" customHeight="1" x14ac:dyDescent="0.25">
      <c r="A905" t="s">
        <v>56</v>
      </c>
      <c r="B905" t="s">
        <v>37</v>
      </c>
      <c r="C905" t="s">
        <v>37</v>
      </c>
      <c r="D905" t="s">
        <v>38</v>
      </c>
      <c r="E905" s="4">
        <v>10</v>
      </c>
      <c r="F905" s="5">
        <v>93.6</v>
      </c>
      <c r="G905" s="5" t="s">
        <v>39</v>
      </c>
      <c r="H905" s="5">
        <v>139.30000000000001</v>
      </c>
      <c r="I905" s="5" t="s">
        <v>39</v>
      </c>
      <c r="J905" s="5">
        <v>3.1823999999999999</v>
      </c>
      <c r="K905" s="5">
        <f t="shared" si="42"/>
        <v>0.31823999999999997</v>
      </c>
      <c r="L905" s="5">
        <f t="shared" si="43"/>
        <v>9.36</v>
      </c>
      <c r="M905" s="5" t="s">
        <v>39</v>
      </c>
      <c r="N905" s="5">
        <v>3.1823999999999999</v>
      </c>
      <c r="O905" s="5" t="s">
        <v>39</v>
      </c>
      <c r="P905" t="s">
        <v>936</v>
      </c>
      <c r="Q905" t="s">
        <v>78</v>
      </c>
      <c r="R905" t="s">
        <v>37</v>
      </c>
      <c r="S905" t="s">
        <v>79</v>
      </c>
      <c r="T905" t="s">
        <v>43</v>
      </c>
      <c r="U905" t="s">
        <v>44</v>
      </c>
      <c r="V905">
        <v>147</v>
      </c>
      <c r="W905" t="s">
        <v>45</v>
      </c>
      <c r="X905" t="s">
        <v>60</v>
      </c>
      <c r="Y905" t="s">
        <v>80</v>
      </c>
      <c r="Z905" t="s">
        <v>37</v>
      </c>
      <c r="AA905" t="s">
        <v>55</v>
      </c>
      <c r="AB905" t="s">
        <v>37</v>
      </c>
      <c r="AC905" s="6" t="s">
        <v>37</v>
      </c>
      <c r="AD905" s="6" t="s">
        <v>37</v>
      </c>
      <c r="AE905" t="s">
        <v>37</v>
      </c>
      <c r="AF905" t="s">
        <v>37</v>
      </c>
      <c r="AG905" s="6" t="s">
        <v>37</v>
      </c>
      <c r="AH905" t="s">
        <v>37</v>
      </c>
      <c r="AI905" t="s">
        <v>37</v>
      </c>
      <c r="AJ905" t="str">
        <f t="shared" si="44"/>
        <v>6QK5MDWIB003V0QEV0</v>
      </c>
    </row>
    <row r="906" spans="1:36" ht="15" customHeight="1" x14ac:dyDescent="0.25">
      <c r="A906" t="s">
        <v>96</v>
      </c>
      <c r="B906" t="s">
        <v>37</v>
      </c>
      <c r="C906" t="s">
        <v>37</v>
      </c>
      <c r="D906" t="s">
        <v>38</v>
      </c>
      <c r="E906" s="4">
        <v>24</v>
      </c>
      <c r="F906" s="5">
        <v>1913.52</v>
      </c>
      <c r="G906" s="5" t="s">
        <v>39</v>
      </c>
      <c r="H906" s="5">
        <v>3048.96</v>
      </c>
      <c r="I906" s="5" t="s">
        <v>39</v>
      </c>
      <c r="J906" s="5">
        <v>65.05968</v>
      </c>
      <c r="K906" s="5">
        <f t="shared" si="42"/>
        <v>2.71082</v>
      </c>
      <c r="L906" s="5">
        <f t="shared" si="43"/>
        <v>79.73</v>
      </c>
      <c r="M906" s="5" t="s">
        <v>39</v>
      </c>
      <c r="N906" s="5">
        <v>65.05968</v>
      </c>
      <c r="O906" s="5" t="s">
        <v>39</v>
      </c>
      <c r="P906" t="s">
        <v>50</v>
      </c>
      <c r="Q906" t="s">
        <v>1568</v>
      </c>
      <c r="R906" t="s">
        <v>37</v>
      </c>
      <c r="S906" t="s">
        <v>1569</v>
      </c>
      <c r="T906" t="s">
        <v>43</v>
      </c>
      <c r="U906" t="s">
        <v>44</v>
      </c>
      <c r="V906">
        <v>23</v>
      </c>
      <c r="W906" t="s">
        <v>281</v>
      </c>
      <c r="X906" t="s">
        <v>282</v>
      </c>
      <c r="Y906" t="s">
        <v>1570</v>
      </c>
      <c r="Z906" t="s">
        <v>37</v>
      </c>
      <c r="AA906" t="s">
        <v>95</v>
      </c>
      <c r="AB906" t="s">
        <v>37</v>
      </c>
      <c r="AC906" s="6" t="s">
        <v>37</v>
      </c>
      <c r="AD906" s="6" t="s">
        <v>37</v>
      </c>
      <c r="AE906" t="s">
        <v>37</v>
      </c>
      <c r="AF906" t="s">
        <v>37</v>
      </c>
      <c r="AG906" s="6" t="s">
        <v>37</v>
      </c>
      <c r="AH906" t="s">
        <v>37</v>
      </c>
      <c r="AI906" t="s">
        <v>37</v>
      </c>
      <c r="AJ906" t="str">
        <f t="shared" si="44"/>
        <v>3A946EXYB07G6CRZ2Q</v>
      </c>
    </row>
    <row r="907" spans="1:36" ht="15" customHeight="1" x14ac:dyDescent="0.25">
      <c r="A907" t="s">
        <v>36</v>
      </c>
      <c r="B907" t="s">
        <v>37</v>
      </c>
      <c r="C907" t="s">
        <v>37</v>
      </c>
      <c r="D907" t="s">
        <v>38</v>
      </c>
      <c r="E907" s="4">
        <v>20</v>
      </c>
      <c r="F907" s="5">
        <v>1466.8</v>
      </c>
      <c r="G907" s="5" t="s">
        <v>39</v>
      </c>
      <c r="H907" s="5">
        <v>2377</v>
      </c>
      <c r="I907" s="5" t="s">
        <v>39</v>
      </c>
      <c r="J907" s="5">
        <v>49.871200000000002</v>
      </c>
      <c r="K907" s="5">
        <f t="shared" si="42"/>
        <v>2.49356</v>
      </c>
      <c r="L907" s="5">
        <f t="shared" si="43"/>
        <v>73.34</v>
      </c>
      <c r="M907" s="5" t="s">
        <v>39</v>
      </c>
      <c r="N907" s="5">
        <v>49.871200000000002</v>
      </c>
      <c r="O907" s="5" t="s">
        <v>39</v>
      </c>
      <c r="P907" t="s">
        <v>67</v>
      </c>
      <c r="Q907" t="s">
        <v>1571</v>
      </c>
      <c r="R907" t="s">
        <v>37</v>
      </c>
      <c r="S907" t="s">
        <v>1572</v>
      </c>
      <c r="T907" t="s">
        <v>43</v>
      </c>
      <c r="U907" t="s">
        <v>44</v>
      </c>
      <c r="V907">
        <v>147</v>
      </c>
      <c r="W907" t="s">
        <v>45</v>
      </c>
      <c r="X907" t="s">
        <v>60</v>
      </c>
      <c r="Y907" t="s">
        <v>1573</v>
      </c>
      <c r="Z907" t="s">
        <v>37</v>
      </c>
      <c r="AA907" t="s">
        <v>55</v>
      </c>
      <c r="AB907" t="s">
        <v>37</v>
      </c>
      <c r="AC907" s="6" t="s">
        <v>37</v>
      </c>
      <c r="AD907" s="6" t="s">
        <v>37</v>
      </c>
      <c r="AE907" t="s">
        <v>37</v>
      </c>
      <c r="AF907" t="s">
        <v>37</v>
      </c>
      <c r="AG907" s="6" t="s">
        <v>37</v>
      </c>
      <c r="AH907" t="s">
        <v>37</v>
      </c>
      <c r="AI907" t="s">
        <v>37</v>
      </c>
      <c r="AJ907" t="str">
        <f t="shared" si="44"/>
        <v>2TMBDXBKB07W5JK221</v>
      </c>
    </row>
    <row r="908" spans="1:36" ht="15" customHeight="1" x14ac:dyDescent="0.25">
      <c r="A908" t="s">
        <v>56</v>
      </c>
      <c r="B908" t="s">
        <v>37</v>
      </c>
      <c r="C908" t="s">
        <v>37</v>
      </c>
      <c r="D908" t="s">
        <v>38</v>
      </c>
      <c r="E908" s="4">
        <v>4</v>
      </c>
      <c r="F908" s="5">
        <v>299.36</v>
      </c>
      <c r="G908" s="5" t="s">
        <v>39</v>
      </c>
      <c r="H908" s="5">
        <v>455.72</v>
      </c>
      <c r="I908" s="5" t="s">
        <v>39</v>
      </c>
      <c r="J908" s="5">
        <v>10.178240000000001</v>
      </c>
      <c r="K908" s="5">
        <f t="shared" si="42"/>
        <v>2.5445600000000002</v>
      </c>
      <c r="L908" s="5">
        <f t="shared" si="43"/>
        <v>74.84</v>
      </c>
      <c r="M908" s="5" t="s">
        <v>39</v>
      </c>
      <c r="N908" s="5">
        <v>10.178240000000001</v>
      </c>
      <c r="O908" s="5" t="s">
        <v>39</v>
      </c>
      <c r="P908" t="s">
        <v>57</v>
      </c>
      <c r="Q908" t="s">
        <v>472</v>
      </c>
      <c r="R908" t="s">
        <v>37</v>
      </c>
      <c r="S908" t="s">
        <v>473</v>
      </c>
      <c r="T908" t="s">
        <v>43</v>
      </c>
      <c r="U908" t="s">
        <v>44</v>
      </c>
      <c r="V908">
        <v>147</v>
      </c>
      <c r="W908" t="s">
        <v>92</v>
      </c>
      <c r="X908" t="s">
        <v>433</v>
      </c>
      <c r="Y908" t="s">
        <v>474</v>
      </c>
      <c r="Z908" t="s">
        <v>37</v>
      </c>
      <c r="AA908" t="s">
        <v>55</v>
      </c>
      <c r="AB908" t="s">
        <v>37</v>
      </c>
      <c r="AC908" s="6" t="s">
        <v>37</v>
      </c>
      <c r="AD908" s="6" t="s">
        <v>37</v>
      </c>
      <c r="AE908" t="s">
        <v>37</v>
      </c>
      <c r="AF908" t="s">
        <v>37</v>
      </c>
      <c r="AG908" s="6" t="s">
        <v>37</v>
      </c>
      <c r="AH908" t="s">
        <v>37</v>
      </c>
      <c r="AI908" t="s">
        <v>37</v>
      </c>
      <c r="AJ908" t="str">
        <f t="shared" si="44"/>
        <v>3GBCH66MB07W6JLQCY</v>
      </c>
    </row>
    <row r="909" spans="1:36" ht="15" customHeight="1" x14ac:dyDescent="0.25">
      <c r="A909" t="s">
        <v>36</v>
      </c>
      <c r="B909" t="s">
        <v>37</v>
      </c>
      <c r="C909" t="s">
        <v>37</v>
      </c>
      <c r="D909" t="s">
        <v>38</v>
      </c>
      <c r="E909" s="4">
        <v>20</v>
      </c>
      <c r="F909" s="5">
        <v>177.8</v>
      </c>
      <c r="G909" s="5" t="s">
        <v>39</v>
      </c>
      <c r="H909" s="5">
        <v>393.2</v>
      </c>
      <c r="I909" s="5" t="s">
        <v>39</v>
      </c>
      <c r="J909" s="5">
        <v>6.0452000000000004</v>
      </c>
      <c r="K909" s="5">
        <f t="shared" si="42"/>
        <v>0.30226000000000003</v>
      </c>
      <c r="L909" s="5">
        <f t="shared" si="43"/>
        <v>8.89</v>
      </c>
      <c r="M909" s="5" t="s">
        <v>39</v>
      </c>
      <c r="N909" s="5">
        <v>6.0452000000000004</v>
      </c>
      <c r="O909" s="5" t="s">
        <v>39</v>
      </c>
      <c r="P909" t="s">
        <v>89</v>
      </c>
      <c r="Q909" t="s">
        <v>690</v>
      </c>
      <c r="R909" t="s">
        <v>37</v>
      </c>
      <c r="S909" t="s">
        <v>691</v>
      </c>
      <c r="T909" t="s">
        <v>43</v>
      </c>
      <c r="U909" t="s">
        <v>44</v>
      </c>
      <c r="V909">
        <v>147</v>
      </c>
      <c r="W909" t="s">
        <v>45</v>
      </c>
      <c r="X909" t="s">
        <v>46</v>
      </c>
      <c r="Y909" t="s">
        <v>692</v>
      </c>
      <c r="Z909" t="s">
        <v>37</v>
      </c>
      <c r="AA909" t="s">
        <v>95</v>
      </c>
      <c r="AB909" t="s">
        <v>37</v>
      </c>
      <c r="AC909" s="6" t="s">
        <v>37</v>
      </c>
      <c r="AD909" s="6" t="s">
        <v>37</v>
      </c>
      <c r="AE909" t="s">
        <v>37</v>
      </c>
      <c r="AF909" t="s">
        <v>37</v>
      </c>
      <c r="AG909" s="6" t="s">
        <v>37</v>
      </c>
      <c r="AH909" t="s">
        <v>37</v>
      </c>
      <c r="AI909" t="s">
        <v>37</v>
      </c>
      <c r="AJ909" t="str">
        <f t="shared" si="44"/>
        <v>2W68T8TOB07W5JJVFM</v>
      </c>
    </row>
    <row r="910" spans="1:36" ht="15" customHeight="1" x14ac:dyDescent="0.25">
      <c r="A910" t="s">
        <v>49</v>
      </c>
      <c r="B910" t="s">
        <v>37</v>
      </c>
      <c r="C910" t="s">
        <v>37</v>
      </c>
      <c r="D910" t="s">
        <v>38</v>
      </c>
      <c r="E910" s="4">
        <v>8</v>
      </c>
      <c r="F910" s="5">
        <v>168.8</v>
      </c>
      <c r="G910" s="5" t="s">
        <v>39</v>
      </c>
      <c r="H910" s="5">
        <v>288.48</v>
      </c>
      <c r="I910" s="5" t="s">
        <v>39</v>
      </c>
      <c r="J910" s="5">
        <v>5.7392000000000003</v>
      </c>
      <c r="K910" s="5">
        <f t="shared" si="42"/>
        <v>0.71740000000000004</v>
      </c>
      <c r="L910" s="5">
        <f t="shared" si="43"/>
        <v>21.1</v>
      </c>
      <c r="M910" s="5" t="s">
        <v>39</v>
      </c>
      <c r="N910" s="5">
        <v>5.7392000000000003</v>
      </c>
      <c r="O910" s="5" t="s">
        <v>39</v>
      </c>
      <c r="P910" t="s">
        <v>106</v>
      </c>
      <c r="Q910" t="s">
        <v>1546</v>
      </c>
      <c r="R910" t="s">
        <v>37</v>
      </c>
      <c r="S910" t="s">
        <v>1547</v>
      </c>
      <c r="T910" t="s">
        <v>43</v>
      </c>
      <c r="U910" t="s">
        <v>44</v>
      </c>
      <c r="V910">
        <v>147</v>
      </c>
      <c r="W910" t="s">
        <v>45</v>
      </c>
      <c r="X910" t="s">
        <v>53</v>
      </c>
      <c r="Y910" t="s">
        <v>1548</v>
      </c>
      <c r="Z910" t="s">
        <v>37</v>
      </c>
      <c r="AA910" t="s">
        <v>95</v>
      </c>
      <c r="AB910" t="s">
        <v>37</v>
      </c>
      <c r="AC910" s="6" t="s">
        <v>37</v>
      </c>
      <c r="AD910" s="6" t="s">
        <v>37</v>
      </c>
      <c r="AE910" t="s">
        <v>37</v>
      </c>
      <c r="AF910" t="s">
        <v>37</v>
      </c>
      <c r="AG910" s="6" t="s">
        <v>37</v>
      </c>
      <c r="AH910" t="s">
        <v>37</v>
      </c>
      <c r="AI910" t="s">
        <v>37</v>
      </c>
      <c r="AJ910" t="str">
        <f t="shared" si="44"/>
        <v>2CLMXQWQB07W4DHK3P</v>
      </c>
    </row>
    <row r="911" spans="1:36" ht="15" customHeight="1" x14ac:dyDescent="0.25">
      <c r="A911" t="s">
        <v>96</v>
      </c>
      <c r="B911" t="s">
        <v>37</v>
      </c>
      <c r="C911" t="s">
        <v>37</v>
      </c>
      <c r="D911" t="s">
        <v>38</v>
      </c>
      <c r="E911" s="4">
        <v>16</v>
      </c>
      <c r="F911" s="5">
        <v>337.6</v>
      </c>
      <c r="G911" s="5" t="s">
        <v>39</v>
      </c>
      <c r="H911" s="5">
        <v>576.96</v>
      </c>
      <c r="I911" s="5" t="s">
        <v>39</v>
      </c>
      <c r="J911" s="5">
        <v>11.478400000000001</v>
      </c>
      <c r="K911" s="5">
        <f t="shared" si="42"/>
        <v>0.71740000000000004</v>
      </c>
      <c r="L911" s="5">
        <f t="shared" si="43"/>
        <v>21.1</v>
      </c>
      <c r="M911" s="5" t="s">
        <v>39</v>
      </c>
      <c r="N911" s="5">
        <v>11.478400000000001</v>
      </c>
      <c r="O911" s="5" t="s">
        <v>39</v>
      </c>
      <c r="P911" t="s">
        <v>106</v>
      </c>
      <c r="Q911" t="s">
        <v>1546</v>
      </c>
      <c r="R911" t="s">
        <v>37</v>
      </c>
      <c r="S911" t="s">
        <v>1547</v>
      </c>
      <c r="T911" t="s">
        <v>43</v>
      </c>
      <c r="U911" t="s">
        <v>44</v>
      </c>
      <c r="V911">
        <v>147</v>
      </c>
      <c r="W911" t="s">
        <v>45</v>
      </c>
      <c r="X911" t="s">
        <v>53</v>
      </c>
      <c r="Y911" t="s">
        <v>1548</v>
      </c>
      <c r="Z911" t="s">
        <v>37</v>
      </c>
      <c r="AA911" t="s">
        <v>95</v>
      </c>
      <c r="AB911" t="s">
        <v>37</v>
      </c>
      <c r="AC911" s="6" t="s">
        <v>37</v>
      </c>
      <c r="AD911" s="6" t="s">
        <v>37</v>
      </c>
      <c r="AE911" t="s">
        <v>37</v>
      </c>
      <c r="AF911" t="s">
        <v>37</v>
      </c>
      <c r="AG911" s="6" t="s">
        <v>37</v>
      </c>
      <c r="AH911" t="s">
        <v>37</v>
      </c>
      <c r="AI911" t="s">
        <v>37</v>
      </c>
      <c r="AJ911" t="str">
        <f t="shared" si="44"/>
        <v>2CLMXQWQB07W4DHK3P</v>
      </c>
    </row>
    <row r="912" spans="1:36" ht="15" customHeight="1" x14ac:dyDescent="0.25">
      <c r="A912" t="s">
        <v>36</v>
      </c>
      <c r="B912" t="s">
        <v>37</v>
      </c>
      <c r="C912" t="s">
        <v>37</v>
      </c>
      <c r="D912" t="s">
        <v>38</v>
      </c>
      <c r="E912" s="4">
        <v>20</v>
      </c>
      <c r="F912" s="5">
        <v>410</v>
      </c>
      <c r="G912" s="5" t="s">
        <v>39</v>
      </c>
      <c r="H912" s="5">
        <v>622.79999999999995</v>
      </c>
      <c r="I912" s="5" t="s">
        <v>39</v>
      </c>
      <c r="J912" s="5">
        <v>13.94</v>
      </c>
      <c r="K912" s="5">
        <f t="shared" si="42"/>
        <v>0.69699999999999995</v>
      </c>
      <c r="L912" s="5">
        <f t="shared" si="43"/>
        <v>20.5</v>
      </c>
      <c r="M912" s="5" t="s">
        <v>39</v>
      </c>
      <c r="N912" s="5">
        <v>13.94</v>
      </c>
      <c r="O912" s="5" t="s">
        <v>39</v>
      </c>
      <c r="P912" t="s">
        <v>40</v>
      </c>
      <c r="Q912" t="s">
        <v>1574</v>
      </c>
      <c r="R912" t="s">
        <v>37</v>
      </c>
      <c r="S912" t="s">
        <v>1575</v>
      </c>
      <c r="T912" t="s">
        <v>43</v>
      </c>
      <c r="U912" t="s">
        <v>44</v>
      </c>
      <c r="V912">
        <v>147</v>
      </c>
      <c r="W912" t="s">
        <v>1576</v>
      </c>
      <c r="X912" t="s">
        <v>1577</v>
      </c>
      <c r="Y912" t="s">
        <v>919</v>
      </c>
      <c r="Z912" t="s">
        <v>37</v>
      </c>
      <c r="AA912" t="s">
        <v>55</v>
      </c>
      <c r="AB912" t="s">
        <v>37</v>
      </c>
      <c r="AC912" s="6" t="s">
        <v>37</v>
      </c>
      <c r="AD912" s="6" t="s">
        <v>37</v>
      </c>
      <c r="AE912" t="s">
        <v>37</v>
      </c>
      <c r="AF912" t="s">
        <v>37</v>
      </c>
      <c r="AG912" s="6" t="s">
        <v>37</v>
      </c>
      <c r="AH912" t="s">
        <v>37</v>
      </c>
      <c r="AI912" t="s">
        <v>37</v>
      </c>
      <c r="AJ912" t="str">
        <f t="shared" si="44"/>
        <v>4A3KDTEZB01KPT6UUE</v>
      </c>
    </row>
    <row r="913" spans="1:36" ht="15" customHeight="1" x14ac:dyDescent="0.25">
      <c r="A913" t="s">
        <v>96</v>
      </c>
      <c r="B913" t="s">
        <v>37</v>
      </c>
      <c r="C913" t="s">
        <v>37</v>
      </c>
      <c r="D913" t="s">
        <v>38</v>
      </c>
      <c r="E913" s="4">
        <v>2</v>
      </c>
      <c r="F913" s="5">
        <v>421.04</v>
      </c>
      <c r="G913" s="5" t="s">
        <v>39</v>
      </c>
      <c r="H913" s="5">
        <v>672.12</v>
      </c>
      <c r="I913" s="5" t="s">
        <v>39</v>
      </c>
      <c r="J913" s="5">
        <v>14.31536</v>
      </c>
      <c r="K913" s="5">
        <f t="shared" si="42"/>
        <v>7.15768</v>
      </c>
      <c r="L913" s="5">
        <f t="shared" si="43"/>
        <v>210.52</v>
      </c>
      <c r="M913" s="5" t="s">
        <v>39</v>
      </c>
      <c r="N913" s="5">
        <v>14.31536</v>
      </c>
      <c r="O913" s="5" t="s">
        <v>39</v>
      </c>
      <c r="P913" t="s">
        <v>479</v>
      </c>
      <c r="Q913" t="s">
        <v>81</v>
      </c>
      <c r="R913" t="s">
        <v>37</v>
      </c>
      <c r="S913" t="s">
        <v>82</v>
      </c>
      <c r="T913" t="s">
        <v>43</v>
      </c>
      <c r="U913" t="s">
        <v>44</v>
      </c>
      <c r="V913">
        <v>147</v>
      </c>
      <c r="W913" t="s">
        <v>45</v>
      </c>
      <c r="X913" t="s">
        <v>46</v>
      </c>
      <c r="Y913" t="s">
        <v>83</v>
      </c>
      <c r="Z913" t="s">
        <v>37</v>
      </c>
      <c r="AA913" t="s">
        <v>55</v>
      </c>
      <c r="AB913" t="s">
        <v>37</v>
      </c>
      <c r="AC913" s="6" t="s">
        <v>37</v>
      </c>
      <c r="AD913" s="6" t="s">
        <v>37</v>
      </c>
      <c r="AE913" t="s">
        <v>37</v>
      </c>
      <c r="AF913" t="s">
        <v>37</v>
      </c>
      <c r="AG913" s="6" t="s">
        <v>37</v>
      </c>
      <c r="AH913" t="s">
        <v>37</v>
      </c>
      <c r="AI913" t="s">
        <v>37</v>
      </c>
      <c r="AJ913" t="str">
        <f t="shared" si="44"/>
        <v>7SCVG2OTB07W6JB7N7</v>
      </c>
    </row>
    <row r="914" spans="1:36" ht="15" customHeight="1" x14ac:dyDescent="0.25">
      <c r="A914" t="s">
        <v>101</v>
      </c>
      <c r="B914" t="s">
        <v>37</v>
      </c>
      <c r="C914" t="s">
        <v>37</v>
      </c>
      <c r="D914" t="s">
        <v>38</v>
      </c>
      <c r="E914" s="4">
        <v>0</v>
      </c>
      <c r="F914" s="5">
        <v>0</v>
      </c>
      <c r="G914" s="5" t="s">
        <v>39</v>
      </c>
      <c r="H914" s="5">
        <v>0</v>
      </c>
      <c r="I914" s="5" t="s">
        <v>39</v>
      </c>
      <c r="J914" s="5">
        <v>0</v>
      </c>
      <c r="K914" s="5" t="e">
        <f t="shared" si="42"/>
        <v>#DIV/0!</v>
      </c>
      <c r="L914" s="5" t="e">
        <f t="shared" si="43"/>
        <v>#DIV/0!</v>
      </c>
      <c r="M914" s="5" t="s">
        <v>39</v>
      </c>
      <c r="N914" s="5">
        <v>0</v>
      </c>
      <c r="O914" s="5" t="s">
        <v>39</v>
      </c>
      <c r="P914" t="s">
        <v>133</v>
      </c>
      <c r="Q914" t="s">
        <v>1565</v>
      </c>
      <c r="R914" t="s">
        <v>37</v>
      </c>
      <c r="S914" t="s">
        <v>1566</v>
      </c>
      <c r="T914" t="s">
        <v>43</v>
      </c>
      <c r="U914" t="s">
        <v>44</v>
      </c>
      <c r="V914">
        <v>147</v>
      </c>
      <c r="W914" t="s">
        <v>45</v>
      </c>
      <c r="X914" t="s">
        <v>60</v>
      </c>
      <c r="Y914" t="s">
        <v>1567</v>
      </c>
      <c r="Z914" t="s">
        <v>37</v>
      </c>
      <c r="AA914" t="s">
        <v>55</v>
      </c>
      <c r="AB914" t="s">
        <v>37</v>
      </c>
      <c r="AC914" s="6" t="s">
        <v>37</v>
      </c>
      <c r="AD914" s="6" t="s">
        <v>37</v>
      </c>
      <c r="AE914" t="s">
        <v>37</v>
      </c>
      <c r="AF914" t="s">
        <v>37</v>
      </c>
      <c r="AG914" s="6" t="s">
        <v>37</v>
      </c>
      <c r="AH914" t="s">
        <v>37</v>
      </c>
      <c r="AI914" t="s">
        <v>37</v>
      </c>
      <c r="AJ914" t="str">
        <f t="shared" si="44"/>
        <v>36BT7GGLB07W6JFPT1</v>
      </c>
    </row>
    <row r="915" spans="1:36" ht="15" customHeight="1" x14ac:dyDescent="0.25">
      <c r="A915" t="s">
        <v>96</v>
      </c>
      <c r="B915" t="s">
        <v>37</v>
      </c>
      <c r="C915" t="s">
        <v>37</v>
      </c>
      <c r="D915" t="s">
        <v>38</v>
      </c>
      <c r="E915" s="4">
        <v>10</v>
      </c>
      <c r="F915" s="5">
        <v>175.6</v>
      </c>
      <c r="G915" s="5" t="s">
        <v>39</v>
      </c>
      <c r="H915" s="5">
        <v>270.39999999999998</v>
      </c>
      <c r="I915" s="5" t="s">
        <v>39</v>
      </c>
      <c r="J915" s="5">
        <v>5.9703999999999997</v>
      </c>
      <c r="K915" s="5">
        <f t="shared" si="42"/>
        <v>0.59704000000000002</v>
      </c>
      <c r="L915" s="5">
        <f t="shared" si="43"/>
        <v>17.559999999999999</v>
      </c>
      <c r="M915" s="5" t="s">
        <v>39</v>
      </c>
      <c r="N915" s="5">
        <v>5.9703999999999997</v>
      </c>
      <c r="O915" s="5" t="s">
        <v>39</v>
      </c>
      <c r="P915" t="s">
        <v>479</v>
      </c>
      <c r="Q915" t="s">
        <v>1578</v>
      </c>
      <c r="R915" t="s">
        <v>1579</v>
      </c>
      <c r="S915" t="s">
        <v>1580</v>
      </c>
      <c r="T915" t="s">
        <v>43</v>
      </c>
      <c r="U915" t="s">
        <v>44</v>
      </c>
      <c r="V915">
        <v>147</v>
      </c>
      <c r="W915" t="s">
        <v>45</v>
      </c>
      <c r="X915" t="s">
        <v>60</v>
      </c>
      <c r="Y915" t="s">
        <v>1581</v>
      </c>
      <c r="Z915" t="s">
        <v>37</v>
      </c>
      <c r="AA915" t="s">
        <v>55</v>
      </c>
      <c r="AB915" t="s">
        <v>37</v>
      </c>
      <c r="AC915" s="6" t="s">
        <v>37</v>
      </c>
      <c r="AD915" s="6" t="s">
        <v>37</v>
      </c>
      <c r="AE915" t="s">
        <v>37</v>
      </c>
      <c r="AF915" t="s">
        <v>37</v>
      </c>
      <c r="AG915" s="6" t="s">
        <v>37</v>
      </c>
      <c r="AH915" t="s">
        <v>37</v>
      </c>
      <c r="AI915" t="s">
        <v>37</v>
      </c>
      <c r="AJ915" t="str">
        <f t="shared" si="44"/>
        <v>7SCVG2OTB003UC85CU</v>
      </c>
    </row>
    <row r="916" spans="1:36" ht="15" customHeight="1" x14ac:dyDescent="0.25">
      <c r="A916" t="s">
        <v>101</v>
      </c>
      <c r="B916" t="s">
        <v>37</v>
      </c>
      <c r="C916" t="s">
        <v>37</v>
      </c>
      <c r="D916" t="s">
        <v>38</v>
      </c>
      <c r="E916" s="4">
        <v>760</v>
      </c>
      <c r="F916" s="5">
        <v>4446</v>
      </c>
      <c r="G916" s="5" t="s">
        <v>39</v>
      </c>
      <c r="H916" s="5">
        <v>6224.4</v>
      </c>
      <c r="I916" s="5" t="s">
        <v>39</v>
      </c>
      <c r="J916" s="5">
        <v>151.16399999999999</v>
      </c>
      <c r="K916" s="5">
        <f t="shared" si="42"/>
        <v>0.19889999999999999</v>
      </c>
      <c r="L916" s="5">
        <f t="shared" si="43"/>
        <v>5.85</v>
      </c>
      <c r="M916" s="5" t="s">
        <v>39</v>
      </c>
      <c r="N916" s="5">
        <v>151.16399999999999</v>
      </c>
      <c r="O916" s="5" t="s">
        <v>39</v>
      </c>
      <c r="P916" t="s">
        <v>72</v>
      </c>
      <c r="Q916" t="s">
        <v>1582</v>
      </c>
      <c r="R916" t="s">
        <v>1583</v>
      </c>
      <c r="S916" t="s">
        <v>1584</v>
      </c>
      <c r="T916" t="s">
        <v>43</v>
      </c>
      <c r="U916" t="s">
        <v>44</v>
      </c>
      <c r="V916">
        <v>147</v>
      </c>
      <c r="W916" t="s">
        <v>45</v>
      </c>
      <c r="X916" t="s">
        <v>53</v>
      </c>
      <c r="Y916" t="s">
        <v>1585</v>
      </c>
      <c r="Z916" t="s">
        <v>37</v>
      </c>
      <c r="AA916" t="s">
        <v>55</v>
      </c>
      <c r="AB916" t="s">
        <v>37</v>
      </c>
      <c r="AC916" s="6" t="s">
        <v>37</v>
      </c>
      <c r="AD916" s="6" t="s">
        <v>37</v>
      </c>
      <c r="AE916" t="s">
        <v>37</v>
      </c>
      <c r="AF916" t="s">
        <v>37</v>
      </c>
      <c r="AG916" s="6" t="s">
        <v>37</v>
      </c>
      <c r="AH916" t="s">
        <v>37</v>
      </c>
      <c r="AI916" t="s">
        <v>37</v>
      </c>
      <c r="AJ916" t="str">
        <f t="shared" si="44"/>
        <v>4GF112AEB003D8ZT0C</v>
      </c>
    </row>
    <row r="917" spans="1:36" ht="15" customHeight="1" x14ac:dyDescent="0.25">
      <c r="A917" t="s">
        <v>56</v>
      </c>
      <c r="B917" t="s">
        <v>37</v>
      </c>
      <c r="C917" t="s">
        <v>37</v>
      </c>
      <c r="D917" t="s">
        <v>38</v>
      </c>
      <c r="E917" s="4">
        <v>30</v>
      </c>
      <c r="F917" s="5">
        <v>491.7</v>
      </c>
      <c r="G917" s="5" t="s">
        <v>39</v>
      </c>
      <c r="H917" s="5">
        <v>880.2</v>
      </c>
      <c r="I917" s="5" t="s">
        <v>39</v>
      </c>
      <c r="J917" s="5">
        <v>16.7178</v>
      </c>
      <c r="K917" s="5">
        <f t="shared" si="42"/>
        <v>0.55725999999999998</v>
      </c>
      <c r="L917" s="5">
        <f t="shared" si="43"/>
        <v>16.39</v>
      </c>
      <c r="M917" s="5" t="s">
        <v>39</v>
      </c>
      <c r="N917" s="5">
        <v>16.7178</v>
      </c>
      <c r="O917" s="5" t="s">
        <v>39</v>
      </c>
      <c r="P917" t="s">
        <v>57</v>
      </c>
      <c r="Q917" t="s">
        <v>1586</v>
      </c>
      <c r="R917" t="s">
        <v>37</v>
      </c>
      <c r="S917" t="s">
        <v>1587</v>
      </c>
      <c r="T917" t="s">
        <v>43</v>
      </c>
      <c r="U917" t="s">
        <v>44</v>
      </c>
      <c r="V917">
        <v>147</v>
      </c>
      <c r="W917" t="s">
        <v>45</v>
      </c>
      <c r="X917" t="s">
        <v>60</v>
      </c>
      <c r="Y917" t="s">
        <v>1588</v>
      </c>
      <c r="Z917" t="s">
        <v>37</v>
      </c>
      <c r="AA917" t="s">
        <v>55</v>
      </c>
      <c r="AB917" t="s">
        <v>37</v>
      </c>
      <c r="AC917" s="6" t="s">
        <v>37</v>
      </c>
      <c r="AD917" s="6" t="s">
        <v>37</v>
      </c>
      <c r="AE917" t="s">
        <v>37</v>
      </c>
      <c r="AF917" t="s">
        <v>37</v>
      </c>
      <c r="AG917" s="6" t="s">
        <v>37</v>
      </c>
      <c r="AH917" t="s">
        <v>37</v>
      </c>
      <c r="AI917" t="s">
        <v>37</v>
      </c>
      <c r="AJ917" t="str">
        <f t="shared" si="44"/>
        <v>3GBCH66MB01I252A34</v>
      </c>
    </row>
    <row r="918" spans="1:36" ht="15" customHeight="1" x14ac:dyDescent="0.25">
      <c r="A918" t="s">
        <v>118</v>
      </c>
      <c r="B918" t="s">
        <v>37</v>
      </c>
      <c r="C918" t="s">
        <v>37</v>
      </c>
      <c r="D918" t="s">
        <v>38</v>
      </c>
      <c r="E918" s="4">
        <v>10</v>
      </c>
      <c r="F918" s="5">
        <v>205</v>
      </c>
      <c r="G918" s="5" t="s">
        <v>39</v>
      </c>
      <c r="H918" s="5">
        <v>311.39999999999998</v>
      </c>
      <c r="I918" s="5" t="s">
        <v>39</v>
      </c>
      <c r="J918" s="5">
        <v>6.97</v>
      </c>
      <c r="K918" s="5">
        <f t="shared" si="42"/>
        <v>0.69699999999999995</v>
      </c>
      <c r="L918" s="5">
        <f t="shared" si="43"/>
        <v>20.5</v>
      </c>
      <c r="M918" s="5" t="s">
        <v>39</v>
      </c>
      <c r="N918" s="5">
        <v>6.97</v>
      </c>
      <c r="O918" s="5" t="s">
        <v>39</v>
      </c>
      <c r="P918" t="s">
        <v>1589</v>
      </c>
      <c r="Q918" t="s">
        <v>1590</v>
      </c>
      <c r="R918" t="s">
        <v>37</v>
      </c>
      <c r="S918" t="s">
        <v>1591</v>
      </c>
      <c r="T918" t="s">
        <v>43</v>
      </c>
      <c r="U918" t="s">
        <v>44</v>
      </c>
      <c r="V918">
        <v>147</v>
      </c>
      <c r="W918" t="s">
        <v>45</v>
      </c>
      <c r="X918" t="s">
        <v>60</v>
      </c>
      <c r="Y918" t="s">
        <v>1592</v>
      </c>
      <c r="Z918" t="s">
        <v>1593</v>
      </c>
      <c r="AA918" t="s">
        <v>55</v>
      </c>
      <c r="AB918" t="s">
        <v>37</v>
      </c>
      <c r="AC918" s="6" t="s">
        <v>37</v>
      </c>
      <c r="AD918" s="6" t="s">
        <v>37</v>
      </c>
      <c r="AE918" t="s">
        <v>37</v>
      </c>
      <c r="AF918" t="s">
        <v>37</v>
      </c>
      <c r="AG918" s="6" t="s">
        <v>37</v>
      </c>
      <c r="AH918" t="s">
        <v>37</v>
      </c>
      <c r="AI918" t="s">
        <v>37</v>
      </c>
      <c r="AJ918" t="str">
        <f t="shared" si="44"/>
        <v>5WYKNRTCB01ENKI4D2</v>
      </c>
    </row>
    <row r="919" spans="1:36" ht="15" customHeight="1" x14ac:dyDescent="0.25">
      <c r="A919" t="s">
        <v>96</v>
      </c>
      <c r="B919" t="s">
        <v>37</v>
      </c>
      <c r="C919" t="s">
        <v>37</v>
      </c>
      <c r="D919" t="s">
        <v>38</v>
      </c>
      <c r="E919" s="4">
        <v>5</v>
      </c>
      <c r="F919" s="5">
        <v>1131.75</v>
      </c>
      <c r="G919" s="5" t="s">
        <v>39</v>
      </c>
      <c r="H919" s="5">
        <v>1799.2</v>
      </c>
      <c r="I919" s="5" t="s">
        <v>39</v>
      </c>
      <c r="J919" s="5">
        <v>38.479500000000002</v>
      </c>
      <c r="K919" s="5">
        <f t="shared" si="42"/>
        <v>7.6959</v>
      </c>
      <c r="L919" s="5">
        <f t="shared" si="43"/>
        <v>226.35</v>
      </c>
      <c r="M919" s="5" t="s">
        <v>39</v>
      </c>
      <c r="N919" s="5">
        <v>38.479500000000002</v>
      </c>
      <c r="O919" s="5" t="s">
        <v>39</v>
      </c>
      <c r="P919" t="s">
        <v>97</v>
      </c>
      <c r="Q919" t="s">
        <v>675</v>
      </c>
      <c r="R919" t="s">
        <v>37</v>
      </c>
      <c r="S919" t="s">
        <v>676</v>
      </c>
      <c r="T919" t="s">
        <v>43</v>
      </c>
      <c r="U919" t="s">
        <v>44</v>
      </c>
      <c r="V919">
        <v>147</v>
      </c>
      <c r="W919" t="s">
        <v>45</v>
      </c>
      <c r="X919" t="s">
        <v>46</v>
      </c>
      <c r="Y919" t="s">
        <v>677</v>
      </c>
      <c r="Z919" t="s">
        <v>37</v>
      </c>
      <c r="AA919" t="s">
        <v>55</v>
      </c>
      <c r="AB919" t="s">
        <v>37</v>
      </c>
      <c r="AC919" s="6" t="s">
        <v>37</v>
      </c>
      <c r="AD919" s="6" t="s">
        <v>37</v>
      </c>
      <c r="AE919" t="s">
        <v>37</v>
      </c>
      <c r="AF919" t="s">
        <v>37</v>
      </c>
      <c r="AG919" s="6" t="s">
        <v>37</v>
      </c>
      <c r="AH919" t="s">
        <v>37</v>
      </c>
      <c r="AI919" t="s">
        <v>37</v>
      </c>
      <c r="AJ919" t="str">
        <f t="shared" si="44"/>
        <v>7EMS2FPGB07W7KFFFF</v>
      </c>
    </row>
    <row r="920" spans="1:36" ht="15" customHeight="1" x14ac:dyDescent="0.25">
      <c r="A920" t="s">
        <v>101</v>
      </c>
      <c r="B920" t="s">
        <v>37</v>
      </c>
      <c r="C920" t="s">
        <v>37</v>
      </c>
      <c r="D920" t="s">
        <v>38</v>
      </c>
      <c r="E920" s="4">
        <v>32</v>
      </c>
      <c r="F920" s="5">
        <v>1519.36</v>
      </c>
      <c r="G920" s="5" t="s">
        <v>39</v>
      </c>
      <c r="H920" s="5">
        <v>2491.52</v>
      </c>
      <c r="I920" s="5" t="s">
        <v>39</v>
      </c>
      <c r="J920" s="5">
        <v>51.658239999999999</v>
      </c>
      <c r="K920" s="5">
        <f t="shared" si="42"/>
        <v>1.61432</v>
      </c>
      <c r="L920" s="5">
        <f t="shared" si="43"/>
        <v>47.48</v>
      </c>
      <c r="M920" s="5" t="s">
        <v>39</v>
      </c>
      <c r="N920" s="5">
        <v>51.658239999999999</v>
      </c>
      <c r="O920" s="5" t="s">
        <v>39</v>
      </c>
      <c r="P920" t="s">
        <v>120</v>
      </c>
      <c r="Q920" t="s">
        <v>1594</v>
      </c>
      <c r="R920" t="s">
        <v>37</v>
      </c>
      <c r="S920" t="s">
        <v>1595</v>
      </c>
      <c r="T920" t="s">
        <v>43</v>
      </c>
      <c r="U920" t="s">
        <v>44</v>
      </c>
      <c r="V920">
        <v>147</v>
      </c>
      <c r="W920" t="s">
        <v>45</v>
      </c>
      <c r="X920" t="s">
        <v>53</v>
      </c>
      <c r="Y920" t="s">
        <v>1596</v>
      </c>
      <c r="Z920" t="s">
        <v>37</v>
      </c>
      <c r="AA920" t="s">
        <v>55</v>
      </c>
      <c r="AB920" t="s">
        <v>37</v>
      </c>
      <c r="AC920" s="6" t="s">
        <v>37</v>
      </c>
      <c r="AD920" s="6" t="s">
        <v>37</v>
      </c>
      <c r="AE920" t="s">
        <v>37</v>
      </c>
      <c r="AF920" t="s">
        <v>37</v>
      </c>
      <c r="AG920" s="6" t="s">
        <v>37</v>
      </c>
      <c r="AH920" t="s">
        <v>37</v>
      </c>
      <c r="AI920" t="s">
        <v>37</v>
      </c>
      <c r="AJ920" t="str">
        <f t="shared" si="44"/>
        <v>5MWU8WTDB07W7MQMD9</v>
      </c>
    </row>
    <row r="921" spans="1:36" ht="15" customHeight="1" x14ac:dyDescent="0.25">
      <c r="A921" t="s">
        <v>36</v>
      </c>
      <c r="B921" t="s">
        <v>37</v>
      </c>
      <c r="C921" t="s">
        <v>37</v>
      </c>
      <c r="D921" t="s">
        <v>38</v>
      </c>
      <c r="E921" s="4">
        <v>20</v>
      </c>
      <c r="F921" s="5">
        <v>702.6</v>
      </c>
      <c r="G921" s="5" t="s">
        <v>39</v>
      </c>
      <c r="H921" s="5">
        <v>819.6</v>
      </c>
      <c r="I921" s="5" t="s">
        <v>39</v>
      </c>
      <c r="J921" s="5">
        <v>23.888400000000001</v>
      </c>
      <c r="K921" s="5">
        <f t="shared" si="42"/>
        <v>1.19442</v>
      </c>
      <c r="L921" s="5">
        <f t="shared" si="43"/>
        <v>35.130000000000003</v>
      </c>
      <c r="M921" s="5" t="s">
        <v>39</v>
      </c>
      <c r="N921" s="5">
        <v>23.888400000000001</v>
      </c>
      <c r="O921" s="5" t="s">
        <v>39</v>
      </c>
      <c r="P921" t="s">
        <v>67</v>
      </c>
      <c r="Q921" t="s">
        <v>1370</v>
      </c>
      <c r="R921" t="s">
        <v>1371</v>
      </c>
      <c r="S921" t="s">
        <v>1372</v>
      </c>
      <c r="T921" t="s">
        <v>43</v>
      </c>
      <c r="U921" t="s">
        <v>44</v>
      </c>
      <c r="V921">
        <v>147</v>
      </c>
      <c r="W921" t="s">
        <v>45</v>
      </c>
      <c r="X921" t="s">
        <v>60</v>
      </c>
      <c r="Y921" t="s">
        <v>1373</v>
      </c>
      <c r="Z921" t="s">
        <v>37</v>
      </c>
      <c r="AA921" t="s">
        <v>55</v>
      </c>
      <c r="AB921" t="s">
        <v>37</v>
      </c>
      <c r="AC921" s="6" t="s">
        <v>37</v>
      </c>
      <c r="AD921" s="6" t="s">
        <v>37</v>
      </c>
      <c r="AE921" t="s">
        <v>37</v>
      </c>
      <c r="AF921" t="s">
        <v>37</v>
      </c>
      <c r="AG921" s="6" t="s">
        <v>37</v>
      </c>
      <c r="AH921" t="s">
        <v>37</v>
      </c>
      <c r="AI921" t="s">
        <v>37</v>
      </c>
      <c r="AJ921" t="str">
        <f t="shared" si="44"/>
        <v>2TMBDXBKB0099P55SY</v>
      </c>
    </row>
    <row r="922" spans="1:36" ht="15" customHeight="1" x14ac:dyDescent="0.25">
      <c r="A922" t="s">
        <v>36</v>
      </c>
      <c r="B922" t="s">
        <v>37</v>
      </c>
      <c r="C922" t="s">
        <v>37</v>
      </c>
      <c r="D922" t="s">
        <v>38</v>
      </c>
      <c r="E922" s="4">
        <v>148</v>
      </c>
      <c r="F922" s="5">
        <v>12415.72</v>
      </c>
      <c r="G922" s="5" t="s">
        <v>39</v>
      </c>
      <c r="H922" s="5">
        <v>20500.96</v>
      </c>
      <c r="I922" s="5" t="s">
        <v>39</v>
      </c>
      <c r="J922" s="5">
        <v>422.13448</v>
      </c>
      <c r="K922" s="5">
        <f t="shared" si="42"/>
        <v>2.8522599999999998</v>
      </c>
      <c r="L922" s="5">
        <f t="shared" si="43"/>
        <v>83.89</v>
      </c>
      <c r="M922" s="5" t="s">
        <v>39</v>
      </c>
      <c r="N922" s="5">
        <v>422.13448</v>
      </c>
      <c r="O922" s="5" t="s">
        <v>39</v>
      </c>
      <c r="P922" t="s">
        <v>365</v>
      </c>
      <c r="Q922" t="s">
        <v>1597</v>
      </c>
      <c r="R922" t="s">
        <v>37</v>
      </c>
      <c r="S922" t="s">
        <v>1598</v>
      </c>
      <c r="T922" t="s">
        <v>43</v>
      </c>
      <c r="U922" t="s">
        <v>44</v>
      </c>
      <c r="V922">
        <v>147</v>
      </c>
      <c r="W922" t="s">
        <v>45</v>
      </c>
      <c r="X922" t="s">
        <v>46</v>
      </c>
      <c r="Y922" t="s">
        <v>1599</v>
      </c>
      <c r="Z922" t="s">
        <v>37</v>
      </c>
      <c r="AA922" t="s">
        <v>48</v>
      </c>
      <c r="AB922" t="s">
        <v>37</v>
      </c>
      <c r="AC922" s="6" t="s">
        <v>37</v>
      </c>
      <c r="AD922" s="6" t="s">
        <v>37</v>
      </c>
      <c r="AE922" t="s">
        <v>37</v>
      </c>
      <c r="AF922" t="s">
        <v>37</v>
      </c>
      <c r="AG922" s="6" t="s">
        <v>37</v>
      </c>
      <c r="AH922" t="s">
        <v>37</v>
      </c>
      <c r="AI922" t="s">
        <v>37</v>
      </c>
      <c r="AJ922" t="str">
        <f t="shared" si="44"/>
        <v>3KYCEHVHB01M8M8G23</v>
      </c>
    </row>
    <row r="923" spans="1:36" ht="15" customHeight="1" x14ac:dyDescent="0.25">
      <c r="A923" t="s">
        <v>36</v>
      </c>
      <c r="B923" t="s">
        <v>37</v>
      </c>
      <c r="C923" t="s">
        <v>37</v>
      </c>
      <c r="D923" t="s">
        <v>38</v>
      </c>
      <c r="E923" s="4">
        <v>24</v>
      </c>
      <c r="F923" s="5">
        <v>2013.36</v>
      </c>
      <c r="G923" s="5" t="s">
        <v>39</v>
      </c>
      <c r="H923" s="5">
        <v>3245.76</v>
      </c>
      <c r="I923" s="5" t="s">
        <v>39</v>
      </c>
      <c r="J923" s="5">
        <v>68.454239999999999</v>
      </c>
      <c r="K923" s="5">
        <f t="shared" si="42"/>
        <v>2.8522599999999998</v>
      </c>
      <c r="L923" s="5">
        <f t="shared" si="43"/>
        <v>83.89</v>
      </c>
      <c r="M923" s="5" t="s">
        <v>39</v>
      </c>
      <c r="N923" s="5">
        <v>68.454239999999999</v>
      </c>
      <c r="O923" s="5" t="s">
        <v>39</v>
      </c>
      <c r="P923" t="s">
        <v>119</v>
      </c>
      <c r="Q923" t="s">
        <v>223</v>
      </c>
      <c r="R923" t="s">
        <v>37</v>
      </c>
      <c r="S923" t="s">
        <v>224</v>
      </c>
      <c r="T923" t="s">
        <v>43</v>
      </c>
      <c r="U923" t="s">
        <v>44</v>
      </c>
      <c r="V923">
        <v>147</v>
      </c>
      <c r="W923" t="s">
        <v>45</v>
      </c>
      <c r="X923" t="s">
        <v>53</v>
      </c>
      <c r="Y923" t="s">
        <v>225</v>
      </c>
      <c r="Z923" t="s">
        <v>37</v>
      </c>
      <c r="AA923" t="s">
        <v>55</v>
      </c>
      <c r="AB923" t="s">
        <v>37</v>
      </c>
      <c r="AC923" s="6" t="s">
        <v>37</v>
      </c>
      <c r="AD923" s="6" t="s">
        <v>37</v>
      </c>
      <c r="AE923" t="s">
        <v>37</v>
      </c>
      <c r="AF923" t="s">
        <v>37</v>
      </c>
      <c r="AG923" s="6" t="s">
        <v>37</v>
      </c>
      <c r="AH923" t="s">
        <v>37</v>
      </c>
      <c r="AI923" t="s">
        <v>37</v>
      </c>
      <c r="AJ923" t="str">
        <f t="shared" si="44"/>
        <v>31DJDC7QB07W4DHKTD</v>
      </c>
    </row>
    <row r="924" spans="1:36" ht="15" customHeight="1" x14ac:dyDescent="0.25">
      <c r="A924" t="s">
        <v>110</v>
      </c>
      <c r="B924" t="s">
        <v>37</v>
      </c>
      <c r="C924" t="s">
        <v>37</v>
      </c>
      <c r="D924" t="s">
        <v>38</v>
      </c>
      <c r="E924" s="4">
        <v>4</v>
      </c>
      <c r="F924" s="5">
        <v>105.48</v>
      </c>
      <c r="G924" s="5" t="s">
        <v>39</v>
      </c>
      <c r="H924" s="5">
        <v>177</v>
      </c>
      <c r="I924" s="5" t="s">
        <v>39</v>
      </c>
      <c r="J924" s="5">
        <v>3.5863200000000002</v>
      </c>
      <c r="K924" s="5">
        <f t="shared" si="42"/>
        <v>0.89658000000000004</v>
      </c>
      <c r="L924" s="5">
        <f t="shared" si="43"/>
        <v>26.37</v>
      </c>
      <c r="M924" s="5" t="s">
        <v>39</v>
      </c>
      <c r="N924" s="5">
        <v>3.5863200000000002</v>
      </c>
      <c r="O924" s="5" t="s">
        <v>39</v>
      </c>
      <c r="P924" t="s">
        <v>274</v>
      </c>
      <c r="Q924" t="s">
        <v>64</v>
      </c>
      <c r="R924" t="s">
        <v>37</v>
      </c>
      <c r="S924" t="s">
        <v>65</v>
      </c>
      <c r="T924" t="s">
        <v>43</v>
      </c>
      <c r="U924" t="s">
        <v>44</v>
      </c>
      <c r="V924">
        <v>147</v>
      </c>
      <c r="W924" t="s">
        <v>45</v>
      </c>
      <c r="X924" t="s">
        <v>53</v>
      </c>
      <c r="Y924" t="s">
        <v>66</v>
      </c>
      <c r="Z924" t="s">
        <v>37</v>
      </c>
      <c r="AA924" t="s">
        <v>48</v>
      </c>
      <c r="AB924" t="s">
        <v>37</v>
      </c>
      <c r="AC924" s="6" t="s">
        <v>37</v>
      </c>
      <c r="AD924" s="6" t="s">
        <v>37</v>
      </c>
      <c r="AE924" t="s">
        <v>37</v>
      </c>
      <c r="AF924" t="s">
        <v>37</v>
      </c>
      <c r="AG924" s="6" t="s">
        <v>37</v>
      </c>
      <c r="AH924" t="s">
        <v>37</v>
      </c>
      <c r="AI924" t="s">
        <v>37</v>
      </c>
      <c r="AJ924" t="str">
        <f t="shared" si="44"/>
        <v>4LYATDUXB00Q6MR0UO</v>
      </c>
    </row>
    <row r="925" spans="1:36" ht="15" customHeight="1" x14ac:dyDescent="0.25">
      <c r="A925" t="s">
        <v>118</v>
      </c>
      <c r="B925" t="s">
        <v>37</v>
      </c>
      <c r="C925" t="s">
        <v>37</v>
      </c>
      <c r="D925" t="s">
        <v>38</v>
      </c>
      <c r="E925" s="4">
        <v>4</v>
      </c>
      <c r="F925" s="5">
        <v>179.8</v>
      </c>
      <c r="G925" s="5" t="s">
        <v>39</v>
      </c>
      <c r="H925" s="5">
        <v>213.08</v>
      </c>
      <c r="I925" s="5" t="s">
        <v>39</v>
      </c>
      <c r="J925" s="5">
        <v>6.1132</v>
      </c>
      <c r="K925" s="5">
        <f t="shared" si="42"/>
        <v>1.5283</v>
      </c>
      <c r="L925" s="5">
        <f t="shared" si="43"/>
        <v>44.95</v>
      </c>
      <c r="M925" s="5" t="s">
        <v>39</v>
      </c>
      <c r="N925" s="5">
        <v>6.1132</v>
      </c>
      <c r="O925" s="5" t="s">
        <v>39</v>
      </c>
      <c r="P925" t="s">
        <v>202</v>
      </c>
      <c r="Q925" t="s">
        <v>459</v>
      </c>
      <c r="R925" t="s">
        <v>37</v>
      </c>
      <c r="S925" t="s">
        <v>460</v>
      </c>
      <c r="T925" t="s">
        <v>43</v>
      </c>
      <c r="U925" t="s">
        <v>44</v>
      </c>
      <c r="V925">
        <v>23</v>
      </c>
      <c r="W925" t="s">
        <v>45</v>
      </c>
      <c r="X925" t="s">
        <v>239</v>
      </c>
      <c r="Y925" t="s">
        <v>461</v>
      </c>
      <c r="Z925" t="s">
        <v>37</v>
      </c>
      <c r="AA925" t="s">
        <v>95</v>
      </c>
      <c r="AB925" t="s">
        <v>37</v>
      </c>
      <c r="AC925" s="6" t="s">
        <v>37</v>
      </c>
      <c r="AD925" s="6" t="s">
        <v>37</v>
      </c>
      <c r="AE925" t="s">
        <v>37</v>
      </c>
      <c r="AF925" t="s">
        <v>37</v>
      </c>
      <c r="AG925" s="6" t="s">
        <v>37</v>
      </c>
      <c r="AH925" t="s">
        <v>37</v>
      </c>
      <c r="AI925" t="s">
        <v>37</v>
      </c>
      <c r="AJ925" t="str">
        <f t="shared" si="44"/>
        <v>39TAD6PCB07W5JKLRF</v>
      </c>
    </row>
    <row r="926" spans="1:36" ht="15" customHeight="1" x14ac:dyDescent="0.25">
      <c r="A926" t="s">
        <v>62</v>
      </c>
      <c r="B926" t="s">
        <v>37</v>
      </c>
      <c r="C926" t="s">
        <v>37</v>
      </c>
      <c r="D926" t="s">
        <v>38</v>
      </c>
      <c r="E926" s="4">
        <v>4</v>
      </c>
      <c r="F926" s="5">
        <v>272.24</v>
      </c>
      <c r="G926" s="5" t="s">
        <v>39</v>
      </c>
      <c r="H926" s="5">
        <v>442.6</v>
      </c>
      <c r="I926" s="5" t="s">
        <v>39</v>
      </c>
      <c r="J926" s="5">
        <v>9.2561599999999995</v>
      </c>
      <c r="K926" s="5">
        <f t="shared" si="42"/>
        <v>2.3140399999999999</v>
      </c>
      <c r="L926" s="5">
        <f t="shared" si="43"/>
        <v>68.06</v>
      </c>
      <c r="M926" s="5" t="s">
        <v>39</v>
      </c>
      <c r="N926" s="5">
        <v>9.2561599999999995</v>
      </c>
      <c r="O926" s="5" t="s">
        <v>39</v>
      </c>
      <c r="P926" t="s">
        <v>177</v>
      </c>
      <c r="Q926" t="s">
        <v>1174</v>
      </c>
      <c r="R926" t="s">
        <v>37</v>
      </c>
      <c r="S926" t="s">
        <v>1175</v>
      </c>
      <c r="T926" t="s">
        <v>43</v>
      </c>
      <c r="U926" t="s">
        <v>44</v>
      </c>
      <c r="V926">
        <v>147</v>
      </c>
      <c r="W926" t="s">
        <v>45</v>
      </c>
      <c r="X926" t="s">
        <v>46</v>
      </c>
      <c r="Y926" t="s">
        <v>1176</v>
      </c>
      <c r="Z926" t="s">
        <v>37</v>
      </c>
      <c r="AA926" t="s">
        <v>95</v>
      </c>
      <c r="AB926" t="s">
        <v>37</v>
      </c>
      <c r="AC926" s="6" t="s">
        <v>37</v>
      </c>
      <c r="AD926" s="6" t="s">
        <v>37</v>
      </c>
      <c r="AE926" t="s">
        <v>37</v>
      </c>
      <c r="AF926" t="s">
        <v>37</v>
      </c>
      <c r="AG926" s="6" t="s">
        <v>37</v>
      </c>
      <c r="AH926" t="s">
        <v>37</v>
      </c>
      <c r="AI926" t="s">
        <v>37</v>
      </c>
      <c r="AJ926" t="str">
        <f t="shared" si="44"/>
        <v>4F3XMHTVB07W6HJPSW</v>
      </c>
    </row>
    <row r="927" spans="1:36" ht="15" customHeight="1" x14ac:dyDescent="0.25">
      <c r="A927" t="s">
        <v>36</v>
      </c>
      <c r="B927" t="s">
        <v>37</v>
      </c>
      <c r="C927" t="s">
        <v>37</v>
      </c>
      <c r="D927" t="s">
        <v>38</v>
      </c>
      <c r="E927" s="4">
        <v>24</v>
      </c>
      <c r="F927" s="5">
        <v>2784.48</v>
      </c>
      <c r="G927" s="5" t="s">
        <v>39</v>
      </c>
      <c r="H927" s="5">
        <v>3934.32</v>
      </c>
      <c r="I927" s="5" t="s">
        <v>39</v>
      </c>
      <c r="J927" s="5">
        <v>94.672319999999999</v>
      </c>
      <c r="K927" s="5">
        <f t="shared" si="42"/>
        <v>3.94468</v>
      </c>
      <c r="L927" s="5">
        <f t="shared" si="43"/>
        <v>116.02</v>
      </c>
      <c r="M927" s="5" t="s">
        <v>39</v>
      </c>
      <c r="N927" s="5">
        <v>94.672319999999999</v>
      </c>
      <c r="O927" s="5" t="s">
        <v>39</v>
      </c>
      <c r="P927" t="s">
        <v>168</v>
      </c>
      <c r="Q927" t="s">
        <v>124</v>
      </c>
      <c r="R927" t="s">
        <v>37</v>
      </c>
      <c r="S927" t="s">
        <v>125</v>
      </c>
      <c r="T927" t="s">
        <v>43</v>
      </c>
      <c r="U927" t="s">
        <v>44</v>
      </c>
      <c r="V927">
        <v>147</v>
      </c>
      <c r="W927" t="s">
        <v>45</v>
      </c>
      <c r="X927" t="s">
        <v>60</v>
      </c>
      <c r="Y927" t="s">
        <v>126</v>
      </c>
      <c r="Z927" t="s">
        <v>37</v>
      </c>
      <c r="AA927" t="s">
        <v>55</v>
      </c>
      <c r="AB927" t="s">
        <v>37</v>
      </c>
      <c r="AC927" s="6" t="s">
        <v>37</v>
      </c>
      <c r="AD927" s="6" t="s">
        <v>37</v>
      </c>
      <c r="AE927" t="s">
        <v>37</v>
      </c>
      <c r="AF927" t="s">
        <v>37</v>
      </c>
      <c r="AG927" s="6" t="s">
        <v>37</v>
      </c>
      <c r="AH927" t="s">
        <v>37</v>
      </c>
      <c r="AI927" t="s">
        <v>37</v>
      </c>
      <c r="AJ927" t="str">
        <f t="shared" si="44"/>
        <v>2R6FMUZDB07W6HPP3R</v>
      </c>
    </row>
    <row r="928" spans="1:36" ht="15" customHeight="1" x14ac:dyDescent="0.25">
      <c r="A928" t="s">
        <v>36</v>
      </c>
      <c r="B928" t="s">
        <v>37</v>
      </c>
      <c r="C928" t="s">
        <v>37</v>
      </c>
      <c r="D928" t="s">
        <v>38</v>
      </c>
      <c r="E928" s="4">
        <v>8</v>
      </c>
      <c r="F928" s="5">
        <v>1156.56</v>
      </c>
      <c r="G928" s="5" t="s">
        <v>39</v>
      </c>
      <c r="H928" s="5">
        <v>1370.48</v>
      </c>
      <c r="I928" s="5" t="s">
        <v>39</v>
      </c>
      <c r="J928" s="5">
        <v>39.323039999999999</v>
      </c>
      <c r="K928" s="5">
        <f t="shared" si="42"/>
        <v>4.9153799999999999</v>
      </c>
      <c r="L928" s="5">
        <f t="shared" si="43"/>
        <v>144.57</v>
      </c>
      <c r="M928" s="5" t="s">
        <v>39</v>
      </c>
      <c r="N928" s="5">
        <v>39.323039999999999</v>
      </c>
      <c r="O928" s="5" t="s">
        <v>39</v>
      </c>
      <c r="P928" t="s">
        <v>365</v>
      </c>
      <c r="Q928" t="s">
        <v>1600</v>
      </c>
      <c r="R928" t="s">
        <v>1601</v>
      </c>
      <c r="S928" t="s">
        <v>1602</v>
      </c>
      <c r="T928" t="s">
        <v>43</v>
      </c>
      <c r="U928" t="s">
        <v>44</v>
      </c>
      <c r="V928">
        <v>267</v>
      </c>
      <c r="W928" t="s">
        <v>151</v>
      </c>
      <c r="X928" t="s">
        <v>152</v>
      </c>
      <c r="Y928" t="s">
        <v>1603</v>
      </c>
      <c r="Z928" t="s">
        <v>37</v>
      </c>
      <c r="AA928" t="s">
        <v>48</v>
      </c>
      <c r="AB928" t="s">
        <v>37</v>
      </c>
      <c r="AC928" s="6" t="s">
        <v>37</v>
      </c>
      <c r="AD928" s="6" t="s">
        <v>37</v>
      </c>
      <c r="AE928" t="s">
        <v>37</v>
      </c>
      <c r="AF928" t="s">
        <v>37</v>
      </c>
      <c r="AG928" s="6" t="s">
        <v>37</v>
      </c>
      <c r="AH928" t="s">
        <v>37</v>
      </c>
      <c r="AI928" t="s">
        <v>37</v>
      </c>
      <c r="AJ928" t="str">
        <f t="shared" si="44"/>
        <v>3KYCEHVHB074379C7Q</v>
      </c>
    </row>
    <row r="929" spans="1:36" ht="15" customHeight="1" x14ac:dyDescent="0.25">
      <c r="A929" t="s">
        <v>96</v>
      </c>
      <c r="B929" t="s">
        <v>37</v>
      </c>
      <c r="C929" t="s">
        <v>37</v>
      </c>
      <c r="D929" t="s">
        <v>38</v>
      </c>
      <c r="E929" s="4">
        <v>24</v>
      </c>
      <c r="F929" s="5">
        <v>1517.52</v>
      </c>
      <c r="G929" s="5" t="s">
        <v>39</v>
      </c>
      <c r="H929" s="5">
        <v>2340.96</v>
      </c>
      <c r="I929" s="5" t="s">
        <v>39</v>
      </c>
      <c r="J929" s="5">
        <v>51.595680000000002</v>
      </c>
      <c r="K929" s="5">
        <f t="shared" si="42"/>
        <v>2.1498200000000001</v>
      </c>
      <c r="L929" s="5">
        <f t="shared" si="43"/>
        <v>63.23</v>
      </c>
      <c r="M929" s="5" t="s">
        <v>39</v>
      </c>
      <c r="N929" s="5">
        <v>51.595680000000002</v>
      </c>
      <c r="O929" s="5" t="s">
        <v>39</v>
      </c>
      <c r="P929" t="s">
        <v>195</v>
      </c>
      <c r="Q929" t="s">
        <v>1604</v>
      </c>
      <c r="R929" t="s">
        <v>37</v>
      </c>
      <c r="S929" t="s">
        <v>1605</v>
      </c>
      <c r="T929" t="s">
        <v>43</v>
      </c>
      <c r="U929" t="s">
        <v>44</v>
      </c>
      <c r="V929">
        <v>147</v>
      </c>
      <c r="W929" t="s">
        <v>45</v>
      </c>
      <c r="X929" t="s">
        <v>60</v>
      </c>
      <c r="Y929" t="s">
        <v>1606</v>
      </c>
      <c r="Z929" t="s">
        <v>37</v>
      </c>
      <c r="AA929" t="s">
        <v>1607</v>
      </c>
      <c r="AB929" t="s">
        <v>37</v>
      </c>
      <c r="AC929" s="6" t="s">
        <v>37</v>
      </c>
      <c r="AD929" s="6" t="s">
        <v>37</v>
      </c>
      <c r="AE929" t="s">
        <v>37</v>
      </c>
      <c r="AF929" t="s">
        <v>37</v>
      </c>
      <c r="AG929" s="6" t="s">
        <v>37</v>
      </c>
      <c r="AH929" t="s">
        <v>37</v>
      </c>
      <c r="AI929" t="s">
        <v>37</v>
      </c>
      <c r="AJ929" t="str">
        <f t="shared" si="44"/>
        <v>5X1OU9ZGB07W6J6WYH</v>
      </c>
    </row>
    <row r="930" spans="1:36" ht="15" customHeight="1" x14ac:dyDescent="0.25">
      <c r="A930" t="s">
        <v>101</v>
      </c>
      <c r="B930" t="s">
        <v>37</v>
      </c>
      <c r="C930" t="s">
        <v>37</v>
      </c>
      <c r="D930" t="s">
        <v>38</v>
      </c>
      <c r="E930" s="4">
        <v>60</v>
      </c>
      <c r="F930" s="5">
        <v>4524.6000000000004</v>
      </c>
      <c r="G930" s="5" t="s">
        <v>39</v>
      </c>
      <c r="H930" s="5">
        <v>6639</v>
      </c>
      <c r="I930" s="5" t="s">
        <v>39</v>
      </c>
      <c r="J930" s="5">
        <v>153.8364</v>
      </c>
      <c r="K930" s="5">
        <f t="shared" si="42"/>
        <v>2.5639400000000001</v>
      </c>
      <c r="L930" s="5">
        <f t="shared" si="43"/>
        <v>75.410000000000011</v>
      </c>
      <c r="M930" s="5" t="s">
        <v>39</v>
      </c>
      <c r="N930" s="5">
        <v>153.8364</v>
      </c>
      <c r="O930" s="5" t="s">
        <v>39</v>
      </c>
      <c r="P930" t="s">
        <v>274</v>
      </c>
      <c r="Q930" t="s">
        <v>817</v>
      </c>
      <c r="R930" t="s">
        <v>37</v>
      </c>
      <c r="S930" t="s">
        <v>818</v>
      </c>
      <c r="T930" t="s">
        <v>43</v>
      </c>
      <c r="U930" t="s">
        <v>44</v>
      </c>
      <c r="V930">
        <v>147</v>
      </c>
      <c r="W930" t="s">
        <v>45</v>
      </c>
      <c r="X930" t="s">
        <v>60</v>
      </c>
      <c r="Y930" t="s">
        <v>819</v>
      </c>
      <c r="Z930" t="s">
        <v>37</v>
      </c>
      <c r="AA930" t="s">
        <v>55</v>
      </c>
      <c r="AB930" t="s">
        <v>37</v>
      </c>
      <c r="AC930" s="6" t="s">
        <v>37</v>
      </c>
      <c r="AD930" s="6" t="s">
        <v>37</v>
      </c>
      <c r="AE930" t="s">
        <v>37</v>
      </c>
      <c r="AF930" t="s">
        <v>37</v>
      </c>
      <c r="AG930" s="6" t="s">
        <v>37</v>
      </c>
      <c r="AH930" t="s">
        <v>37</v>
      </c>
      <c r="AI930" t="s">
        <v>37</v>
      </c>
      <c r="AJ930" t="str">
        <f t="shared" si="44"/>
        <v>4LYATDUXB07W6HXZ5J</v>
      </c>
    </row>
    <row r="931" spans="1:36" ht="15" customHeight="1" x14ac:dyDescent="0.25">
      <c r="A931" t="s">
        <v>62</v>
      </c>
      <c r="B931" t="s">
        <v>37</v>
      </c>
      <c r="C931" t="s">
        <v>37</v>
      </c>
      <c r="D931" t="s">
        <v>38</v>
      </c>
      <c r="E931" s="4">
        <v>0</v>
      </c>
      <c r="F931" s="5">
        <v>0</v>
      </c>
      <c r="G931" s="5" t="s">
        <v>39</v>
      </c>
      <c r="H931" s="5">
        <v>0</v>
      </c>
      <c r="I931" s="5" t="s">
        <v>39</v>
      </c>
      <c r="J931" s="5">
        <v>0</v>
      </c>
      <c r="K931" s="5" t="e">
        <f t="shared" si="42"/>
        <v>#DIV/0!</v>
      </c>
      <c r="L931" s="5" t="e">
        <f t="shared" si="43"/>
        <v>#DIV/0!</v>
      </c>
      <c r="M931" s="5" t="s">
        <v>39</v>
      </c>
      <c r="N931" s="5">
        <v>0</v>
      </c>
      <c r="O931" s="5" t="s">
        <v>39</v>
      </c>
      <c r="P931" t="s">
        <v>72</v>
      </c>
      <c r="Q931" t="s">
        <v>1582</v>
      </c>
      <c r="R931" t="s">
        <v>1583</v>
      </c>
      <c r="S931" t="s">
        <v>1584</v>
      </c>
      <c r="T931" t="s">
        <v>43</v>
      </c>
      <c r="U931" t="s">
        <v>44</v>
      </c>
      <c r="V931">
        <v>147</v>
      </c>
      <c r="W931" t="s">
        <v>45</v>
      </c>
      <c r="X931" t="s">
        <v>53</v>
      </c>
      <c r="Y931" t="s">
        <v>1585</v>
      </c>
      <c r="Z931" t="s">
        <v>37</v>
      </c>
      <c r="AA931" t="s">
        <v>55</v>
      </c>
      <c r="AB931" t="s">
        <v>37</v>
      </c>
      <c r="AC931" s="6" t="s">
        <v>37</v>
      </c>
      <c r="AD931" s="6" t="s">
        <v>37</v>
      </c>
      <c r="AE931" t="s">
        <v>37</v>
      </c>
      <c r="AF931" t="s">
        <v>37</v>
      </c>
      <c r="AG931" s="6" t="s">
        <v>37</v>
      </c>
      <c r="AH931" t="s">
        <v>37</v>
      </c>
      <c r="AI931" t="s">
        <v>37</v>
      </c>
      <c r="AJ931" t="str">
        <f t="shared" si="44"/>
        <v>4GF112AEB003D8ZT0C</v>
      </c>
    </row>
    <row r="932" spans="1:36" ht="15" customHeight="1" x14ac:dyDescent="0.25">
      <c r="A932" t="s">
        <v>101</v>
      </c>
      <c r="B932" t="s">
        <v>37</v>
      </c>
      <c r="C932" t="s">
        <v>37</v>
      </c>
      <c r="D932" t="s">
        <v>38</v>
      </c>
      <c r="E932" s="4">
        <v>28</v>
      </c>
      <c r="F932" s="5">
        <v>738.36</v>
      </c>
      <c r="G932" s="5" t="s">
        <v>39</v>
      </c>
      <c r="H932" s="5">
        <v>1239</v>
      </c>
      <c r="I932" s="5" t="s">
        <v>39</v>
      </c>
      <c r="J932" s="5">
        <v>25.104240000000001</v>
      </c>
      <c r="K932" s="5">
        <f t="shared" si="42"/>
        <v>0.89658000000000004</v>
      </c>
      <c r="L932" s="5">
        <f t="shared" si="43"/>
        <v>26.37</v>
      </c>
      <c r="M932" s="5" t="s">
        <v>39</v>
      </c>
      <c r="N932" s="5">
        <v>25.104240000000001</v>
      </c>
      <c r="O932" s="5" t="s">
        <v>39</v>
      </c>
      <c r="P932" t="s">
        <v>274</v>
      </c>
      <c r="Q932" t="s">
        <v>64</v>
      </c>
      <c r="R932" t="s">
        <v>37</v>
      </c>
      <c r="S932" t="s">
        <v>65</v>
      </c>
      <c r="T932" t="s">
        <v>43</v>
      </c>
      <c r="U932" t="s">
        <v>44</v>
      </c>
      <c r="V932">
        <v>147</v>
      </c>
      <c r="W932" t="s">
        <v>45</v>
      </c>
      <c r="X932" t="s">
        <v>53</v>
      </c>
      <c r="Y932" t="s">
        <v>66</v>
      </c>
      <c r="Z932" t="s">
        <v>37</v>
      </c>
      <c r="AA932" t="s">
        <v>48</v>
      </c>
      <c r="AB932" t="s">
        <v>37</v>
      </c>
      <c r="AC932" s="6" t="s">
        <v>37</v>
      </c>
      <c r="AD932" s="6" t="s">
        <v>37</v>
      </c>
      <c r="AE932" t="s">
        <v>37</v>
      </c>
      <c r="AF932" t="s">
        <v>37</v>
      </c>
      <c r="AG932" s="6" t="s">
        <v>37</v>
      </c>
      <c r="AH932" t="s">
        <v>37</v>
      </c>
      <c r="AI932" t="s">
        <v>37</v>
      </c>
      <c r="AJ932" t="str">
        <f t="shared" si="44"/>
        <v>4LYATDUXB00Q6MR0UO</v>
      </c>
    </row>
    <row r="933" spans="1:36" ht="15" customHeight="1" x14ac:dyDescent="0.25">
      <c r="A933" t="s">
        <v>101</v>
      </c>
      <c r="B933" t="s">
        <v>37</v>
      </c>
      <c r="C933" t="s">
        <v>37</v>
      </c>
      <c r="D933" t="s">
        <v>38</v>
      </c>
      <c r="E933" s="4">
        <v>128</v>
      </c>
      <c r="F933" s="5">
        <v>8835.84</v>
      </c>
      <c r="G933" s="5" t="s">
        <v>39</v>
      </c>
      <c r="H933" s="5">
        <v>13534.72</v>
      </c>
      <c r="I933" s="5" t="s">
        <v>39</v>
      </c>
      <c r="J933" s="5">
        <v>300.41856000000001</v>
      </c>
      <c r="K933" s="5">
        <f t="shared" si="42"/>
        <v>2.3470200000000001</v>
      </c>
      <c r="L933" s="5">
        <f t="shared" si="43"/>
        <v>69.03</v>
      </c>
      <c r="M933" s="5" t="s">
        <v>39</v>
      </c>
      <c r="N933" s="5">
        <v>300.41856000000001</v>
      </c>
      <c r="O933" s="5" t="s">
        <v>39</v>
      </c>
      <c r="P933" t="s">
        <v>320</v>
      </c>
      <c r="Q933" t="s">
        <v>328</v>
      </c>
      <c r="R933" t="s">
        <v>37</v>
      </c>
      <c r="S933" t="s">
        <v>329</v>
      </c>
      <c r="T933" t="s">
        <v>43</v>
      </c>
      <c r="U933" t="s">
        <v>44</v>
      </c>
      <c r="V933">
        <v>147</v>
      </c>
      <c r="W933" t="s">
        <v>45</v>
      </c>
      <c r="X933" t="s">
        <v>239</v>
      </c>
      <c r="Y933" t="s">
        <v>330</v>
      </c>
      <c r="Z933" t="s">
        <v>37</v>
      </c>
      <c r="AA933" t="s">
        <v>55</v>
      </c>
      <c r="AB933" t="s">
        <v>37</v>
      </c>
      <c r="AC933" s="6" t="s">
        <v>37</v>
      </c>
      <c r="AD933" s="6" t="s">
        <v>37</v>
      </c>
      <c r="AE933" t="s">
        <v>37</v>
      </c>
      <c r="AF933" t="s">
        <v>37</v>
      </c>
      <c r="AG933" s="6" t="s">
        <v>37</v>
      </c>
      <c r="AH933" t="s">
        <v>37</v>
      </c>
      <c r="AI933" t="s">
        <v>37</v>
      </c>
      <c r="AJ933" t="str">
        <f t="shared" si="44"/>
        <v>8BG295LIB07MM4V7NR</v>
      </c>
    </row>
    <row r="934" spans="1:36" ht="15" customHeight="1" x14ac:dyDescent="0.25">
      <c r="A934" t="s">
        <v>101</v>
      </c>
      <c r="B934" t="s">
        <v>37</v>
      </c>
      <c r="C934" t="s">
        <v>37</v>
      </c>
      <c r="D934" t="s">
        <v>38</v>
      </c>
      <c r="E934" s="4">
        <v>180</v>
      </c>
      <c r="F934" s="5">
        <v>4743</v>
      </c>
      <c r="G934" s="5" t="s">
        <v>39</v>
      </c>
      <c r="H934" s="5">
        <v>7081.2</v>
      </c>
      <c r="I934" s="5" t="s">
        <v>39</v>
      </c>
      <c r="J934" s="5">
        <v>161.262</v>
      </c>
      <c r="K934" s="5">
        <f t="shared" si="42"/>
        <v>0.89590000000000003</v>
      </c>
      <c r="L934" s="5">
        <f t="shared" si="43"/>
        <v>26.35</v>
      </c>
      <c r="M934" s="5" t="s">
        <v>39</v>
      </c>
      <c r="N934" s="5">
        <v>161.262</v>
      </c>
      <c r="O934" s="5" t="s">
        <v>39</v>
      </c>
      <c r="P934" t="s">
        <v>102</v>
      </c>
      <c r="Q934" t="s">
        <v>405</v>
      </c>
      <c r="R934" t="s">
        <v>37</v>
      </c>
      <c r="S934" t="s">
        <v>406</v>
      </c>
      <c r="T934" t="s">
        <v>43</v>
      </c>
      <c r="U934" t="s">
        <v>44</v>
      </c>
      <c r="V934">
        <v>147</v>
      </c>
      <c r="W934" t="s">
        <v>45</v>
      </c>
      <c r="X934" t="s">
        <v>53</v>
      </c>
      <c r="Y934" t="s">
        <v>407</v>
      </c>
      <c r="Z934" t="s">
        <v>37</v>
      </c>
      <c r="AA934" t="s">
        <v>55</v>
      </c>
      <c r="AB934" t="s">
        <v>37</v>
      </c>
      <c r="AC934" s="6" t="s">
        <v>37</v>
      </c>
      <c r="AD934" s="6" t="s">
        <v>37</v>
      </c>
      <c r="AE934" t="s">
        <v>37</v>
      </c>
      <c r="AF934" t="s">
        <v>37</v>
      </c>
      <c r="AG934" s="6" t="s">
        <v>37</v>
      </c>
      <c r="AH934" t="s">
        <v>37</v>
      </c>
      <c r="AI934" t="s">
        <v>37</v>
      </c>
      <c r="AJ934" t="str">
        <f t="shared" si="44"/>
        <v>2M7QFTCOB07W6J829F</v>
      </c>
    </row>
    <row r="935" spans="1:36" ht="15" customHeight="1" x14ac:dyDescent="0.25">
      <c r="A935" t="s">
        <v>118</v>
      </c>
      <c r="B935" t="s">
        <v>37</v>
      </c>
      <c r="C935" t="s">
        <v>37</v>
      </c>
      <c r="D935" t="s">
        <v>38</v>
      </c>
      <c r="E935" s="4">
        <v>4</v>
      </c>
      <c r="F935" s="5">
        <v>163.96</v>
      </c>
      <c r="G935" s="5" t="s">
        <v>39</v>
      </c>
      <c r="H935" s="5">
        <v>236.04</v>
      </c>
      <c r="I935" s="5" t="s">
        <v>39</v>
      </c>
      <c r="J935" s="5">
        <v>5.5746399999999996</v>
      </c>
      <c r="K935" s="5">
        <f t="shared" si="42"/>
        <v>1.3936599999999999</v>
      </c>
      <c r="L935" s="5">
        <f t="shared" si="43"/>
        <v>40.99</v>
      </c>
      <c r="M935" s="5" t="s">
        <v>39</v>
      </c>
      <c r="N935" s="5">
        <v>5.5746399999999996</v>
      </c>
      <c r="O935" s="5" t="s">
        <v>39</v>
      </c>
      <c r="P935" t="s">
        <v>141</v>
      </c>
      <c r="Q935" t="s">
        <v>1608</v>
      </c>
      <c r="R935" t="s">
        <v>37</v>
      </c>
      <c r="S935" t="s">
        <v>1609</v>
      </c>
      <c r="T935" t="s">
        <v>43</v>
      </c>
      <c r="U935" t="s">
        <v>44</v>
      </c>
      <c r="V935">
        <v>147</v>
      </c>
      <c r="W935" t="s">
        <v>45</v>
      </c>
      <c r="X935" t="s">
        <v>389</v>
      </c>
      <c r="Y935" t="s">
        <v>1610</v>
      </c>
      <c r="Z935" t="s">
        <v>37</v>
      </c>
      <c r="AA935" t="s">
        <v>95</v>
      </c>
      <c r="AB935" t="s">
        <v>37</v>
      </c>
      <c r="AC935" s="6" t="s">
        <v>37</v>
      </c>
      <c r="AD935" s="6" t="s">
        <v>37</v>
      </c>
      <c r="AE935" t="s">
        <v>37</v>
      </c>
      <c r="AF935" t="s">
        <v>37</v>
      </c>
      <c r="AG935" s="6" t="s">
        <v>37</v>
      </c>
      <c r="AH935" t="s">
        <v>37</v>
      </c>
      <c r="AI935" t="s">
        <v>37</v>
      </c>
      <c r="AJ935" t="str">
        <f t="shared" si="44"/>
        <v>56UO2L2IB074N6823V</v>
      </c>
    </row>
    <row r="936" spans="1:36" ht="15" customHeight="1" x14ac:dyDescent="0.25">
      <c r="A936" t="s">
        <v>96</v>
      </c>
      <c r="B936" t="s">
        <v>37</v>
      </c>
      <c r="C936" t="s">
        <v>37</v>
      </c>
      <c r="D936" t="s">
        <v>38</v>
      </c>
      <c r="E936" s="4">
        <v>28</v>
      </c>
      <c r="F936" s="5">
        <v>1329.44</v>
      </c>
      <c r="G936" s="5" t="s">
        <v>39</v>
      </c>
      <c r="H936" s="5">
        <v>2180.08</v>
      </c>
      <c r="I936" s="5" t="s">
        <v>39</v>
      </c>
      <c r="J936" s="5">
        <v>45.200960000000002</v>
      </c>
      <c r="K936" s="5">
        <f t="shared" si="42"/>
        <v>1.61432</v>
      </c>
      <c r="L936" s="5">
        <f t="shared" si="43"/>
        <v>47.480000000000004</v>
      </c>
      <c r="M936" s="5" t="s">
        <v>39</v>
      </c>
      <c r="N936" s="5">
        <v>45.200960000000002</v>
      </c>
      <c r="O936" s="5" t="s">
        <v>39</v>
      </c>
      <c r="P936" t="s">
        <v>195</v>
      </c>
      <c r="Q936" t="s">
        <v>1416</v>
      </c>
      <c r="R936" t="s">
        <v>37</v>
      </c>
      <c r="S936" t="s">
        <v>1417</v>
      </c>
      <c r="T936" t="s">
        <v>43</v>
      </c>
      <c r="U936" t="s">
        <v>44</v>
      </c>
      <c r="V936">
        <v>147</v>
      </c>
      <c r="W936" t="s">
        <v>45</v>
      </c>
      <c r="X936" t="s">
        <v>53</v>
      </c>
      <c r="Y936" t="s">
        <v>1418</v>
      </c>
      <c r="Z936" t="s">
        <v>37</v>
      </c>
      <c r="AA936" t="s">
        <v>55</v>
      </c>
      <c r="AB936" t="s">
        <v>37</v>
      </c>
      <c r="AC936" s="6" t="s">
        <v>37</v>
      </c>
      <c r="AD936" s="6" t="s">
        <v>37</v>
      </c>
      <c r="AE936" t="s">
        <v>37</v>
      </c>
      <c r="AF936" t="s">
        <v>37</v>
      </c>
      <c r="AG936" s="6" t="s">
        <v>37</v>
      </c>
      <c r="AH936" t="s">
        <v>37</v>
      </c>
      <c r="AI936" t="s">
        <v>37</v>
      </c>
      <c r="AJ936" t="str">
        <f t="shared" si="44"/>
        <v>5X1OU9ZGB07W4DHY5F</v>
      </c>
    </row>
    <row r="937" spans="1:36" ht="15" customHeight="1" x14ac:dyDescent="0.25">
      <c r="A937" t="s">
        <v>101</v>
      </c>
      <c r="B937" t="s">
        <v>37</v>
      </c>
      <c r="C937" t="s">
        <v>37</v>
      </c>
      <c r="D937" t="s">
        <v>38</v>
      </c>
      <c r="E937" s="4">
        <v>272</v>
      </c>
      <c r="F937" s="5">
        <v>19948.48</v>
      </c>
      <c r="G937" s="5" t="s">
        <v>39</v>
      </c>
      <c r="H937" s="5">
        <v>32327.200000000001</v>
      </c>
      <c r="I937" s="5" t="s">
        <v>39</v>
      </c>
      <c r="J937" s="5">
        <v>678.24832000000004</v>
      </c>
      <c r="K937" s="5">
        <f t="shared" si="42"/>
        <v>2.49356</v>
      </c>
      <c r="L937" s="5">
        <f t="shared" si="43"/>
        <v>73.34</v>
      </c>
      <c r="M937" s="5" t="s">
        <v>39</v>
      </c>
      <c r="N937" s="5">
        <v>678.24832000000004</v>
      </c>
      <c r="O937" s="5" t="s">
        <v>39</v>
      </c>
      <c r="P937" t="s">
        <v>748</v>
      </c>
      <c r="Q937" t="s">
        <v>145</v>
      </c>
      <c r="R937" t="s">
        <v>37</v>
      </c>
      <c r="S937" t="s">
        <v>146</v>
      </c>
      <c r="T937" t="s">
        <v>43</v>
      </c>
      <c r="U937" t="s">
        <v>44</v>
      </c>
      <c r="V937">
        <v>147</v>
      </c>
      <c r="W937" t="s">
        <v>45</v>
      </c>
      <c r="X937" t="s">
        <v>60</v>
      </c>
      <c r="Y937" t="s">
        <v>147</v>
      </c>
      <c r="Z937" t="s">
        <v>37</v>
      </c>
      <c r="AA937" t="s">
        <v>55</v>
      </c>
      <c r="AB937" t="s">
        <v>37</v>
      </c>
      <c r="AC937" s="6" t="s">
        <v>37</v>
      </c>
      <c r="AD937" s="6" t="s">
        <v>37</v>
      </c>
      <c r="AE937" t="s">
        <v>37</v>
      </c>
      <c r="AF937" t="s">
        <v>37</v>
      </c>
      <c r="AG937" s="6" t="s">
        <v>37</v>
      </c>
      <c r="AH937" t="s">
        <v>37</v>
      </c>
      <c r="AI937" t="s">
        <v>37</v>
      </c>
      <c r="AJ937" t="str">
        <f t="shared" si="44"/>
        <v>74WI6EYDB07W6JNQ82</v>
      </c>
    </row>
    <row r="938" spans="1:36" ht="15" customHeight="1" x14ac:dyDescent="0.25">
      <c r="A938" t="s">
        <v>101</v>
      </c>
      <c r="B938" t="s">
        <v>37</v>
      </c>
      <c r="C938" t="s">
        <v>37</v>
      </c>
      <c r="D938" t="s">
        <v>38</v>
      </c>
      <c r="E938" s="4">
        <v>90</v>
      </c>
      <c r="F938" s="5">
        <v>2871</v>
      </c>
      <c r="G938" s="5" t="s">
        <v>39</v>
      </c>
      <c r="H938" s="5">
        <v>4351.5</v>
      </c>
      <c r="I938" s="5" t="s">
        <v>39</v>
      </c>
      <c r="J938" s="5">
        <v>97.614000000000004</v>
      </c>
      <c r="K938" s="5">
        <f t="shared" si="42"/>
        <v>1.0846</v>
      </c>
      <c r="L938" s="5">
        <f t="shared" si="43"/>
        <v>31.9</v>
      </c>
      <c r="M938" s="5" t="s">
        <v>39</v>
      </c>
      <c r="N938" s="5">
        <v>97.614000000000004</v>
      </c>
      <c r="O938" s="5" t="s">
        <v>39</v>
      </c>
      <c r="P938" t="s">
        <v>1415</v>
      </c>
      <c r="Q938" t="s">
        <v>1412</v>
      </c>
      <c r="R938" t="s">
        <v>37</v>
      </c>
      <c r="S938" t="s">
        <v>1413</v>
      </c>
      <c r="T938" t="s">
        <v>43</v>
      </c>
      <c r="U938" t="s">
        <v>44</v>
      </c>
      <c r="V938">
        <v>147</v>
      </c>
      <c r="W938" t="s">
        <v>45</v>
      </c>
      <c r="X938" t="s">
        <v>53</v>
      </c>
      <c r="Y938" t="s">
        <v>1414</v>
      </c>
      <c r="Z938" t="s">
        <v>37</v>
      </c>
      <c r="AA938" t="s">
        <v>55</v>
      </c>
      <c r="AB938" t="s">
        <v>37</v>
      </c>
      <c r="AC938" s="6" t="s">
        <v>37</v>
      </c>
      <c r="AD938" s="6" t="s">
        <v>37</v>
      </c>
      <c r="AE938" t="s">
        <v>37</v>
      </c>
      <c r="AF938" t="s">
        <v>37</v>
      </c>
      <c r="AG938" s="6" t="s">
        <v>37</v>
      </c>
      <c r="AH938" t="s">
        <v>37</v>
      </c>
      <c r="AI938" t="s">
        <v>37</v>
      </c>
      <c r="AJ938" t="str">
        <f t="shared" si="44"/>
        <v>2NHJ23TZB07W4DHQJ9</v>
      </c>
    </row>
    <row r="939" spans="1:36" ht="15" customHeight="1" x14ac:dyDescent="0.25">
      <c r="A939" t="s">
        <v>101</v>
      </c>
      <c r="B939" t="s">
        <v>37</v>
      </c>
      <c r="C939" t="s">
        <v>37</v>
      </c>
      <c r="D939" t="s">
        <v>38</v>
      </c>
      <c r="E939" s="4">
        <v>8</v>
      </c>
      <c r="F939" s="5">
        <v>164</v>
      </c>
      <c r="G939" s="5" t="s">
        <v>39</v>
      </c>
      <c r="H939" s="5">
        <v>249.12</v>
      </c>
      <c r="I939" s="5" t="s">
        <v>39</v>
      </c>
      <c r="J939" s="5">
        <v>5.5759999999999996</v>
      </c>
      <c r="K939" s="5">
        <f t="shared" si="42"/>
        <v>0.69699999999999995</v>
      </c>
      <c r="L939" s="5">
        <f t="shared" si="43"/>
        <v>20.5</v>
      </c>
      <c r="M939" s="5" t="s">
        <v>39</v>
      </c>
      <c r="N939" s="5">
        <v>5.5759999999999996</v>
      </c>
      <c r="O939" s="5" t="s">
        <v>39</v>
      </c>
      <c r="P939" t="s">
        <v>274</v>
      </c>
      <c r="Q939" t="s">
        <v>1611</v>
      </c>
      <c r="R939" t="s">
        <v>37</v>
      </c>
      <c r="S939" t="s">
        <v>1612</v>
      </c>
      <c r="T939" t="s">
        <v>43</v>
      </c>
      <c r="U939" t="s">
        <v>44</v>
      </c>
      <c r="V939">
        <v>147</v>
      </c>
      <c r="W939" t="s">
        <v>45</v>
      </c>
      <c r="X939" t="s">
        <v>60</v>
      </c>
      <c r="Y939" t="s">
        <v>1613</v>
      </c>
      <c r="Z939" t="s">
        <v>37</v>
      </c>
      <c r="AA939" t="s">
        <v>48</v>
      </c>
      <c r="AB939" t="s">
        <v>37</v>
      </c>
      <c r="AC939" s="6" t="s">
        <v>37</v>
      </c>
      <c r="AD939" s="6" t="s">
        <v>37</v>
      </c>
      <c r="AE939" t="s">
        <v>37</v>
      </c>
      <c r="AF939" t="s">
        <v>37</v>
      </c>
      <c r="AG939" s="6" t="s">
        <v>37</v>
      </c>
      <c r="AH939" t="s">
        <v>37</v>
      </c>
      <c r="AI939" t="s">
        <v>37</v>
      </c>
      <c r="AJ939" t="str">
        <f t="shared" si="44"/>
        <v>4LYATDUXB06W547XN2</v>
      </c>
    </row>
    <row r="940" spans="1:36" ht="15" customHeight="1" x14ac:dyDescent="0.25">
      <c r="A940" t="s">
        <v>221</v>
      </c>
      <c r="B940" t="s">
        <v>37</v>
      </c>
      <c r="C940" t="s">
        <v>37</v>
      </c>
      <c r="D940" t="s">
        <v>38</v>
      </c>
      <c r="E940" s="4">
        <v>0</v>
      </c>
      <c r="F940" s="5">
        <v>0</v>
      </c>
      <c r="G940" s="5" t="s">
        <v>39</v>
      </c>
      <c r="H940" s="5">
        <v>0</v>
      </c>
      <c r="I940" s="5" t="s">
        <v>39</v>
      </c>
      <c r="J940" s="5">
        <v>0</v>
      </c>
      <c r="K940" s="5" t="e">
        <f t="shared" si="42"/>
        <v>#DIV/0!</v>
      </c>
      <c r="L940" s="5" t="e">
        <f t="shared" si="43"/>
        <v>#DIV/0!</v>
      </c>
      <c r="M940" s="5" t="s">
        <v>39</v>
      </c>
      <c r="N940" s="5">
        <v>0</v>
      </c>
      <c r="O940" s="5" t="s">
        <v>39</v>
      </c>
      <c r="P940" t="s">
        <v>72</v>
      </c>
      <c r="Q940" t="s">
        <v>1582</v>
      </c>
      <c r="R940" t="s">
        <v>1583</v>
      </c>
      <c r="S940" t="s">
        <v>1584</v>
      </c>
      <c r="T940" t="s">
        <v>43</v>
      </c>
      <c r="U940" t="s">
        <v>44</v>
      </c>
      <c r="V940">
        <v>147</v>
      </c>
      <c r="W940" t="s">
        <v>45</v>
      </c>
      <c r="X940" t="s">
        <v>53</v>
      </c>
      <c r="Y940" t="s">
        <v>1585</v>
      </c>
      <c r="Z940" t="s">
        <v>37</v>
      </c>
      <c r="AA940" t="s">
        <v>55</v>
      </c>
      <c r="AB940" t="s">
        <v>37</v>
      </c>
      <c r="AC940" s="6" t="s">
        <v>37</v>
      </c>
      <c r="AD940" s="6" t="s">
        <v>37</v>
      </c>
      <c r="AE940" t="s">
        <v>37</v>
      </c>
      <c r="AF940" t="s">
        <v>37</v>
      </c>
      <c r="AG940" s="6" t="s">
        <v>37</v>
      </c>
      <c r="AH940" t="s">
        <v>37</v>
      </c>
      <c r="AI940" t="s">
        <v>37</v>
      </c>
      <c r="AJ940" t="str">
        <f t="shared" si="44"/>
        <v>4GF112AEB003D8ZT0C</v>
      </c>
    </row>
    <row r="941" spans="1:36" ht="15" customHeight="1" x14ac:dyDescent="0.25">
      <c r="A941" t="s">
        <v>118</v>
      </c>
      <c r="B941" t="s">
        <v>37</v>
      </c>
      <c r="C941" t="s">
        <v>37</v>
      </c>
      <c r="D941" t="s">
        <v>38</v>
      </c>
      <c r="E941" s="4">
        <v>16</v>
      </c>
      <c r="F941" s="5">
        <v>2545.44</v>
      </c>
      <c r="G941" s="5" t="s">
        <v>39</v>
      </c>
      <c r="H941" s="5">
        <v>3016.32</v>
      </c>
      <c r="I941" s="5" t="s">
        <v>39</v>
      </c>
      <c r="J941" s="5">
        <v>86.544960000000003</v>
      </c>
      <c r="K941" s="5">
        <f t="shared" si="42"/>
        <v>5.4090600000000002</v>
      </c>
      <c r="L941" s="5">
        <f t="shared" si="43"/>
        <v>159.09</v>
      </c>
      <c r="M941" s="5" t="s">
        <v>39</v>
      </c>
      <c r="N941" s="5">
        <v>86.544960000000003</v>
      </c>
      <c r="O941" s="5" t="s">
        <v>39</v>
      </c>
      <c r="P941" t="s">
        <v>462</v>
      </c>
      <c r="Q941" t="s">
        <v>227</v>
      </c>
      <c r="R941" t="s">
        <v>228</v>
      </c>
      <c r="S941" t="s">
        <v>229</v>
      </c>
      <c r="T941" t="s">
        <v>43</v>
      </c>
      <c r="U941" t="s">
        <v>44</v>
      </c>
      <c r="V941">
        <v>267</v>
      </c>
      <c r="W941" t="s">
        <v>151</v>
      </c>
      <c r="X941" t="s">
        <v>152</v>
      </c>
      <c r="Y941" t="s">
        <v>230</v>
      </c>
      <c r="Z941" t="s">
        <v>37</v>
      </c>
      <c r="AA941" t="s">
        <v>95</v>
      </c>
      <c r="AB941" t="s">
        <v>37</v>
      </c>
      <c r="AC941" s="6" t="s">
        <v>37</v>
      </c>
      <c r="AD941" s="6" t="s">
        <v>37</v>
      </c>
      <c r="AE941" t="s">
        <v>37</v>
      </c>
      <c r="AF941" t="s">
        <v>37</v>
      </c>
      <c r="AG941" s="6" t="s">
        <v>37</v>
      </c>
      <c r="AH941" t="s">
        <v>37</v>
      </c>
      <c r="AI941" t="s">
        <v>37</v>
      </c>
      <c r="AJ941" t="str">
        <f t="shared" si="44"/>
        <v>17D6YHERB078MHS3SC</v>
      </c>
    </row>
    <row r="942" spans="1:36" ht="15" customHeight="1" x14ac:dyDescent="0.25">
      <c r="A942" t="s">
        <v>118</v>
      </c>
      <c r="B942" t="s">
        <v>37</v>
      </c>
      <c r="C942" t="s">
        <v>37</v>
      </c>
      <c r="D942" t="s">
        <v>38</v>
      </c>
      <c r="E942" s="4">
        <v>8</v>
      </c>
      <c r="F942" s="5">
        <v>664</v>
      </c>
      <c r="G942" s="5" t="s">
        <v>39</v>
      </c>
      <c r="H942" s="5">
        <v>786.8</v>
      </c>
      <c r="I942" s="5" t="s">
        <v>39</v>
      </c>
      <c r="J942" s="5">
        <v>22.576000000000001</v>
      </c>
      <c r="K942" s="5">
        <f t="shared" si="42"/>
        <v>2.8220000000000001</v>
      </c>
      <c r="L942" s="5">
        <f t="shared" si="43"/>
        <v>83</v>
      </c>
      <c r="M942" s="5" t="s">
        <v>39</v>
      </c>
      <c r="N942" s="5">
        <v>22.576000000000001</v>
      </c>
      <c r="O942" s="5" t="s">
        <v>39</v>
      </c>
      <c r="P942" t="s">
        <v>128</v>
      </c>
      <c r="Q942" t="s">
        <v>1044</v>
      </c>
      <c r="R942" t="s">
        <v>1045</v>
      </c>
      <c r="S942" t="s">
        <v>1046</v>
      </c>
      <c r="T942" t="s">
        <v>43</v>
      </c>
      <c r="U942" t="s">
        <v>44</v>
      </c>
      <c r="V942">
        <v>267</v>
      </c>
      <c r="W942" t="s">
        <v>151</v>
      </c>
      <c r="X942" t="s">
        <v>152</v>
      </c>
      <c r="Y942" t="s">
        <v>1047</v>
      </c>
      <c r="Z942" t="s">
        <v>37</v>
      </c>
      <c r="AA942" t="s">
        <v>95</v>
      </c>
      <c r="AB942" t="s">
        <v>37</v>
      </c>
      <c r="AC942" s="6" t="s">
        <v>37</v>
      </c>
      <c r="AD942" s="6" t="s">
        <v>37</v>
      </c>
      <c r="AE942" t="s">
        <v>37</v>
      </c>
      <c r="AF942" t="s">
        <v>37</v>
      </c>
      <c r="AG942" s="6" t="s">
        <v>37</v>
      </c>
      <c r="AH942" t="s">
        <v>37</v>
      </c>
      <c r="AI942" t="s">
        <v>37</v>
      </c>
      <c r="AJ942" t="str">
        <f t="shared" si="44"/>
        <v>7RAC5F9EB07DTTGZ7M</v>
      </c>
    </row>
    <row r="943" spans="1:36" ht="15" customHeight="1" x14ac:dyDescent="0.25">
      <c r="A943" t="s">
        <v>101</v>
      </c>
      <c r="B943" t="s">
        <v>37</v>
      </c>
      <c r="C943" t="s">
        <v>37</v>
      </c>
      <c r="D943" t="s">
        <v>38</v>
      </c>
      <c r="E943" s="4">
        <v>2</v>
      </c>
      <c r="F943" s="5">
        <v>188.88</v>
      </c>
      <c r="G943" s="5" t="s">
        <v>39</v>
      </c>
      <c r="H943" s="5">
        <v>303.26</v>
      </c>
      <c r="I943" s="5" t="s">
        <v>39</v>
      </c>
      <c r="J943" s="5">
        <v>6.4219200000000001</v>
      </c>
      <c r="K943" s="5">
        <f t="shared" si="42"/>
        <v>3.21096</v>
      </c>
      <c r="L943" s="5">
        <f t="shared" si="43"/>
        <v>94.44</v>
      </c>
      <c r="M943" s="5" t="s">
        <v>39</v>
      </c>
      <c r="N943" s="5">
        <v>6.4219200000000001</v>
      </c>
      <c r="O943" s="5" t="s">
        <v>39</v>
      </c>
      <c r="P943" t="s">
        <v>274</v>
      </c>
      <c r="Q943" t="s">
        <v>663</v>
      </c>
      <c r="R943" t="s">
        <v>37</v>
      </c>
      <c r="S943" t="s">
        <v>664</v>
      </c>
      <c r="T943" t="s">
        <v>43</v>
      </c>
      <c r="U943" t="s">
        <v>44</v>
      </c>
      <c r="V943">
        <v>147</v>
      </c>
      <c r="W943" t="s">
        <v>45</v>
      </c>
      <c r="X943" t="s">
        <v>46</v>
      </c>
      <c r="Y943" t="s">
        <v>665</v>
      </c>
      <c r="Z943" t="s">
        <v>37</v>
      </c>
      <c r="AA943" t="s">
        <v>48</v>
      </c>
      <c r="AB943" t="s">
        <v>37</v>
      </c>
      <c r="AC943" s="6" t="s">
        <v>37</v>
      </c>
      <c r="AD943" s="6" t="s">
        <v>37</v>
      </c>
      <c r="AE943" t="s">
        <v>37</v>
      </c>
      <c r="AF943" t="s">
        <v>37</v>
      </c>
      <c r="AG943" s="6" t="s">
        <v>37</v>
      </c>
      <c r="AH943" t="s">
        <v>37</v>
      </c>
      <c r="AI943" t="s">
        <v>37</v>
      </c>
      <c r="AJ943" t="str">
        <f t="shared" si="44"/>
        <v>4LYATDUXB01M9EWQ2W</v>
      </c>
    </row>
    <row r="944" spans="1:36" ht="15" customHeight="1" x14ac:dyDescent="0.25">
      <c r="A944" t="s">
        <v>96</v>
      </c>
      <c r="B944" t="s">
        <v>37</v>
      </c>
      <c r="C944" t="s">
        <v>37</v>
      </c>
      <c r="D944" t="s">
        <v>38</v>
      </c>
      <c r="E944" s="4">
        <v>72</v>
      </c>
      <c r="F944" s="5">
        <v>5429.52</v>
      </c>
      <c r="G944" s="5" t="s">
        <v>39</v>
      </c>
      <c r="H944" s="5">
        <v>7966.8</v>
      </c>
      <c r="I944" s="5" t="s">
        <v>39</v>
      </c>
      <c r="J944" s="5">
        <v>184.60368</v>
      </c>
      <c r="K944" s="5">
        <f t="shared" si="42"/>
        <v>2.5639400000000001</v>
      </c>
      <c r="L944" s="5">
        <f t="shared" si="43"/>
        <v>75.410000000000011</v>
      </c>
      <c r="M944" s="5" t="s">
        <v>39</v>
      </c>
      <c r="N944" s="5">
        <v>184.60368</v>
      </c>
      <c r="O944" s="5" t="s">
        <v>39</v>
      </c>
      <c r="P944" t="s">
        <v>97</v>
      </c>
      <c r="Q944" t="s">
        <v>699</v>
      </c>
      <c r="R944" t="s">
        <v>37</v>
      </c>
      <c r="S944" t="s">
        <v>700</v>
      </c>
      <c r="T944" t="s">
        <v>43</v>
      </c>
      <c r="U944" t="s">
        <v>44</v>
      </c>
      <c r="V944">
        <v>23</v>
      </c>
      <c r="W944" t="s">
        <v>310</v>
      </c>
      <c r="X944" t="s">
        <v>701</v>
      </c>
      <c r="Y944" t="s">
        <v>702</v>
      </c>
      <c r="Z944" t="s">
        <v>37</v>
      </c>
      <c r="AA944" t="s">
        <v>48</v>
      </c>
      <c r="AB944" t="s">
        <v>37</v>
      </c>
      <c r="AC944" s="6" t="s">
        <v>37</v>
      </c>
      <c r="AD944" s="6" t="s">
        <v>37</v>
      </c>
      <c r="AE944" t="s">
        <v>37</v>
      </c>
      <c r="AF944" t="s">
        <v>37</v>
      </c>
      <c r="AG944" s="6" t="s">
        <v>37</v>
      </c>
      <c r="AH944" t="s">
        <v>37</v>
      </c>
      <c r="AI944" t="s">
        <v>37</v>
      </c>
      <c r="AJ944" t="str">
        <f t="shared" si="44"/>
        <v>7EMS2FPGB01MT5WL4M</v>
      </c>
    </row>
    <row r="945" spans="1:36" ht="15" customHeight="1" x14ac:dyDescent="0.25">
      <c r="A945" t="s">
        <v>647</v>
      </c>
      <c r="B945" t="s">
        <v>37</v>
      </c>
      <c r="C945" t="s">
        <v>37</v>
      </c>
      <c r="D945" t="s">
        <v>38</v>
      </c>
      <c r="E945" s="4">
        <v>0</v>
      </c>
      <c r="F945" s="5">
        <v>0</v>
      </c>
      <c r="G945" s="5" t="s">
        <v>39</v>
      </c>
      <c r="H945" s="5">
        <v>0</v>
      </c>
      <c r="I945" s="5" t="s">
        <v>39</v>
      </c>
      <c r="J945" s="5">
        <v>0</v>
      </c>
      <c r="K945" s="5" t="e">
        <f t="shared" si="42"/>
        <v>#DIV/0!</v>
      </c>
      <c r="L945" s="5" t="e">
        <f t="shared" si="43"/>
        <v>#DIV/0!</v>
      </c>
      <c r="M945" s="5" t="s">
        <v>39</v>
      </c>
      <c r="N945" s="5">
        <v>0</v>
      </c>
      <c r="O945" s="5" t="s">
        <v>39</v>
      </c>
      <c r="P945" t="s">
        <v>72</v>
      </c>
      <c r="Q945" t="s">
        <v>1582</v>
      </c>
      <c r="R945" t="s">
        <v>1583</v>
      </c>
      <c r="S945" t="s">
        <v>1584</v>
      </c>
      <c r="T945" t="s">
        <v>43</v>
      </c>
      <c r="U945" t="s">
        <v>44</v>
      </c>
      <c r="V945">
        <v>147</v>
      </c>
      <c r="W945" t="s">
        <v>45</v>
      </c>
      <c r="X945" t="s">
        <v>53</v>
      </c>
      <c r="Y945" t="s">
        <v>1585</v>
      </c>
      <c r="Z945" t="s">
        <v>37</v>
      </c>
      <c r="AA945" t="s">
        <v>55</v>
      </c>
      <c r="AB945" t="s">
        <v>37</v>
      </c>
      <c r="AC945" s="6" t="s">
        <v>37</v>
      </c>
      <c r="AD945" s="6" t="s">
        <v>37</v>
      </c>
      <c r="AE945" t="s">
        <v>37</v>
      </c>
      <c r="AF945" t="s">
        <v>37</v>
      </c>
      <c r="AG945" s="6" t="s">
        <v>37</v>
      </c>
      <c r="AH945" t="s">
        <v>37</v>
      </c>
      <c r="AI945" t="s">
        <v>37</v>
      </c>
      <c r="AJ945" t="str">
        <f t="shared" si="44"/>
        <v>4GF112AEB003D8ZT0C</v>
      </c>
    </row>
    <row r="946" spans="1:36" ht="15" customHeight="1" x14ac:dyDescent="0.25">
      <c r="A946" t="s">
        <v>96</v>
      </c>
      <c r="B946" t="s">
        <v>37</v>
      </c>
      <c r="C946" t="s">
        <v>37</v>
      </c>
      <c r="D946" t="s">
        <v>38</v>
      </c>
      <c r="E946" s="4">
        <v>8</v>
      </c>
      <c r="F946" s="5">
        <v>835.28</v>
      </c>
      <c r="G946" s="5" t="s">
        <v>39</v>
      </c>
      <c r="H946" s="5">
        <v>1239.3599999999999</v>
      </c>
      <c r="I946" s="5" t="s">
        <v>39</v>
      </c>
      <c r="J946" s="5">
        <v>28.399519999999999</v>
      </c>
      <c r="K946" s="5">
        <f t="shared" si="42"/>
        <v>3.5499399999999999</v>
      </c>
      <c r="L946" s="5">
        <f t="shared" si="43"/>
        <v>104.41</v>
      </c>
      <c r="M946" s="5" t="s">
        <v>39</v>
      </c>
      <c r="N946" s="5">
        <v>28.399519999999999</v>
      </c>
      <c r="O946" s="5" t="s">
        <v>39</v>
      </c>
      <c r="P946" t="s">
        <v>1614</v>
      </c>
      <c r="Q946" t="s">
        <v>1615</v>
      </c>
      <c r="R946" t="s">
        <v>37</v>
      </c>
      <c r="S946" t="s">
        <v>1616</v>
      </c>
      <c r="T946" t="s">
        <v>43</v>
      </c>
      <c r="U946" t="s">
        <v>44</v>
      </c>
      <c r="V946">
        <v>147</v>
      </c>
      <c r="W946" t="s">
        <v>45</v>
      </c>
      <c r="X946" t="s">
        <v>60</v>
      </c>
      <c r="Y946" t="s">
        <v>1617</v>
      </c>
      <c r="Z946" t="s">
        <v>37</v>
      </c>
      <c r="AA946" t="s">
        <v>55</v>
      </c>
      <c r="AB946" t="s">
        <v>37</v>
      </c>
      <c r="AC946" s="6" t="s">
        <v>37</v>
      </c>
      <c r="AD946" s="6" t="s">
        <v>37</v>
      </c>
      <c r="AE946" t="s">
        <v>37</v>
      </c>
      <c r="AF946" t="s">
        <v>37</v>
      </c>
      <c r="AG946" s="6" t="s">
        <v>37</v>
      </c>
      <c r="AH946" t="s">
        <v>37</v>
      </c>
      <c r="AI946" t="s">
        <v>37</v>
      </c>
      <c r="AJ946" t="str">
        <f t="shared" si="44"/>
        <v>2DDMOF4WB07W7LTX74</v>
      </c>
    </row>
    <row r="947" spans="1:36" ht="15" customHeight="1" x14ac:dyDescent="0.25">
      <c r="A947" t="s">
        <v>36</v>
      </c>
      <c r="B947" t="s">
        <v>37</v>
      </c>
      <c r="C947" t="s">
        <v>37</v>
      </c>
      <c r="D947" t="s">
        <v>38</v>
      </c>
      <c r="E947" s="4">
        <v>4</v>
      </c>
      <c r="F947" s="5">
        <v>179.8</v>
      </c>
      <c r="G947" s="5" t="s">
        <v>39</v>
      </c>
      <c r="H947" s="5">
        <v>213.08</v>
      </c>
      <c r="I947" s="5" t="s">
        <v>39</v>
      </c>
      <c r="J947" s="5">
        <v>6.1132</v>
      </c>
      <c r="K947" s="5">
        <f t="shared" si="42"/>
        <v>1.5283</v>
      </c>
      <c r="L947" s="5">
        <f t="shared" si="43"/>
        <v>44.95</v>
      </c>
      <c r="M947" s="5" t="s">
        <v>39</v>
      </c>
      <c r="N947" s="5">
        <v>6.1132</v>
      </c>
      <c r="O947" s="5" t="s">
        <v>39</v>
      </c>
      <c r="P947" t="s">
        <v>168</v>
      </c>
      <c r="Q947" t="s">
        <v>459</v>
      </c>
      <c r="R947" t="s">
        <v>37</v>
      </c>
      <c r="S947" t="s">
        <v>460</v>
      </c>
      <c r="T947" t="s">
        <v>43</v>
      </c>
      <c r="U947" t="s">
        <v>44</v>
      </c>
      <c r="V947">
        <v>23</v>
      </c>
      <c r="W947" t="s">
        <v>45</v>
      </c>
      <c r="X947" t="s">
        <v>239</v>
      </c>
      <c r="Y947" t="s">
        <v>461</v>
      </c>
      <c r="Z947" t="s">
        <v>37</v>
      </c>
      <c r="AA947" t="s">
        <v>95</v>
      </c>
      <c r="AB947" t="s">
        <v>37</v>
      </c>
      <c r="AC947" s="6" t="s">
        <v>37</v>
      </c>
      <c r="AD947" s="6" t="s">
        <v>37</v>
      </c>
      <c r="AE947" t="s">
        <v>37</v>
      </c>
      <c r="AF947" t="s">
        <v>37</v>
      </c>
      <c r="AG947" s="6" t="s">
        <v>37</v>
      </c>
      <c r="AH947" t="s">
        <v>37</v>
      </c>
      <c r="AI947" t="s">
        <v>37</v>
      </c>
      <c r="AJ947" t="str">
        <f t="shared" si="44"/>
        <v>2R6FMUZDB07W5JKLRF</v>
      </c>
    </row>
    <row r="948" spans="1:36" ht="15" customHeight="1" x14ac:dyDescent="0.25">
      <c r="A948" t="s">
        <v>101</v>
      </c>
      <c r="B948" t="s">
        <v>37</v>
      </c>
      <c r="C948" t="s">
        <v>37</v>
      </c>
      <c r="D948" t="s">
        <v>38</v>
      </c>
      <c r="E948" s="4">
        <v>16</v>
      </c>
      <c r="F948" s="5">
        <v>649.6</v>
      </c>
      <c r="G948" s="5" t="s">
        <v>39</v>
      </c>
      <c r="H948" s="5">
        <v>944.16</v>
      </c>
      <c r="I948" s="5" t="s">
        <v>39</v>
      </c>
      <c r="J948" s="5">
        <v>22.086400000000001</v>
      </c>
      <c r="K948" s="5">
        <f t="shared" si="42"/>
        <v>1.3804000000000001</v>
      </c>
      <c r="L948" s="5">
        <f t="shared" si="43"/>
        <v>40.6</v>
      </c>
      <c r="M948" s="5" t="s">
        <v>39</v>
      </c>
      <c r="N948" s="5">
        <v>22.086400000000001</v>
      </c>
      <c r="O948" s="5" t="s">
        <v>39</v>
      </c>
      <c r="P948" t="s">
        <v>725</v>
      </c>
      <c r="Q948" t="s">
        <v>1099</v>
      </c>
      <c r="R948" t="s">
        <v>37</v>
      </c>
      <c r="S948" t="s">
        <v>1100</v>
      </c>
      <c r="T948" t="s">
        <v>43</v>
      </c>
      <c r="U948" t="s">
        <v>44</v>
      </c>
      <c r="V948">
        <v>147</v>
      </c>
      <c r="W948" t="s">
        <v>45</v>
      </c>
      <c r="X948" t="s">
        <v>60</v>
      </c>
      <c r="Y948" t="s">
        <v>1101</v>
      </c>
      <c r="Z948" t="s">
        <v>37</v>
      </c>
      <c r="AA948" t="s">
        <v>48</v>
      </c>
      <c r="AB948" t="s">
        <v>37</v>
      </c>
      <c r="AC948" s="6" t="s">
        <v>37</v>
      </c>
      <c r="AD948" s="6" t="s">
        <v>37</v>
      </c>
      <c r="AE948" t="s">
        <v>37</v>
      </c>
      <c r="AF948" t="s">
        <v>37</v>
      </c>
      <c r="AG948" s="6" t="s">
        <v>37</v>
      </c>
      <c r="AH948" t="s">
        <v>37</v>
      </c>
      <c r="AI948" t="s">
        <v>37</v>
      </c>
      <c r="AJ948" t="str">
        <f t="shared" si="44"/>
        <v>4O4TKA6PB00O8K42LQ</v>
      </c>
    </row>
    <row r="949" spans="1:36" ht="15" customHeight="1" x14ac:dyDescent="0.25">
      <c r="A949" t="s">
        <v>110</v>
      </c>
      <c r="B949" t="s">
        <v>37</v>
      </c>
      <c r="C949" t="s">
        <v>37</v>
      </c>
      <c r="D949" t="s">
        <v>38</v>
      </c>
      <c r="E949" s="4">
        <v>8</v>
      </c>
      <c r="F949" s="5">
        <v>324.8</v>
      </c>
      <c r="G949" s="5" t="s">
        <v>39</v>
      </c>
      <c r="H949" s="5">
        <v>472.08</v>
      </c>
      <c r="I949" s="5" t="s">
        <v>39</v>
      </c>
      <c r="J949" s="5">
        <v>11.043200000000001</v>
      </c>
      <c r="K949" s="5">
        <f t="shared" si="42"/>
        <v>1.3804000000000001</v>
      </c>
      <c r="L949" s="5">
        <f t="shared" si="43"/>
        <v>40.6</v>
      </c>
      <c r="M949" s="5" t="s">
        <v>39</v>
      </c>
      <c r="N949" s="5">
        <v>11.043200000000001</v>
      </c>
      <c r="O949" s="5" t="s">
        <v>39</v>
      </c>
      <c r="P949" t="s">
        <v>725</v>
      </c>
      <c r="Q949" t="s">
        <v>1099</v>
      </c>
      <c r="R949" t="s">
        <v>37</v>
      </c>
      <c r="S949" t="s">
        <v>1100</v>
      </c>
      <c r="T949" t="s">
        <v>43</v>
      </c>
      <c r="U949" t="s">
        <v>44</v>
      </c>
      <c r="V949">
        <v>147</v>
      </c>
      <c r="W949" t="s">
        <v>45</v>
      </c>
      <c r="X949" t="s">
        <v>60</v>
      </c>
      <c r="Y949" t="s">
        <v>1101</v>
      </c>
      <c r="Z949" t="s">
        <v>37</v>
      </c>
      <c r="AA949" t="s">
        <v>48</v>
      </c>
      <c r="AB949" t="s">
        <v>37</v>
      </c>
      <c r="AC949" s="6" t="s">
        <v>37</v>
      </c>
      <c r="AD949" s="6" t="s">
        <v>37</v>
      </c>
      <c r="AE949" t="s">
        <v>37</v>
      </c>
      <c r="AF949" t="s">
        <v>37</v>
      </c>
      <c r="AG949" s="6" t="s">
        <v>37</v>
      </c>
      <c r="AH949" t="s">
        <v>37</v>
      </c>
      <c r="AI949" t="s">
        <v>37</v>
      </c>
      <c r="AJ949" t="str">
        <f t="shared" si="44"/>
        <v>4O4TKA6PB00O8K42LQ</v>
      </c>
    </row>
    <row r="950" spans="1:36" ht="15" customHeight="1" x14ac:dyDescent="0.25">
      <c r="A950" t="s">
        <v>49</v>
      </c>
      <c r="B950" t="s">
        <v>37</v>
      </c>
      <c r="C950" t="s">
        <v>37</v>
      </c>
      <c r="D950" t="s">
        <v>38</v>
      </c>
      <c r="E950" s="4">
        <v>236</v>
      </c>
      <c r="F950" s="5">
        <v>5527.12</v>
      </c>
      <c r="G950" s="5" t="s">
        <v>39</v>
      </c>
      <c r="H950" s="5">
        <v>5527.12</v>
      </c>
      <c r="I950" s="5" t="s">
        <v>39</v>
      </c>
      <c r="J950" s="5">
        <v>187.92207999999999</v>
      </c>
      <c r="K950" s="5">
        <f t="shared" si="42"/>
        <v>0.79627999999999999</v>
      </c>
      <c r="L950" s="5">
        <f t="shared" si="43"/>
        <v>23.419999999999998</v>
      </c>
      <c r="M950" s="5" t="s">
        <v>39</v>
      </c>
      <c r="N950" s="5">
        <v>187.92207999999999</v>
      </c>
      <c r="O950" s="5" t="s">
        <v>39</v>
      </c>
      <c r="P950" t="s">
        <v>141</v>
      </c>
      <c r="Q950" t="s">
        <v>1531</v>
      </c>
      <c r="R950" t="s">
        <v>37</v>
      </c>
      <c r="S950" t="s">
        <v>1532</v>
      </c>
      <c r="T950" t="s">
        <v>43</v>
      </c>
      <c r="U950" t="s">
        <v>44</v>
      </c>
      <c r="V950">
        <v>147</v>
      </c>
      <c r="W950" t="s">
        <v>45</v>
      </c>
      <c r="X950" t="s">
        <v>60</v>
      </c>
      <c r="Y950" t="s">
        <v>1533</v>
      </c>
      <c r="Z950" t="s">
        <v>37</v>
      </c>
      <c r="AA950" t="s">
        <v>55</v>
      </c>
      <c r="AB950" t="s">
        <v>37</v>
      </c>
      <c r="AC950" s="6" t="s">
        <v>37</v>
      </c>
      <c r="AD950" s="6" t="s">
        <v>37</v>
      </c>
      <c r="AE950" t="s">
        <v>37</v>
      </c>
      <c r="AF950" t="s">
        <v>37</v>
      </c>
      <c r="AG950" s="6" t="s">
        <v>37</v>
      </c>
      <c r="AH950" t="s">
        <v>37</v>
      </c>
      <c r="AI950" t="s">
        <v>37</v>
      </c>
      <c r="AJ950" t="str">
        <f t="shared" si="44"/>
        <v>56UO2L2IB006T02YRM</v>
      </c>
    </row>
    <row r="951" spans="1:36" ht="15" customHeight="1" x14ac:dyDescent="0.25">
      <c r="A951" t="s">
        <v>36</v>
      </c>
      <c r="B951" t="s">
        <v>37</v>
      </c>
      <c r="C951" t="s">
        <v>37</v>
      </c>
      <c r="D951" t="s">
        <v>38</v>
      </c>
      <c r="E951" s="4">
        <v>32</v>
      </c>
      <c r="F951" s="5">
        <v>371.2</v>
      </c>
      <c r="G951" s="5" t="s">
        <v>39</v>
      </c>
      <c r="H951" s="5">
        <v>629.12</v>
      </c>
      <c r="I951" s="5" t="s">
        <v>39</v>
      </c>
      <c r="J951" s="5">
        <v>12.620799999999999</v>
      </c>
      <c r="K951" s="5">
        <f t="shared" si="42"/>
        <v>0.39439999999999997</v>
      </c>
      <c r="L951" s="5">
        <f t="shared" si="43"/>
        <v>11.6</v>
      </c>
      <c r="M951" s="5" t="s">
        <v>39</v>
      </c>
      <c r="N951" s="5">
        <v>12.620799999999999</v>
      </c>
      <c r="O951" s="5" t="s">
        <v>39</v>
      </c>
      <c r="P951" t="s">
        <v>168</v>
      </c>
      <c r="Q951" t="s">
        <v>107</v>
      </c>
      <c r="R951" t="s">
        <v>37</v>
      </c>
      <c r="S951" t="s">
        <v>108</v>
      </c>
      <c r="T951" t="s">
        <v>43</v>
      </c>
      <c r="U951" t="s">
        <v>44</v>
      </c>
      <c r="V951">
        <v>147</v>
      </c>
      <c r="W951" t="s">
        <v>45</v>
      </c>
      <c r="X951" t="s">
        <v>53</v>
      </c>
      <c r="Y951" t="s">
        <v>109</v>
      </c>
      <c r="Z951" t="s">
        <v>37</v>
      </c>
      <c r="AA951" t="s">
        <v>95</v>
      </c>
      <c r="AB951" t="s">
        <v>37</v>
      </c>
      <c r="AC951" s="6" t="s">
        <v>37</v>
      </c>
      <c r="AD951" s="6" t="s">
        <v>37</v>
      </c>
      <c r="AE951" t="s">
        <v>37</v>
      </c>
      <c r="AF951" t="s">
        <v>37</v>
      </c>
      <c r="AG951" s="6" t="s">
        <v>37</v>
      </c>
      <c r="AH951" t="s">
        <v>37</v>
      </c>
      <c r="AI951" t="s">
        <v>37</v>
      </c>
      <c r="AJ951" t="str">
        <f t="shared" si="44"/>
        <v>2R6FMUZDB07W7K29YK</v>
      </c>
    </row>
    <row r="952" spans="1:36" ht="15" customHeight="1" x14ac:dyDescent="0.25">
      <c r="A952" t="s">
        <v>36</v>
      </c>
      <c r="B952" t="s">
        <v>37</v>
      </c>
      <c r="C952" t="s">
        <v>37</v>
      </c>
      <c r="D952" t="s">
        <v>38</v>
      </c>
      <c r="E952" s="4">
        <v>10</v>
      </c>
      <c r="F952" s="5">
        <v>163.9</v>
      </c>
      <c r="G952" s="5" t="s">
        <v>39</v>
      </c>
      <c r="H952" s="5">
        <v>245.8</v>
      </c>
      <c r="I952" s="5" t="s">
        <v>39</v>
      </c>
      <c r="J952" s="5">
        <v>5.5726000000000004</v>
      </c>
      <c r="K952" s="5">
        <f t="shared" si="42"/>
        <v>0.55726000000000009</v>
      </c>
      <c r="L952" s="5">
        <f t="shared" si="43"/>
        <v>16.39</v>
      </c>
      <c r="M952" s="5" t="s">
        <v>39</v>
      </c>
      <c r="N952" s="5">
        <v>5.5726000000000004</v>
      </c>
      <c r="O952" s="5" t="s">
        <v>39</v>
      </c>
      <c r="P952" t="s">
        <v>40</v>
      </c>
      <c r="Q952" t="s">
        <v>1618</v>
      </c>
      <c r="R952" t="s">
        <v>37</v>
      </c>
      <c r="S952" t="s">
        <v>1619</v>
      </c>
      <c r="T952" t="s">
        <v>43</v>
      </c>
      <c r="U952" t="s">
        <v>44</v>
      </c>
      <c r="V952">
        <v>147</v>
      </c>
      <c r="W952" t="s">
        <v>92</v>
      </c>
      <c r="X952" t="s">
        <v>433</v>
      </c>
      <c r="Y952" t="s">
        <v>1620</v>
      </c>
      <c r="Z952" t="s">
        <v>37</v>
      </c>
      <c r="AA952" t="s">
        <v>55</v>
      </c>
      <c r="AB952" t="s">
        <v>37</v>
      </c>
      <c r="AC952" s="6" t="s">
        <v>37</v>
      </c>
      <c r="AD952" s="6" t="s">
        <v>37</v>
      </c>
      <c r="AE952" t="s">
        <v>37</v>
      </c>
      <c r="AF952" t="s">
        <v>37</v>
      </c>
      <c r="AG952" s="6" t="s">
        <v>37</v>
      </c>
      <c r="AH952" t="s">
        <v>37</v>
      </c>
      <c r="AI952" t="s">
        <v>37</v>
      </c>
      <c r="AJ952" t="str">
        <f t="shared" si="44"/>
        <v>4A3KDTEZB07W5JJPFH</v>
      </c>
    </row>
    <row r="953" spans="1:36" ht="15" customHeight="1" x14ac:dyDescent="0.25">
      <c r="A953" t="s">
        <v>101</v>
      </c>
      <c r="B953" t="s">
        <v>37</v>
      </c>
      <c r="C953" t="s">
        <v>37</v>
      </c>
      <c r="D953" t="s">
        <v>38</v>
      </c>
      <c r="E953" s="4">
        <v>16</v>
      </c>
      <c r="F953" s="5">
        <v>649.6</v>
      </c>
      <c r="G953" s="5" t="s">
        <v>39</v>
      </c>
      <c r="H953" s="5">
        <v>944.16</v>
      </c>
      <c r="I953" s="5" t="s">
        <v>39</v>
      </c>
      <c r="J953" s="5">
        <v>22.086400000000001</v>
      </c>
      <c r="K953" s="5">
        <f t="shared" si="42"/>
        <v>1.3804000000000001</v>
      </c>
      <c r="L953" s="5">
        <f t="shared" si="43"/>
        <v>40.6</v>
      </c>
      <c r="M953" s="5" t="s">
        <v>39</v>
      </c>
      <c r="N953" s="5">
        <v>22.086400000000001</v>
      </c>
      <c r="O953" s="5" t="s">
        <v>39</v>
      </c>
      <c r="P953" t="s">
        <v>1621</v>
      </c>
      <c r="Q953" t="s">
        <v>1622</v>
      </c>
      <c r="R953" t="s">
        <v>37</v>
      </c>
      <c r="S953" t="s">
        <v>1623</v>
      </c>
      <c r="T953" t="s">
        <v>43</v>
      </c>
      <c r="U953" t="s">
        <v>44</v>
      </c>
      <c r="V953">
        <v>147</v>
      </c>
      <c r="W953" t="s">
        <v>45</v>
      </c>
      <c r="X953" t="s">
        <v>1039</v>
      </c>
      <c r="Y953" t="s">
        <v>1624</v>
      </c>
      <c r="Z953" t="s">
        <v>37</v>
      </c>
      <c r="AA953" t="s">
        <v>48</v>
      </c>
      <c r="AB953" t="s">
        <v>37</v>
      </c>
      <c r="AC953" s="6" t="s">
        <v>37</v>
      </c>
      <c r="AD953" s="6" t="s">
        <v>37</v>
      </c>
      <c r="AE953" t="s">
        <v>37</v>
      </c>
      <c r="AF953" t="s">
        <v>37</v>
      </c>
      <c r="AG953" s="6" t="s">
        <v>37</v>
      </c>
      <c r="AH953" t="s">
        <v>37</v>
      </c>
      <c r="AI953" t="s">
        <v>37</v>
      </c>
      <c r="AJ953" t="str">
        <f t="shared" si="44"/>
        <v>7WSJF8XOB06Y17MS8W</v>
      </c>
    </row>
    <row r="954" spans="1:36" ht="15" customHeight="1" x14ac:dyDescent="0.25">
      <c r="A954" t="s">
        <v>49</v>
      </c>
      <c r="B954" t="s">
        <v>37</v>
      </c>
      <c r="C954" t="s">
        <v>37</v>
      </c>
      <c r="D954" t="s">
        <v>38</v>
      </c>
      <c r="E954" s="4">
        <v>8</v>
      </c>
      <c r="F954" s="5">
        <v>164</v>
      </c>
      <c r="G954" s="5" t="s">
        <v>39</v>
      </c>
      <c r="H954" s="5">
        <v>327.52</v>
      </c>
      <c r="I954" s="5" t="s">
        <v>39</v>
      </c>
      <c r="J954" s="5">
        <v>5.5759999999999996</v>
      </c>
      <c r="K954" s="5">
        <f t="shared" si="42"/>
        <v>0.69699999999999995</v>
      </c>
      <c r="L954" s="5">
        <f t="shared" si="43"/>
        <v>20.5</v>
      </c>
      <c r="M954" s="5" t="s">
        <v>39</v>
      </c>
      <c r="N954" s="5">
        <v>5.5759999999999996</v>
      </c>
      <c r="O954" s="5" t="s">
        <v>39</v>
      </c>
      <c r="P954" t="s">
        <v>1625</v>
      </c>
      <c r="Q954" t="s">
        <v>129</v>
      </c>
      <c r="R954" t="s">
        <v>130</v>
      </c>
      <c r="S954" t="s">
        <v>131</v>
      </c>
      <c r="T954" t="s">
        <v>43</v>
      </c>
      <c r="U954" t="s">
        <v>44</v>
      </c>
      <c r="V954">
        <v>147</v>
      </c>
      <c r="W954" t="s">
        <v>45</v>
      </c>
      <c r="X954" t="s">
        <v>60</v>
      </c>
      <c r="Y954" t="s">
        <v>132</v>
      </c>
      <c r="Z954" t="s">
        <v>37</v>
      </c>
      <c r="AA954" t="s">
        <v>95</v>
      </c>
      <c r="AB954" t="s">
        <v>37</v>
      </c>
      <c r="AC954" s="6" t="s">
        <v>37</v>
      </c>
      <c r="AD954" s="6" t="s">
        <v>37</v>
      </c>
      <c r="AE954" t="s">
        <v>37</v>
      </c>
      <c r="AF954" t="s">
        <v>37</v>
      </c>
      <c r="AG954" s="6" t="s">
        <v>37</v>
      </c>
      <c r="AH954" t="s">
        <v>37</v>
      </c>
      <c r="AI954" t="s">
        <v>37</v>
      </c>
      <c r="AJ954" t="str">
        <f t="shared" si="44"/>
        <v>88OCIVKFB002L3TSLQ</v>
      </c>
    </row>
    <row r="955" spans="1:36" ht="15" customHeight="1" x14ac:dyDescent="0.25">
      <c r="A955" t="s">
        <v>88</v>
      </c>
      <c r="B955" t="s">
        <v>37</v>
      </c>
      <c r="C955" t="s">
        <v>37</v>
      </c>
      <c r="D955" t="s">
        <v>38</v>
      </c>
      <c r="E955" s="4">
        <v>212</v>
      </c>
      <c r="F955" s="5">
        <v>8946.4</v>
      </c>
      <c r="G955" s="5" t="s">
        <v>39</v>
      </c>
      <c r="H955" s="5">
        <v>14767.92</v>
      </c>
      <c r="I955" s="5" t="s">
        <v>39</v>
      </c>
      <c r="J955" s="5">
        <v>304.17759999999998</v>
      </c>
      <c r="K955" s="5">
        <f t="shared" si="42"/>
        <v>1.4347999999999999</v>
      </c>
      <c r="L955" s="5">
        <f t="shared" si="43"/>
        <v>42.199999999999996</v>
      </c>
      <c r="M955" s="5" t="s">
        <v>39</v>
      </c>
      <c r="N955" s="5">
        <v>304.17759999999998</v>
      </c>
      <c r="O955" s="5" t="s">
        <v>39</v>
      </c>
      <c r="P955" t="s">
        <v>158</v>
      </c>
      <c r="Q955" t="s">
        <v>897</v>
      </c>
      <c r="R955" t="s">
        <v>37</v>
      </c>
      <c r="S955" t="s">
        <v>898</v>
      </c>
      <c r="T955" t="s">
        <v>43</v>
      </c>
      <c r="U955" t="s">
        <v>44</v>
      </c>
      <c r="V955">
        <v>147</v>
      </c>
      <c r="W955" t="s">
        <v>45</v>
      </c>
      <c r="X955" t="s">
        <v>60</v>
      </c>
      <c r="Y955" t="s">
        <v>899</v>
      </c>
      <c r="Z955" t="s">
        <v>37</v>
      </c>
      <c r="AA955" t="s">
        <v>55</v>
      </c>
      <c r="AB955" t="s">
        <v>37</v>
      </c>
      <c r="AC955" s="6" t="s">
        <v>37</v>
      </c>
      <c r="AD955" s="6" t="s">
        <v>37</v>
      </c>
      <c r="AE955" t="s">
        <v>37</v>
      </c>
      <c r="AF955" t="s">
        <v>37</v>
      </c>
      <c r="AG955" s="6" t="s">
        <v>37</v>
      </c>
      <c r="AH955" t="s">
        <v>37</v>
      </c>
      <c r="AI955" t="s">
        <v>37</v>
      </c>
      <c r="AJ955" t="str">
        <f t="shared" si="44"/>
        <v>8FQ2THMTB07W4DH5GL</v>
      </c>
    </row>
    <row r="956" spans="1:36" ht="15" customHeight="1" x14ac:dyDescent="0.25">
      <c r="A956" t="s">
        <v>118</v>
      </c>
      <c r="B956" t="s">
        <v>37</v>
      </c>
      <c r="C956" t="s">
        <v>37</v>
      </c>
      <c r="D956" t="s">
        <v>38</v>
      </c>
      <c r="E956" s="4">
        <v>4</v>
      </c>
      <c r="F956" s="5">
        <v>485</v>
      </c>
      <c r="G956" s="5" t="s">
        <v>39</v>
      </c>
      <c r="H956" s="5">
        <v>750.8</v>
      </c>
      <c r="I956" s="5" t="s">
        <v>39</v>
      </c>
      <c r="J956" s="5">
        <v>16.489999999999998</v>
      </c>
      <c r="K956" s="5">
        <f t="shared" si="42"/>
        <v>4.1224999999999996</v>
      </c>
      <c r="L956" s="5">
        <f t="shared" si="43"/>
        <v>121.25</v>
      </c>
      <c r="M956" s="5" t="s">
        <v>39</v>
      </c>
      <c r="N956" s="5">
        <v>16.489999999999998</v>
      </c>
      <c r="O956" s="5" t="s">
        <v>39</v>
      </c>
      <c r="P956" t="s">
        <v>40</v>
      </c>
      <c r="Q956" t="s">
        <v>667</v>
      </c>
      <c r="R956" t="s">
        <v>37</v>
      </c>
      <c r="S956" t="s">
        <v>668</v>
      </c>
      <c r="T956" t="s">
        <v>43</v>
      </c>
      <c r="U956" t="s">
        <v>44</v>
      </c>
      <c r="V956">
        <v>147</v>
      </c>
      <c r="W956" t="s">
        <v>45</v>
      </c>
      <c r="X956" t="s">
        <v>60</v>
      </c>
      <c r="Y956" t="s">
        <v>669</v>
      </c>
      <c r="Z956" t="s">
        <v>37</v>
      </c>
      <c r="AA956" t="s">
        <v>48</v>
      </c>
      <c r="AB956" t="s">
        <v>37</v>
      </c>
      <c r="AC956" s="6" t="s">
        <v>37</v>
      </c>
      <c r="AD956" s="6" t="s">
        <v>37</v>
      </c>
      <c r="AE956" t="s">
        <v>37</v>
      </c>
      <c r="AF956" t="s">
        <v>37</v>
      </c>
      <c r="AG956" s="6" t="s">
        <v>37</v>
      </c>
      <c r="AH956" t="s">
        <v>37</v>
      </c>
      <c r="AI956" t="s">
        <v>37</v>
      </c>
      <c r="AJ956" t="str">
        <f t="shared" si="44"/>
        <v>4A3KDTEZB074KMD92K</v>
      </c>
    </row>
    <row r="957" spans="1:36" ht="15" customHeight="1" x14ac:dyDescent="0.25">
      <c r="A957" t="s">
        <v>36</v>
      </c>
      <c r="B957" t="s">
        <v>37</v>
      </c>
      <c r="C957" t="s">
        <v>37</v>
      </c>
      <c r="D957" t="s">
        <v>38</v>
      </c>
      <c r="E957" s="4">
        <v>7</v>
      </c>
      <c r="F957" s="5">
        <v>1547.49</v>
      </c>
      <c r="G957" s="5" t="s">
        <v>39</v>
      </c>
      <c r="H957" s="5">
        <v>2346.75</v>
      </c>
      <c r="I957" s="5" t="s">
        <v>39</v>
      </c>
      <c r="J957" s="5">
        <v>52.614660000000001</v>
      </c>
      <c r="K957" s="5">
        <f t="shared" si="42"/>
        <v>7.5163799999999998</v>
      </c>
      <c r="L957" s="5">
        <f t="shared" si="43"/>
        <v>221.07</v>
      </c>
      <c r="M957" s="5" t="s">
        <v>39</v>
      </c>
      <c r="N957" s="5">
        <v>52.614660000000001</v>
      </c>
      <c r="O957" s="5" t="s">
        <v>39</v>
      </c>
      <c r="P957" t="s">
        <v>246</v>
      </c>
      <c r="Q957" t="s">
        <v>671</v>
      </c>
      <c r="R957" t="s">
        <v>672</v>
      </c>
      <c r="S957" t="s">
        <v>673</v>
      </c>
      <c r="T957" t="s">
        <v>43</v>
      </c>
      <c r="U957" t="s">
        <v>44</v>
      </c>
      <c r="V957">
        <v>147</v>
      </c>
      <c r="W957" t="s">
        <v>45</v>
      </c>
      <c r="X957" t="s">
        <v>46</v>
      </c>
      <c r="Y957" t="s">
        <v>674</v>
      </c>
      <c r="Z957" t="s">
        <v>37</v>
      </c>
      <c r="AA957" t="s">
        <v>55</v>
      </c>
      <c r="AB957" t="s">
        <v>37</v>
      </c>
      <c r="AC957" s="6" t="s">
        <v>37</v>
      </c>
      <c r="AD957" s="6" t="s">
        <v>37</v>
      </c>
      <c r="AE957" t="s">
        <v>37</v>
      </c>
      <c r="AF957" t="s">
        <v>37</v>
      </c>
      <c r="AG957" s="6" t="s">
        <v>37</v>
      </c>
      <c r="AH957" t="s">
        <v>37</v>
      </c>
      <c r="AI957" t="s">
        <v>37</v>
      </c>
      <c r="AJ957" t="str">
        <f t="shared" si="44"/>
        <v>1PSIXGLTB011N78DMA</v>
      </c>
    </row>
    <row r="958" spans="1:36" ht="15" customHeight="1" x14ac:dyDescent="0.25">
      <c r="A958" t="s">
        <v>101</v>
      </c>
      <c r="B958" t="s">
        <v>37</v>
      </c>
      <c r="C958" t="s">
        <v>37</v>
      </c>
      <c r="D958" t="s">
        <v>38</v>
      </c>
      <c r="E958" s="4">
        <v>120</v>
      </c>
      <c r="F958" s="5">
        <v>27162</v>
      </c>
      <c r="G958" s="5" t="s">
        <v>39</v>
      </c>
      <c r="H958" s="5">
        <v>43180.800000000003</v>
      </c>
      <c r="I958" s="5" t="s">
        <v>39</v>
      </c>
      <c r="J958" s="5">
        <v>923.50800000000004</v>
      </c>
      <c r="K958" s="5">
        <f t="shared" si="42"/>
        <v>7.6959</v>
      </c>
      <c r="L958" s="5">
        <f t="shared" si="43"/>
        <v>226.35</v>
      </c>
      <c r="M958" s="5" t="s">
        <v>39</v>
      </c>
      <c r="N958" s="5">
        <v>923.50800000000004</v>
      </c>
      <c r="O958" s="5" t="s">
        <v>39</v>
      </c>
      <c r="P958" t="s">
        <v>748</v>
      </c>
      <c r="Q958" t="s">
        <v>675</v>
      </c>
      <c r="R958" t="s">
        <v>37</v>
      </c>
      <c r="S958" t="s">
        <v>676</v>
      </c>
      <c r="T958" t="s">
        <v>43</v>
      </c>
      <c r="U958" t="s">
        <v>44</v>
      </c>
      <c r="V958">
        <v>147</v>
      </c>
      <c r="W958" t="s">
        <v>45</v>
      </c>
      <c r="X958" t="s">
        <v>46</v>
      </c>
      <c r="Y958" t="s">
        <v>677</v>
      </c>
      <c r="Z958" t="s">
        <v>37</v>
      </c>
      <c r="AA958" t="s">
        <v>55</v>
      </c>
      <c r="AB958" t="s">
        <v>37</v>
      </c>
      <c r="AC958" s="6" t="s">
        <v>37</v>
      </c>
      <c r="AD958" s="6" t="s">
        <v>37</v>
      </c>
      <c r="AE958" t="s">
        <v>37</v>
      </c>
      <c r="AF958" t="s">
        <v>37</v>
      </c>
      <c r="AG958" s="6" t="s">
        <v>37</v>
      </c>
      <c r="AH958" t="s">
        <v>37</v>
      </c>
      <c r="AI958" t="s">
        <v>37</v>
      </c>
      <c r="AJ958" t="str">
        <f t="shared" si="44"/>
        <v>74WI6EYDB07W7KFFFF</v>
      </c>
    </row>
    <row r="959" spans="1:36" ht="15" customHeight="1" x14ac:dyDescent="0.25">
      <c r="A959" t="s">
        <v>96</v>
      </c>
      <c r="B959" t="s">
        <v>37</v>
      </c>
      <c r="C959" t="s">
        <v>37</v>
      </c>
      <c r="D959" t="s">
        <v>38</v>
      </c>
      <c r="E959" s="4">
        <v>16</v>
      </c>
      <c r="F959" s="5">
        <v>548.64</v>
      </c>
      <c r="G959" s="5" t="s">
        <v>39</v>
      </c>
      <c r="H959" s="5">
        <v>917.92</v>
      </c>
      <c r="I959" s="5" t="s">
        <v>39</v>
      </c>
      <c r="J959" s="5">
        <v>18.653759999999998</v>
      </c>
      <c r="K959" s="5">
        <f t="shared" si="42"/>
        <v>1.1658599999999999</v>
      </c>
      <c r="L959" s="5">
        <f t="shared" si="43"/>
        <v>34.29</v>
      </c>
      <c r="M959" s="5" t="s">
        <v>39</v>
      </c>
      <c r="N959" s="5">
        <v>18.653759999999998</v>
      </c>
      <c r="O959" s="5" t="s">
        <v>39</v>
      </c>
      <c r="P959" t="s">
        <v>50</v>
      </c>
      <c r="Q959" t="s">
        <v>523</v>
      </c>
      <c r="R959" t="s">
        <v>37</v>
      </c>
      <c r="S959" t="s">
        <v>524</v>
      </c>
      <c r="T959" t="s">
        <v>43</v>
      </c>
      <c r="U959" t="s">
        <v>44</v>
      </c>
      <c r="V959">
        <v>147</v>
      </c>
      <c r="W959" t="s">
        <v>45</v>
      </c>
      <c r="X959" t="s">
        <v>46</v>
      </c>
      <c r="Y959" t="s">
        <v>525</v>
      </c>
      <c r="Z959" t="s">
        <v>37</v>
      </c>
      <c r="AA959" t="s">
        <v>48</v>
      </c>
      <c r="AB959" t="s">
        <v>37</v>
      </c>
      <c r="AC959" s="6" t="s">
        <v>37</v>
      </c>
      <c r="AD959" s="6" t="s">
        <v>37</v>
      </c>
      <c r="AE959" t="s">
        <v>37</v>
      </c>
      <c r="AF959" t="s">
        <v>37</v>
      </c>
      <c r="AG959" s="6" t="s">
        <v>37</v>
      </c>
      <c r="AH959" t="s">
        <v>37</v>
      </c>
      <c r="AI959" t="s">
        <v>37</v>
      </c>
      <c r="AJ959" t="str">
        <f t="shared" si="44"/>
        <v>3A946EXYB00CJ5FPTA</v>
      </c>
    </row>
    <row r="960" spans="1:36" ht="15" customHeight="1" x14ac:dyDescent="0.25">
      <c r="A960" t="s">
        <v>88</v>
      </c>
      <c r="B960" t="s">
        <v>37</v>
      </c>
      <c r="C960" t="s">
        <v>37</v>
      </c>
      <c r="D960" t="s">
        <v>38</v>
      </c>
      <c r="E960" s="4">
        <v>8</v>
      </c>
      <c r="F960" s="5">
        <v>234.24</v>
      </c>
      <c r="G960" s="5" t="s">
        <v>39</v>
      </c>
      <c r="H960" s="5">
        <v>234.24</v>
      </c>
      <c r="I960" s="5" t="s">
        <v>39</v>
      </c>
      <c r="J960" s="5">
        <v>7.9641599999999997</v>
      </c>
      <c r="K960" s="5">
        <f t="shared" si="42"/>
        <v>0.99551999999999996</v>
      </c>
      <c r="L960" s="5">
        <f t="shared" si="43"/>
        <v>29.28</v>
      </c>
      <c r="M960" s="5" t="s">
        <v>39</v>
      </c>
      <c r="N960" s="5">
        <v>7.9641599999999997</v>
      </c>
      <c r="O960" s="5" t="s">
        <v>39</v>
      </c>
      <c r="P960" t="s">
        <v>1626</v>
      </c>
      <c r="Q960" t="s">
        <v>308</v>
      </c>
      <c r="R960" t="s">
        <v>37</v>
      </c>
      <c r="S960" t="s">
        <v>309</v>
      </c>
      <c r="T960" t="s">
        <v>43</v>
      </c>
      <c r="U960" t="s">
        <v>44</v>
      </c>
      <c r="V960">
        <v>23</v>
      </c>
      <c r="W960" t="s">
        <v>310</v>
      </c>
      <c r="X960" t="s">
        <v>311</v>
      </c>
      <c r="Y960" t="s">
        <v>312</v>
      </c>
      <c r="Z960" t="s">
        <v>37</v>
      </c>
      <c r="AA960" t="s">
        <v>55</v>
      </c>
      <c r="AB960" t="s">
        <v>37</v>
      </c>
      <c r="AC960" s="6" t="s">
        <v>37</v>
      </c>
      <c r="AD960" s="6" t="s">
        <v>37</v>
      </c>
      <c r="AE960" t="s">
        <v>37</v>
      </c>
      <c r="AF960" t="s">
        <v>37</v>
      </c>
      <c r="AG960" s="6" t="s">
        <v>37</v>
      </c>
      <c r="AH960" t="s">
        <v>37</v>
      </c>
      <c r="AI960" t="s">
        <v>37</v>
      </c>
      <c r="AJ960" t="str">
        <f t="shared" si="44"/>
        <v>8SGS6BFXB00IRCDT7Y</v>
      </c>
    </row>
    <row r="961" spans="1:36" ht="15" customHeight="1" x14ac:dyDescent="0.25">
      <c r="A961" t="s">
        <v>36</v>
      </c>
      <c r="B961" t="s">
        <v>37</v>
      </c>
      <c r="C961" t="s">
        <v>37</v>
      </c>
      <c r="D961" t="s">
        <v>38</v>
      </c>
      <c r="E961" s="4">
        <v>800</v>
      </c>
      <c r="F961" s="5">
        <v>23424</v>
      </c>
      <c r="G961" s="5" t="s">
        <v>39</v>
      </c>
      <c r="H961" s="5">
        <v>23424</v>
      </c>
      <c r="I961" s="5" t="s">
        <v>39</v>
      </c>
      <c r="J961" s="5">
        <v>796.41600000000005</v>
      </c>
      <c r="K961" s="5">
        <f t="shared" si="42"/>
        <v>0.99552000000000007</v>
      </c>
      <c r="L961" s="5">
        <f t="shared" si="43"/>
        <v>29.28</v>
      </c>
      <c r="M961" s="5" t="s">
        <v>39</v>
      </c>
      <c r="N961" s="5">
        <v>796.41600000000005</v>
      </c>
      <c r="O961" s="5" t="s">
        <v>39</v>
      </c>
      <c r="P961" t="s">
        <v>1626</v>
      </c>
      <c r="Q961" t="s">
        <v>308</v>
      </c>
      <c r="R961" t="s">
        <v>37</v>
      </c>
      <c r="S961" t="s">
        <v>309</v>
      </c>
      <c r="T961" t="s">
        <v>43</v>
      </c>
      <c r="U961" t="s">
        <v>44</v>
      </c>
      <c r="V961">
        <v>23</v>
      </c>
      <c r="W961" t="s">
        <v>310</v>
      </c>
      <c r="X961" t="s">
        <v>311</v>
      </c>
      <c r="Y961" t="s">
        <v>312</v>
      </c>
      <c r="Z961" t="s">
        <v>37</v>
      </c>
      <c r="AA961" t="s">
        <v>55</v>
      </c>
      <c r="AB961" t="s">
        <v>37</v>
      </c>
      <c r="AC961" s="6" t="s">
        <v>37</v>
      </c>
      <c r="AD961" s="6" t="s">
        <v>37</v>
      </c>
      <c r="AE961" t="s">
        <v>37</v>
      </c>
      <c r="AF961" t="s">
        <v>37</v>
      </c>
      <c r="AG961" s="6" t="s">
        <v>37</v>
      </c>
      <c r="AH961" t="s">
        <v>37</v>
      </c>
      <c r="AI961" t="s">
        <v>37</v>
      </c>
      <c r="AJ961" t="str">
        <f t="shared" si="44"/>
        <v>8SGS6BFXB00IRCDT7Y</v>
      </c>
    </row>
    <row r="962" spans="1:36" ht="15" customHeight="1" x14ac:dyDescent="0.25">
      <c r="A962" t="s">
        <v>127</v>
      </c>
      <c r="B962" t="s">
        <v>37</v>
      </c>
      <c r="C962" t="s">
        <v>37</v>
      </c>
      <c r="D962" t="s">
        <v>38</v>
      </c>
      <c r="E962" s="4">
        <v>32</v>
      </c>
      <c r="F962" s="5">
        <v>936.96</v>
      </c>
      <c r="G962" s="5" t="s">
        <v>39</v>
      </c>
      <c r="H962" s="5">
        <v>936.96</v>
      </c>
      <c r="I962" s="5" t="s">
        <v>39</v>
      </c>
      <c r="J962" s="5">
        <v>31.856639999999999</v>
      </c>
      <c r="K962" s="5">
        <f t="shared" si="42"/>
        <v>0.99551999999999996</v>
      </c>
      <c r="L962" s="5">
        <f t="shared" si="43"/>
        <v>29.28</v>
      </c>
      <c r="M962" s="5" t="s">
        <v>39</v>
      </c>
      <c r="N962" s="5">
        <v>31.856639999999999</v>
      </c>
      <c r="O962" s="5" t="s">
        <v>39</v>
      </c>
      <c r="P962" t="s">
        <v>1626</v>
      </c>
      <c r="Q962" t="s">
        <v>308</v>
      </c>
      <c r="R962" t="s">
        <v>37</v>
      </c>
      <c r="S962" t="s">
        <v>309</v>
      </c>
      <c r="T962" t="s">
        <v>43</v>
      </c>
      <c r="U962" t="s">
        <v>44</v>
      </c>
      <c r="V962">
        <v>23</v>
      </c>
      <c r="W962" t="s">
        <v>310</v>
      </c>
      <c r="X962" t="s">
        <v>311</v>
      </c>
      <c r="Y962" t="s">
        <v>312</v>
      </c>
      <c r="Z962" t="s">
        <v>37</v>
      </c>
      <c r="AA962" t="s">
        <v>55</v>
      </c>
      <c r="AB962" t="s">
        <v>37</v>
      </c>
      <c r="AC962" s="6" t="s">
        <v>37</v>
      </c>
      <c r="AD962" s="6" t="s">
        <v>37</v>
      </c>
      <c r="AE962" t="s">
        <v>37</v>
      </c>
      <c r="AF962" t="s">
        <v>37</v>
      </c>
      <c r="AG962" s="6" t="s">
        <v>37</v>
      </c>
      <c r="AH962" t="s">
        <v>37</v>
      </c>
      <c r="AI962" t="s">
        <v>37</v>
      </c>
      <c r="AJ962" t="str">
        <f t="shared" si="44"/>
        <v>8SGS6BFXB00IRCDT7Y</v>
      </c>
    </row>
    <row r="963" spans="1:36" ht="15" customHeight="1" x14ac:dyDescent="0.25">
      <c r="A963" t="s">
        <v>101</v>
      </c>
      <c r="B963" t="s">
        <v>37</v>
      </c>
      <c r="C963" t="s">
        <v>37</v>
      </c>
      <c r="D963" t="s">
        <v>38</v>
      </c>
      <c r="E963" s="4">
        <v>10</v>
      </c>
      <c r="F963" s="5">
        <v>105.3</v>
      </c>
      <c r="G963" s="5" t="s">
        <v>39</v>
      </c>
      <c r="H963" s="5">
        <v>105.3</v>
      </c>
      <c r="I963" s="5" t="s">
        <v>39</v>
      </c>
      <c r="J963" s="5">
        <v>3.5802</v>
      </c>
      <c r="K963" s="5">
        <f t="shared" ref="K963:K1026" si="45">J963/E963</f>
        <v>0.35802</v>
      </c>
      <c r="L963" s="5">
        <f t="shared" ref="L963:L1026" si="46">F963/E963</f>
        <v>10.53</v>
      </c>
      <c r="M963" s="5" t="s">
        <v>39</v>
      </c>
      <c r="N963" s="5">
        <v>3.5802</v>
      </c>
      <c r="O963" s="5" t="s">
        <v>39</v>
      </c>
      <c r="P963" t="s">
        <v>72</v>
      </c>
      <c r="Q963" t="s">
        <v>324</v>
      </c>
      <c r="R963" t="s">
        <v>325</v>
      </c>
      <c r="S963" t="s">
        <v>326</v>
      </c>
      <c r="T963" t="s">
        <v>43</v>
      </c>
      <c r="U963" t="s">
        <v>44</v>
      </c>
      <c r="V963">
        <v>147</v>
      </c>
      <c r="W963" t="s">
        <v>45</v>
      </c>
      <c r="X963" t="s">
        <v>53</v>
      </c>
      <c r="Y963" t="s">
        <v>327</v>
      </c>
      <c r="Z963" t="s">
        <v>37</v>
      </c>
      <c r="AA963" t="s">
        <v>48</v>
      </c>
      <c r="AB963" t="s">
        <v>37</v>
      </c>
      <c r="AC963" s="6" t="s">
        <v>37</v>
      </c>
      <c r="AD963" s="6" t="s">
        <v>37</v>
      </c>
      <c r="AE963" t="s">
        <v>37</v>
      </c>
      <c r="AF963" t="s">
        <v>37</v>
      </c>
      <c r="AG963" s="6" t="s">
        <v>37</v>
      </c>
      <c r="AH963" t="s">
        <v>37</v>
      </c>
      <c r="AI963" t="s">
        <v>37</v>
      </c>
      <c r="AJ963" t="str">
        <f t="shared" ref="AJ963:AJ1026" si="47">P963&amp;Q963</f>
        <v>4GF112AEB00544XFHC</v>
      </c>
    </row>
    <row r="964" spans="1:36" ht="15" customHeight="1" x14ac:dyDescent="0.25">
      <c r="A964" t="s">
        <v>162</v>
      </c>
      <c r="B964" t="s">
        <v>37</v>
      </c>
      <c r="C964" t="s">
        <v>37</v>
      </c>
      <c r="D964" t="s">
        <v>38</v>
      </c>
      <c r="E964" s="4">
        <v>12</v>
      </c>
      <c r="F964" s="5">
        <v>351.36</v>
      </c>
      <c r="G964" s="5" t="s">
        <v>39</v>
      </c>
      <c r="H964" s="5">
        <v>351.36</v>
      </c>
      <c r="I964" s="5" t="s">
        <v>39</v>
      </c>
      <c r="J964" s="5">
        <v>11.94624</v>
      </c>
      <c r="K964" s="5">
        <f t="shared" si="45"/>
        <v>0.99551999999999996</v>
      </c>
      <c r="L964" s="5">
        <f t="shared" si="46"/>
        <v>29.28</v>
      </c>
      <c r="M964" s="5" t="s">
        <v>39</v>
      </c>
      <c r="N964" s="5">
        <v>11.94624</v>
      </c>
      <c r="O964" s="5" t="s">
        <v>39</v>
      </c>
      <c r="P964" t="s">
        <v>1626</v>
      </c>
      <c r="Q964" t="s">
        <v>308</v>
      </c>
      <c r="R964" t="s">
        <v>37</v>
      </c>
      <c r="S964" t="s">
        <v>309</v>
      </c>
      <c r="T964" t="s">
        <v>43</v>
      </c>
      <c r="U964" t="s">
        <v>44</v>
      </c>
      <c r="V964">
        <v>23</v>
      </c>
      <c r="W964" t="s">
        <v>310</v>
      </c>
      <c r="X964" t="s">
        <v>311</v>
      </c>
      <c r="Y964" t="s">
        <v>312</v>
      </c>
      <c r="Z964" t="s">
        <v>37</v>
      </c>
      <c r="AA964" t="s">
        <v>55</v>
      </c>
      <c r="AB964" t="s">
        <v>37</v>
      </c>
      <c r="AC964" s="6" t="s">
        <v>37</v>
      </c>
      <c r="AD964" s="6" t="s">
        <v>37</v>
      </c>
      <c r="AE964" t="s">
        <v>37</v>
      </c>
      <c r="AF964" t="s">
        <v>37</v>
      </c>
      <c r="AG964" s="6" t="s">
        <v>37</v>
      </c>
      <c r="AH964" t="s">
        <v>37</v>
      </c>
      <c r="AI964" t="s">
        <v>37</v>
      </c>
      <c r="AJ964" t="str">
        <f t="shared" si="47"/>
        <v>8SGS6BFXB00IRCDT7Y</v>
      </c>
    </row>
    <row r="965" spans="1:36" ht="15" customHeight="1" x14ac:dyDescent="0.25">
      <c r="A965" t="s">
        <v>76</v>
      </c>
      <c r="B965" t="s">
        <v>37</v>
      </c>
      <c r="C965" t="s">
        <v>37</v>
      </c>
      <c r="D965" t="s">
        <v>38</v>
      </c>
      <c r="E965" s="4">
        <v>88</v>
      </c>
      <c r="F965" s="5">
        <v>1624.48</v>
      </c>
      <c r="G965" s="5" t="s">
        <v>39</v>
      </c>
      <c r="H965" s="5">
        <v>2740.32</v>
      </c>
      <c r="I965" s="5" t="s">
        <v>39</v>
      </c>
      <c r="J965" s="5">
        <v>55.232320000000001</v>
      </c>
      <c r="K965" s="5">
        <f t="shared" si="45"/>
        <v>0.62763999999999998</v>
      </c>
      <c r="L965" s="5">
        <f t="shared" si="46"/>
        <v>18.46</v>
      </c>
      <c r="M965" s="5" t="s">
        <v>39</v>
      </c>
      <c r="N965" s="5">
        <v>55.232320000000001</v>
      </c>
      <c r="O965" s="5" t="s">
        <v>39</v>
      </c>
      <c r="P965" t="s">
        <v>177</v>
      </c>
      <c r="Q965" t="s">
        <v>1627</v>
      </c>
      <c r="R965" t="s">
        <v>37</v>
      </c>
      <c r="S965" t="s">
        <v>1628</v>
      </c>
      <c r="T965" t="s">
        <v>43</v>
      </c>
      <c r="U965" t="s">
        <v>44</v>
      </c>
      <c r="V965">
        <v>147</v>
      </c>
      <c r="W965" t="s">
        <v>45</v>
      </c>
      <c r="X965" t="s">
        <v>356</v>
      </c>
      <c r="Y965" t="s">
        <v>1629</v>
      </c>
      <c r="Z965" t="s">
        <v>37</v>
      </c>
      <c r="AA965" t="s">
        <v>48</v>
      </c>
      <c r="AB965" t="s">
        <v>37</v>
      </c>
      <c r="AC965" s="6" t="s">
        <v>37</v>
      </c>
      <c r="AD965" s="6" t="s">
        <v>37</v>
      </c>
      <c r="AE965" t="s">
        <v>37</v>
      </c>
      <c r="AF965" t="s">
        <v>37</v>
      </c>
      <c r="AG965" s="6" t="s">
        <v>37</v>
      </c>
      <c r="AH965" t="s">
        <v>37</v>
      </c>
      <c r="AI965" t="s">
        <v>37</v>
      </c>
      <c r="AJ965" t="str">
        <f t="shared" si="47"/>
        <v>4F3XMHTVB01DKTP3PY</v>
      </c>
    </row>
    <row r="966" spans="1:36" ht="15" customHeight="1" x14ac:dyDescent="0.25">
      <c r="A966" t="s">
        <v>176</v>
      </c>
      <c r="B966" t="s">
        <v>37</v>
      </c>
      <c r="C966" t="s">
        <v>37</v>
      </c>
      <c r="D966" t="s">
        <v>38</v>
      </c>
      <c r="E966" s="4">
        <v>20</v>
      </c>
      <c r="F966" s="5">
        <v>177.8</v>
      </c>
      <c r="G966" s="5" t="s">
        <v>39</v>
      </c>
      <c r="H966" s="5">
        <v>393.2</v>
      </c>
      <c r="I966" s="5" t="s">
        <v>39</v>
      </c>
      <c r="J966" s="5">
        <v>6.0452000000000004</v>
      </c>
      <c r="K966" s="5">
        <f t="shared" si="45"/>
        <v>0.30226000000000003</v>
      </c>
      <c r="L966" s="5">
        <f t="shared" si="46"/>
        <v>8.89</v>
      </c>
      <c r="M966" s="5" t="s">
        <v>39</v>
      </c>
      <c r="N966" s="5">
        <v>6.0452000000000004</v>
      </c>
      <c r="O966" s="5" t="s">
        <v>39</v>
      </c>
      <c r="P966" t="s">
        <v>320</v>
      </c>
      <c r="Q966" t="s">
        <v>970</v>
      </c>
      <c r="R966" t="s">
        <v>37</v>
      </c>
      <c r="S966" t="s">
        <v>971</v>
      </c>
      <c r="T966" t="s">
        <v>43</v>
      </c>
      <c r="U966" t="s">
        <v>44</v>
      </c>
      <c r="V966">
        <v>147</v>
      </c>
      <c r="W966" t="s">
        <v>45</v>
      </c>
      <c r="X966" t="s">
        <v>46</v>
      </c>
      <c r="Y966" t="s">
        <v>972</v>
      </c>
      <c r="Z966" t="s">
        <v>37</v>
      </c>
      <c r="AA966" t="s">
        <v>95</v>
      </c>
      <c r="AB966" t="s">
        <v>37</v>
      </c>
      <c r="AC966" s="6" t="s">
        <v>37</v>
      </c>
      <c r="AD966" s="6" t="s">
        <v>37</v>
      </c>
      <c r="AE966" t="s">
        <v>37</v>
      </c>
      <c r="AF966" t="s">
        <v>37</v>
      </c>
      <c r="AG966" s="6" t="s">
        <v>37</v>
      </c>
      <c r="AH966" t="s">
        <v>37</v>
      </c>
      <c r="AI966" t="s">
        <v>37</v>
      </c>
      <c r="AJ966" t="str">
        <f t="shared" si="47"/>
        <v>8BG295LIB07W5JK3Z2</v>
      </c>
    </row>
    <row r="967" spans="1:36" ht="15" customHeight="1" x14ac:dyDescent="0.25">
      <c r="A967" t="s">
        <v>36</v>
      </c>
      <c r="B967" t="s">
        <v>37</v>
      </c>
      <c r="C967" t="s">
        <v>37</v>
      </c>
      <c r="D967" t="s">
        <v>38</v>
      </c>
      <c r="E967" s="4">
        <v>24</v>
      </c>
      <c r="F967" s="5">
        <v>974.4</v>
      </c>
      <c r="G967" s="5" t="s">
        <v>39</v>
      </c>
      <c r="H967" s="5">
        <v>1416.24</v>
      </c>
      <c r="I967" s="5" t="s">
        <v>39</v>
      </c>
      <c r="J967" s="5">
        <v>33.129600000000003</v>
      </c>
      <c r="K967" s="5">
        <f t="shared" si="45"/>
        <v>1.3804000000000001</v>
      </c>
      <c r="L967" s="5">
        <f t="shared" si="46"/>
        <v>40.6</v>
      </c>
      <c r="M967" s="5" t="s">
        <v>39</v>
      </c>
      <c r="N967" s="5">
        <v>33.129600000000003</v>
      </c>
      <c r="O967" s="5" t="s">
        <v>39</v>
      </c>
      <c r="P967" t="s">
        <v>67</v>
      </c>
      <c r="Q967" t="s">
        <v>313</v>
      </c>
      <c r="R967" t="s">
        <v>37</v>
      </c>
      <c r="S967" t="s">
        <v>314</v>
      </c>
      <c r="T967" t="s">
        <v>43</v>
      </c>
      <c r="U967" t="s">
        <v>44</v>
      </c>
      <c r="V967">
        <v>147</v>
      </c>
      <c r="W967" t="s">
        <v>45</v>
      </c>
      <c r="X967" t="s">
        <v>60</v>
      </c>
      <c r="Y967" t="s">
        <v>315</v>
      </c>
      <c r="Z967" t="s">
        <v>37</v>
      </c>
      <c r="AA967" t="s">
        <v>55</v>
      </c>
      <c r="AB967" t="s">
        <v>37</v>
      </c>
      <c r="AC967" s="6" t="s">
        <v>37</v>
      </c>
      <c r="AD967" s="6" t="s">
        <v>37</v>
      </c>
      <c r="AE967" t="s">
        <v>37</v>
      </c>
      <c r="AF967" t="s">
        <v>37</v>
      </c>
      <c r="AG967" s="6" t="s">
        <v>37</v>
      </c>
      <c r="AH967" t="s">
        <v>37</v>
      </c>
      <c r="AI967" t="s">
        <v>37</v>
      </c>
      <c r="AJ967" t="str">
        <f t="shared" si="47"/>
        <v>2TMBDXBKB07W7LNRN6</v>
      </c>
    </row>
    <row r="968" spans="1:36" ht="15" customHeight="1" x14ac:dyDescent="0.25">
      <c r="A968" t="s">
        <v>101</v>
      </c>
      <c r="B968" t="s">
        <v>37</v>
      </c>
      <c r="C968" t="s">
        <v>37</v>
      </c>
      <c r="D968" t="s">
        <v>38</v>
      </c>
      <c r="E968" s="4">
        <v>60</v>
      </c>
      <c r="F968" s="5">
        <v>533.4</v>
      </c>
      <c r="G968" s="5" t="s">
        <v>39</v>
      </c>
      <c r="H968" s="5">
        <v>1179.5999999999999</v>
      </c>
      <c r="I968" s="5" t="s">
        <v>39</v>
      </c>
      <c r="J968" s="5">
        <v>18.1356</v>
      </c>
      <c r="K968" s="5">
        <f t="shared" si="45"/>
        <v>0.30226000000000003</v>
      </c>
      <c r="L968" s="5">
        <f t="shared" si="46"/>
        <v>8.8899999999999988</v>
      </c>
      <c r="M968" s="5" t="s">
        <v>39</v>
      </c>
      <c r="N968" s="5">
        <v>18.1356</v>
      </c>
      <c r="O968" s="5" t="s">
        <v>39</v>
      </c>
      <c r="P968" t="s">
        <v>320</v>
      </c>
      <c r="Q968" t="s">
        <v>970</v>
      </c>
      <c r="R968" t="s">
        <v>37</v>
      </c>
      <c r="S968" t="s">
        <v>971</v>
      </c>
      <c r="T968" t="s">
        <v>43</v>
      </c>
      <c r="U968" t="s">
        <v>44</v>
      </c>
      <c r="V968">
        <v>147</v>
      </c>
      <c r="W968" t="s">
        <v>45</v>
      </c>
      <c r="X968" t="s">
        <v>46</v>
      </c>
      <c r="Y968" t="s">
        <v>972</v>
      </c>
      <c r="Z968" t="s">
        <v>37</v>
      </c>
      <c r="AA968" t="s">
        <v>95</v>
      </c>
      <c r="AB968" t="s">
        <v>37</v>
      </c>
      <c r="AC968" s="6" t="s">
        <v>37</v>
      </c>
      <c r="AD968" s="6" t="s">
        <v>37</v>
      </c>
      <c r="AE968" t="s">
        <v>37</v>
      </c>
      <c r="AF968" t="s">
        <v>37</v>
      </c>
      <c r="AG968" s="6" t="s">
        <v>37</v>
      </c>
      <c r="AH968" t="s">
        <v>37</v>
      </c>
      <c r="AI968" t="s">
        <v>37</v>
      </c>
      <c r="AJ968" t="str">
        <f t="shared" si="47"/>
        <v>8BG295LIB07W5JK3Z2</v>
      </c>
    </row>
    <row r="969" spans="1:36" ht="15" customHeight="1" x14ac:dyDescent="0.25">
      <c r="A969" t="s">
        <v>101</v>
      </c>
      <c r="B969" t="s">
        <v>37</v>
      </c>
      <c r="C969" t="s">
        <v>37</v>
      </c>
      <c r="D969" t="s">
        <v>38</v>
      </c>
      <c r="E969" s="4">
        <v>16</v>
      </c>
      <c r="F969" s="5">
        <v>1342.24</v>
      </c>
      <c r="G969" s="5" t="s">
        <v>39</v>
      </c>
      <c r="H969" s="5">
        <v>2347.52</v>
      </c>
      <c r="I969" s="5" t="s">
        <v>39</v>
      </c>
      <c r="J969" s="5">
        <v>45.636159999999997</v>
      </c>
      <c r="K969" s="5">
        <f t="shared" si="45"/>
        <v>2.8522599999999998</v>
      </c>
      <c r="L969" s="5">
        <f t="shared" si="46"/>
        <v>83.89</v>
      </c>
      <c r="M969" s="5" t="s">
        <v>39</v>
      </c>
      <c r="N969" s="5">
        <v>45.636159999999997</v>
      </c>
      <c r="O969" s="5" t="s">
        <v>39</v>
      </c>
      <c r="P969" t="s">
        <v>72</v>
      </c>
      <c r="Q969" t="s">
        <v>1538</v>
      </c>
      <c r="R969" t="s">
        <v>37</v>
      </c>
      <c r="S969" t="s">
        <v>1539</v>
      </c>
      <c r="T969" t="s">
        <v>43</v>
      </c>
      <c r="U969" t="s">
        <v>44</v>
      </c>
      <c r="V969">
        <v>147</v>
      </c>
      <c r="W969" t="s">
        <v>45</v>
      </c>
      <c r="X969" t="s">
        <v>53</v>
      </c>
      <c r="Y969" t="s">
        <v>1396</v>
      </c>
      <c r="Z969" t="s">
        <v>37</v>
      </c>
      <c r="AA969" t="s">
        <v>55</v>
      </c>
      <c r="AB969" t="s">
        <v>37</v>
      </c>
      <c r="AC969" s="6" t="s">
        <v>37</v>
      </c>
      <c r="AD969" s="6" t="s">
        <v>37</v>
      </c>
      <c r="AE969" t="s">
        <v>37</v>
      </c>
      <c r="AF969" t="s">
        <v>37</v>
      </c>
      <c r="AG969" s="6" t="s">
        <v>37</v>
      </c>
      <c r="AH969" t="s">
        <v>37</v>
      </c>
      <c r="AI969" t="s">
        <v>37</v>
      </c>
      <c r="AJ969" t="str">
        <f t="shared" si="47"/>
        <v>4GF112AEB07W5JJSBK</v>
      </c>
    </row>
    <row r="970" spans="1:36" ht="15" customHeight="1" x14ac:dyDescent="0.25">
      <c r="A970" t="s">
        <v>101</v>
      </c>
      <c r="B970" t="s">
        <v>37</v>
      </c>
      <c r="C970" t="s">
        <v>37</v>
      </c>
      <c r="D970" t="s">
        <v>38</v>
      </c>
      <c r="E970" s="4">
        <v>8</v>
      </c>
      <c r="F970" s="5">
        <v>187.36</v>
      </c>
      <c r="G970" s="5" t="s">
        <v>39</v>
      </c>
      <c r="H970" s="5">
        <v>288.48</v>
      </c>
      <c r="I970" s="5" t="s">
        <v>39</v>
      </c>
      <c r="J970" s="5">
        <v>6.3702399999999999</v>
      </c>
      <c r="K970" s="5">
        <f t="shared" si="45"/>
        <v>0.79627999999999999</v>
      </c>
      <c r="L970" s="5">
        <f t="shared" si="46"/>
        <v>23.42</v>
      </c>
      <c r="M970" s="5" t="s">
        <v>39</v>
      </c>
      <c r="N970" s="5">
        <v>6.3702399999999999</v>
      </c>
      <c r="O970" s="5" t="s">
        <v>39</v>
      </c>
      <c r="P970" t="s">
        <v>102</v>
      </c>
      <c r="Q970" t="s">
        <v>1460</v>
      </c>
      <c r="R970" t="s">
        <v>37</v>
      </c>
      <c r="S970" t="s">
        <v>1461</v>
      </c>
      <c r="T970" t="s">
        <v>43</v>
      </c>
      <c r="U970" t="s">
        <v>44</v>
      </c>
      <c r="V970">
        <v>147</v>
      </c>
      <c r="W970" t="s">
        <v>45</v>
      </c>
      <c r="X970" t="s">
        <v>60</v>
      </c>
      <c r="Y970" t="s">
        <v>1462</v>
      </c>
      <c r="Z970" t="s">
        <v>37</v>
      </c>
      <c r="AA970" t="s">
        <v>55</v>
      </c>
      <c r="AB970" t="s">
        <v>37</v>
      </c>
      <c r="AC970" s="6" t="s">
        <v>37</v>
      </c>
      <c r="AD970" s="6" t="s">
        <v>37</v>
      </c>
      <c r="AE970" t="s">
        <v>37</v>
      </c>
      <c r="AF970" t="s">
        <v>37</v>
      </c>
      <c r="AG970" s="6" t="s">
        <v>37</v>
      </c>
      <c r="AH970" t="s">
        <v>37</v>
      </c>
      <c r="AI970" t="s">
        <v>37</v>
      </c>
      <c r="AJ970" t="str">
        <f t="shared" si="47"/>
        <v>2M7QFTCOB0078M385M</v>
      </c>
    </row>
    <row r="971" spans="1:36" ht="15" customHeight="1" x14ac:dyDescent="0.25">
      <c r="A971" t="s">
        <v>36</v>
      </c>
      <c r="B971" t="s">
        <v>37</v>
      </c>
      <c r="C971" t="s">
        <v>1436</v>
      </c>
      <c r="D971" t="s">
        <v>1374</v>
      </c>
      <c r="E971" s="4">
        <v>4</v>
      </c>
      <c r="F971" s="5" t="s">
        <v>37</v>
      </c>
      <c r="G971" s="5" t="s">
        <v>37</v>
      </c>
      <c r="H971" s="5" t="s">
        <v>37</v>
      </c>
      <c r="I971" s="5" t="s">
        <v>37</v>
      </c>
      <c r="J971" s="5">
        <v>-0.71808000000000005</v>
      </c>
      <c r="K971" s="5">
        <f t="shared" si="45"/>
        <v>-0.17952000000000001</v>
      </c>
      <c r="L971" s="5" t="e">
        <f t="shared" si="46"/>
        <v>#VALUE!</v>
      </c>
      <c r="M971" s="5" t="s">
        <v>39</v>
      </c>
      <c r="N971" s="5">
        <v>-0.71808000000000005</v>
      </c>
      <c r="O971" s="5" t="s">
        <v>39</v>
      </c>
      <c r="P971" t="s">
        <v>270</v>
      </c>
      <c r="Q971" t="s">
        <v>1538</v>
      </c>
      <c r="R971" t="s">
        <v>37</v>
      </c>
      <c r="S971" t="s">
        <v>1539</v>
      </c>
      <c r="T971" t="s">
        <v>43</v>
      </c>
      <c r="U971" t="s">
        <v>44</v>
      </c>
      <c r="V971">
        <v>147</v>
      </c>
      <c r="W971" t="s">
        <v>45</v>
      </c>
      <c r="X971" t="s">
        <v>53</v>
      </c>
      <c r="Y971" t="s">
        <v>1396</v>
      </c>
      <c r="Z971" t="s">
        <v>37</v>
      </c>
      <c r="AA971" t="s">
        <v>55</v>
      </c>
      <c r="AB971" t="s">
        <v>37</v>
      </c>
      <c r="AC971" s="6" t="s">
        <v>37</v>
      </c>
      <c r="AD971" s="6" t="s">
        <v>37</v>
      </c>
      <c r="AE971" t="s">
        <v>37</v>
      </c>
      <c r="AF971" t="s">
        <v>37</v>
      </c>
      <c r="AG971" s="6">
        <v>-21.12</v>
      </c>
      <c r="AH971">
        <v>215926605</v>
      </c>
      <c r="AI971" t="s">
        <v>37</v>
      </c>
      <c r="AJ971" t="str">
        <f t="shared" si="47"/>
        <v>1X4DXX4TB07W5JJSBK</v>
      </c>
    </row>
    <row r="972" spans="1:36" ht="15" customHeight="1" x14ac:dyDescent="0.25">
      <c r="A972" t="s">
        <v>101</v>
      </c>
      <c r="B972" t="s">
        <v>37</v>
      </c>
      <c r="C972" t="s">
        <v>37</v>
      </c>
      <c r="D972" t="s">
        <v>38</v>
      </c>
      <c r="E972" s="4">
        <v>4</v>
      </c>
      <c r="F972" s="5">
        <v>179.8</v>
      </c>
      <c r="G972" s="5" t="s">
        <v>39</v>
      </c>
      <c r="H972" s="5">
        <v>213.08</v>
      </c>
      <c r="I972" s="5" t="s">
        <v>39</v>
      </c>
      <c r="J972" s="5">
        <v>6.1132</v>
      </c>
      <c r="K972" s="5">
        <f t="shared" si="45"/>
        <v>1.5283</v>
      </c>
      <c r="L972" s="5">
        <f t="shared" si="46"/>
        <v>44.95</v>
      </c>
      <c r="M972" s="5" t="s">
        <v>39</v>
      </c>
      <c r="N972" s="5">
        <v>6.1132</v>
      </c>
      <c r="O972" s="5" t="s">
        <v>39</v>
      </c>
      <c r="P972" t="s">
        <v>120</v>
      </c>
      <c r="Q972" t="s">
        <v>459</v>
      </c>
      <c r="R972" t="s">
        <v>37</v>
      </c>
      <c r="S972" t="s">
        <v>460</v>
      </c>
      <c r="T972" t="s">
        <v>43</v>
      </c>
      <c r="U972" t="s">
        <v>44</v>
      </c>
      <c r="V972">
        <v>23</v>
      </c>
      <c r="W972" t="s">
        <v>45</v>
      </c>
      <c r="X972" t="s">
        <v>239</v>
      </c>
      <c r="Y972" t="s">
        <v>461</v>
      </c>
      <c r="Z972" t="s">
        <v>37</v>
      </c>
      <c r="AA972" t="s">
        <v>95</v>
      </c>
      <c r="AB972" t="s">
        <v>37</v>
      </c>
      <c r="AC972" s="6" t="s">
        <v>37</v>
      </c>
      <c r="AD972" s="6" t="s">
        <v>37</v>
      </c>
      <c r="AE972" t="s">
        <v>37</v>
      </c>
      <c r="AF972" t="s">
        <v>37</v>
      </c>
      <c r="AG972" s="6" t="s">
        <v>37</v>
      </c>
      <c r="AH972" t="s">
        <v>37</v>
      </c>
      <c r="AI972" t="s">
        <v>37</v>
      </c>
      <c r="AJ972" t="str">
        <f t="shared" si="47"/>
        <v>5MWU8WTDB07W5JKLRF</v>
      </c>
    </row>
    <row r="973" spans="1:36" ht="15" customHeight="1" x14ac:dyDescent="0.25">
      <c r="A973" t="s">
        <v>110</v>
      </c>
      <c r="B973" t="s">
        <v>37</v>
      </c>
      <c r="C973" t="s">
        <v>37</v>
      </c>
      <c r="D973" t="s">
        <v>38</v>
      </c>
      <c r="E973" s="4">
        <v>4</v>
      </c>
      <c r="F973" s="5">
        <v>335.56</v>
      </c>
      <c r="G973" s="5" t="s">
        <v>39</v>
      </c>
      <c r="H973" s="5">
        <v>586.88</v>
      </c>
      <c r="I973" s="5" t="s">
        <v>39</v>
      </c>
      <c r="J973" s="5">
        <v>11.409039999999999</v>
      </c>
      <c r="K973" s="5">
        <f t="shared" si="45"/>
        <v>2.8522599999999998</v>
      </c>
      <c r="L973" s="5">
        <f t="shared" si="46"/>
        <v>83.89</v>
      </c>
      <c r="M973" s="5" t="s">
        <v>39</v>
      </c>
      <c r="N973" s="5">
        <v>11.409039999999999</v>
      </c>
      <c r="O973" s="5" t="s">
        <v>39</v>
      </c>
      <c r="P973" t="s">
        <v>72</v>
      </c>
      <c r="Q973" t="s">
        <v>1538</v>
      </c>
      <c r="R973" t="s">
        <v>37</v>
      </c>
      <c r="S973" t="s">
        <v>1539</v>
      </c>
      <c r="T973" t="s">
        <v>43</v>
      </c>
      <c r="U973" t="s">
        <v>44</v>
      </c>
      <c r="V973">
        <v>147</v>
      </c>
      <c r="W973" t="s">
        <v>45</v>
      </c>
      <c r="X973" t="s">
        <v>53</v>
      </c>
      <c r="Y973" t="s">
        <v>1396</v>
      </c>
      <c r="Z973" t="s">
        <v>37</v>
      </c>
      <c r="AA973" t="s">
        <v>55</v>
      </c>
      <c r="AB973" t="s">
        <v>37</v>
      </c>
      <c r="AC973" s="6" t="s">
        <v>37</v>
      </c>
      <c r="AD973" s="6" t="s">
        <v>37</v>
      </c>
      <c r="AE973" t="s">
        <v>37</v>
      </c>
      <c r="AF973" t="s">
        <v>37</v>
      </c>
      <c r="AG973" s="6" t="s">
        <v>37</v>
      </c>
      <c r="AH973" t="s">
        <v>37</v>
      </c>
      <c r="AI973" t="s">
        <v>37</v>
      </c>
      <c r="AJ973" t="str">
        <f t="shared" si="47"/>
        <v>4GF112AEB07W5JJSBK</v>
      </c>
    </row>
    <row r="974" spans="1:36" ht="15" customHeight="1" x14ac:dyDescent="0.25">
      <c r="A974" t="s">
        <v>101</v>
      </c>
      <c r="B974" t="s">
        <v>37</v>
      </c>
      <c r="C974" t="s">
        <v>37</v>
      </c>
      <c r="D974" t="s">
        <v>38</v>
      </c>
      <c r="E974" s="4">
        <v>4</v>
      </c>
      <c r="F974" s="5">
        <v>276.12</v>
      </c>
      <c r="G974" s="5" t="s">
        <v>39</v>
      </c>
      <c r="H974" s="5">
        <v>422.96</v>
      </c>
      <c r="I974" s="5" t="s">
        <v>39</v>
      </c>
      <c r="J974" s="5">
        <v>9.3880800000000004</v>
      </c>
      <c r="K974" s="5">
        <f t="shared" si="45"/>
        <v>2.3470200000000001</v>
      </c>
      <c r="L974" s="5">
        <f t="shared" si="46"/>
        <v>69.03</v>
      </c>
      <c r="M974" s="5" t="s">
        <v>39</v>
      </c>
      <c r="N974" s="5">
        <v>9.3880800000000004</v>
      </c>
      <c r="O974" s="5" t="s">
        <v>39</v>
      </c>
      <c r="P974" t="s">
        <v>102</v>
      </c>
      <c r="Q974" t="s">
        <v>1164</v>
      </c>
      <c r="R974" t="s">
        <v>37</v>
      </c>
      <c r="S974" t="s">
        <v>1165</v>
      </c>
      <c r="T974" t="s">
        <v>43</v>
      </c>
      <c r="U974" t="s">
        <v>44</v>
      </c>
      <c r="V974">
        <v>23</v>
      </c>
      <c r="W974" t="s">
        <v>218</v>
      </c>
      <c r="X974" t="s">
        <v>219</v>
      </c>
      <c r="Y974" t="s">
        <v>1166</v>
      </c>
      <c r="Z974" t="s">
        <v>37</v>
      </c>
      <c r="AA974" t="s">
        <v>95</v>
      </c>
      <c r="AB974" t="s">
        <v>37</v>
      </c>
      <c r="AC974" s="6" t="s">
        <v>37</v>
      </c>
      <c r="AD974" s="6" t="s">
        <v>37</v>
      </c>
      <c r="AE974" t="s">
        <v>37</v>
      </c>
      <c r="AF974" t="s">
        <v>37</v>
      </c>
      <c r="AG974" s="6" t="s">
        <v>37</v>
      </c>
      <c r="AH974" t="s">
        <v>37</v>
      </c>
      <c r="AI974" t="s">
        <v>37</v>
      </c>
      <c r="AJ974" t="str">
        <f t="shared" si="47"/>
        <v>2M7QFTCOB07W7JYN4P</v>
      </c>
    </row>
    <row r="975" spans="1:36" ht="15" customHeight="1" x14ac:dyDescent="0.25">
      <c r="A975" t="s">
        <v>62</v>
      </c>
      <c r="B975" t="s">
        <v>37</v>
      </c>
      <c r="C975" t="s">
        <v>37</v>
      </c>
      <c r="D975" t="s">
        <v>38</v>
      </c>
      <c r="E975" s="4">
        <v>20</v>
      </c>
      <c r="F975" s="5">
        <v>232</v>
      </c>
      <c r="G975" s="5" t="s">
        <v>39</v>
      </c>
      <c r="H975" s="5">
        <v>393.2</v>
      </c>
      <c r="I975" s="5" t="s">
        <v>39</v>
      </c>
      <c r="J975" s="5">
        <v>7.8879999999999999</v>
      </c>
      <c r="K975" s="5">
        <f t="shared" si="45"/>
        <v>0.39439999999999997</v>
      </c>
      <c r="L975" s="5">
        <f t="shared" si="46"/>
        <v>11.6</v>
      </c>
      <c r="M975" s="5" t="s">
        <v>39</v>
      </c>
      <c r="N975" s="5">
        <v>7.8879999999999999</v>
      </c>
      <c r="O975" s="5" t="s">
        <v>39</v>
      </c>
      <c r="P975" t="s">
        <v>177</v>
      </c>
      <c r="Q975" t="s">
        <v>321</v>
      </c>
      <c r="R975" t="s">
        <v>37</v>
      </c>
      <c r="S975" t="s">
        <v>322</v>
      </c>
      <c r="T975" t="s">
        <v>43</v>
      </c>
      <c r="U975" t="s">
        <v>44</v>
      </c>
      <c r="V975">
        <v>147</v>
      </c>
      <c r="W975" t="s">
        <v>45</v>
      </c>
      <c r="X975" t="s">
        <v>46</v>
      </c>
      <c r="Y975" t="s">
        <v>323</v>
      </c>
      <c r="Z975" t="s">
        <v>37</v>
      </c>
      <c r="AA975" t="s">
        <v>48</v>
      </c>
      <c r="AB975" t="s">
        <v>37</v>
      </c>
      <c r="AC975" s="6" t="s">
        <v>37</v>
      </c>
      <c r="AD975" s="6" t="s">
        <v>37</v>
      </c>
      <c r="AE975" t="s">
        <v>37</v>
      </c>
      <c r="AF975" t="s">
        <v>37</v>
      </c>
      <c r="AG975" s="6" t="s">
        <v>37</v>
      </c>
      <c r="AH975" t="s">
        <v>37</v>
      </c>
      <c r="AI975" t="s">
        <v>37</v>
      </c>
      <c r="AJ975" t="str">
        <f t="shared" si="47"/>
        <v>4F3XMHTVB01DIJIDKI</v>
      </c>
    </row>
    <row r="976" spans="1:36" ht="15" customHeight="1" x14ac:dyDescent="0.25">
      <c r="A976" t="s">
        <v>76</v>
      </c>
      <c r="B976" t="s">
        <v>37</v>
      </c>
      <c r="C976" t="s">
        <v>37</v>
      </c>
      <c r="D976" t="s">
        <v>38</v>
      </c>
      <c r="E976" s="4">
        <v>4</v>
      </c>
      <c r="F976" s="5">
        <v>257.68</v>
      </c>
      <c r="G976" s="5" t="s">
        <v>39</v>
      </c>
      <c r="H976" s="5">
        <v>377</v>
      </c>
      <c r="I976" s="5" t="s">
        <v>39</v>
      </c>
      <c r="J976" s="5">
        <v>8.76112</v>
      </c>
      <c r="K976" s="5">
        <f t="shared" si="45"/>
        <v>2.19028</v>
      </c>
      <c r="L976" s="5">
        <f t="shared" si="46"/>
        <v>64.42</v>
      </c>
      <c r="M976" s="5" t="s">
        <v>39</v>
      </c>
      <c r="N976" s="5">
        <v>8.76112</v>
      </c>
      <c r="O976" s="5" t="s">
        <v>39</v>
      </c>
      <c r="P976" t="s">
        <v>114</v>
      </c>
      <c r="Q976" t="s">
        <v>58</v>
      </c>
      <c r="R976" t="s">
        <v>37</v>
      </c>
      <c r="S976" t="s">
        <v>59</v>
      </c>
      <c r="T976" t="s">
        <v>43</v>
      </c>
      <c r="U976" t="s">
        <v>44</v>
      </c>
      <c r="V976">
        <v>147</v>
      </c>
      <c r="W976" t="s">
        <v>45</v>
      </c>
      <c r="X976" t="s">
        <v>60</v>
      </c>
      <c r="Y976" t="s">
        <v>61</v>
      </c>
      <c r="Z976" t="s">
        <v>37</v>
      </c>
      <c r="AA976" t="s">
        <v>55</v>
      </c>
      <c r="AB976" t="s">
        <v>37</v>
      </c>
      <c r="AC976" s="6" t="s">
        <v>37</v>
      </c>
      <c r="AD976" s="6" t="s">
        <v>37</v>
      </c>
      <c r="AE976" t="s">
        <v>37</v>
      </c>
      <c r="AF976" t="s">
        <v>37</v>
      </c>
      <c r="AG976" s="6" t="s">
        <v>37</v>
      </c>
      <c r="AH976" t="s">
        <v>37</v>
      </c>
      <c r="AI976" t="s">
        <v>37</v>
      </c>
      <c r="AJ976" t="str">
        <f t="shared" si="47"/>
        <v>243WWSUAB0055ZWOZ4</v>
      </c>
    </row>
    <row r="977" spans="1:36" ht="15" customHeight="1" x14ac:dyDescent="0.25">
      <c r="A977" t="s">
        <v>118</v>
      </c>
      <c r="B977" t="s">
        <v>37</v>
      </c>
      <c r="C977" t="s">
        <v>37</v>
      </c>
      <c r="D977" t="s">
        <v>38</v>
      </c>
      <c r="E977" s="4">
        <v>12</v>
      </c>
      <c r="F977" s="5">
        <v>880.08</v>
      </c>
      <c r="G977" s="5" t="s">
        <v>39</v>
      </c>
      <c r="H977" s="5">
        <v>1426.2</v>
      </c>
      <c r="I977" s="5" t="s">
        <v>39</v>
      </c>
      <c r="J977" s="5">
        <v>29.922720000000002</v>
      </c>
      <c r="K977" s="5">
        <f t="shared" si="45"/>
        <v>2.49356</v>
      </c>
      <c r="L977" s="5">
        <f t="shared" si="46"/>
        <v>73.34</v>
      </c>
      <c r="M977" s="5" t="s">
        <v>39</v>
      </c>
      <c r="N977" s="5">
        <v>29.922720000000002</v>
      </c>
      <c r="O977" s="5" t="s">
        <v>39</v>
      </c>
      <c r="P977" t="s">
        <v>128</v>
      </c>
      <c r="Q977" t="s">
        <v>873</v>
      </c>
      <c r="R977" t="s">
        <v>37</v>
      </c>
      <c r="S977" t="s">
        <v>874</v>
      </c>
      <c r="T977" t="s">
        <v>43</v>
      </c>
      <c r="U977" t="s">
        <v>44</v>
      </c>
      <c r="V977">
        <v>147</v>
      </c>
      <c r="W977" t="s">
        <v>45</v>
      </c>
      <c r="X977" t="s">
        <v>46</v>
      </c>
      <c r="Y977" t="s">
        <v>875</v>
      </c>
      <c r="Z977" t="s">
        <v>37</v>
      </c>
      <c r="AA977" t="s">
        <v>48</v>
      </c>
      <c r="AB977" t="s">
        <v>37</v>
      </c>
      <c r="AC977" s="6" t="s">
        <v>37</v>
      </c>
      <c r="AD977" s="6" t="s">
        <v>37</v>
      </c>
      <c r="AE977" t="s">
        <v>37</v>
      </c>
      <c r="AF977" t="s">
        <v>37</v>
      </c>
      <c r="AG977" s="6" t="s">
        <v>37</v>
      </c>
      <c r="AH977" t="s">
        <v>37</v>
      </c>
      <c r="AI977" t="s">
        <v>37</v>
      </c>
      <c r="AJ977" t="str">
        <f t="shared" si="47"/>
        <v>7RAC5F9EB0728J7D3B</v>
      </c>
    </row>
    <row r="978" spans="1:36" ht="15" customHeight="1" x14ac:dyDescent="0.25">
      <c r="A978" t="s">
        <v>36</v>
      </c>
      <c r="B978" t="s">
        <v>37</v>
      </c>
      <c r="C978" t="s">
        <v>37</v>
      </c>
      <c r="D978" t="s">
        <v>38</v>
      </c>
      <c r="E978" s="4">
        <v>80</v>
      </c>
      <c r="F978" s="5">
        <v>1311.2</v>
      </c>
      <c r="G978" s="5" t="s">
        <v>39</v>
      </c>
      <c r="H978" s="5">
        <v>1966.4</v>
      </c>
      <c r="I978" s="5" t="s">
        <v>39</v>
      </c>
      <c r="J978" s="5">
        <v>44.580800000000004</v>
      </c>
      <c r="K978" s="5">
        <f t="shared" si="45"/>
        <v>0.55726000000000009</v>
      </c>
      <c r="L978" s="5">
        <f t="shared" si="46"/>
        <v>16.39</v>
      </c>
      <c r="M978" s="5" t="s">
        <v>39</v>
      </c>
      <c r="N978" s="5">
        <v>44.580800000000004</v>
      </c>
      <c r="O978" s="5" t="s">
        <v>39</v>
      </c>
      <c r="P978" t="s">
        <v>270</v>
      </c>
      <c r="Q978" t="s">
        <v>930</v>
      </c>
      <c r="R978" t="s">
        <v>37</v>
      </c>
      <c r="S978" t="s">
        <v>931</v>
      </c>
      <c r="T978" t="s">
        <v>43</v>
      </c>
      <c r="U978" t="s">
        <v>44</v>
      </c>
      <c r="V978">
        <v>147</v>
      </c>
      <c r="W978" t="s">
        <v>45</v>
      </c>
      <c r="X978" t="s">
        <v>53</v>
      </c>
      <c r="Y978" t="s">
        <v>932</v>
      </c>
      <c r="Z978" t="s">
        <v>37</v>
      </c>
      <c r="AA978" t="s">
        <v>48</v>
      </c>
      <c r="AB978" t="s">
        <v>37</v>
      </c>
      <c r="AC978" s="6" t="s">
        <v>37</v>
      </c>
      <c r="AD978" s="6" t="s">
        <v>37</v>
      </c>
      <c r="AE978" t="s">
        <v>37</v>
      </c>
      <c r="AF978" t="s">
        <v>37</v>
      </c>
      <c r="AG978" s="6" t="s">
        <v>37</v>
      </c>
      <c r="AH978" t="s">
        <v>37</v>
      </c>
      <c r="AI978" t="s">
        <v>37</v>
      </c>
      <c r="AJ978" t="str">
        <f t="shared" si="47"/>
        <v>1X4DXX4TB01K7GEFWK</v>
      </c>
    </row>
    <row r="979" spans="1:36" ht="15" customHeight="1" x14ac:dyDescent="0.25">
      <c r="A979" t="s">
        <v>118</v>
      </c>
      <c r="B979" t="s">
        <v>37</v>
      </c>
      <c r="C979" t="s">
        <v>37</v>
      </c>
      <c r="D979" t="s">
        <v>38</v>
      </c>
      <c r="E979" s="4">
        <v>10</v>
      </c>
      <c r="F979" s="5">
        <v>93.6</v>
      </c>
      <c r="G979" s="5" t="s">
        <v>39</v>
      </c>
      <c r="H979" s="5">
        <v>139.30000000000001</v>
      </c>
      <c r="I979" s="5" t="s">
        <v>39</v>
      </c>
      <c r="J979" s="5">
        <v>3.1823999999999999</v>
      </c>
      <c r="K979" s="5">
        <f t="shared" si="45"/>
        <v>0.31823999999999997</v>
      </c>
      <c r="L979" s="5">
        <f t="shared" si="46"/>
        <v>9.36</v>
      </c>
      <c r="M979" s="5" t="s">
        <v>39</v>
      </c>
      <c r="N979" s="5">
        <v>3.1823999999999999</v>
      </c>
      <c r="O979" s="5" t="s">
        <v>39</v>
      </c>
      <c r="P979" t="s">
        <v>1630</v>
      </c>
      <c r="Q979" t="s">
        <v>182</v>
      </c>
      <c r="R979" t="s">
        <v>183</v>
      </c>
      <c r="S979" t="s">
        <v>184</v>
      </c>
      <c r="T979" t="s">
        <v>43</v>
      </c>
      <c r="U979" t="s">
        <v>44</v>
      </c>
      <c r="V979">
        <v>147</v>
      </c>
      <c r="W979" t="s">
        <v>45</v>
      </c>
      <c r="X979" t="s">
        <v>53</v>
      </c>
      <c r="Y979" t="s">
        <v>185</v>
      </c>
      <c r="Z979" t="s">
        <v>37</v>
      </c>
      <c r="AA979" t="s">
        <v>48</v>
      </c>
      <c r="AB979" t="s">
        <v>37</v>
      </c>
      <c r="AC979" s="6" t="s">
        <v>37</v>
      </c>
      <c r="AD979" s="6" t="s">
        <v>37</v>
      </c>
      <c r="AE979" t="s">
        <v>37</v>
      </c>
      <c r="AF979" t="s">
        <v>37</v>
      </c>
      <c r="AG979" s="6" t="s">
        <v>37</v>
      </c>
      <c r="AH979" t="s">
        <v>37</v>
      </c>
      <c r="AI979" t="s">
        <v>37</v>
      </c>
      <c r="AJ979" t="str">
        <f t="shared" si="47"/>
        <v>3OAOBQ1IB01A9HC69G</v>
      </c>
    </row>
    <row r="980" spans="1:36" ht="15" customHeight="1" x14ac:dyDescent="0.25">
      <c r="A980" t="s">
        <v>88</v>
      </c>
      <c r="B980" t="s">
        <v>37</v>
      </c>
      <c r="C980" t="s">
        <v>37</v>
      </c>
      <c r="D980" t="s">
        <v>38</v>
      </c>
      <c r="E980" s="4">
        <v>16</v>
      </c>
      <c r="F980" s="5">
        <v>1342.24</v>
      </c>
      <c r="G980" s="5" t="s">
        <v>39</v>
      </c>
      <c r="H980" s="5">
        <v>2216.3200000000002</v>
      </c>
      <c r="I980" s="5" t="s">
        <v>39</v>
      </c>
      <c r="J980" s="5">
        <v>45.636159999999997</v>
      </c>
      <c r="K980" s="5">
        <f t="shared" si="45"/>
        <v>2.8522599999999998</v>
      </c>
      <c r="L980" s="5">
        <f t="shared" si="46"/>
        <v>83.89</v>
      </c>
      <c r="M980" s="5" t="s">
        <v>39</v>
      </c>
      <c r="N980" s="5">
        <v>45.636159999999997</v>
      </c>
      <c r="O980" s="5" t="s">
        <v>39</v>
      </c>
      <c r="P980" t="s">
        <v>89</v>
      </c>
      <c r="Q980" t="s">
        <v>660</v>
      </c>
      <c r="R980" t="s">
        <v>37</v>
      </c>
      <c r="S980" t="s">
        <v>661</v>
      </c>
      <c r="T980" t="s">
        <v>43</v>
      </c>
      <c r="U980" t="s">
        <v>44</v>
      </c>
      <c r="V980">
        <v>147</v>
      </c>
      <c r="W980" t="s">
        <v>45</v>
      </c>
      <c r="X980" t="s">
        <v>46</v>
      </c>
      <c r="Y980" t="s">
        <v>662</v>
      </c>
      <c r="Z980" t="s">
        <v>37</v>
      </c>
      <c r="AA980" t="s">
        <v>48</v>
      </c>
      <c r="AB980" t="s">
        <v>37</v>
      </c>
      <c r="AC980" s="6" t="s">
        <v>37</v>
      </c>
      <c r="AD980" s="6" t="s">
        <v>37</v>
      </c>
      <c r="AE980" t="s">
        <v>37</v>
      </c>
      <c r="AF980" t="s">
        <v>37</v>
      </c>
      <c r="AG980" s="6" t="s">
        <v>37</v>
      </c>
      <c r="AH980" t="s">
        <v>37</v>
      </c>
      <c r="AI980" t="s">
        <v>37</v>
      </c>
      <c r="AJ980" t="str">
        <f t="shared" si="47"/>
        <v>2W68T8TOB01M3TTXMY</v>
      </c>
    </row>
    <row r="981" spans="1:36" ht="15" customHeight="1" x14ac:dyDescent="0.25">
      <c r="A981" t="s">
        <v>284</v>
      </c>
      <c r="B981" t="s">
        <v>37</v>
      </c>
      <c r="C981" t="s">
        <v>37</v>
      </c>
      <c r="D981" t="s">
        <v>38</v>
      </c>
      <c r="E981" s="4">
        <v>0</v>
      </c>
      <c r="F981" s="5">
        <v>0</v>
      </c>
      <c r="G981" s="5" t="s">
        <v>39</v>
      </c>
      <c r="H981" s="5">
        <v>0</v>
      </c>
      <c r="I981" s="5" t="s">
        <v>39</v>
      </c>
      <c r="J981" s="5">
        <v>0</v>
      </c>
      <c r="K981" s="5" t="e">
        <f t="shared" si="45"/>
        <v>#DIV/0!</v>
      </c>
      <c r="L981" s="5" t="e">
        <f t="shared" si="46"/>
        <v>#DIV/0!</v>
      </c>
      <c r="M981" s="5" t="s">
        <v>39</v>
      </c>
      <c r="N981" s="5">
        <v>0</v>
      </c>
      <c r="O981" s="5" t="s">
        <v>39</v>
      </c>
      <c r="P981" t="s">
        <v>462</v>
      </c>
      <c r="Q981" t="s">
        <v>996</v>
      </c>
      <c r="R981" t="s">
        <v>37</v>
      </c>
      <c r="S981" t="s">
        <v>997</v>
      </c>
      <c r="T981" t="s">
        <v>43</v>
      </c>
      <c r="U981" t="s">
        <v>44</v>
      </c>
      <c r="V981">
        <v>147</v>
      </c>
      <c r="W981" t="s">
        <v>45</v>
      </c>
      <c r="X981" t="s">
        <v>60</v>
      </c>
      <c r="Y981" t="s">
        <v>998</v>
      </c>
      <c r="Z981" t="s">
        <v>37</v>
      </c>
      <c r="AA981" t="s">
        <v>55</v>
      </c>
      <c r="AB981" t="s">
        <v>37</v>
      </c>
      <c r="AC981" s="6" t="s">
        <v>37</v>
      </c>
      <c r="AD981" s="6" t="s">
        <v>37</v>
      </c>
      <c r="AE981" t="s">
        <v>37</v>
      </c>
      <c r="AF981" t="s">
        <v>37</v>
      </c>
      <c r="AG981" s="6" t="s">
        <v>37</v>
      </c>
      <c r="AH981" t="s">
        <v>37</v>
      </c>
      <c r="AI981" t="s">
        <v>37</v>
      </c>
      <c r="AJ981" t="str">
        <f t="shared" si="47"/>
        <v>17D6YHERB07VCS1895</v>
      </c>
    </row>
    <row r="982" spans="1:36" ht="15" customHeight="1" x14ac:dyDescent="0.25">
      <c r="A982" t="s">
        <v>62</v>
      </c>
      <c r="B982" t="s">
        <v>37</v>
      </c>
      <c r="C982" t="s">
        <v>37</v>
      </c>
      <c r="D982" t="s">
        <v>38</v>
      </c>
      <c r="E982" s="4">
        <v>0</v>
      </c>
      <c r="F982" s="5">
        <v>0</v>
      </c>
      <c r="G982" s="5" t="s">
        <v>39</v>
      </c>
      <c r="H982" s="5">
        <v>0</v>
      </c>
      <c r="I982" s="5" t="s">
        <v>39</v>
      </c>
      <c r="J982" s="5">
        <v>0</v>
      </c>
      <c r="K982" s="5" t="e">
        <f t="shared" si="45"/>
        <v>#DIV/0!</v>
      </c>
      <c r="L982" s="5" t="e">
        <f t="shared" si="46"/>
        <v>#DIV/0!</v>
      </c>
      <c r="M982" s="5" t="s">
        <v>39</v>
      </c>
      <c r="N982" s="5">
        <v>0</v>
      </c>
      <c r="O982" s="5" t="s">
        <v>39</v>
      </c>
      <c r="P982" t="s">
        <v>102</v>
      </c>
      <c r="Q982" t="s">
        <v>1631</v>
      </c>
      <c r="R982" t="s">
        <v>37</v>
      </c>
      <c r="S982" t="s">
        <v>1632</v>
      </c>
      <c r="T982" t="s">
        <v>43</v>
      </c>
      <c r="U982" t="s">
        <v>44</v>
      </c>
      <c r="V982">
        <v>147</v>
      </c>
      <c r="W982" t="s">
        <v>45</v>
      </c>
      <c r="X982" t="s">
        <v>53</v>
      </c>
      <c r="Y982" t="s">
        <v>1633</v>
      </c>
      <c r="Z982" t="s">
        <v>37</v>
      </c>
      <c r="AA982" t="s">
        <v>55</v>
      </c>
      <c r="AB982" t="s">
        <v>37</v>
      </c>
      <c r="AC982" s="6" t="s">
        <v>37</v>
      </c>
      <c r="AD982" s="6" t="s">
        <v>37</v>
      </c>
      <c r="AE982" t="s">
        <v>37</v>
      </c>
      <c r="AF982" t="s">
        <v>37</v>
      </c>
      <c r="AG982" s="6" t="s">
        <v>37</v>
      </c>
      <c r="AH982" t="s">
        <v>37</v>
      </c>
      <c r="AI982" t="s">
        <v>37</v>
      </c>
      <c r="AJ982" t="str">
        <f t="shared" si="47"/>
        <v>2M7QFTCOB07S69F4HC</v>
      </c>
    </row>
    <row r="983" spans="1:36" ht="15" customHeight="1" x14ac:dyDescent="0.25">
      <c r="A983" t="s">
        <v>36</v>
      </c>
      <c r="B983" t="s">
        <v>37</v>
      </c>
      <c r="C983" t="s">
        <v>37</v>
      </c>
      <c r="D983" t="s">
        <v>38</v>
      </c>
      <c r="E983" s="4">
        <v>4</v>
      </c>
      <c r="F983" s="5">
        <v>168.8</v>
      </c>
      <c r="G983" s="5" t="s">
        <v>39</v>
      </c>
      <c r="H983" s="5">
        <v>278.64</v>
      </c>
      <c r="I983" s="5" t="s">
        <v>39</v>
      </c>
      <c r="J983" s="5">
        <v>5.7392000000000003</v>
      </c>
      <c r="K983" s="5">
        <f t="shared" si="45"/>
        <v>1.4348000000000001</v>
      </c>
      <c r="L983" s="5">
        <f t="shared" si="46"/>
        <v>42.2</v>
      </c>
      <c r="M983" s="5" t="s">
        <v>39</v>
      </c>
      <c r="N983" s="5">
        <v>5.7392000000000003</v>
      </c>
      <c r="O983" s="5" t="s">
        <v>39</v>
      </c>
      <c r="P983" t="s">
        <v>1069</v>
      </c>
      <c r="Q983" t="s">
        <v>897</v>
      </c>
      <c r="R983" t="s">
        <v>37</v>
      </c>
      <c r="S983" t="s">
        <v>898</v>
      </c>
      <c r="T983" t="s">
        <v>43</v>
      </c>
      <c r="U983" t="s">
        <v>44</v>
      </c>
      <c r="V983">
        <v>147</v>
      </c>
      <c r="W983" t="s">
        <v>45</v>
      </c>
      <c r="X983" t="s">
        <v>60</v>
      </c>
      <c r="Y983" t="s">
        <v>899</v>
      </c>
      <c r="Z983" t="s">
        <v>37</v>
      </c>
      <c r="AA983" t="s">
        <v>55</v>
      </c>
      <c r="AB983" t="s">
        <v>37</v>
      </c>
      <c r="AC983" s="6" t="s">
        <v>37</v>
      </c>
      <c r="AD983" s="6" t="s">
        <v>37</v>
      </c>
      <c r="AE983" t="s">
        <v>37</v>
      </c>
      <c r="AF983" t="s">
        <v>37</v>
      </c>
      <c r="AG983" s="6" t="s">
        <v>37</v>
      </c>
      <c r="AH983" t="s">
        <v>37</v>
      </c>
      <c r="AI983" t="s">
        <v>37</v>
      </c>
      <c r="AJ983" t="str">
        <f t="shared" si="47"/>
        <v>2FPVCNJHB07W4DH5GL</v>
      </c>
    </row>
    <row r="984" spans="1:36" ht="15" customHeight="1" x14ac:dyDescent="0.25">
      <c r="A984" t="s">
        <v>101</v>
      </c>
      <c r="B984" t="s">
        <v>37</v>
      </c>
      <c r="C984" t="s">
        <v>37</v>
      </c>
      <c r="D984" t="s">
        <v>38</v>
      </c>
      <c r="E984" s="4">
        <v>8</v>
      </c>
      <c r="F984" s="5">
        <v>824.48</v>
      </c>
      <c r="G984" s="5" t="s">
        <v>39</v>
      </c>
      <c r="H984" s="5">
        <v>1082</v>
      </c>
      <c r="I984" s="5" t="s">
        <v>39</v>
      </c>
      <c r="J984" s="5">
        <v>28.032319999999999</v>
      </c>
      <c r="K984" s="5">
        <f t="shared" si="45"/>
        <v>3.5040399999999998</v>
      </c>
      <c r="L984" s="5">
        <f t="shared" si="46"/>
        <v>103.06</v>
      </c>
      <c r="M984" s="5" t="s">
        <v>39</v>
      </c>
      <c r="N984" s="5">
        <v>28.032319999999999</v>
      </c>
      <c r="O984" s="5" t="s">
        <v>39</v>
      </c>
      <c r="P984" t="s">
        <v>102</v>
      </c>
      <c r="Q984" t="s">
        <v>142</v>
      </c>
      <c r="R984" t="s">
        <v>37</v>
      </c>
      <c r="S984" t="s">
        <v>143</v>
      </c>
      <c r="T984" t="s">
        <v>43</v>
      </c>
      <c r="U984" t="s">
        <v>44</v>
      </c>
      <c r="V984">
        <v>147</v>
      </c>
      <c r="W984" t="s">
        <v>45</v>
      </c>
      <c r="X984" t="s">
        <v>46</v>
      </c>
      <c r="Y984" t="s">
        <v>144</v>
      </c>
      <c r="Z984" t="s">
        <v>37</v>
      </c>
      <c r="AA984" t="s">
        <v>55</v>
      </c>
      <c r="AB984" t="s">
        <v>37</v>
      </c>
      <c r="AC984" s="6" t="s">
        <v>37</v>
      </c>
      <c r="AD984" s="6" t="s">
        <v>37</v>
      </c>
      <c r="AE984" t="s">
        <v>37</v>
      </c>
      <c r="AF984" t="s">
        <v>37</v>
      </c>
      <c r="AG984" s="6" t="s">
        <v>37</v>
      </c>
      <c r="AH984" t="s">
        <v>37</v>
      </c>
      <c r="AI984" t="s">
        <v>37</v>
      </c>
      <c r="AJ984" t="str">
        <f t="shared" si="47"/>
        <v>2M7QFTCOB07PPNT9B2</v>
      </c>
    </row>
    <row r="985" spans="1:36" ht="15" customHeight="1" x14ac:dyDescent="0.25">
      <c r="A985" t="s">
        <v>49</v>
      </c>
      <c r="B985" t="s">
        <v>37</v>
      </c>
      <c r="C985" t="s">
        <v>37</v>
      </c>
      <c r="D985" t="s">
        <v>38</v>
      </c>
      <c r="E985" s="4">
        <v>4</v>
      </c>
      <c r="F985" s="5">
        <v>293.36</v>
      </c>
      <c r="G985" s="5" t="s">
        <v>39</v>
      </c>
      <c r="H985" s="5">
        <v>442.6</v>
      </c>
      <c r="I985" s="5" t="s">
        <v>39</v>
      </c>
      <c r="J985" s="5">
        <v>9.97424</v>
      </c>
      <c r="K985" s="5">
        <f t="shared" si="45"/>
        <v>2.49356</v>
      </c>
      <c r="L985" s="5">
        <f t="shared" si="46"/>
        <v>73.34</v>
      </c>
      <c r="M985" s="5" t="s">
        <v>39</v>
      </c>
      <c r="N985" s="5">
        <v>9.97424</v>
      </c>
      <c r="O985" s="5" t="s">
        <v>39</v>
      </c>
      <c r="P985" t="s">
        <v>128</v>
      </c>
      <c r="Q985" t="s">
        <v>260</v>
      </c>
      <c r="R985" t="s">
        <v>37</v>
      </c>
      <c r="S985" t="s">
        <v>261</v>
      </c>
      <c r="T985" t="s">
        <v>43</v>
      </c>
      <c r="U985" t="s">
        <v>44</v>
      </c>
      <c r="V985">
        <v>147</v>
      </c>
      <c r="W985" t="s">
        <v>45</v>
      </c>
      <c r="X985" t="s">
        <v>46</v>
      </c>
      <c r="Y985" t="s">
        <v>262</v>
      </c>
      <c r="Z985" t="s">
        <v>37</v>
      </c>
      <c r="AA985" t="s">
        <v>55</v>
      </c>
      <c r="AB985" t="s">
        <v>37</v>
      </c>
      <c r="AC985" s="6" t="s">
        <v>37</v>
      </c>
      <c r="AD985" s="6" t="s">
        <v>37</v>
      </c>
      <c r="AE985" t="s">
        <v>37</v>
      </c>
      <c r="AF985" t="s">
        <v>37</v>
      </c>
      <c r="AG985" s="6" t="s">
        <v>37</v>
      </c>
      <c r="AH985" t="s">
        <v>37</v>
      </c>
      <c r="AI985" t="s">
        <v>37</v>
      </c>
      <c r="AJ985" t="str">
        <f t="shared" si="47"/>
        <v>7RAC5F9EB07TLX61W7</v>
      </c>
    </row>
    <row r="986" spans="1:36" ht="15" customHeight="1" x14ac:dyDescent="0.25">
      <c r="A986" t="s">
        <v>36</v>
      </c>
      <c r="B986" t="s">
        <v>37</v>
      </c>
      <c r="C986" t="s">
        <v>37</v>
      </c>
      <c r="D986" t="s">
        <v>38</v>
      </c>
      <c r="E986" s="4">
        <v>40</v>
      </c>
      <c r="F986" s="5">
        <v>464</v>
      </c>
      <c r="G986" s="5" t="s">
        <v>39</v>
      </c>
      <c r="H986" s="5">
        <v>786.4</v>
      </c>
      <c r="I986" s="5" t="s">
        <v>39</v>
      </c>
      <c r="J986" s="5">
        <v>15.776</v>
      </c>
      <c r="K986" s="5">
        <f t="shared" si="45"/>
        <v>0.39439999999999997</v>
      </c>
      <c r="L986" s="5">
        <f t="shared" si="46"/>
        <v>11.6</v>
      </c>
      <c r="M986" s="5" t="s">
        <v>39</v>
      </c>
      <c r="N986" s="5">
        <v>15.776</v>
      </c>
      <c r="O986" s="5" t="s">
        <v>39</v>
      </c>
      <c r="P986" t="s">
        <v>168</v>
      </c>
      <c r="Q986" t="s">
        <v>1294</v>
      </c>
      <c r="R986" t="s">
        <v>37</v>
      </c>
      <c r="S986" t="s">
        <v>1295</v>
      </c>
      <c r="T986" t="s">
        <v>43</v>
      </c>
      <c r="U986" t="s">
        <v>44</v>
      </c>
      <c r="V986">
        <v>147</v>
      </c>
      <c r="W986" t="s">
        <v>45</v>
      </c>
      <c r="X986" t="s">
        <v>53</v>
      </c>
      <c r="Y986" t="s">
        <v>109</v>
      </c>
      <c r="Z986" t="s">
        <v>37</v>
      </c>
      <c r="AA986" t="s">
        <v>95</v>
      </c>
      <c r="AB986" t="s">
        <v>37</v>
      </c>
      <c r="AC986" s="6" t="s">
        <v>37</v>
      </c>
      <c r="AD986" s="6" t="s">
        <v>37</v>
      </c>
      <c r="AE986" t="s">
        <v>37</v>
      </c>
      <c r="AF986" t="s">
        <v>37</v>
      </c>
      <c r="AG986" s="6" t="s">
        <v>37</v>
      </c>
      <c r="AH986" t="s">
        <v>37</v>
      </c>
      <c r="AI986" t="s">
        <v>37</v>
      </c>
      <c r="AJ986" t="str">
        <f t="shared" si="47"/>
        <v>2R6FMUZDB07W7LNTMC</v>
      </c>
    </row>
    <row r="987" spans="1:36" ht="15" customHeight="1" x14ac:dyDescent="0.25">
      <c r="A987" t="s">
        <v>76</v>
      </c>
      <c r="B987" t="s">
        <v>37</v>
      </c>
      <c r="C987" t="s">
        <v>37</v>
      </c>
      <c r="D987" t="s">
        <v>38</v>
      </c>
      <c r="E987" s="4">
        <v>4</v>
      </c>
      <c r="F987" s="5">
        <v>140.52000000000001</v>
      </c>
      <c r="G987" s="5" t="s">
        <v>39</v>
      </c>
      <c r="H987" s="5">
        <v>213.08</v>
      </c>
      <c r="I987" s="5" t="s">
        <v>39</v>
      </c>
      <c r="J987" s="5">
        <v>4.7776800000000001</v>
      </c>
      <c r="K987" s="5">
        <f t="shared" si="45"/>
        <v>1.19442</v>
      </c>
      <c r="L987" s="5">
        <f t="shared" si="46"/>
        <v>35.130000000000003</v>
      </c>
      <c r="M987" s="5" t="s">
        <v>39</v>
      </c>
      <c r="N987" s="5">
        <v>4.7776800000000001</v>
      </c>
      <c r="O987" s="5" t="s">
        <v>39</v>
      </c>
      <c r="P987" t="s">
        <v>114</v>
      </c>
      <c r="Q987" t="s">
        <v>1634</v>
      </c>
      <c r="R987" t="s">
        <v>37</v>
      </c>
      <c r="S987" t="s">
        <v>1635</v>
      </c>
      <c r="T987" t="s">
        <v>43</v>
      </c>
      <c r="U987" t="s">
        <v>44</v>
      </c>
      <c r="V987">
        <v>147</v>
      </c>
      <c r="W987" t="s">
        <v>45</v>
      </c>
      <c r="X987" t="s">
        <v>53</v>
      </c>
      <c r="Y987" t="s">
        <v>1636</v>
      </c>
      <c r="Z987" t="s">
        <v>37</v>
      </c>
      <c r="AA987" t="s">
        <v>55</v>
      </c>
      <c r="AB987" t="s">
        <v>37</v>
      </c>
      <c r="AC987" s="6" t="s">
        <v>37</v>
      </c>
      <c r="AD987" s="6" t="s">
        <v>37</v>
      </c>
      <c r="AE987" t="s">
        <v>37</v>
      </c>
      <c r="AF987" t="s">
        <v>37</v>
      </c>
      <c r="AG987" s="6" t="s">
        <v>37</v>
      </c>
      <c r="AH987" t="s">
        <v>37</v>
      </c>
      <c r="AI987" t="s">
        <v>37</v>
      </c>
      <c r="AJ987" t="str">
        <f t="shared" si="47"/>
        <v>243WWSUAB009QZ3TO4</v>
      </c>
    </row>
    <row r="988" spans="1:36" ht="15" customHeight="1" x14ac:dyDescent="0.25">
      <c r="A988" t="s">
        <v>36</v>
      </c>
      <c r="B988" t="s">
        <v>37</v>
      </c>
      <c r="C988" t="s">
        <v>37</v>
      </c>
      <c r="D988" t="s">
        <v>38</v>
      </c>
      <c r="E988" s="4">
        <v>48</v>
      </c>
      <c r="F988" s="5">
        <v>4026.72</v>
      </c>
      <c r="G988" s="5" t="s">
        <v>39</v>
      </c>
      <c r="H988" s="5">
        <v>6648.96</v>
      </c>
      <c r="I988" s="5" t="s">
        <v>39</v>
      </c>
      <c r="J988" s="5">
        <v>136.90848</v>
      </c>
      <c r="K988" s="5">
        <f t="shared" si="45"/>
        <v>2.8522599999999998</v>
      </c>
      <c r="L988" s="5">
        <f t="shared" si="46"/>
        <v>83.89</v>
      </c>
      <c r="M988" s="5" t="s">
        <v>39</v>
      </c>
      <c r="N988" s="5">
        <v>136.90848</v>
      </c>
      <c r="O988" s="5" t="s">
        <v>39</v>
      </c>
      <c r="P988" t="s">
        <v>365</v>
      </c>
      <c r="Q988" t="s">
        <v>660</v>
      </c>
      <c r="R988" t="s">
        <v>37</v>
      </c>
      <c r="S988" t="s">
        <v>661</v>
      </c>
      <c r="T988" t="s">
        <v>43</v>
      </c>
      <c r="U988" t="s">
        <v>44</v>
      </c>
      <c r="V988">
        <v>147</v>
      </c>
      <c r="W988" t="s">
        <v>45</v>
      </c>
      <c r="X988" t="s">
        <v>46</v>
      </c>
      <c r="Y988" t="s">
        <v>662</v>
      </c>
      <c r="Z988" t="s">
        <v>37</v>
      </c>
      <c r="AA988" t="s">
        <v>48</v>
      </c>
      <c r="AB988" t="s">
        <v>37</v>
      </c>
      <c r="AC988" s="6" t="s">
        <v>37</v>
      </c>
      <c r="AD988" s="6" t="s">
        <v>37</v>
      </c>
      <c r="AE988" t="s">
        <v>37</v>
      </c>
      <c r="AF988" t="s">
        <v>37</v>
      </c>
      <c r="AG988" s="6" t="s">
        <v>37</v>
      </c>
      <c r="AH988" t="s">
        <v>37</v>
      </c>
      <c r="AI988" t="s">
        <v>37</v>
      </c>
      <c r="AJ988" t="str">
        <f t="shared" si="47"/>
        <v>3KYCEHVHB01M3TTXMY</v>
      </c>
    </row>
    <row r="989" spans="1:36" ht="15" customHeight="1" x14ac:dyDescent="0.25">
      <c r="A989" t="s">
        <v>101</v>
      </c>
      <c r="B989" t="s">
        <v>37</v>
      </c>
      <c r="C989" t="s">
        <v>37</v>
      </c>
      <c r="D989" t="s">
        <v>38</v>
      </c>
      <c r="E989" s="4">
        <v>42</v>
      </c>
      <c r="F989" s="5">
        <v>9506.7000000000007</v>
      </c>
      <c r="G989" s="5" t="s">
        <v>39</v>
      </c>
      <c r="H989" s="5">
        <v>15113.28</v>
      </c>
      <c r="I989" s="5" t="s">
        <v>39</v>
      </c>
      <c r="J989" s="5">
        <v>323.2278</v>
      </c>
      <c r="K989" s="5">
        <f t="shared" si="45"/>
        <v>7.6959</v>
      </c>
      <c r="L989" s="5">
        <f t="shared" si="46"/>
        <v>226.35000000000002</v>
      </c>
      <c r="M989" s="5" t="s">
        <v>39</v>
      </c>
      <c r="N989" s="5">
        <v>323.2278</v>
      </c>
      <c r="O989" s="5" t="s">
        <v>39</v>
      </c>
      <c r="P989" t="s">
        <v>748</v>
      </c>
      <c r="Q989" t="s">
        <v>1096</v>
      </c>
      <c r="R989" t="s">
        <v>37</v>
      </c>
      <c r="S989" t="s">
        <v>82</v>
      </c>
      <c r="T989" t="s">
        <v>43</v>
      </c>
      <c r="U989" t="s">
        <v>44</v>
      </c>
      <c r="V989">
        <v>147</v>
      </c>
      <c r="W989" t="s">
        <v>45</v>
      </c>
      <c r="X989" t="s">
        <v>46</v>
      </c>
      <c r="Y989" t="s">
        <v>1097</v>
      </c>
      <c r="Z989" t="s">
        <v>37</v>
      </c>
      <c r="AA989" t="s">
        <v>55</v>
      </c>
      <c r="AB989" t="s">
        <v>37</v>
      </c>
      <c r="AC989" s="6" t="s">
        <v>37</v>
      </c>
      <c r="AD989" s="6" t="s">
        <v>37</v>
      </c>
      <c r="AE989" t="s">
        <v>37</v>
      </c>
      <c r="AF989" t="s">
        <v>37</v>
      </c>
      <c r="AG989" s="6" t="s">
        <v>37</v>
      </c>
      <c r="AH989" t="s">
        <v>37</v>
      </c>
      <c r="AI989" t="s">
        <v>37</v>
      </c>
      <c r="AJ989" t="str">
        <f t="shared" si="47"/>
        <v>74WI6EYDB07W4DG81W</v>
      </c>
    </row>
    <row r="990" spans="1:36" ht="15" customHeight="1" x14ac:dyDescent="0.25">
      <c r="A990" t="s">
        <v>613</v>
      </c>
      <c r="B990" t="s">
        <v>37</v>
      </c>
      <c r="C990" t="s">
        <v>37</v>
      </c>
      <c r="D990" t="s">
        <v>38</v>
      </c>
      <c r="E990" s="4">
        <v>1</v>
      </c>
      <c r="F990" s="5">
        <v>226.35</v>
      </c>
      <c r="G990" s="5" t="s">
        <v>39</v>
      </c>
      <c r="H990" s="5">
        <v>359.84</v>
      </c>
      <c r="I990" s="5" t="s">
        <v>39</v>
      </c>
      <c r="J990" s="5">
        <v>7.6959</v>
      </c>
      <c r="K990" s="5">
        <f t="shared" si="45"/>
        <v>7.6959</v>
      </c>
      <c r="L990" s="5">
        <f t="shared" si="46"/>
        <v>226.35</v>
      </c>
      <c r="M990" s="5" t="s">
        <v>39</v>
      </c>
      <c r="N990" s="5">
        <v>7.6959</v>
      </c>
      <c r="O990" s="5" t="s">
        <v>39</v>
      </c>
      <c r="P990" t="s">
        <v>614</v>
      </c>
      <c r="Q990" t="s">
        <v>675</v>
      </c>
      <c r="R990" t="s">
        <v>37</v>
      </c>
      <c r="S990" t="s">
        <v>676</v>
      </c>
      <c r="T990" t="s">
        <v>43</v>
      </c>
      <c r="U990" t="s">
        <v>44</v>
      </c>
      <c r="V990">
        <v>147</v>
      </c>
      <c r="W990" t="s">
        <v>45</v>
      </c>
      <c r="X990" t="s">
        <v>46</v>
      </c>
      <c r="Y990" t="s">
        <v>677</v>
      </c>
      <c r="Z990" t="s">
        <v>37</v>
      </c>
      <c r="AA990" t="s">
        <v>55</v>
      </c>
      <c r="AB990" t="s">
        <v>37</v>
      </c>
      <c r="AC990" s="6" t="s">
        <v>37</v>
      </c>
      <c r="AD990" s="6" t="s">
        <v>37</v>
      </c>
      <c r="AE990" t="s">
        <v>37</v>
      </c>
      <c r="AF990" t="s">
        <v>37</v>
      </c>
      <c r="AG990" s="6" t="s">
        <v>37</v>
      </c>
      <c r="AH990" t="s">
        <v>37</v>
      </c>
      <c r="AI990" t="s">
        <v>37</v>
      </c>
      <c r="AJ990" t="str">
        <f t="shared" si="47"/>
        <v>5ACDL3WJB07W7KFFFF</v>
      </c>
    </row>
    <row r="991" spans="1:36" ht="15" customHeight="1" x14ac:dyDescent="0.25">
      <c r="A991" t="s">
        <v>411</v>
      </c>
      <c r="B991" t="s">
        <v>37</v>
      </c>
      <c r="C991" t="s">
        <v>37</v>
      </c>
      <c r="D991" t="s">
        <v>38</v>
      </c>
      <c r="E991" s="4">
        <v>31</v>
      </c>
      <c r="F991" s="5">
        <v>7448.37</v>
      </c>
      <c r="G991" s="5" t="s">
        <v>39</v>
      </c>
      <c r="H991" s="5">
        <v>11434.04</v>
      </c>
      <c r="I991" s="5" t="s">
        <v>39</v>
      </c>
      <c r="J991" s="5">
        <v>253.24458000000001</v>
      </c>
      <c r="K991" s="5">
        <f t="shared" si="45"/>
        <v>8.1691800000000008</v>
      </c>
      <c r="L991" s="5">
        <f t="shared" si="46"/>
        <v>240.27</v>
      </c>
      <c r="M991" s="5" t="s">
        <v>39</v>
      </c>
      <c r="N991" s="5">
        <v>253.24458000000001</v>
      </c>
      <c r="O991" s="5" t="s">
        <v>39</v>
      </c>
      <c r="P991" t="s">
        <v>226</v>
      </c>
      <c r="Q991" t="s">
        <v>1008</v>
      </c>
      <c r="R991" t="s">
        <v>37</v>
      </c>
      <c r="S991" t="s">
        <v>1009</v>
      </c>
      <c r="T991" t="s">
        <v>43</v>
      </c>
      <c r="U991" t="s">
        <v>44</v>
      </c>
      <c r="V991">
        <v>23</v>
      </c>
      <c r="W991" t="s">
        <v>281</v>
      </c>
      <c r="X991" t="s">
        <v>282</v>
      </c>
      <c r="Y991" t="s">
        <v>1010</v>
      </c>
      <c r="Z991" t="s">
        <v>37</v>
      </c>
      <c r="AA991" t="s">
        <v>95</v>
      </c>
      <c r="AB991" t="s">
        <v>37</v>
      </c>
      <c r="AC991" s="6" t="s">
        <v>37</v>
      </c>
      <c r="AD991" s="6" t="s">
        <v>37</v>
      </c>
      <c r="AE991" t="s">
        <v>37</v>
      </c>
      <c r="AF991" t="s">
        <v>37</v>
      </c>
      <c r="AG991" s="6" t="s">
        <v>37</v>
      </c>
      <c r="AH991" t="s">
        <v>37</v>
      </c>
      <c r="AI991" t="s">
        <v>37</v>
      </c>
      <c r="AJ991" t="str">
        <f t="shared" si="47"/>
        <v>11Y5DH1JB07W6JPZBL</v>
      </c>
    </row>
    <row r="992" spans="1:36" ht="15" customHeight="1" x14ac:dyDescent="0.25">
      <c r="A992" t="s">
        <v>36</v>
      </c>
      <c r="B992" t="s">
        <v>37</v>
      </c>
      <c r="C992" t="s">
        <v>37</v>
      </c>
      <c r="D992" t="s">
        <v>38</v>
      </c>
      <c r="E992" s="4">
        <v>24</v>
      </c>
      <c r="F992" s="5">
        <v>773.04</v>
      </c>
      <c r="G992" s="5" t="s">
        <v>39</v>
      </c>
      <c r="H992" s="5">
        <v>1160.4000000000001</v>
      </c>
      <c r="I992" s="5" t="s">
        <v>39</v>
      </c>
      <c r="J992" s="5">
        <v>26.283359999999998</v>
      </c>
      <c r="K992" s="5">
        <f t="shared" si="45"/>
        <v>1.09514</v>
      </c>
      <c r="L992" s="5">
        <f t="shared" si="46"/>
        <v>32.21</v>
      </c>
      <c r="M992" s="5" t="s">
        <v>39</v>
      </c>
      <c r="N992" s="5">
        <v>26.283359999999998</v>
      </c>
      <c r="O992" s="5" t="s">
        <v>39</v>
      </c>
      <c r="P992" t="s">
        <v>67</v>
      </c>
      <c r="Q992" t="s">
        <v>716</v>
      </c>
      <c r="R992" t="s">
        <v>37</v>
      </c>
      <c r="S992" t="s">
        <v>717</v>
      </c>
      <c r="T992" t="s">
        <v>43</v>
      </c>
      <c r="U992" t="s">
        <v>44</v>
      </c>
      <c r="V992">
        <v>147</v>
      </c>
      <c r="W992" t="s">
        <v>45</v>
      </c>
      <c r="X992" t="s">
        <v>60</v>
      </c>
      <c r="Y992" t="s">
        <v>718</v>
      </c>
      <c r="Z992" t="s">
        <v>37</v>
      </c>
      <c r="AA992" t="s">
        <v>55</v>
      </c>
      <c r="AB992" t="s">
        <v>37</v>
      </c>
      <c r="AC992" s="6" t="s">
        <v>37</v>
      </c>
      <c r="AD992" s="6" t="s">
        <v>37</v>
      </c>
      <c r="AE992" t="s">
        <v>37</v>
      </c>
      <c r="AF992" t="s">
        <v>37</v>
      </c>
      <c r="AG992" s="6" t="s">
        <v>37</v>
      </c>
      <c r="AH992" t="s">
        <v>37</v>
      </c>
      <c r="AI992" t="s">
        <v>37</v>
      </c>
      <c r="AJ992" t="str">
        <f t="shared" si="47"/>
        <v>2TMBDXBKB07W6JKH1B</v>
      </c>
    </row>
    <row r="993" spans="1:36" ht="15" customHeight="1" x14ac:dyDescent="0.25">
      <c r="A993" t="s">
        <v>101</v>
      </c>
      <c r="B993" t="s">
        <v>37</v>
      </c>
      <c r="C993" t="s">
        <v>37</v>
      </c>
      <c r="D993" t="s">
        <v>38</v>
      </c>
      <c r="E993" s="4">
        <v>16</v>
      </c>
      <c r="F993" s="5">
        <v>515.36</v>
      </c>
      <c r="G993" s="5" t="s">
        <v>39</v>
      </c>
      <c r="H993" s="5">
        <v>773.6</v>
      </c>
      <c r="I993" s="5" t="s">
        <v>39</v>
      </c>
      <c r="J993" s="5">
        <v>17.52224</v>
      </c>
      <c r="K993" s="5">
        <f t="shared" si="45"/>
        <v>1.09514</v>
      </c>
      <c r="L993" s="5">
        <f t="shared" si="46"/>
        <v>32.21</v>
      </c>
      <c r="M993" s="5" t="s">
        <v>39</v>
      </c>
      <c r="N993" s="5">
        <v>17.52224</v>
      </c>
      <c r="O993" s="5" t="s">
        <v>39</v>
      </c>
      <c r="P993" t="s">
        <v>72</v>
      </c>
      <c r="Q993" t="s">
        <v>1637</v>
      </c>
      <c r="R993" t="s">
        <v>37</v>
      </c>
      <c r="S993" t="s">
        <v>1638</v>
      </c>
      <c r="T993" t="s">
        <v>43</v>
      </c>
      <c r="U993" t="s">
        <v>44</v>
      </c>
      <c r="V993">
        <v>147</v>
      </c>
      <c r="W993" t="s">
        <v>45</v>
      </c>
      <c r="X993" t="s">
        <v>356</v>
      </c>
      <c r="Y993" t="s">
        <v>1639</v>
      </c>
      <c r="Z993" t="s">
        <v>37</v>
      </c>
      <c r="AA993" t="s">
        <v>55</v>
      </c>
      <c r="AB993" t="s">
        <v>37</v>
      </c>
      <c r="AC993" s="6" t="s">
        <v>37</v>
      </c>
      <c r="AD993" s="6" t="s">
        <v>37</v>
      </c>
      <c r="AE993" t="s">
        <v>37</v>
      </c>
      <c r="AF993" t="s">
        <v>37</v>
      </c>
      <c r="AG993" s="6" t="s">
        <v>37</v>
      </c>
      <c r="AH993" t="s">
        <v>37</v>
      </c>
      <c r="AI993" t="s">
        <v>37</v>
      </c>
      <c r="AJ993" t="str">
        <f t="shared" si="47"/>
        <v>4GF112AEB07W6HY5TH</v>
      </c>
    </row>
    <row r="994" spans="1:36" ht="15" customHeight="1" x14ac:dyDescent="0.25">
      <c r="A994" t="s">
        <v>36</v>
      </c>
      <c r="B994" t="s">
        <v>37</v>
      </c>
      <c r="C994" t="s">
        <v>37</v>
      </c>
      <c r="D994" t="s">
        <v>38</v>
      </c>
      <c r="E994" s="4">
        <v>44</v>
      </c>
      <c r="F994" s="5">
        <v>928.4</v>
      </c>
      <c r="G994" s="5" t="s">
        <v>39</v>
      </c>
      <c r="H994" s="5">
        <v>1586.64</v>
      </c>
      <c r="I994" s="5" t="s">
        <v>39</v>
      </c>
      <c r="J994" s="5">
        <v>31.5656</v>
      </c>
      <c r="K994" s="5">
        <f t="shared" si="45"/>
        <v>0.71740000000000004</v>
      </c>
      <c r="L994" s="5">
        <f t="shared" si="46"/>
        <v>21.099999999999998</v>
      </c>
      <c r="M994" s="5" t="s">
        <v>39</v>
      </c>
      <c r="N994" s="5">
        <v>31.5656</v>
      </c>
      <c r="O994" s="5" t="s">
        <v>39</v>
      </c>
      <c r="P994" t="s">
        <v>365</v>
      </c>
      <c r="Q994" t="s">
        <v>741</v>
      </c>
      <c r="R994" t="s">
        <v>742</v>
      </c>
      <c r="S994" t="s">
        <v>743</v>
      </c>
      <c r="T994" t="s">
        <v>43</v>
      </c>
      <c r="U994" t="s">
        <v>44</v>
      </c>
      <c r="V994">
        <v>147</v>
      </c>
      <c r="W994" t="s">
        <v>45</v>
      </c>
      <c r="X994" t="s">
        <v>46</v>
      </c>
      <c r="Y994" t="s">
        <v>744</v>
      </c>
      <c r="Z994" t="s">
        <v>37</v>
      </c>
      <c r="AA994" t="s">
        <v>48</v>
      </c>
      <c r="AB994" t="s">
        <v>37</v>
      </c>
      <c r="AC994" s="6" t="s">
        <v>37</v>
      </c>
      <c r="AD994" s="6" t="s">
        <v>37</v>
      </c>
      <c r="AE994" t="s">
        <v>37</v>
      </c>
      <c r="AF994" t="s">
        <v>37</v>
      </c>
      <c r="AG994" s="6" t="s">
        <v>37</v>
      </c>
      <c r="AH994" t="s">
        <v>37</v>
      </c>
      <c r="AI994" t="s">
        <v>37</v>
      </c>
      <c r="AJ994" t="str">
        <f t="shared" si="47"/>
        <v>3KYCEHVHB00CJ5FP04</v>
      </c>
    </row>
    <row r="995" spans="1:36" ht="15" customHeight="1" x14ac:dyDescent="0.25">
      <c r="A995" t="s">
        <v>36</v>
      </c>
      <c r="B995" t="s">
        <v>37</v>
      </c>
      <c r="C995" t="s">
        <v>37</v>
      </c>
      <c r="D995" t="s">
        <v>38</v>
      </c>
      <c r="E995" s="4">
        <v>20</v>
      </c>
      <c r="F995" s="5">
        <v>327.8</v>
      </c>
      <c r="G995" s="5" t="s">
        <v>39</v>
      </c>
      <c r="H995" s="5">
        <v>491.6</v>
      </c>
      <c r="I995" s="5" t="s">
        <v>39</v>
      </c>
      <c r="J995" s="5">
        <v>11.145200000000001</v>
      </c>
      <c r="K995" s="5">
        <f t="shared" si="45"/>
        <v>0.55726000000000009</v>
      </c>
      <c r="L995" s="5">
        <f t="shared" si="46"/>
        <v>16.39</v>
      </c>
      <c r="M995" s="5" t="s">
        <v>39</v>
      </c>
      <c r="N995" s="5">
        <v>11.145200000000001</v>
      </c>
      <c r="O995" s="5" t="s">
        <v>39</v>
      </c>
      <c r="P995" t="s">
        <v>119</v>
      </c>
      <c r="Q995" t="s">
        <v>1562</v>
      </c>
      <c r="R995" t="s">
        <v>37</v>
      </c>
      <c r="S995" t="s">
        <v>1563</v>
      </c>
      <c r="T995" t="s">
        <v>43</v>
      </c>
      <c r="U995" t="s">
        <v>44</v>
      </c>
      <c r="V995">
        <v>147</v>
      </c>
      <c r="W995" t="s">
        <v>45</v>
      </c>
      <c r="X995" t="s">
        <v>53</v>
      </c>
      <c r="Y995" t="s">
        <v>1564</v>
      </c>
      <c r="Z995" t="s">
        <v>37</v>
      </c>
      <c r="AA995" t="s">
        <v>55</v>
      </c>
      <c r="AB995" t="s">
        <v>37</v>
      </c>
      <c r="AC995" s="6" t="s">
        <v>37</v>
      </c>
      <c r="AD995" s="6" t="s">
        <v>37</v>
      </c>
      <c r="AE995" t="s">
        <v>37</v>
      </c>
      <c r="AF995" t="s">
        <v>37</v>
      </c>
      <c r="AG995" s="6" t="s">
        <v>37</v>
      </c>
      <c r="AH995" t="s">
        <v>37</v>
      </c>
      <c r="AI995" t="s">
        <v>37</v>
      </c>
      <c r="AJ995" t="str">
        <f t="shared" si="47"/>
        <v>31DJDC7QB07W6GVZFL</v>
      </c>
    </row>
    <row r="996" spans="1:36" ht="15" customHeight="1" x14ac:dyDescent="0.25">
      <c r="A996" t="s">
        <v>96</v>
      </c>
      <c r="B996" t="s">
        <v>37</v>
      </c>
      <c r="C996" t="s">
        <v>37</v>
      </c>
      <c r="D996" t="s">
        <v>38</v>
      </c>
      <c r="E996" s="4">
        <v>12</v>
      </c>
      <c r="F996" s="5">
        <v>661.2</v>
      </c>
      <c r="G996" s="5" t="s">
        <v>39</v>
      </c>
      <c r="H996" s="5">
        <v>786.84</v>
      </c>
      <c r="I996" s="5" t="s">
        <v>39</v>
      </c>
      <c r="J996" s="5">
        <v>22.480799999999999</v>
      </c>
      <c r="K996" s="5">
        <f t="shared" si="45"/>
        <v>1.8734</v>
      </c>
      <c r="L996" s="5">
        <f t="shared" si="46"/>
        <v>55.1</v>
      </c>
      <c r="M996" s="5" t="s">
        <v>39</v>
      </c>
      <c r="N996" s="5">
        <v>22.480799999999999</v>
      </c>
      <c r="O996" s="5" t="s">
        <v>39</v>
      </c>
      <c r="P996" t="s">
        <v>711</v>
      </c>
      <c r="Q996" t="s">
        <v>1506</v>
      </c>
      <c r="R996" t="s">
        <v>37</v>
      </c>
      <c r="S996" t="s">
        <v>1507</v>
      </c>
      <c r="T996" t="s">
        <v>43</v>
      </c>
      <c r="U996" t="s">
        <v>44</v>
      </c>
      <c r="V996">
        <v>147</v>
      </c>
      <c r="W996" t="s">
        <v>1508</v>
      </c>
      <c r="X996" t="s">
        <v>1509</v>
      </c>
      <c r="Y996" t="s">
        <v>1510</v>
      </c>
      <c r="Z996" t="s">
        <v>37</v>
      </c>
      <c r="AA996" t="s">
        <v>55</v>
      </c>
      <c r="AB996" t="s">
        <v>37</v>
      </c>
      <c r="AC996" s="6" t="s">
        <v>37</v>
      </c>
      <c r="AD996" s="6" t="s">
        <v>37</v>
      </c>
      <c r="AE996" t="s">
        <v>37</v>
      </c>
      <c r="AF996" t="s">
        <v>37</v>
      </c>
      <c r="AG996" s="6" t="s">
        <v>37</v>
      </c>
      <c r="AH996" t="s">
        <v>37</v>
      </c>
      <c r="AI996" t="s">
        <v>37</v>
      </c>
      <c r="AJ996" t="str">
        <f t="shared" si="47"/>
        <v>3T2OW47PB07W7L3HJP</v>
      </c>
    </row>
    <row r="997" spans="1:36" ht="15" customHeight="1" x14ac:dyDescent="0.25">
      <c r="A997" t="s">
        <v>96</v>
      </c>
      <c r="B997" t="s">
        <v>37</v>
      </c>
      <c r="C997" t="s">
        <v>37</v>
      </c>
      <c r="D997" t="s">
        <v>38</v>
      </c>
      <c r="E997" s="4">
        <v>192</v>
      </c>
      <c r="F997" s="5">
        <v>14478.72</v>
      </c>
      <c r="G997" s="5" t="s">
        <v>39</v>
      </c>
      <c r="H997" s="5">
        <v>21244.799999999999</v>
      </c>
      <c r="I997" s="5" t="s">
        <v>39</v>
      </c>
      <c r="J997" s="5">
        <v>492.27647999999999</v>
      </c>
      <c r="K997" s="5">
        <f t="shared" si="45"/>
        <v>2.5639400000000001</v>
      </c>
      <c r="L997" s="5">
        <f t="shared" si="46"/>
        <v>75.41</v>
      </c>
      <c r="M997" s="5" t="s">
        <v>39</v>
      </c>
      <c r="N997" s="5">
        <v>492.27647999999999</v>
      </c>
      <c r="O997" s="5" t="s">
        <v>39</v>
      </c>
      <c r="P997" t="s">
        <v>222</v>
      </c>
      <c r="Q997" t="s">
        <v>1093</v>
      </c>
      <c r="R997" t="s">
        <v>37</v>
      </c>
      <c r="S997" t="s">
        <v>1094</v>
      </c>
      <c r="T997" t="s">
        <v>43</v>
      </c>
      <c r="U997" t="s">
        <v>44</v>
      </c>
      <c r="V997">
        <v>147</v>
      </c>
      <c r="W997" t="s">
        <v>45</v>
      </c>
      <c r="X997" t="s">
        <v>53</v>
      </c>
      <c r="Y997" t="s">
        <v>1095</v>
      </c>
      <c r="Z997" t="s">
        <v>37</v>
      </c>
      <c r="AA997" t="s">
        <v>55</v>
      </c>
      <c r="AB997" t="s">
        <v>37</v>
      </c>
      <c r="AC997" s="6" t="s">
        <v>37</v>
      </c>
      <c r="AD997" s="6" t="s">
        <v>37</v>
      </c>
      <c r="AE997" t="s">
        <v>37</v>
      </c>
      <c r="AF997" t="s">
        <v>37</v>
      </c>
      <c r="AG997" s="6" t="s">
        <v>37</v>
      </c>
      <c r="AH997" t="s">
        <v>37</v>
      </c>
      <c r="AI997" t="s">
        <v>37</v>
      </c>
      <c r="AJ997" t="str">
        <f t="shared" si="47"/>
        <v>2F7Y5WIXB07W6H4R4G</v>
      </c>
    </row>
    <row r="998" spans="1:36" ht="15" customHeight="1" x14ac:dyDescent="0.25">
      <c r="A998" t="s">
        <v>176</v>
      </c>
      <c r="B998" t="s">
        <v>37</v>
      </c>
      <c r="C998" t="s">
        <v>37</v>
      </c>
      <c r="D998" t="s">
        <v>38</v>
      </c>
      <c r="E998" s="4">
        <v>4</v>
      </c>
      <c r="F998" s="5">
        <v>158.24</v>
      </c>
      <c r="G998" s="5" t="s">
        <v>39</v>
      </c>
      <c r="H998" s="5">
        <v>236.04</v>
      </c>
      <c r="I998" s="5" t="s">
        <v>39</v>
      </c>
      <c r="J998" s="5">
        <v>5.3801600000000001</v>
      </c>
      <c r="K998" s="5">
        <f t="shared" si="45"/>
        <v>1.34504</v>
      </c>
      <c r="L998" s="5">
        <f t="shared" si="46"/>
        <v>39.56</v>
      </c>
      <c r="M998" s="5" t="s">
        <v>39</v>
      </c>
      <c r="N998" s="5">
        <v>5.3801600000000001</v>
      </c>
      <c r="O998" s="5" t="s">
        <v>39</v>
      </c>
      <c r="P998" t="s">
        <v>102</v>
      </c>
      <c r="Q998" t="s">
        <v>1631</v>
      </c>
      <c r="R998" t="s">
        <v>37</v>
      </c>
      <c r="S998" t="s">
        <v>1632</v>
      </c>
      <c r="T998" t="s">
        <v>43</v>
      </c>
      <c r="U998" t="s">
        <v>44</v>
      </c>
      <c r="V998">
        <v>147</v>
      </c>
      <c r="W998" t="s">
        <v>45</v>
      </c>
      <c r="X998" t="s">
        <v>53</v>
      </c>
      <c r="Y998" t="s">
        <v>1633</v>
      </c>
      <c r="Z998" t="s">
        <v>37</v>
      </c>
      <c r="AA998" t="s">
        <v>55</v>
      </c>
      <c r="AB998" t="s">
        <v>37</v>
      </c>
      <c r="AC998" s="6" t="s">
        <v>37</v>
      </c>
      <c r="AD998" s="6" t="s">
        <v>37</v>
      </c>
      <c r="AE998" t="s">
        <v>37</v>
      </c>
      <c r="AF998" t="s">
        <v>37</v>
      </c>
      <c r="AG998" s="6" t="s">
        <v>37</v>
      </c>
      <c r="AH998" t="s">
        <v>37</v>
      </c>
      <c r="AI998" t="s">
        <v>37</v>
      </c>
      <c r="AJ998" t="str">
        <f t="shared" si="47"/>
        <v>2M7QFTCOB07S69F4HC</v>
      </c>
    </row>
    <row r="999" spans="1:36" ht="15" customHeight="1" x14ac:dyDescent="0.25">
      <c r="A999" t="s">
        <v>96</v>
      </c>
      <c r="B999" t="s">
        <v>37</v>
      </c>
      <c r="C999" t="s">
        <v>37</v>
      </c>
      <c r="D999" t="s">
        <v>38</v>
      </c>
      <c r="E999" s="4">
        <v>128</v>
      </c>
      <c r="F999" s="5">
        <v>5621.76</v>
      </c>
      <c r="G999" s="5" t="s">
        <v>39</v>
      </c>
      <c r="H999" s="5">
        <v>8392.9599999999991</v>
      </c>
      <c r="I999" s="5" t="s">
        <v>39</v>
      </c>
      <c r="J999" s="5">
        <v>191.13983999999999</v>
      </c>
      <c r="K999" s="5">
        <f t="shared" si="45"/>
        <v>1.4932799999999999</v>
      </c>
      <c r="L999" s="5">
        <f t="shared" si="46"/>
        <v>43.92</v>
      </c>
      <c r="M999" s="5" t="s">
        <v>39</v>
      </c>
      <c r="N999" s="5">
        <v>191.13983999999999</v>
      </c>
      <c r="O999" s="5" t="s">
        <v>39</v>
      </c>
      <c r="P999" t="s">
        <v>479</v>
      </c>
      <c r="Q999" t="s">
        <v>893</v>
      </c>
      <c r="R999" t="s">
        <v>37</v>
      </c>
      <c r="S999" t="s">
        <v>894</v>
      </c>
      <c r="T999" t="s">
        <v>43</v>
      </c>
      <c r="U999" t="s">
        <v>44</v>
      </c>
      <c r="V999">
        <v>147</v>
      </c>
      <c r="W999" t="s">
        <v>45</v>
      </c>
      <c r="X999" t="s">
        <v>53</v>
      </c>
      <c r="Y999" t="s">
        <v>895</v>
      </c>
      <c r="Z999" t="s">
        <v>37</v>
      </c>
      <c r="AA999" t="s">
        <v>48</v>
      </c>
      <c r="AB999" t="s">
        <v>37</v>
      </c>
      <c r="AC999" s="6" t="s">
        <v>37</v>
      </c>
      <c r="AD999" s="6" t="s">
        <v>37</v>
      </c>
      <c r="AE999" t="s">
        <v>37</v>
      </c>
      <c r="AF999" t="s">
        <v>37</v>
      </c>
      <c r="AG999" s="6" t="s">
        <v>37</v>
      </c>
      <c r="AH999" t="s">
        <v>37</v>
      </c>
      <c r="AI999" t="s">
        <v>37</v>
      </c>
      <c r="AJ999" t="str">
        <f t="shared" si="47"/>
        <v>7SCVG2OTB0797FYB3K</v>
      </c>
    </row>
    <row r="1000" spans="1:36" ht="15" customHeight="1" x14ac:dyDescent="0.25">
      <c r="A1000" t="s">
        <v>49</v>
      </c>
      <c r="B1000" t="s">
        <v>37</v>
      </c>
      <c r="C1000" t="s">
        <v>37</v>
      </c>
      <c r="D1000" t="s">
        <v>38</v>
      </c>
      <c r="E1000" s="4">
        <v>12</v>
      </c>
      <c r="F1000" s="5">
        <v>904.92</v>
      </c>
      <c r="G1000" s="5" t="s">
        <v>39</v>
      </c>
      <c r="H1000" s="5">
        <v>1327.8</v>
      </c>
      <c r="I1000" s="5" t="s">
        <v>39</v>
      </c>
      <c r="J1000" s="5">
        <v>30.76728</v>
      </c>
      <c r="K1000" s="5">
        <f t="shared" si="45"/>
        <v>2.5639400000000001</v>
      </c>
      <c r="L1000" s="5">
        <f t="shared" si="46"/>
        <v>75.41</v>
      </c>
      <c r="M1000" s="5" t="s">
        <v>39</v>
      </c>
      <c r="N1000" s="5">
        <v>30.76728</v>
      </c>
      <c r="O1000" s="5" t="s">
        <v>39</v>
      </c>
      <c r="P1000" t="s">
        <v>222</v>
      </c>
      <c r="Q1000" t="s">
        <v>1093</v>
      </c>
      <c r="R1000" t="s">
        <v>37</v>
      </c>
      <c r="S1000" t="s">
        <v>1094</v>
      </c>
      <c r="T1000" t="s">
        <v>43</v>
      </c>
      <c r="U1000" t="s">
        <v>44</v>
      </c>
      <c r="V1000">
        <v>147</v>
      </c>
      <c r="W1000" t="s">
        <v>45</v>
      </c>
      <c r="X1000" t="s">
        <v>53</v>
      </c>
      <c r="Y1000" t="s">
        <v>1095</v>
      </c>
      <c r="Z1000" t="s">
        <v>37</v>
      </c>
      <c r="AA1000" t="s">
        <v>55</v>
      </c>
      <c r="AB1000" t="s">
        <v>37</v>
      </c>
      <c r="AC1000" s="6" t="s">
        <v>37</v>
      </c>
      <c r="AD1000" s="6" t="s">
        <v>37</v>
      </c>
      <c r="AE1000" t="s">
        <v>37</v>
      </c>
      <c r="AF1000" t="s">
        <v>37</v>
      </c>
      <c r="AG1000" s="6" t="s">
        <v>37</v>
      </c>
      <c r="AH1000" t="s">
        <v>37</v>
      </c>
      <c r="AI1000" t="s">
        <v>37</v>
      </c>
      <c r="AJ1000" t="str">
        <f t="shared" si="47"/>
        <v>2F7Y5WIXB07W6H4R4G</v>
      </c>
    </row>
    <row r="1001" spans="1:36" ht="15" customHeight="1" x14ac:dyDescent="0.25">
      <c r="A1001" t="s">
        <v>88</v>
      </c>
      <c r="B1001" t="s">
        <v>37</v>
      </c>
      <c r="C1001" t="s">
        <v>37</v>
      </c>
      <c r="D1001" t="s">
        <v>38</v>
      </c>
      <c r="E1001" s="4">
        <v>16</v>
      </c>
      <c r="F1001" s="5">
        <v>515.36</v>
      </c>
      <c r="G1001" s="5" t="s">
        <v>39</v>
      </c>
      <c r="H1001" s="5">
        <v>515.36</v>
      </c>
      <c r="I1001" s="5" t="s">
        <v>39</v>
      </c>
      <c r="J1001" s="5">
        <v>17.52224</v>
      </c>
      <c r="K1001" s="5">
        <f t="shared" si="45"/>
        <v>1.09514</v>
      </c>
      <c r="L1001" s="5">
        <f t="shared" si="46"/>
        <v>32.21</v>
      </c>
      <c r="M1001" s="5" t="s">
        <v>39</v>
      </c>
      <c r="N1001" s="5">
        <v>17.52224</v>
      </c>
      <c r="O1001" s="5" t="s">
        <v>39</v>
      </c>
      <c r="P1001" t="s">
        <v>133</v>
      </c>
      <c r="Q1001" t="s">
        <v>578</v>
      </c>
      <c r="R1001" t="s">
        <v>37</v>
      </c>
      <c r="S1001" t="s">
        <v>579</v>
      </c>
      <c r="T1001" t="s">
        <v>580</v>
      </c>
      <c r="U1001" t="s">
        <v>44</v>
      </c>
      <c r="V1001">
        <v>147</v>
      </c>
      <c r="W1001" t="s">
        <v>37</v>
      </c>
      <c r="X1001" t="s">
        <v>37</v>
      </c>
      <c r="Y1001" t="s">
        <v>581</v>
      </c>
      <c r="Z1001" t="s">
        <v>37</v>
      </c>
      <c r="AA1001" t="s">
        <v>55</v>
      </c>
      <c r="AB1001" t="s">
        <v>37</v>
      </c>
      <c r="AC1001" s="6" t="s">
        <v>37</v>
      </c>
      <c r="AD1001" s="6" t="s">
        <v>37</v>
      </c>
      <c r="AE1001" t="s">
        <v>37</v>
      </c>
      <c r="AF1001" t="s">
        <v>37</v>
      </c>
      <c r="AG1001" s="6" t="s">
        <v>37</v>
      </c>
      <c r="AH1001" t="s">
        <v>37</v>
      </c>
      <c r="AI1001" t="s">
        <v>37</v>
      </c>
      <c r="AJ1001" t="str">
        <f t="shared" si="47"/>
        <v>36BT7GGLB07W5JHV5C</v>
      </c>
    </row>
    <row r="1002" spans="1:36" ht="15" customHeight="1" x14ac:dyDescent="0.25">
      <c r="A1002" t="s">
        <v>101</v>
      </c>
      <c r="B1002" t="s">
        <v>37</v>
      </c>
      <c r="C1002" t="s">
        <v>37</v>
      </c>
      <c r="D1002" t="s">
        <v>38</v>
      </c>
      <c r="E1002" s="4">
        <v>100</v>
      </c>
      <c r="F1002" s="5">
        <v>3956</v>
      </c>
      <c r="G1002" s="5" t="s">
        <v>39</v>
      </c>
      <c r="H1002" s="5">
        <v>5901</v>
      </c>
      <c r="I1002" s="5" t="s">
        <v>39</v>
      </c>
      <c r="J1002" s="5">
        <v>134.50399999999999</v>
      </c>
      <c r="K1002" s="5">
        <f t="shared" si="45"/>
        <v>1.34504</v>
      </c>
      <c r="L1002" s="5">
        <f t="shared" si="46"/>
        <v>39.56</v>
      </c>
      <c r="M1002" s="5" t="s">
        <v>39</v>
      </c>
      <c r="N1002" s="5">
        <v>134.50399999999999</v>
      </c>
      <c r="O1002" s="5" t="s">
        <v>39</v>
      </c>
      <c r="P1002" t="s">
        <v>102</v>
      </c>
      <c r="Q1002" t="s">
        <v>1631</v>
      </c>
      <c r="R1002" t="s">
        <v>37</v>
      </c>
      <c r="S1002" t="s">
        <v>1632</v>
      </c>
      <c r="T1002" t="s">
        <v>43</v>
      </c>
      <c r="U1002" t="s">
        <v>44</v>
      </c>
      <c r="V1002">
        <v>147</v>
      </c>
      <c r="W1002" t="s">
        <v>45</v>
      </c>
      <c r="X1002" t="s">
        <v>53</v>
      </c>
      <c r="Y1002" t="s">
        <v>1633</v>
      </c>
      <c r="Z1002" t="s">
        <v>37</v>
      </c>
      <c r="AA1002" t="s">
        <v>55</v>
      </c>
      <c r="AB1002" t="s">
        <v>37</v>
      </c>
      <c r="AC1002" s="6" t="s">
        <v>37</v>
      </c>
      <c r="AD1002" s="6" t="s">
        <v>37</v>
      </c>
      <c r="AE1002" t="s">
        <v>37</v>
      </c>
      <c r="AF1002" t="s">
        <v>37</v>
      </c>
      <c r="AG1002" s="6" t="s">
        <v>37</v>
      </c>
      <c r="AH1002" t="s">
        <v>37</v>
      </c>
      <c r="AI1002" t="s">
        <v>37</v>
      </c>
      <c r="AJ1002" t="str">
        <f t="shared" si="47"/>
        <v>2M7QFTCOB07S69F4HC</v>
      </c>
    </row>
    <row r="1003" spans="1:36" ht="15" customHeight="1" x14ac:dyDescent="0.25">
      <c r="A1003" t="s">
        <v>411</v>
      </c>
      <c r="B1003" t="s">
        <v>37</v>
      </c>
      <c r="C1003" t="s">
        <v>37</v>
      </c>
      <c r="D1003" t="s">
        <v>38</v>
      </c>
      <c r="E1003" s="4">
        <v>4</v>
      </c>
      <c r="F1003" s="5">
        <v>884.28</v>
      </c>
      <c r="G1003" s="5" t="s">
        <v>39</v>
      </c>
      <c r="H1003" s="5">
        <v>1341</v>
      </c>
      <c r="I1003" s="5" t="s">
        <v>39</v>
      </c>
      <c r="J1003" s="5">
        <v>30.065519999999999</v>
      </c>
      <c r="K1003" s="5">
        <f t="shared" si="45"/>
        <v>7.5163799999999998</v>
      </c>
      <c r="L1003" s="5">
        <f t="shared" si="46"/>
        <v>221.07</v>
      </c>
      <c r="M1003" s="5" t="s">
        <v>39</v>
      </c>
      <c r="N1003" s="5">
        <v>30.065519999999999</v>
      </c>
      <c r="O1003" s="5" t="s">
        <v>39</v>
      </c>
      <c r="P1003" t="s">
        <v>412</v>
      </c>
      <c r="Q1003" t="s">
        <v>671</v>
      </c>
      <c r="R1003" t="s">
        <v>672</v>
      </c>
      <c r="S1003" t="s">
        <v>673</v>
      </c>
      <c r="T1003" t="s">
        <v>43</v>
      </c>
      <c r="U1003" t="s">
        <v>44</v>
      </c>
      <c r="V1003">
        <v>147</v>
      </c>
      <c r="W1003" t="s">
        <v>45</v>
      </c>
      <c r="X1003" t="s">
        <v>46</v>
      </c>
      <c r="Y1003" t="s">
        <v>674</v>
      </c>
      <c r="Z1003" t="s">
        <v>37</v>
      </c>
      <c r="AA1003" t="s">
        <v>55</v>
      </c>
      <c r="AB1003" t="s">
        <v>37</v>
      </c>
      <c r="AC1003" s="6" t="s">
        <v>37</v>
      </c>
      <c r="AD1003" s="6" t="s">
        <v>37</v>
      </c>
      <c r="AE1003" t="s">
        <v>37</v>
      </c>
      <c r="AF1003" t="s">
        <v>37</v>
      </c>
      <c r="AG1003" s="6" t="s">
        <v>37</v>
      </c>
      <c r="AH1003" t="s">
        <v>37</v>
      </c>
      <c r="AI1003" t="s">
        <v>37</v>
      </c>
      <c r="AJ1003" t="str">
        <f t="shared" si="47"/>
        <v>6JWFV3WKB011N78DMA</v>
      </c>
    </row>
    <row r="1004" spans="1:36" ht="15" customHeight="1" x14ac:dyDescent="0.25">
      <c r="A1004" t="s">
        <v>118</v>
      </c>
      <c r="B1004" t="s">
        <v>37</v>
      </c>
      <c r="C1004" t="s">
        <v>37</v>
      </c>
      <c r="D1004" t="s">
        <v>38</v>
      </c>
      <c r="E1004" s="4">
        <v>6</v>
      </c>
      <c r="F1004" s="5">
        <v>174</v>
      </c>
      <c r="G1004" s="5" t="s">
        <v>39</v>
      </c>
      <c r="H1004" s="5">
        <v>265.5</v>
      </c>
      <c r="I1004" s="5" t="s">
        <v>39</v>
      </c>
      <c r="J1004" s="5">
        <v>5.9160000000000004</v>
      </c>
      <c r="K1004" s="5">
        <f t="shared" si="45"/>
        <v>0.9860000000000001</v>
      </c>
      <c r="L1004" s="5">
        <f t="shared" si="46"/>
        <v>29</v>
      </c>
      <c r="M1004" s="5" t="s">
        <v>39</v>
      </c>
      <c r="N1004" s="5">
        <v>5.9160000000000004</v>
      </c>
      <c r="O1004" s="5" t="s">
        <v>39</v>
      </c>
      <c r="P1004" t="s">
        <v>462</v>
      </c>
      <c r="Q1004" t="s">
        <v>812</v>
      </c>
      <c r="R1004" t="s">
        <v>37</v>
      </c>
      <c r="S1004" t="s">
        <v>813</v>
      </c>
      <c r="T1004" t="s">
        <v>43</v>
      </c>
      <c r="U1004" t="s">
        <v>44</v>
      </c>
      <c r="V1004">
        <v>147</v>
      </c>
      <c r="W1004" t="s">
        <v>45</v>
      </c>
      <c r="X1004" t="s">
        <v>60</v>
      </c>
      <c r="Y1004" t="s">
        <v>814</v>
      </c>
      <c r="Z1004" t="s">
        <v>37</v>
      </c>
      <c r="AA1004" t="s">
        <v>55</v>
      </c>
      <c r="AB1004" t="s">
        <v>37</v>
      </c>
      <c r="AC1004" s="6" t="s">
        <v>37</v>
      </c>
      <c r="AD1004" s="6" t="s">
        <v>37</v>
      </c>
      <c r="AE1004" t="s">
        <v>37</v>
      </c>
      <c r="AF1004" t="s">
        <v>37</v>
      </c>
      <c r="AG1004" s="6" t="s">
        <v>37</v>
      </c>
      <c r="AH1004" t="s">
        <v>37</v>
      </c>
      <c r="AI1004" t="s">
        <v>37</v>
      </c>
      <c r="AJ1004" t="str">
        <f t="shared" si="47"/>
        <v>17D6YHERB07W7KFLBN</v>
      </c>
    </row>
    <row r="1005" spans="1:36" ht="15" customHeight="1" x14ac:dyDescent="0.25">
      <c r="A1005" t="s">
        <v>101</v>
      </c>
      <c r="B1005" t="s">
        <v>37</v>
      </c>
      <c r="C1005" t="s">
        <v>37</v>
      </c>
      <c r="D1005" t="s">
        <v>38</v>
      </c>
      <c r="E1005" s="4">
        <v>52</v>
      </c>
      <c r="F1005" s="5">
        <v>3813.68</v>
      </c>
      <c r="G1005" s="5" t="s">
        <v>39</v>
      </c>
      <c r="H1005" s="5">
        <v>5753.8</v>
      </c>
      <c r="I1005" s="5" t="s">
        <v>39</v>
      </c>
      <c r="J1005" s="5">
        <v>129.66512</v>
      </c>
      <c r="K1005" s="5">
        <f t="shared" si="45"/>
        <v>2.49356</v>
      </c>
      <c r="L1005" s="5">
        <f t="shared" si="46"/>
        <v>73.34</v>
      </c>
      <c r="M1005" s="5" t="s">
        <v>39</v>
      </c>
      <c r="N1005" s="5">
        <v>129.66512</v>
      </c>
      <c r="O1005" s="5" t="s">
        <v>39</v>
      </c>
      <c r="P1005" t="s">
        <v>748</v>
      </c>
      <c r="Q1005" t="s">
        <v>260</v>
      </c>
      <c r="R1005" t="s">
        <v>37</v>
      </c>
      <c r="S1005" t="s">
        <v>261</v>
      </c>
      <c r="T1005" t="s">
        <v>43</v>
      </c>
      <c r="U1005" t="s">
        <v>44</v>
      </c>
      <c r="V1005">
        <v>147</v>
      </c>
      <c r="W1005" t="s">
        <v>45</v>
      </c>
      <c r="X1005" t="s">
        <v>46</v>
      </c>
      <c r="Y1005" t="s">
        <v>262</v>
      </c>
      <c r="Z1005" t="s">
        <v>37</v>
      </c>
      <c r="AA1005" t="s">
        <v>55</v>
      </c>
      <c r="AB1005" t="s">
        <v>37</v>
      </c>
      <c r="AC1005" s="6" t="s">
        <v>37</v>
      </c>
      <c r="AD1005" s="6" t="s">
        <v>37</v>
      </c>
      <c r="AE1005" t="s">
        <v>37</v>
      </c>
      <c r="AF1005" t="s">
        <v>37</v>
      </c>
      <c r="AG1005" s="6" t="s">
        <v>37</v>
      </c>
      <c r="AH1005" t="s">
        <v>37</v>
      </c>
      <c r="AI1005" t="s">
        <v>37</v>
      </c>
      <c r="AJ1005" t="str">
        <f t="shared" si="47"/>
        <v>74WI6EYDB07TLX61W7</v>
      </c>
    </row>
    <row r="1006" spans="1:36" ht="15" customHeight="1" x14ac:dyDescent="0.25">
      <c r="A1006" t="s">
        <v>118</v>
      </c>
      <c r="B1006" t="s">
        <v>37</v>
      </c>
      <c r="C1006" t="s">
        <v>37</v>
      </c>
      <c r="D1006" t="s">
        <v>38</v>
      </c>
      <c r="E1006" s="4">
        <v>312</v>
      </c>
      <c r="F1006" s="5">
        <v>7307.04</v>
      </c>
      <c r="G1006" s="5" t="s">
        <v>39</v>
      </c>
      <c r="H1006" s="5">
        <v>7307.04</v>
      </c>
      <c r="I1006" s="5" t="s">
        <v>39</v>
      </c>
      <c r="J1006" s="5">
        <v>248.43935999999999</v>
      </c>
      <c r="K1006" s="5">
        <f t="shared" si="45"/>
        <v>0.79627999999999999</v>
      </c>
      <c r="L1006" s="5">
        <f t="shared" si="46"/>
        <v>23.419999999999998</v>
      </c>
      <c r="M1006" s="5" t="s">
        <v>39</v>
      </c>
      <c r="N1006" s="5">
        <v>248.43935999999999</v>
      </c>
      <c r="O1006" s="5" t="s">
        <v>39</v>
      </c>
      <c r="P1006" t="s">
        <v>775</v>
      </c>
      <c r="Q1006" t="s">
        <v>1531</v>
      </c>
      <c r="R1006" t="s">
        <v>37</v>
      </c>
      <c r="S1006" t="s">
        <v>1532</v>
      </c>
      <c r="T1006" t="s">
        <v>43</v>
      </c>
      <c r="U1006" t="s">
        <v>44</v>
      </c>
      <c r="V1006">
        <v>147</v>
      </c>
      <c r="W1006" t="s">
        <v>45</v>
      </c>
      <c r="X1006" t="s">
        <v>60</v>
      </c>
      <c r="Y1006" t="s">
        <v>1533</v>
      </c>
      <c r="Z1006" t="s">
        <v>37</v>
      </c>
      <c r="AA1006" t="s">
        <v>55</v>
      </c>
      <c r="AB1006" t="s">
        <v>37</v>
      </c>
      <c r="AC1006" s="6" t="s">
        <v>37</v>
      </c>
      <c r="AD1006" s="6" t="s">
        <v>37</v>
      </c>
      <c r="AE1006" t="s">
        <v>37</v>
      </c>
      <c r="AF1006" t="s">
        <v>37</v>
      </c>
      <c r="AG1006" s="6" t="s">
        <v>37</v>
      </c>
      <c r="AH1006" t="s">
        <v>37</v>
      </c>
      <c r="AI1006" t="s">
        <v>37</v>
      </c>
      <c r="AJ1006" t="str">
        <f t="shared" si="47"/>
        <v>5UZID3SVB006T02YRM</v>
      </c>
    </row>
    <row r="1007" spans="1:36" ht="15" customHeight="1" x14ac:dyDescent="0.25">
      <c r="A1007" t="s">
        <v>101</v>
      </c>
      <c r="B1007" t="s">
        <v>37</v>
      </c>
      <c r="C1007" t="s">
        <v>37</v>
      </c>
      <c r="D1007" t="s">
        <v>38</v>
      </c>
      <c r="E1007" s="4">
        <v>20</v>
      </c>
      <c r="F1007" s="5">
        <v>232</v>
      </c>
      <c r="G1007" s="5" t="s">
        <v>39</v>
      </c>
      <c r="H1007" s="5">
        <v>393.2</v>
      </c>
      <c r="I1007" s="5" t="s">
        <v>39</v>
      </c>
      <c r="J1007" s="5">
        <v>7.8879999999999999</v>
      </c>
      <c r="K1007" s="5">
        <f t="shared" si="45"/>
        <v>0.39439999999999997</v>
      </c>
      <c r="L1007" s="5">
        <f t="shared" si="46"/>
        <v>11.6</v>
      </c>
      <c r="M1007" s="5" t="s">
        <v>39</v>
      </c>
      <c r="N1007" s="5">
        <v>7.8879999999999999</v>
      </c>
      <c r="O1007" s="5" t="s">
        <v>39</v>
      </c>
      <c r="P1007" t="s">
        <v>120</v>
      </c>
      <c r="Q1007" t="s">
        <v>321</v>
      </c>
      <c r="R1007" t="s">
        <v>37</v>
      </c>
      <c r="S1007" t="s">
        <v>322</v>
      </c>
      <c r="T1007" t="s">
        <v>43</v>
      </c>
      <c r="U1007" t="s">
        <v>44</v>
      </c>
      <c r="V1007">
        <v>147</v>
      </c>
      <c r="W1007" t="s">
        <v>45</v>
      </c>
      <c r="X1007" t="s">
        <v>46</v>
      </c>
      <c r="Y1007" t="s">
        <v>323</v>
      </c>
      <c r="Z1007" t="s">
        <v>37</v>
      </c>
      <c r="AA1007" t="s">
        <v>48</v>
      </c>
      <c r="AB1007" t="s">
        <v>37</v>
      </c>
      <c r="AC1007" s="6" t="s">
        <v>37</v>
      </c>
      <c r="AD1007" s="6" t="s">
        <v>37</v>
      </c>
      <c r="AE1007" t="s">
        <v>37</v>
      </c>
      <c r="AF1007" t="s">
        <v>37</v>
      </c>
      <c r="AG1007" s="6" t="s">
        <v>37</v>
      </c>
      <c r="AH1007" t="s">
        <v>37</v>
      </c>
      <c r="AI1007" t="s">
        <v>37</v>
      </c>
      <c r="AJ1007" t="str">
        <f t="shared" si="47"/>
        <v>5MWU8WTDB01DIJIDKI</v>
      </c>
    </row>
    <row r="1008" spans="1:36" ht="15" customHeight="1" x14ac:dyDescent="0.25">
      <c r="A1008" t="s">
        <v>118</v>
      </c>
      <c r="B1008" t="s">
        <v>37</v>
      </c>
      <c r="C1008" t="s">
        <v>37</v>
      </c>
      <c r="D1008" t="s">
        <v>38</v>
      </c>
      <c r="E1008" s="4">
        <v>64</v>
      </c>
      <c r="F1008" s="5">
        <v>2248.3200000000002</v>
      </c>
      <c r="G1008" s="5" t="s">
        <v>39</v>
      </c>
      <c r="H1008" s="5">
        <v>2727.04</v>
      </c>
      <c r="I1008" s="5" t="s">
        <v>39</v>
      </c>
      <c r="J1008" s="5">
        <v>76.442880000000002</v>
      </c>
      <c r="K1008" s="5">
        <f t="shared" si="45"/>
        <v>1.19442</v>
      </c>
      <c r="L1008" s="5">
        <f t="shared" si="46"/>
        <v>35.130000000000003</v>
      </c>
      <c r="M1008" s="5" t="s">
        <v>39</v>
      </c>
      <c r="N1008" s="5">
        <v>76.442880000000002</v>
      </c>
      <c r="O1008" s="5" t="s">
        <v>39</v>
      </c>
      <c r="P1008" t="s">
        <v>462</v>
      </c>
      <c r="Q1008" t="s">
        <v>996</v>
      </c>
      <c r="R1008" t="s">
        <v>37</v>
      </c>
      <c r="S1008" t="s">
        <v>997</v>
      </c>
      <c r="T1008" t="s">
        <v>43</v>
      </c>
      <c r="U1008" t="s">
        <v>44</v>
      </c>
      <c r="V1008">
        <v>147</v>
      </c>
      <c r="W1008" t="s">
        <v>45</v>
      </c>
      <c r="X1008" t="s">
        <v>60</v>
      </c>
      <c r="Y1008" t="s">
        <v>998</v>
      </c>
      <c r="Z1008" t="s">
        <v>37</v>
      </c>
      <c r="AA1008" t="s">
        <v>55</v>
      </c>
      <c r="AB1008" t="s">
        <v>37</v>
      </c>
      <c r="AC1008" s="6" t="s">
        <v>37</v>
      </c>
      <c r="AD1008" s="6" t="s">
        <v>37</v>
      </c>
      <c r="AE1008" t="s">
        <v>37</v>
      </c>
      <c r="AF1008" t="s">
        <v>37</v>
      </c>
      <c r="AG1008" s="6" t="s">
        <v>37</v>
      </c>
      <c r="AH1008" t="s">
        <v>37</v>
      </c>
      <c r="AI1008" t="s">
        <v>37</v>
      </c>
      <c r="AJ1008" t="str">
        <f t="shared" si="47"/>
        <v>17D6YHERB07VCS1895</v>
      </c>
    </row>
    <row r="1009" spans="1:36" ht="15" customHeight="1" x14ac:dyDescent="0.25">
      <c r="A1009" t="s">
        <v>88</v>
      </c>
      <c r="B1009" t="s">
        <v>37</v>
      </c>
      <c r="C1009" t="s">
        <v>37</v>
      </c>
      <c r="D1009" t="s">
        <v>38</v>
      </c>
      <c r="E1009" s="4">
        <v>16</v>
      </c>
      <c r="F1009" s="5">
        <v>1104.48</v>
      </c>
      <c r="G1009" s="5" t="s">
        <v>39</v>
      </c>
      <c r="H1009" s="5">
        <v>1691.84</v>
      </c>
      <c r="I1009" s="5" t="s">
        <v>39</v>
      </c>
      <c r="J1009" s="5">
        <v>37.552320000000002</v>
      </c>
      <c r="K1009" s="5">
        <f t="shared" si="45"/>
        <v>2.3470200000000001</v>
      </c>
      <c r="L1009" s="5">
        <f t="shared" si="46"/>
        <v>69.03</v>
      </c>
      <c r="M1009" s="5" t="s">
        <v>39</v>
      </c>
      <c r="N1009" s="5">
        <v>37.552320000000002</v>
      </c>
      <c r="O1009" s="5" t="s">
        <v>39</v>
      </c>
      <c r="P1009" t="s">
        <v>133</v>
      </c>
      <c r="Q1009" t="s">
        <v>948</v>
      </c>
      <c r="R1009" t="s">
        <v>37</v>
      </c>
      <c r="S1009" t="s">
        <v>949</v>
      </c>
      <c r="T1009" t="s">
        <v>43</v>
      </c>
      <c r="U1009" t="s">
        <v>44</v>
      </c>
      <c r="V1009">
        <v>147</v>
      </c>
      <c r="W1009" t="s">
        <v>45</v>
      </c>
      <c r="X1009" t="s">
        <v>60</v>
      </c>
      <c r="Y1009" t="s">
        <v>950</v>
      </c>
      <c r="Z1009" t="s">
        <v>37</v>
      </c>
      <c r="AA1009" t="s">
        <v>55</v>
      </c>
      <c r="AB1009" t="s">
        <v>37</v>
      </c>
      <c r="AC1009" s="6" t="s">
        <v>37</v>
      </c>
      <c r="AD1009" s="6" t="s">
        <v>37</v>
      </c>
      <c r="AE1009" t="s">
        <v>37</v>
      </c>
      <c r="AF1009" t="s">
        <v>37</v>
      </c>
      <c r="AG1009" s="6" t="s">
        <v>37</v>
      </c>
      <c r="AH1009" t="s">
        <v>37</v>
      </c>
      <c r="AI1009" t="s">
        <v>37</v>
      </c>
      <c r="AJ1009" t="str">
        <f t="shared" si="47"/>
        <v>36BT7GGLB07W5JKNB9</v>
      </c>
    </row>
    <row r="1010" spans="1:36" ht="15" customHeight="1" x14ac:dyDescent="0.25">
      <c r="A1010" t="s">
        <v>56</v>
      </c>
      <c r="B1010" t="s">
        <v>37</v>
      </c>
      <c r="C1010" t="s">
        <v>37</v>
      </c>
      <c r="D1010" t="s">
        <v>38</v>
      </c>
      <c r="E1010" s="4">
        <v>0</v>
      </c>
      <c r="F1010" s="5">
        <v>0</v>
      </c>
      <c r="G1010" s="5" t="s">
        <v>39</v>
      </c>
      <c r="H1010" s="5">
        <v>0</v>
      </c>
      <c r="I1010" s="5" t="s">
        <v>39</v>
      </c>
      <c r="J1010" s="5">
        <v>0</v>
      </c>
      <c r="K1010" s="5" t="e">
        <f t="shared" si="45"/>
        <v>#DIV/0!</v>
      </c>
      <c r="L1010" s="5" t="e">
        <f t="shared" si="46"/>
        <v>#DIV/0!</v>
      </c>
      <c r="M1010" s="5" t="s">
        <v>39</v>
      </c>
      <c r="N1010" s="5">
        <v>0</v>
      </c>
      <c r="O1010" s="5" t="s">
        <v>39</v>
      </c>
      <c r="P1010" t="s">
        <v>404</v>
      </c>
      <c r="Q1010" t="s">
        <v>366</v>
      </c>
      <c r="R1010" t="s">
        <v>37</v>
      </c>
      <c r="S1010" t="s">
        <v>367</v>
      </c>
      <c r="T1010" t="s">
        <v>43</v>
      </c>
      <c r="U1010" t="s">
        <v>44</v>
      </c>
      <c r="V1010">
        <v>147</v>
      </c>
      <c r="W1010" t="s">
        <v>45</v>
      </c>
      <c r="X1010" t="s">
        <v>368</v>
      </c>
      <c r="Y1010" t="s">
        <v>369</v>
      </c>
      <c r="Z1010" t="s">
        <v>37</v>
      </c>
      <c r="AA1010" t="s">
        <v>48</v>
      </c>
      <c r="AB1010" t="s">
        <v>37</v>
      </c>
      <c r="AC1010" s="6" t="s">
        <v>37</v>
      </c>
      <c r="AD1010" s="6" t="s">
        <v>37</v>
      </c>
      <c r="AE1010" t="s">
        <v>37</v>
      </c>
      <c r="AF1010" t="s">
        <v>37</v>
      </c>
      <c r="AG1010" s="6" t="s">
        <v>37</v>
      </c>
      <c r="AH1010" t="s">
        <v>37</v>
      </c>
      <c r="AI1010" t="s">
        <v>37</v>
      </c>
      <c r="AJ1010" t="str">
        <f t="shared" si="47"/>
        <v>54JZ1ZVPB07H3HGVDW</v>
      </c>
    </row>
    <row r="1011" spans="1:36" ht="15" customHeight="1" x14ac:dyDescent="0.25">
      <c r="A1011" t="s">
        <v>101</v>
      </c>
      <c r="B1011" t="s">
        <v>37</v>
      </c>
      <c r="C1011" t="s">
        <v>37</v>
      </c>
      <c r="D1011" t="s">
        <v>38</v>
      </c>
      <c r="E1011" s="4">
        <v>8</v>
      </c>
      <c r="F1011" s="5">
        <v>552.24</v>
      </c>
      <c r="G1011" s="5" t="s">
        <v>39</v>
      </c>
      <c r="H1011" s="5">
        <v>845.92</v>
      </c>
      <c r="I1011" s="5" t="s">
        <v>39</v>
      </c>
      <c r="J1011" s="5">
        <v>18.776160000000001</v>
      </c>
      <c r="K1011" s="5">
        <f t="shared" si="45"/>
        <v>2.3470200000000001</v>
      </c>
      <c r="L1011" s="5">
        <f t="shared" si="46"/>
        <v>69.03</v>
      </c>
      <c r="M1011" s="5" t="s">
        <v>39</v>
      </c>
      <c r="N1011" s="5">
        <v>18.776160000000001</v>
      </c>
      <c r="O1011" s="5" t="s">
        <v>39</v>
      </c>
      <c r="P1011" t="s">
        <v>102</v>
      </c>
      <c r="Q1011" t="s">
        <v>1640</v>
      </c>
      <c r="R1011" t="s">
        <v>37</v>
      </c>
      <c r="S1011" t="s">
        <v>1641</v>
      </c>
      <c r="T1011" t="s">
        <v>43</v>
      </c>
      <c r="U1011" t="s">
        <v>44</v>
      </c>
      <c r="V1011">
        <v>79</v>
      </c>
      <c r="W1011" t="s">
        <v>1642</v>
      </c>
      <c r="X1011" t="s">
        <v>1643</v>
      </c>
      <c r="Y1011" t="s">
        <v>1644</v>
      </c>
      <c r="Z1011" t="s">
        <v>37</v>
      </c>
      <c r="AA1011" t="s">
        <v>55</v>
      </c>
      <c r="AB1011" t="s">
        <v>37</v>
      </c>
      <c r="AC1011" s="6" t="s">
        <v>37</v>
      </c>
      <c r="AD1011" s="6" t="s">
        <v>37</v>
      </c>
      <c r="AE1011" t="s">
        <v>37</v>
      </c>
      <c r="AF1011" t="s">
        <v>37</v>
      </c>
      <c r="AG1011" s="6" t="s">
        <v>37</v>
      </c>
      <c r="AH1011" t="s">
        <v>37</v>
      </c>
      <c r="AI1011" t="s">
        <v>37</v>
      </c>
      <c r="AJ1011" t="str">
        <f t="shared" si="47"/>
        <v>2M7QFTCOB07W6HLJJT</v>
      </c>
    </row>
    <row r="1012" spans="1:36" ht="15" customHeight="1" x14ac:dyDescent="0.25">
      <c r="A1012" t="s">
        <v>118</v>
      </c>
      <c r="B1012" t="s">
        <v>37</v>
      </c>
      <c r="C1012" t="s">
        <v>37</v>
      </c>
      <c r="D1012" t="s">
        <v>38</v>
      </c>
      <c r="E1012" s="4">
        <v>4</v>
      </c>
      <c r="F1012" s="5">
        <v>175.68</v>
      </c>
      <c r="G1012" s="5" t="s">
        <v>39</v>
      </c>
      <c r="H1012" s="5">
        <v>262.27999999999997</v>
      </c>
      <c r="I1012" s="5" t="s">
        <v>39</v>
      </c>
      <c r="J1012" s="5">
        <v>5.9731199999999998</v>
      </c>
      <c r="K1012" s="5">
        <f t="shared" si="45"/>
        <v>1.4932799999999999</v>
      </c>
      <c r="L1012" s="5">
        <f t="shared" si="46"/>
        <v>43.92</v>
      </c>
      <c r="M1012" s="5" t="s">
        <v>39</v>
      </c>
      <c r="N1012" s="5">
        <v>5.9731199999999998</v>
      </c>
      <c r="O1012" s="5" t="s">
        <v>39</v>
      </c>
      <c r="P1012" t="s">
        <v>462</v>
      </c>
      <c r="Q1012" t="s">
        <v>806</v>
      </c>
      <c r="R1012" t="s">
        <v>37</v>
      </c>
      <c r="S1012" t="s">
        <v>807</v>
      </c>
      <c r="T1012" t="s">
        <v>43</v>
      </c>
      <c r="U1012" t="s">
        <v>44</v>
      </c>
      <c r="V1012">
        <v>147</v>
      </c>
      <c r="W1012" t="s">
        <v>45</v>
      </c>
      <c r="X1012" t="s">
        <v>60</v>
      </c>
      <c r="Y1012" t="s">
        <v>808</v>
      </c>
      <c r="Z1012" t="s">
        <v>37</v>
      </c>
      <c r="AA1012" t="s">
        <v>48</v>
      </c>
      <c r="AB1012" t="s">
        <v>37</v>
      </c>
      <c r="AC1012" s="6" t="s">
        <v>37</v>
      </c>
      <c r="AD1012" s="6" t="s">
        <v>37</v>
      </c>
      <c r="AE1012" t="s">
        <v>37</v>
      </c>
      <c r="AF1012" t="s">
        <v>37</v>
      </c>
      <c r="AG1012" s="6" t="s">
        <v>37</v>
      </c>
      <c r="AH1012" t="s">
        <v>37</v>
      </c>
      <c r="AI1012" t="s">
        <v>37</v>
      </c>
      <c r="AJ1012" t="str">
        <f t="shared" si="47"/>
        <v>17D6YHERB0797LMGXH</v>
      </c>
    </row>
    <row r="1013" spans="1:36" ht="15" customHeight="1" x14ac:dyDescent="0.25">
      <c r="A1013" t="s">
        <v>62</v>
      </c>
      <c r="B1013" t="s">
        <v>37</v>
      </c>
      <c r="C1013" t="s">
        <v>37</v>
      </c>
      <c r="D1013" t="s">
        <v>38</v>
      </c>
      <c r="E1013" s="4">
        <v>8</v>
      </c>
      <c r="F1013" s="5">
        <v>147.68</v>
      </c>
      <c r="G1013" s="5" t="s">
        <v>39</v>
      </c>
      <c r="H1013" s="5">
        <v>249.12</v>
      </c>
      <c r="I1013" s="5" t="s">
        <v>39</v>
      </c>
      <c r="J1013" s="5">
        <v>5.0211199999999998</v>
      </c>
      <c r="K1013" s="5">
        <f t="shared" si="45"/>
        <v>0.62763999999999998</v>
      </c>
      <c r="L1013" s="5">
        <f t="shared" si="46"/>
        <v>18.46</v>
      </c>
      <c r="M1013" s="5" t="s">
        <v>39</v>
      </c>
      <c r="N1013" s="5">
        <v>5.0211199999999998</v>
      </c>
      <c r="O1013" s="5" t="s">
        <v>39</v>
      </c>
      <c r="P1013" t="s">
        <v>177</v>
      </c>
      <c r="Q1013" t="s">
        <v>1627</v>
      </c>
      <c r="R1013" t="s">
        <v>37</v>
      </c>
      <c r="S1013" t="s">
        <v>1628</v>
      </c>
      <c r="T1013" t="s">
        <v>43</v>
      </c>
      <c r="U1013" t="s">
        <v>44</v>
      </c>
      <c r="V1013">
        <v>147</v>
      </c>
      <c r="W1013" t="s">
        <v>45</v>
      </c>
      <c r="X1013" t="s">
        <v>356</v>
      </c>
      <c r="Y1013" t="s">
        <v>1629</v>
      </c>
      <c r="Z1013" t="s">
        <v>37</v>
      </c>
      <c r="AA1013" t="s">
        <v>48</v>
      </c>
      <c r="AB1013" t="s">
        <v>37</v>
      </c>
      <c r="AC1013" s="6" t="s">
        <v>37</v>
      </c>
      <c r="AD1013" s="6" t="s">
        <v>37</v>
      </c>
      <c r="AE1013" t="s">
        <v>37</v>
      </c>
      <c r="AF1013" t="s">
        <v>37</v>
      </c>
      <c r="AG1013" s="6" t="s">
        <v>37</v>
      </c>
      <c r="AH1013" t="s">
        <v>37</v>
      </c>
      <c r="AI1013" t="s">
        <v>37</v>
      </c>
      <c r="AJ1013" t="str">
        <f t="shared" si="47"/>
        <v>4F3XMHTVB01DKTP3PY</v>
      </c>
    </row>
    <row r="1014" spans="1:36" ht="15" customHeight="1" x14ac:dyDescent="0.25">
      <c r="A1014" t="s">
        <v>36</v>
      </c>
      <c r="B1014" t="s">
        <v>37</v>
      </c>
      <c r="C1014" t="s">
        <v>37</v>
      </c>
      <c r="D1014" t="s">
        <v>38</v>
      </c>
      <c r="E1014" s="4">
        <v>0</v>
      </c>
      <c r="F1014" s="5">
        <v>0</v>
      </c>
      <c r="G1014" s="5" t="s">
        <v>39</v>
      </c>
      <c r="H1014" s="5">
        <v>0</v>
      </c>
      <c r="I1014" s="5" t="s">
        <v>39</v>
      </c>
      <c r="J1014" s="5">
        <v>0</v>
      </c>
      <c r="K1014" s="5" t="e">
        <f t="shared" si="45"/>
        <v>#DIV/0!</v>
      </c>
      <c r="L1014" s="5" t="e">
        <f t="shared" si="46"/>
        <v>#DIV/0!</v>
      </c>
      <c r="M1014" s="5" t="s">
        <v>39</v>
      </c>
      <c r="N1014" s="5">
        <v>0</v>
      </c>
      <c r="O1014" s="5" t="s">
        <v>39</v>
      </c>
      <c r="P1014" t="s">
        <v>537</v>
      </c>
      <c r="Q1014" t="s">
        <v>124</v>
      </c>
      <c r="R1014" t="s">
        <v>37</v>
      </c>
      <c r="S1014" t="s">
        <v>125</v>
      </c>
      <c r="T1014" t="s">
        <v>43</v>
      </c>
      <c r="U1014" t="s">
        <v>44</v>
      </c>
      <c r="V1014">
        <v>147</v>
      </c>
      <c r="W1014" t="s">
        <v>45</v>
      </c>
      <c r="X1014" t="s">
        <v>60</v>
      </c>
      <c r="Y1014" t="s">
        <v>126</v>
      </c>
      <c r="Z1014" t="s">
        <v>37</v>
      </c>
      <c r="AA1014" t="s">
        <v>55</v>
      </c>
      <c r="AB1014" t="s">
        <v>37</v>
      </c>
      <c r="AC1014" s="6" t="s">
        <v>37</v>
      </c>
      <c r="AD1014" s="6" t="s">
        <v>37</v>
      </c>
      <c r="AE1014" t="s">
        <v>37</v>
      </c>
      <c r="AF1014" t="s">
        <v>37</v>
      </c>
      <c r="AG1014" s="6" t="s">
        <v>37</v>
      </c>
      <c r="AH1014" t="s">
        <v>37</v>
      </c>
      <c r="AI1014" t="s">
        <v>37</v>
      </c>
      <c r="AJ1014" t="str">
        <f t="shared" si="47"/>
        <v>1LQM129ZB07W6HPP3R</v>
      </c>
    </row>
    <row r="1015" spans="1:36" ht="15" customHeight="1" x14ac:dyDescent="0.25">
      <c r="A1015" t="s">
        <v>101</v>
      </c>
      <c r="B1015" t="s">
        <v>37</v>
      </c>
      <c r="C1015" t="s">
        <v>37</v>
      </c>
      <c r="D1015" t="s">
        <v>38</v>
      </c>
      <c r="E1015" s="4">
        <v>28</v>
      </c>
      <c r="F1015" s="5">
        <v>1107.68</v>
      </c>
      <c r="G1015" s="5" t="s">
        <v>39</v>
      </c>
      <c r="H1015" s="5">
        <v>1835.96</v>
      </c>
      <c r="I1015" s="5" t="s">
        <v>39</v>
      </c>
      <c r="J1015" s="5">
        <v>37.661119999999997</v>
      </c>
      <c r="K1015" s="5">
        <f t="shared" si="45"/>
        <v>1.3450399999999998</v>
      </c>
      <c r="L1015" s="5">
        <f t="shared" si="46"/>
        <v>39.56</v>
      </c>
      <c r="M1015" s="5" t="s">
        <v>39</v>
      </c>
      <c r="N1015" s="5">
        <v>37.661119999999997</v>
      </c>
      <c r="O1015" s="5" t="s">
        <v>39</v>
      </c>
      <c r="P1015" t="s">
        <v>274</v>
      </c>
      <c r="Q1015" t="s">
        <v>1105</v>
      </c>
      <c r="R1015" t="s">
        <v>37</v>
      </c>
      <c r="S1015" t="s">
        <v>1106</v>
      </c>
      <c r="T1015" t="s">
        <v>43</v>
      </c>
      <c r="U1015" t="s">
        <v>44</v>
      </c>
      <c r="V1015">
        <v>147</v>
      </c>
      <c r="W1015" t="s">
        <v>45</v>
      </c>
      <c r="X1015" t="s">
        <v>53</v>
      </c>
      <c r="Y1015" t="s">
        <v>1107</v>
      </c>
      <c r="Z1015" t="s">
        <v>37</v>
      </c>
      <c r="AA1015" t="s">
        <v>55</v>
      </c>
      <c r="AB1015" t="s">
        <v>37</v>
      </c>
      <c r="AC1015" s="6" t="s">
        <v>37</v>
      </c>
      <c r="AD1015" s="6" t="s">
        <v>37</v>
      </c>
      <c r="AE1015" t="s">
        <v>37</v>
      </c>
      <c r="AF1015" t="s">
        <v>37</v>
      </c>
      <c r="AG1015" s="6" t="s">
        <v>37</v>
      </c>
      <c r="AH1015" t="s">
        <v>37</v>
      </c>
      <c r="AI1015" t="s">
        <v>37</v>
      </c>
      <c r="AJ1015" t="str">
        <f t="shared" si="47"/>
        <v>4LYATDUXB07SCMTKGB</v>
      </c>
    </row>
    <row r="1016" spans="1:36" ht="15" customHeight="1" x14ac:dyDescent="0.25">
      <c r="A1016" t="s">
        <v>62</v>
      </c>
      <c r="B1016" t="s">
        <v>37</v>
      </c>
      <c r="C1016" t="s">
        <v>37</v>
      </c>
      <c r="D1016" t="s">
        <v>38</v>
      </c>
      <c r="E1016" s="4">
        <v>4</v>
      </c>
      <c r="F1016" s="5">
        <v>179.8</v>
      </c>
      <c r="G1016" s="5" t="s">
        <v>39</v>
      </c>
      <c r="H1016" s="5">
        <v>213.08</v>
      </c>
      <c r="I1016" s="5" t="s">
        <v>39</v>
      </c>
      <c r="J1016" s="5">
        <v>6.1132</v>
      </c>
      <c r="K1016" s="5">
        <f t="shared" si="45"/>
        <v>1.5283</v>
      </c>
      <c r="L1016" s="5">
        <f t="shared" si="46"/>
        <v>44.95</v>
      </c>
      <c r="M1016" s="5" t="s">
        <v>39</v>
      </c>
      <c r="N1016" s="5">
        <v>6.1132</v>
      </c>
      <c r="O1016" s="5" t="s">
        <v>39</v>
      </c>
      <c r="P1016" t="s">
        <v>177</v>
      </c>
      <c r="Q1016" t="s">
        <v>459</v>
      </c>
      <c r="R1016" t="s">
        <v>37</v>
      </c>
      <c r="S1016" t="s">
        <v>460</v>
      </c>
      <c r="T1016" t="s">
        <v>43</v>
      </c>
      <c r="U1016" t="s">
        <v>44</v>
      </c>
      <c r="V1016">
        <v>23</v>
      </c>
      <c r="W1016" t="s">
        <v>45</v>
      </c>
      <c r="X1016" t="s">
        <v>239</v>
      </c>
      <c r="Y1016" t="s">
        <v>461</v>
      </c>
      <c r="Z1016" t="s">
        <v>37</v>
      </c>
      <c r="AA1016" t="s">
        <v>95</v>
      </c>
      <c r="AB1016" t="s">
        <v>37</v>
      </c>
      <c r="AC1016" s="6" t="s">
        <v>37</v>
      </c>
      <c r="AD1016" s="6" t="s">
        <v>37</v>
      </c>
      <c r="AE1016" t="s">
        <v>37</v>
      </c>
      <c r="AF1016" t="s">
        <v>37</v>
      </c>
      <c r="AG1016" s="6" t="s">
        <v>37</v>
      </c>
      <c r="AH1016" t="s">
        <v>37</v>
      </c>
      <c r="AI1016" t="s">
        <v>37</v>
      </c>
      <c r="AJ1016" t="str">
        <f t="shared" si="47"/>
        <v>4F3XMHTVB07W5JKLRF</v>
      </c>
    </row>
    <row r="1017" spans="1:36" ht="15" customHeight="1" x14ac:dyDescent="0.25">
      <c r="A1017" t="s">
        <v>96</v>
      </c>
      <c r="B1017" t="s">
        <v>37</v>
      </c>
      <c r="C1017" t="s">
        <v>37</v>
      </c>
      <c r="D1017" t="s">
        <v>38</v>
      </c>
      <c r="E1017" s="4">
        <v>16</v>
      </c>
      <c r="F1017" s="5">
        <v>1342.24</v>
      </c>
      <c r="G1017" s="5" t="s">
        <v>39</v>
      </c>
      <c r="H1017" s="5">
        <v>2216.3200000000002</v>
      </c>
      <c r="I1017" s="5" t="s">
        <v>39</v>
      </c>
      <c r="J1017" s="5">
        <v>45.636159999999997</v>
      </c>
      <c r="K1017" s="5">
        <f t="shared" si="45"/>
        <v>2.8522599999999998</v>
      </c>
      <c r="L1017" s="5">
        <f t="shared" si="46"/>
        <v>83.89</v>
      </c>
      <c r="M1017" s="5" t="s">
        <v>39</v>
      </c>
      <c r="N1017" s="5">
        <v>45.636159999999997</v>
      </c>
      <c r="O1017" s="5" t="s">
        <v>39</v>
      </c>
      <c r="P1017" t="s">
        <v>106</v>
      </c>
      <c r="Q1017" t="s">
        <v>420</v>
      </c>
      <c r="R1017" t="s">
        <v>37</v>
      </c>
      <c r="S1017" t="s">
        <v>421</v>
      </c>
      <c r="T1017" t="s">
        <v>43</v>
      </c>
      <c r="U1017" t="s">
        <v>44</v>
      </c>
      <c r="V1017">
        <v>147</v>
      </c>
      <c r="W1017" t="s">
        <v>45</v>
      </c>
      <c r="X1017" t="s">
        <v>46</v>
      </c>
      <c r="Y1017" t="s">
        <v>422</v>
      </c>
      <c r="Z1017" t="s">
        <v>37</v>
      </c>
      <c r="AA1017" t="s">
        <v>55</v>
      </c>
      <c r="AB1017" t="s">
        <v>37</v>
      </c>
      <c r="AC1017" s="6" t="s">
        <v>37</v>
      </c>
      <c r="AD1017" s="6" t="s">
        <v>37</v>
      </c>
      <c r="AE1017" t="s">
        <v>37</v>
      </c>
      <c r="AF1017" t="s">
        <v>37</v>
      </c>
      <c r="AG1017" s="6" t="s">
        <v>37</v>
      </c>
      <c r="AH1017" t="s">
        <v>37</v>
      </c>
      <c r="AI1017" t="s">
        <v>37</v>
      </c>
      <c r="AJ1017" t="str">
        <f t="shared" si="47"/>
        <v>2CLMXQWQB07QKC4WWD</v>
      </c>
    </row>
    <row r="1018" spans="1:36" ht="15" customHeight="1" x14ac:dyDescent="0.25">
      <c r="A1018" t="s">
        <v>62</v>
      </c>
      <c r="B1018" t="s">
        <v>37</v>
      </c>
      <c r="C1018" t="s">
        <v>37</v>
      </c>
      <c r="D1018" t="s">
        <v>38</v>
      </c>
      <c r="E1018" s="4">
        <v>0</v>
      </c>
      <c r="F1018" s="5">
        <v>0</v>
      </c>
      <c r="G1018" s="5" t="s">
        <v>39</v>
      </c>
      <c r="H1018" s="5">
        <v>0</v>
      </c>
      <c r="I1018" s="5" t="s">
        <v>39</v>
      </c>
      <c r="J1018" s="5">
        <v>0</v>
      </c>
      <c r="K1018" s="5" t="e">
        <f t="shared" si="45"/>
        <v>#DIV/0!</v>
      </c>
      <c r="L1018" s="5" t="e">
        <f t="shared" si="46"/>
        <v>#DIV/0!</v>
      </c>
      <c r="M1018" s="5" t="s">
        <v>39</v>
      </c>
      <c r="N1018" s="5">
        <v>0</v>
      </c>
      <c r="O1018" s="5" t="s">
        <v>39</v>
      </c>
      <c r="P1018" t="s">
        <v>120</v>
      </c>
      <c r="Q1018" t="s">
        <v>321</v>
      </c>
      <c r="R1018" t="s">
        <v>37</v>
      </c>
      <c r="S1018" t="s">
        <v>322</v>
      </c>
      <c r="T1018" t="s">
        <v>43</v>
      </c>
      <c r="U1018" t="s">
        <v>44</v>
      </c>
      <c r="V1018">
        <v>147</v>
      </c>
      <c r="W1018" t="s">
        <v>45</v>
      </c>
      <c r="X1018" t="s">
        <v>46</v>
      </c>
      <c r="Y1018" t="s">
        <v>323</v>
      </c>
      <c r="Z1018" t="s">
        <v>37</v>
      </c>
      <c r="AA1018" t="s">
        <v>48</v>
      </c>
      <c r="AB1018" t="s">
        <v>37</v>
      </c>
      <c r="AC1018" s="6" t="s">
        <v>37</v>
      </c>
      <c r="AD1018" s="6" t="s">
        <v>37</v>
      </c>
      <c r="AE1018" t="s">
        <v>37</v>
      </c>
      <c r="AF1018" t="s">
        <v>37</v>
      </c>
      <c r="AG1018" s="6" t="s">
        <v>37</v>
      </c>
      <c r="AH1018" t="s">
        <v>37</v>
      </c>
      <c r="AI1018" t="s">
        <v>37</v>
      </c>
      <c r="AJ1018" t="str">
        <f t="shared" si="47"/>
        <v>5MWU8WTDB01DIJIDKI</v>
      </c>
    </row>
    <row r="1019" spans="1:36" ht="15" customHeight="1" x14ac:dyDescent="0.25">
      <c r="A1019" t="s">
        <v>96</v>
      </c>
      <c r="B1019" t="s">
        <v>37</v>
      </c>
      <c r="C1019" t="s">
        <v>37</v>
      </c>
      <c r="D1019" t="s">
        <v>38</v>
      </c>
      <c r="E1019" s="4">
        <v>16</v>
      </c>
      <c r="F1019" s="5">
        <v>856.16</v>
      </c>
      <c r="G1019" s="5" t="s">
        <v>39</v>
      </c>
      <c r="H1019" s="5">
        <v>1311.36</v>
      </c>
      <c r="I1019" s="5" t="s">
        <v>39</v>
      </c>
      <c r="J1019" s="5">
        <v>29.109439999999999</v>
      </c>
      <c r="K1019" s="5">
        <f t="shared" si="45"/>
        <v>1.81934</v>
      </c>
      <c r="L1019" s="5">
        <f t="shared" si="46"/>
        <v>53.51</v>
      </c>
      <c r="M1019" s="5" t="s">
        <v>39</v>
      </c>
      <c r="N1019" s="5">
        <v>29.109439999999999</v>
      </c>
      <c r="O1019" s="5" t="s">
        <v>39</v>
      </c>
      <c r="P1019" t="s">
        <v>241</v>
      </c>
      <c r="Q1019" t="s">
        <v>1645</v>
      </c>
      <c r="R1019" t="s">
        <v>37</v>
      </c>
      <c r="S1019" t="s">
        <v>1646</v>
      </c>
      <c r="T1019" t="s">
        <v>43</v>
      </c>
      <c r="U1019" t="s">
        <v>44</v>
      </c>
      <c r="V1019">
        <v>23</v>
      </c>
      <c r="W1019" t="s">
        <v>281</v>
      </c>
      <c r="X1019" t="s">
        <v>282</v>
      </c>
      <c r="Y1019" t="s">
        <v>1647</v>
      </c>
      <c r="Z1019" t="s">
        <v>37</v>
      </c>
      <c r="AA1019" t="s">
        <v>95</v>
      </c>
      <c r="AB1019" t="s">
        <v>37</v>
      </c>
      <c r="AC1019" s="6" t="s">
        <v>37</v>
      </c>
      <c r="AD1019" s="6" t="s">
        <v>37</v>
      </c>
      <c r="AE1019" t="s">
        <v>37</v>
      </c>
      <c r="AF1019" t="s">
        <v>37</v>
      </c>
      <c r="AG1019" s="6" t="s">
        <v>37</v>
      </c>
      <c r="AH1019" t="s">
        <v>37</v>
      </c>
      <c r="AI1019" t="s">
        <v>37</v>
      </c>
      <c r="AJ1019" t="str">
        <f t="shared" si="47"/>
        <v>6451M4NBB07W5JHF97</v>
      </c>
    </row>
    <row r="1020" spans="1:36" ht="15" customHeight="1" x14ac:dyDescent="0.25">
      <c r="A1020" t="s">
        <v>96</v>
      </c>
      <c r="B1020" t="s">
        <v>37</v>
      </c>
      <c r="C1020" t="s">
        <v>37</v>
      </c>
      <c r="D1020" t="s">
        <v>38</v>
      </c>
      <c r="E1020" s="4">
        <v>4</v>
      </c>
      <c r="F1020" s="5">
        <v>93.68</v>
      </c>
      <c r="G1020" s="5" t="s">
        <v>39</v>
      </c>
      <c r="H1020" s="5">
        <v>144.24</v>
      </c>
      <c r="I1020" s="5" t="s">
        <v>39</v>
      </c>
      <c r="J1020" s="5">
        <v>3.18512</v>
      </c>
      <c r="K1020" s="5">
        <f t="shared" si="45"/>
        <v>0.79627999999999999</v>
      </c>
      <c r="L1020" s="5">
        <f t="shared" si="46"/>
        <v>23.42</v>
      </c>
      <c r="M1020" s="5" t="s">
        <v>39</v>
      </c>
      <c r="N1020" s="5">
        <v>3.18512</v>
      </c>
      <c r="O1020" s="5" t="s">
        <v>39</v>
      </c>
      <c r="P1020" t="s">
        <v>97</v>
      </c>
      <c r="Q1020" t="s">
        <v>1648</v>
      </c>
      <c r="R1020" t="s">
        <v>37</v>
      </c>
      <c r="S1020" t="s">
        <v>1649</v>
      </c>
      <c r="T1020" t="s">
        <v>43</v>
      </c>
      <c r="U1020" t="s">
        <v>44</v>
      </c>
      <c r="V1020">
        <v>147</v>
      </c>
      <c r="W1020" t="s">
        <v>45</v>
      </c>
      <c r="X1020" t="s">
        <v>60</v>
      </c>
      <c r="Y1020" t="s">
        <v>1650</v>
      </c>
      <c r="Z1020" t="s">
        <v>37</v>
      </c>
      <c r="AA1020" t="s">
        <v>55</v>
      </c>
      <c r="AB1020" t="s">
        <v>37</v>
      </c>
      <c r="AC1020" s="6" t="s">
        <v>37</v>
      </c>
      <c r="AD1020" s="6" t="s">
        <v>37</v>
      </c>
      <c r="AE1020" t="s">
        <v>37</v>
      </c>
      <c r="AF1020" t="s">
        <v>37</v>
      </c>
      <c r="AG1020" s="6" t="s">
        <v>37</v>
      </c>
      <c r="AH1020" t="s">
        <v>37</v>
      </c>
      <c r="AI1020" t="s">
        <v>37</v>
      </c>
      <c r="AJ1020" t="str">
        <f t="shared" si="47"/>
        <v>7EMS2FPGB007BNE5P0</v>
      </c>
    </row>
    <row r="1021" spans="1:36" ht="15" customHeight="1" x14ac:dyDescent="0.25">
      <c r="A1021" t="s">
        <v>127</v>
      </c>
      <c r="B1021" t="s">
        <v>37</v>
      </c>
      <c r="C1021" t="s">
        <v>37</v>
      </c>
      <c r="D1021" t="s">
        <v>38</v>
      </c>
      <c r="E1021" s="4">
        <v>0</v>
      </c>
      <c r="F1021" s="5">
        <v>0</v>
      </c>
      <c r="G1021" s="5" t="s">
        <v>39</v>
      </c>
      <c r="H1021" s="5">
        <v>0</v>
      </c>
      <c r="I1021" s="5" t="s">
        <v>39</v>
      </c>
      <c r="J1021" s="5">
        <v>0</v>
      </c>
      <c r="K1021" s="5" t="e">
        <f t="shared" si="45"/>
        <v>#DIV/0!</v>
      </c>
      <c r="L1021" s="5" t="e">
        <f t="shared" si="46"/>
        <v>#DIV/0!</v>
      </c>
      <c r="M1021" s="5" t="s">
        <v>39</v>
      </c>
      <c r="N1021" s="5">
        <v>0</v>
      </c>
      <c r="O1021" s="5" t="s">
        <v>39</v>
      </c>
      <c r="P1021" t="s">
        <v>404</v>
      </c>
      <c r="Q1021" t="s">
        <v>366</v>
      </c>
      <c r="R1021" t="s">
        <v>37</v>
      </c>
      <c r="S1021" t="s">
        <v>367</v>
      </c>
      <c r="T1021" t="s">
        <v>43</v>
      </c>
      <c r="U1021" t="s">
        <v>44</v>
      </c>
      <c r="V1021">
        <v>147</v>
      </c>
      <c r="W1021" t="s">
        <v>45</v>
      </c>
      <c r="X1021" t="s">
        <v>368</v>
      </c>
      <c r="Y1021" t="s">
        <v>369</v>
      </c>
      <c r="Z1021" t="s">
        <v>37</v>
      </c>
      <c r="AA1021" t="s">
        <v>48</v>
      </c>
      <c r="AB1021" t="s">
        <v>37</v>
      </c>
      <c r="AC1021" s="6" t="s">
        <v>37</v>
      </c>
      <c r="AD1021" s="6" t="s">
        <v>37</v>
      </c>
      <c r="AE1021" t="s">
        <v>37</v>
      </c>
      <c r="AF1021" t="s">
        <v>37</v>
      </c>
      <c r="AG1021" s="6" t="s">
        <v>37</v>
      </c>
      <c r="AH1021" t="s">
        <v>37</v>
      </c>
      <c r="AI1021" t="s">
        <v>37</v>
      </c>
      <c r="AJ1021" t="str">
        <f t="shared" si="47"/>
        <v>54JZ1ZVPB07H3HGVDW</v>
      </c>
    </row>
    <row r="1022" spans="1:36" ht="15" customHeight="1" x14ac:dyDescent="0.25">
      <c r="A1022" t="s">
        <v>49</v>
      </c>
      <c r="B1022" t="s">
        <v>37</v>
      </c>
      <c r="C1022" t="s">
        <v>37</v>
      </c>
      <c r="D1022" t="s">
        <v>38</v>
      </c>
      <c r="E1022" s="4">
        <v>8</v>
      </c>
      <c r="F1022" s="5">
        <v>671.12</v>
      </c>
      <c r="G1022" s="5" t="s">
        <v>39</v>
      </c>
      <c r="H1022" s="5">
        <v>1108.1600000000001</v>
      </c>
      <c r="I1022" s="5" t="s">
        <v>39</v>
      </c>
      <c r="J1022" s="5">
        <v>22.818079999999998</v>
      </c>
      <c r="K1022" s="5">
        <f t="shared" si="45"/>
        <v>2.8522599999999998</v>
      </c>
      <c r="L1022" s="5">
        <f t="shared" si="46"/>
        <v>83.89</v>
      </c>
      <c r="M1022" s="5" t="s">
        <v>39</v>
      </c>
      <c r="N1022" s="5">
        <v>22.818079999999998</v>
      </c>
      <c r="O1022" s="5" t="s">
        <v>39</v>
      </c>
      <c r="P1022" t="s">
        <v>106</v>
      </c>
      <c r="Q1022" t="s">
        <v>420</v>
      </c>
      <c r="R1022" t="s">
        <v>37</v>
      </c>
      <c r="S1022" t="s">
        <v>421</v>
      </c>
      <c r="T1022" t="s">
        <v>43</v>
      </c>
      <c r="U1022" t="s">
        <v>44</v>
      </c>
      <c r="V1022">
        <v>147</v>
      </c>
      <c r="W1022" t="s">
        <v>45</v>
      </c>
      <c r="X1022" t="s">
        <v>46</v>
      </c>
      <c r="Y1022" t="s">
        <v>422</v>
      </c>
      <c r="Z1022" t="s">
        <v>37</v>
      </c>
      <c r="AA1022" t="s">
        <v>55</v>
      </c>
      <c r="AB1022" t="s">
        <v>37</v>
      </c>
      <c r="AC1022" s="6" t="s">
        <v>37</v>
      </c>
      <c r="AD1022" s="6" t="s">
        <v>37</v>
      </c>
      <c r="AE1022" t="s">
        <v>37</v>
      </c>
      <c r="AF1022" t="s">
        <v>37</v>
      </c>
      <c r="AG1022" s="6" t="s">
        <v>37</v>
      </c>
      <c r="AH1022" t="s">
        <v>37</v>
      </c>
      <c r="AI1022" t="s">
        <v>37</v>
      </c>
      <c r="AJ1022" t="str">
        <f t="shared" si="47"/>
        <v>2CLMXQWQB07QKC4WWD</v>
      </c>
    </row>
    <row r="1023" spans="1:36" ht="15" customHeight="1" x14ac:dyDescent="0.25">
      <c r="A1023" t="s">
        <v>88</v>
      </c>
      <c r="B1023" t="s">
        <v>37</v>
      </c>
      <c r="C1023" t="s">
        <v>37</v>
      </c>
      <c r="D1023" t="s">
        <v>38</v>
      </c>
      <c r="E1023" s="4">
        <v>1620</v>
      </c>
      <c r="F1023" s="5">
        <v>69433.2</v>
      </c>
      <c r="G1023" s="5" t="s">
        <v>39</v>
      </c>
      <c r="H1023" s="5">
        <v>95596.2</v>
      </c>
      <c r="I1023" s="5" t="s">
        <v>39</v>
      </c>
      <c r="J1023" s="5">
        <v>2360.7287999999999</v>
      </c>
      <c r="K1023" s="5">
        <f t="shared" si="45"/>
        <v>1.4572399999999999</v>
      </c>
      <c r="L1023" s="5">
        <f t="shared" si="46"/>
        <v>42.86</v>
      </c>
      <c r="M1023" s="5" t="s">
        <v>39</v>
      </c>
      <c r="N1023" s="5">
        <v>2360.7287999999999</v>
      </c>
      <c r="O1023" s="5" t="s">
        <v>39</v>
      </c>
      <c r="P1023" t="s">
        <v>404</v>
      </c>
      <c r="Q1023" t="s">
        <v>366</v>
      </c>
      <c r="R1023" t="s">
        <v>37</v>
      </c>
      <c r="S1023" t="s">
        <v>367</v>
      </c>
      <c r="T1023" t="s">
        <v>43</v>
      </c>
      <c r="U1023" t="s">
        <v>44</v>
      </c>
      <c r="V1023">
        <v>147</v>
      </c>
      <c r="W1023" t="s">
        <v>45</v>
      </c>
      <c r="X1023" t="s">
        <v>368</v>
      </c>
      <c r="Y1023" t="s">
        <v>369</v>
      </c>
      <c r="Z1023" t="s">
        <v>37</v>
      </c>
      <c r="AA1023" t="s">
        <v>48</v>
      </c>
      <c r="AB1023" t="s">
        <v>37</v>
      </c>
      <c r="AC1023" s="6" t="s">
        <v>37</v>
      </c>
      <c r="AD1023" s="6" t="s">
        <v>37</v>
      </c>
      <c r="AE1023" t="s">
        <v>37</v>
      </c>
      <c r="AF1023" t="s">
        <v>37</v>
      </c>
      <c r="AG1023" s="6" t="s">
        <v>37</v>
      </c>
      <c r="AH1023" t="s">
        <v>37</v>
      </c>
      <c r="AI1023" t="s">
        <v>37</v>
      </c>
      <c r="AJ1023" t="str">
        <f t="shared" si="47"/>
        <v>54JZ1ZVPB07H3HGVDW</v>
      </c>
    </row>
    <row r="1024" spans="1:36" ht="15" customHeight="1" x14ac:dyDescent="0.25">
      <c r="A1024" t="s">
        <v>36</v>
      </c>
      <c r="B1024" t="s">
        <v>37</v>
      </c>
      <c r="C1024" t="s">
        <v>37</v>
      </c>
      <c r="D1024" t="s">
        <v>38</v>
      </c>
      <c r="E1024" s="4">
        <v>8</v>
      </c>
      <c r="F1024" s="5">
        <v>797.76</v>
      </c>
      <c r="G1024" s="5" t="s">
        <v>39</v>
      </c>
      <c r="H1024" s="5">
        <v>1304.8800000000001</v>
      </c>
      <c r="I1024" s="5" t="s">
        <v>39</v>
      </c>
      <c r="J1024" s="5">
        <v>27.123840000000001</v>
      </c>
      <c r="K1024" s="5">
        <f t="shared" si="45"/>
        <v>3.3904800000000002</v>
      </c>
      <c r="L1024" s="5">
        <f t="shared" si="46"/>
        <v>99.72</v>
      </c>
      <c r="M1024" s="5" t="s">
        <v>39</v>
      </c>
      <c r="N1024" s="5">
        <v>27.123840000000001</v>
      </c>
      <c r="O1024" s="5" t="s">
        <v>39</v>
      </c>
      <c r="P1024" t="s">
        <v>1014</v>
      </c>
      <c r="Q1024" t="s">
        <v>1273</v>
      </c>
      <c r="R1024" t="s">
        <v>37</v>
      </c>
      <c r="S1024" t="s">
        <v>1274</v>
      </c>
      <c r="T1024" t="s">
        <v>43</v>
      </c>
      <c r="U1024" t="s">
        <v>44</v>
      </c>
      <c r="V1024">
        <v>147</v>
      </c>
      <c r="W1024" t="s">
        <v>45</v>
      </c>
      <c r="X1024" t="s">
        <v>46</v>
      </c>
      <c r="Y1024" t="s">
        <v>1275</v>
      </c>
      <c r="Z1024" t="s">
        <v>37</v>
      </c>
      <c r="AA1024" t="s">
        <v>48</v>
      </c>
      <c r="AB1024" t="s">
        <v>37</v>
      </c>
      <c r="AC1024" s="6" t="s">
        <v>37</v>
      </c>
      <c r="AD1024" s="6" t="s">
        <v>37</v>
      </c>
      <c r="AE1024" t="s">
        <v>37</v>
      </c>
      <c r="AF1024" t="s">
        <v>37</v>
      </c>
      <c r="AG1024" s="6" t="s">
        <v>37</v>
      </c>
      <c r="AH1024" t="s">
        <v>37</v>
      </c>
      <c r="AI1024" t="s">
        <v>37</v>
      </c>
      <c r="AJ1024" t="str">
        <f t="shared" si="47"/>
        <v>4QG6L28MB07DFT9YHV</v>
      </c>
    </row>
    <row r="1025" spans="1:36" ht="15" customHeight="1" x14ac:dyDescent="0.25">
      <c r="A1025" t="s">
        <v>76</v>
      </c>
      <c r="B1025" t="s">
        <v>37</v>
      </c>
      <c r="C1025" t="s">
        <v>37</v>
      </c>
      <c r="D1025" t="s">
        <v>38</v>
      </c>
      <c r="E1025" s="4">
        <v>4</v>
      </c>
      <c r="F1025" s="5">
        <v>128.84</v>
      </c>
      <c r="G1025" s="5" t="s">
        <v>39</v>
      </c>
      <c r="H1025" s="5">
        <v>193.4</v>
      </c>
      <c r="I1025" s="5" t="s">
        <v>39</v>
      </c>
      <c r="J1025" s="5">
        <v>4.38056</v>
      </c>
      <c r="K1025" s="5">
        <f t="shared" si="45"/>
        <v>1.09514</v>
      </c>
      <c r="L1025" s="5">
        <f t="shared" si="46"/>
        <v>32.21</v>
      </c>
      <c r="M1025" s="5" t="s">
        <v>39</v>
      </c>
      <c r="N1025" s="5">
        <v>4.38056</v>
      </c>
      <c r="O1025" s="5" t="s">
        <v>39</v>
      </c>
      <c r="P1025" t="s">
        <v>114</v>
      </c>
      <c r="Q1025" t="s">
        <v>1351</v>
      </c>
      <c r="R1025" t="s">
        <v>37</v>
      </c>
      <c r="S1025" t="s">
        <v>1352</v>
      </c>
      <c r="T1025" t="s">
        <v>432</v>
      </c>
      <c r="U1025" t="s">
        <v>44</v>
      </c>
      <c r="V1025">
        <v>147</v>
      </c>
      <c r="W1025" t="s">
        <v>92</v>
      </c>
      <c r="X1025" t="s">
        <v>433</v>
      </c>
      <c r="Y1025" t="s">
        <v>1353</v>
      </c>
      <c r="Z1025" t="s">
        <v>37</v>
      </c>
      <c r="AA1025" t="s">
        <v>55</v>
      </c>
      <c r="AB1025" t="s">
        <v>37</v>
      </c>
      <c r="AC1025" s="6" t="s">
        <v>37</v>
      </c>
      <c r="AD1025" s="6" t="s">
        <v>37</v>
      </c>
      <c r="AE1025" t="s">
        <v>37</v>
      </c>
      <c r="AF1025" t="s">
        <v>37</v>
      </c>
      <c r="AG1025" s="6" t="s">
        <v>37</v>
      </c>
      <c r="AH1025" t="s">
        <v>37</v>
      </c>
      <c r="AI1025" t="s">
        <v>37</v>
      </c>
      <c r="AJ1025" t="str">
        <f t="shared" si="47"/>
        <v>243WWSUAB07W4DGQSX</v>
      </c>
    </row>
    <row r="1026" spans="1:36" ht="15" customHeight="1" x14ac:dyDescent="0.25">
      <c r="A1026" t="s">
        <v>101</v>
      </c>
      <c r="B1026" t="s">
        <v>37</v>
      </c>
      <c r="C1026" t="s">
        <v>37</v>
      </c>
      <c r="D1026" t="s">
        <v>38</v>
      </c>
      <c r="E1026" s="4">
        <v>52</v>
      </c>
      <c r="F1026" s="5">
        <v>2194.4</v>
      </c>
      <c r="G1026" s="5" t="s">
        <v>39</v>
      </c>
      <c r="H1026" s="5">
        <v>2194.4</v>
      </c>
      <c r="I1026" s="5" t="s">
        <v>39</v>
      </c>
      <c r="J1026" s="5">
        <v>74.6096</v>
      </c>
      <c r="K1026" s="5">
        <f t="shared" si="45"/>
        <v>1.4348000000000001</v>
      </c>
      <c r="L1026" s="5">
        <f t="shared" si="46"/>
        <v>42.2</v>
      </c>
      <c r="M1026" s="5" t="s">
        <v>39</v>
      </c>
      <c r="N1026" s="5">
        <v>74.6096</v>
      </c>
      <c r="O1026" s="5" t="s">
        <v>39</v>
      </c>
      <c r="P1026" t="s">
        <v>274</v>
      </c>
      <c r="Q1026" t="s">
        <v>1651</v>
      </c>
      <c r="R1026" t="s">
        <v>37</v>
      </c>
      <c r="S1026" t="s">
        <v>1652</v>
      </c>
      <c r="T1026" t="s">
        <v>318</v>
      </c>
      <c r="U1026" t="s">
        <v>44</v>
      </c>
      <c r="V1026">
        <v>147</v>
      </c>
      <c r="W1026" t="s">
        <v>37</v>
      </c>
      <c r="X1026" t="s">
        <v>37</v>
      </c>
      <c r="Y1026" t="s">
        <v>1653</v>
      </c>
      <c r="Z1026" t="s">
        <v>37</v>
      </c>
      <c r="AA1026" t="s">
        <v>55</v>
      </c>
      <c r="AB1026" t="s">
        <v>37</v>
      </c>
      <c r="AC1026" s="6" t="s">
        <v>37</v>
      </c>
      <c r="AD1026" s="6" t="s">
        <v>37</v>
      </c>
      <c r="AE1026" t="s">
        <v>37</v>
      </c>
      <c r="AF1026" t="s">
        <v>37</v>
      </c>
      <c r="AG1026" s="6" t="s">
        <v>37</v>
      </c>
      <c r="AH1026" t="s">
        <v>37</v>
      </c>
      <c r="AI1026" t="s">
        <v>37</v>
      </c>
      <c r="AJ1026" t="str">
        <f t="shared" si="47"/>
        <v>4LYATDUXB07W7KMK4W</v>
      </c>
    </row>
    <row r="1027" spans="1:36" ht="15" customHeight="1" x14ac:dyDescent="0.25">
      <c r="A1027" t="s">
        <v>36</v>
      </c>
      <c r="B1027" t="s">
        <v>37</v>
      </c>
      <c r="C1027" t="s">
        <v>37</v>
      </c>
      <c r="D1027" t="s">
        <v>38</v>
      </c>
      <c r="E1027" s="4">
        <v>8</v>
      </c>
      <c r="F1027" s="5">
        <v>316.48</v>
      </c>
      <c r="G1027" s="5" t="s">
        <v>39</v>
      </c>
      <c r="H1027" s="5">
        <v>524.55999999999995</v>
      </c>
      <c r="I1027" s="5" t="s">
        <v>39</v>
      </c>
      <c r="J1027" s="5">
        <v>10.76032</v>
      </c>
      <c r="K1027" s="5">
        <f t="shared" ref="K1027:K1090" si="48">J1027/E1027</f>
        <v>1.34504</v>
      </c>
      <c r="L1027" s="5">
        <f t="shared" ref="L1027:L1090" si="49">F1027/E1027</f>
        <v>39.56</v>
      </c>
      <c r="M1027" s="5" t="s">
        <v>39</v>
      </c>
      <c r="N1027" s="5">
        <v>10.76032</v>
      </c>
      <c r="O1027" s="5" t="s">
        <v>39</v>
      </c>
      <c r="P1027" t="s">
        <v>133</v>
      </c>
      <c r="Q1027" t="s">
        <v>337</v>
      </c>
      <c r="R1027" t="s">
        <v>37</v>
      </c>
      <c r="S1027" t="s">
        <v>338</v>
      </c>
      <c r="T1027" t="s">
        <v>43</v>
      </c>
      <c r="U1027" t="s">
        <v>44</v>
      </c>
      <c r="V1027">
        <v>147</v>
      </c>
      <c r="W1027" t="s">
        <v>45</v>
      </c>
      <c r="X1027" t="s">
        <v>53</v>
      </c>
      <c r="Y1027" t="s">
        <v>339</v>
      </c>
      <c r="Z1027" t="s">
        <v>37</v>
      </c>
      <c r="AA1027" t="s">
        <v>55</v>
      </c>
      <c r="AB1027" t="s">
        <v>37</v>
      </c>
      <c r="AC1027" s="6" t="s">
        <v>37</v>
      </c>
      <c r="AD1027" s="6" t="s">
        <v>37</v>
      </c>
      <c r="AE1027" t="s">
        <v>37</v>
      </c>
      <c r="AF1027" t="s">
        <v>37</v>
      </c>
      <c r="AG1027" s="6" t="s">
        <v>37</v>
      </c>
      <c r="AH1027" t="s">
        <v>37</v>
      </c>
      <c r="AI1027" t="s">
        <v>37</v>
      </c>
      <c r="AJ1027" t="str">
        <f t="shared" ref="AJ1027:AJ1090" si="50">P1027&amp;Q1027</f>
        <v>36BT7GGLB00L8VNQ88</v>
      </c>
    </row>
    <row r="1028" spans="1:36" ht="15" customHeight="1" x14ac:dyDescent="0.25">
      <c r="A1028" t="s">
        <v>118</v>
      </c>
      <c r="B1028" t="s">
        <v>37</v>
      </c>
      <c r="C1028" t="s">
        <v>37</v>
      </c>
      <c r="D1028" t="s">
        <v>38</v>
      </c>
      <c r="E1028" s="4">
        <v>28</v>
      </c>
      <c r="F1028" s="5">
        <v>1229.76</v>
      </c>
      <c r="G1028" s="5" t="s">
        <v>39</v>
      </c>
      <c r="H1028" s="5">
        <v>1835.96</v>
      </c>
      <c r="I1028" s="5" t="s">
        <v>39</v>
      </c>
      <c r="J1028" s="5">
        <v>41.811839999999997</v>
      </c>
      <c r="K1028" s="5">
        <f t="shared" si="48"/>
        <v>1.4932799999999999</v>
      </c>
      <c r="L1028" s="5">
        <f t="shared" si="49"/>
        <v>43.92</v>
      </c>
      <c r="M1028" s="5" t="s">
        <v>39</v>
      </c>
      <c r="N1028" s="5">
        <v>41.811839999999997</v>
      </c>
      <c r="O1028" s="5" t="s">
        <v>39</v>
      </c>
      <c r="P1028" t="s">
        <v>462</v>
      </c>
      <c r="Q1028" t="s">
        <v>893</v>
      </c>
      <c r="R1028" t="s">
        <v>37</v>
      </c>
      <c r="S1028" t="s">
        <v>894</v>
      </c>
      <c r="T1028" t="s">
        <v>43</v>
      </c>
      <c r="U1028" t="s">
        <v>44</v>
      </c>
      <c r="V1028">
        <v>147</v>
      </c>
      <c r="W1028" t="s">
        <v>45</v>
      </c>
      <c r="X1028" t="s">
        <v>53</v>
      </c>
      <c r="Y1028" t="s">
        <v>895</v>
      </c>
      <c r="Z1028" t="s">
        <v>37</v>
      </c>
      <c r="AA1028" t="s">
        <v>48</v>
      </c>
      <c r="AB1028" t="s">
        <v>37</v>
      </c>
      <c r="AC1028" s="6" t="s">
        <v>37</v>
      </c>
      <c r="AD1028" s="6" t="s">
        <v>37</v>
      </c>
      <c r="AE1028" t="s">
        <v>37</v>
      </c>
      <c r="AF1028" t="s">
        <v>37</v>
      </c>
      <c r="AG1028" s="6" t="s">
        <v>37</v>
      </c>
      <c r="AH1028" t="s">
        <v>37</v>
      </c>
      <c r="AI1028" t="s">
        <v>37</v>
      </c>
      <c r="AJ1028" t="str">
        <f t="shared" si="50"/>
        <v>17D6YHERB0797FYB3K</v>
      </c>
    </row>
    <row r="1029" spans="1:36" ht="15" customHeight="1" x14ac:dyDescent="0.25">
      <c r="A1029" t="s">
        <v>49</v>
      </c>
      <c r="B1029" t="s">
        <v>37</v>
      </c>
      <c r="C1029" t="s">
        <v>37</v>
      </c>
      <c r="D1029" t="s">
        <v>38</v>
      </c>
      <c r="E1029" s="4">
        <v>4</v>
      </c>
      <c r="F1029" s="5">
        <v>377.76</v>
      </c>
      <c r="G1029" s="5" t="s">
        <v>39</v>
      </c>
      <c r="H1029" s="5">
        <v>377.76</v>
      </c>
      <c r="I1029" s="5" t="s">
        <v>39</v>
      </c>
      <c r="J1029" s="5">
        <v>12.84384</v>
      </c>
      <c r="K1029" s="5">
        <f t="shared" si="48"/>
        <v>3.21096</v>
      </c>
      <c r="L1029" s="5">
        <f t="shared" si="49"/>
        <v>94.44</v>
      </c>
      <c r="M1029" s="5" t="s">
        <v>39</v>
      </c>
      <c r="N1029" s="5">
        <v>12.84384</v>
      </c>
      <c r="O1029" s="5" t="s">
        <v>39</v>
      </c>
      <c r="P1029" t="s">
        <v>195</v>
      </c>
      <c r="Q1029" t="s">
        <v>1654</v>
      </c>
      <c r="R1029" t="s">
        <v>37</v>
      </c>
      <c r="S1029" t="s">
        <v>1655</v>
      </c>
      <c r="T1029" t="s">
        <v>318</v>
      </c>
      <c r="U1029" t="s">
        <v>44</v>
      </c>
      <c r="V1029">
        <v>147</v>
      </c>
      <c r="W1029" t="s">
        <v>45</v>
      </c>
      <c r="X1029" t="s">
        <v>60</v>
      </c>
      <c r="Y1029" t="s">
        <v>1656</v>
      </c>
      <c r="Z1029" t="s">
        <v>37</v>
      </c>
      <c r="AA1029" t="s">
        <v>55</v>
      </c>
      <c r="AB1029" t="s">
        <v>37</v>
      </c>
      <c r="AC1029" s="6" t="s">
        <v>37</v>
      </c>
      <c r="AD1029" s="6" t="s">
        <v>37</v>
      </c>
      <c r="AE1029" t="s">
        <v>37</v>
      </c>
      <c r="AF1029" t="s">
        <v>37</v>
      </c>
      <c r="AG1029" s="6" t="s">
        <v>37</v>
      </c>
      <c r="AH1029" t="s">
        <v>37</v>
      </c>
      <c r="AI1029" t="s">
        <v>37</v>
      </c>
      <c r="AJ1029" t="str">
        <f t="shared" si="50"/>
        <v>5X1OU9ZGB07W5JK9J9</v>
      </c>
    </row>
    <row r="1030" spans="1:36" ht="15" customHeight="1" x14ac:dyDescent="0.25">
      <c r="A1030" t="s">
        <v>96</v>
      </c>
      <c r="B1030" t="s">
        <v>37</v>
      </c>
      <c r="C1030" t="s">
        <v>37</v>
      </c>
      <c r="D1030" t="s">
        <v>38</v>
      </c>
      <c r="E1030" s="4">
        <v>4</v>
      </c>
      <c r="F1030" s="5">
        <v>377.76</v>
      </c>
      <c r="G1030" s="5" t="s">
        <v>39</v>
      </c>
      <c r="H1030" s="5">
        <v>377.76</v>
      </c>
      <c r="I1030" s="5" t="s">
        <v>39</v>
      </c>
      <c r="J1030" s="5">
        <v>12.84384</v>
      </c>
      <c r="K1030" s="5">
        <f t="shared" si="48"/>
        <v>3.21096</v>
      </c>
      <c r="L1030" s="5">
        <f t="shared" si="49"/>
        <v>94.44</v>
      </c>
      <c r="M1030" s="5" t="s">
        <v>39</v>
      </c>
      <c r="N1030" s="5">
        <v>12.84384</v>
      </c>
      <c r="O1030" s="5" t="s">
        <v>39</v>
      </c>
      <c r="P1030" t="s">
        <v>195</v>
      </c>
      <c r="Q1030" t="s">
        <v>1654</v>
      </c>
      <c r="R1030" t="s">
        <v>37</v>
      </c>
      <c r="S1030" t="s">
        <v>1655</v>
      </c>
      <c r="T1030" t="s">
        <v>318</v>
      </c>
      <c r="U1030" t="s">
        <v>44</v>
      </c>
      <c r="V1030">
        <v>147</v>
      </c>
      <c r="W1030" t="s">
        <v>45</v>
      </c>
      <c r="X1030" t="s">
        <v>60</v>
      </c>
      <c r="Y1030" t="s">
        <v>1656</v>
      </c>
      <c r="Z1030" t="s">
        <v>37</v>
      </c>
      <c r="AA1030" t="s">
        <v>55</v>
      </c>
      <c r="AB1030" t="s">
        <v>37</v>
      </c>
      <c r="AC1030" s="6" t="s">
        <v>37</v>
      </c>
      <c r="AD1030" s="6" t="s">
        <v>37</v>
      </c>
      <c r="AE1030" t="s">
        <v>37</v>
      </c>
      <c r="AF1030" t="s">
        <v>37</v>
      </c>
      <c r="AG1030" s="6" t="s">
        <v>37</v>
      </c>
      <c r="AH1030" t="s">
        <v>37</v>
      </c>
      <c r="AI1030" t="s">
        <v>37</v>
      </c>
      <c r="AJ1030" t="str">
        <f t="shared" si="50"/>
        <v>5X1OU9ZGB07W5JK9J9</v>
      </c>
    </row>
    <row r="1031" spans="1:36" ht="15" customHeight="1" x14ac:dyDescent="0.25">
      <c r="A1031" t="s">
        <v>76</v>
      </c>
      <c r="B1031" t="s">
        <v>37</v>
      </c>
      <c r="C1031" t="s">
        <v>37</v>
      </c>
      <c r="D1031" t="s">
        <v>38</v>
      </c>
      <c r="E1031" s="4">
        <v>4</v>
      </c>
      <c r="F1031" s="5">
        <v>398.88</v>
      </c>
      <c r="G1031" s="5" t="s">
        <v>39</v>
      </c>
      <c r="H1031" s="5">
        <v>606.52</v>
      </c>
      <c r="I1031" s="5" t="s">
        <v>39</v>
      </c>
      <c r="J1031" s="5">
        <v>13.561920000000001</v>
      </c>
      <c r="K1031" s="5">
        <f t="shared" si="48"/>
        <v>3.3904800000000002</v>
      </c>
      <c r="L1031" s="5">
        <f t="shared" si="49"/>
        <v>99.72</v>
      </c>
      <c r="M1031" s="5" t="s">
        <v>39</v>
      </c>
      <c r="N1031" s="5">
        <v>13.561920000000001</v>
      </c>
      <c r="O1031" s="5" t="s">
        <v>39</v>
      </c>
      <c r="P1031" t="s">
        <v>114</v>
      </c>
      <c r="Q1031" t="s">
        <v>1341</v>
      </c>
      <c r="R1031" t="s">
        <v>37</v>
      </c>
      <c r="S1031" t="s">
        <v>1342</v>
      </c>
      <c r="T1031" t="s">
        <v>43</v>
      </c>
      <c r="U1031" t="s">
        <v>44</v>
      </c>
      <c r="V1031">
        <v>147</v>
      </c>
      <c r="W1031" t="s">
        <v>45</v>
      </c>
      <c r="X1031" t="s">
        <v>46</v>
      </c>
      <c r="Y1031" t="s">
        <v>1343</v>
      </c>
      <c r="Z1031" t="s">
        <v>37</v>
      </c>
      <c r="AA1031" t="s">
        <v>48</v>
      </c>
      <c r="AB1031" t="s">
        <v>37</v>
      </c>
      <c r="AC1031" s="6" t="s">
        <v>37</v>
      </c>
      <c r="AD1031" s="6" t="s">
        <v>37</v>
      </c>
      <c r="AE1031" t="s">
        <v>37</v>
      </c>
      <c r="AF1031" t="s">
        <v>37</v>
      </c>
      <c r="AG1031" s="6" t="s">
        <v>37</v>
      </c>
      <c r="AH1031" t="s">
        <v>37</v>
      </c>
      <c r="AI1031" t="s">
        <v>37</v>
      </c>
      <c r="AJ1031" t="str">
        <f t="shared" si="50"/>
        <v>243WWSUAB07DFWGKZ4</v>
      </c>
    </row>
    <row r="1032" spans="1:36" ht="15" customHeight="1" x14ac:dyDescent="0.25">
      <c r="A1032" t="s">
        <v>96</v>
      </c>
      <c r="B1032" t="s">
        <v>37</v>
      </c>
      <c r="C1032" t="s">
        <v>37</v>
      </c>
      <c r="D1032" t="s">
        <v>38</v>
      </c>
      <c r="E1032" s="4">
        <v>110</v>
      </c>
      <c r="F1032" s="5">
        <v>1802.9</v>
      </c>
      <c r="G1032" s="5" t="s">
        <v>39</v>
      </c>
      <c r="H1032" s="5">
        <v>2703.8</v>
      </c>
      <c r="I1032" s="5" t="s">
        <v>39</v>
      </c>
      <c r="J1032" s="5">
        <v>61.2986</v>
      </c>
      <c r="K1032" s="5">
        <f t="shared" si="48"/>
        <v>0.55725999999999998</v>
      </c>
      <c r="L1032" s="5">
        <f t="shared" si="49"/>
        <v>16.39</v>
      </c>
      <c r="M1032" s="5" t="s">
        <v>39</v>
      </c>
      <c r="N1032" s="5">
        <v>61.2986</v>
      </c>
      <c r="O1032" s="5" t="s">
        <v>39</v>
      </c>
      <c r="P1032" t="s">
        <v>222</v>
      </c>
      <c r="Q1032" t="s">
        <v>163</v>
      </c>
      <c r="R1032" t="s">
        <v>164</v>
      </c>
      <c r="S1032" t="s">
        <v>165</v>
      </c>
      <c r="T1032" t="s">
        <v>43</v>
      </c>
      <c r="U1032" t="s">
        <v>44</v>
      </c>
      <c r="V1032">
        <v>147</v>
      </c>
      <c r="W1032" t="s">
        <v>45</v>
      </c>
      <c r="X1032" t="s">
        <v>53</v>
      </c>
      <c r="Y1032" t="s">
        <v>166</v>
      </c>
      <c r="Z1032" t="s">
        <v>37</v>
      </c>
      <c r="AA1032" t="s">
        <v>48</v>
      </c>
      <c r="AB1032" t="s">
        <v>37</v>
      </c>
      <c r="AC1032" s="6" t="s">
        <v>37</v>
      </c>
      <c r="AD1032" s="6" t="s">
        <v>37</v>
      </c>
      <c r="AE1032" t="s">
        <v>37</v>
      </c>
      <c r="AF1032" t="s">
        <v>37</v>
      </c>
      <c r="AG1032" s="6" t="s">
        <v>37</v>
      </c>
      <c r="AH1032" t="s">
        <v>37</v>
      </c>
      <c r="AI1032" t="s">
        <v>37</v>
      </c>
      <c r="AJ1032" t="str">
        <f t="shared" si="50"/>
        <v>2F7Y5WIXB01K7GEG9W</v>
      </c>
    </row>
    <row r="1033" spans="1:36" ht="15" customHeight="1" x14ac:dyDescent="0.25">
      <c r="A1033" t="s">
        <v>411</v>
      </c>
      <c r="B1033" t="s">
        <v>37</v>
      </c>
      <c r="C1033" t="s">
        <v>37</v>
      </c>
      <c r="D1033" t="s">
        <v>38</v>
      </c>
      <c r="E1033" s="4">
        <v>8</v>
      </c>
      <c r="F1033" s="5">
        <v>358.72</v>
      </c>
      <c r="G1033" s="5" t="s">
        <v>39</v>
      </c>
      <c r="H1033" s="5">
        <v>576.96</v>
      </c>
      <c r="I1033" s="5" t="s">
        <v>39</v>
      </c>
      <c r="J1033" s="5">
        <v>12.196479999999999</v>
      </c>
      <c r="K1033" s="5">
        <f t="shared" si="48"/>
        <v>1.5245599999999999</v>
      </c>
      <c r="L1033" s="5">
        <f t="shared" si="49"/>
        <v>44.84</v>
      </c>
      <c r="M1033" s="5" t="s">
        <v>39</v>
      </c>
      <c r="N1033" s="5">
        <v>12.196479999999999</v>
      </c>
      <c r="O1033" s="5" t="s">
        <v>39</v>
      </c>
      <c r="P1033" t="s">
        <v>1657</v>
      </c>
      <c r="Q1033" t="s">
        <v>878</v>
      </c>
      <c r="R1033" t="s">
        <v>37</v>
      </c>
      <c r="S1033" t="s">
        <v>879</v>
      </c>
      <c r="T1033" t="s">
        <v>43</v>
      </c>
      <c r="U1033" t="s">
        <v>44</v>
      </c>
      <c r="V1033">
        <v>147</v>
      </c>
      <c r="W1033" t="s">
        <v>45</v>
      </c>
      <c r="X1033" t="s">
        <v>60</v>
      </c>
      <c r="Y1033" t="s">
        <v>880</v>
      </c>
      <c r="Z1033" t="s">
        <v>37</v>
      </c>
      <c r="AA1033" t="s">
        <v>48</v>
      </c>
      <c r="AB1033" t="s">
        <v>37</v>
      </c>
      <c r="AC1033" s="6" t="s">
        <v>37</v>
      </c>
      <c r="AD1033" s="6" t="s">
        <v>37</v>
      </c>
      <c r="AE1033" t="s">
        <v>37</v>
      </c>
      <c r="AF1033" t="s">
        <v>37</v>
      </c>
      <c r="AG1033" s="6" t="s">
        <v>37</v>
      </c>
      <c r="AH1033" t="s">
        <v>37</v>
      </c>
      <c r="AI1033" t="s">
        <v>37</v>
      </c>
      <c r="AJ1033" t="str">
        <f t="shared" si="50"/>
        <v>2SN9AZGVB01L6L46LK</v>
      </c>
    </row>
    <row r="1034" spans="1:36" ht="15" customHeight="1" x14ac:dyDescent="0.25">
      <c r="A1034" t="s">
        <v>118</v>
      </c>
      <c r="B1034" t="s">
        <v>37</v>
      </c>
      <c r="C1034" t="s">
        <v>37</v>
      </c>
      <c r="D1034" t="s">
        <v>38</v>
      </c>
      <c r="E1034" s="4">
        <v>12</v>
      </c>
      <c r="F1034" s="5">
        <v>1006.68</v>
      </c>
      <c r="G1034" s="5" t="s">
        <v>39</v>
      </c>
      <c r="H1034" s="5">
        <v>1622.88</v>
      </c>
      <c r="I1034" s="5" t="s">
        <v>39</v>
      </c>
      <c r="J1034" s="5">
        <v>34.227119999999999</v>
      </c>
      <c r="K1034" s="5">
        <f t="shared" si="48"/>
        <v>2.8522599999999998</v>
      </c>
      <c r="L1034" s="5">
        <f t="shared" si="49"/>
        <v>83.89</v>
      </c>
      <c r="M1034" s="5" t="s">
        <v>39</v>
      </c>
      <c r="N1034" s="5">
        <v>34.227119999999999</v>
      </c>
      <c r="O1034" s="5" t="s">
        <v>39</v>
      </c>
      <c r="P1034" t="s">
        <v>128</v>
      </c>
      <c r="Q1034" t="s">
        <v>223</v>
      </c>
      <c r="R1034" t="s">
        <v>37</v>
      </c>
      <c r="S1034" t="s">
        <v>224</v>
      </c>
      <c r="T1034" t="s">
        <v>43</v>
      </c>
      <c r="U1034" t="s">
        <v>44</v>
      </c>
      <c r="V1034">
        <v>147</v>
      </c>
      <c r="W1034" t="s">
        <v>45</v>
      </c>
      <c r="X1034" t="s">
        <v>53</v>
      </c>
      <c r="Y1034" t="s">
        <v>225</v>
      </c>
      <c r="Z1034" t="s">
        <v>37</v>
      </c>
      <c r="AA1034" t="s">
        <v>55</v>
      </c>
      <c r="AB1034" t="s">
        <v>37</v>
      </c>
      <c r="AC1034" s="6" t="s">
        <v>37</v>
      </c>
      <c r="AD1034" s="6" t="s">
        <v>37</v>
      </c>
      <c r="AE1034" t="s">
        <v>37</v>
      </c>
      <c r="AF1034" t="s">
        <v>37</v>
      </c>
      <c r="AG1034" s="6" t="s">
        <v>37</v>
      </c>
      <c r="AH1034" t="s">
        <v>37</v>
      </c>
      <c r="AI1034" t="s">
        <v>37</v>
      </c>
      <c r="AJ1034" t="str">
        <f t="shared" si="50"/>
        <v>7RAC5F9EB07W4DHKTD</v>
      </c>
    </row>
    <row r="1035" spans="1:36" ht="15" customHeight="1" x14ac:dyDescent="0.25">
      <c r="A1035" t="s">
        <v>49</v>
      </c>
      <c r="B1035" t="s">
        <v>37</v>
      </c>
      <c r="C1035" t="s">
        <v>37</v>
      </c>
      <c r="D1035" t="s">
        <v>38</v>
      </c>
      <c r="E1035" s="4">
        <v>30</v>
      </c>
      <c r="F1035" s="5">
        <v>491.7</v>
      </c>
      <c r="G1035" s="5" t="s">
        <v>39</v>
      </c>
      <c r="H1035" s="5">
        <v>737.4</v>
      </c>
      <c r="I1035" s="5" t="s">
        <v>39</v>
      </c>
      <c r="J1035" s="5">
        <v>16.7178</v>
      </c>
      <c r="K1035" s="5">
        <f t="shared" si="48"/>
        <v>0.55725999999999998</v>
      </c>
      <c r="L1035" s="5">
        <f t="shared" si="49"/>
        <v>16.39</v>
      </c>
      <c r="M1035" s="5" t="s">
        <v>39</v>
      </c>
      <c r="N1035" s="5">
        <v>16.7178</v>
      </c>
      <c r="O1035" s="5" t="s">
        <v>39</v>
      </c>
      <c r="P1035" t="s">
        <v>222</v>
      </c>
      <c r="Q1035" t="s">
        <v>163</v>
      </c>
      <c r="R1035" t="s">
        <v>164</v>
      </c>
      <c r="S1035" t="s">
        <v>165</v>
      </c>
      <c r="T1035" t="s">
        <v>43</v>
      </c>
      <c r="U1035" t="s">
        <v>44</v>
      </c>
      <c r="V1035">
        <v>147</v>
      </c>
      <c r="W1035" t="s">
        <v>45</v>
      </c>
      <c r="X1035" t="s">
        <v>53</v>
      </c>
      <c r="Y1035" t="s">
        <v>166</v>
      </c>
      <c r="Z1035" t="s">
        <v>37</v>
      </c>
      <c r="AA1035" t="s">
        <v>48</v>
      </c>
      <c r="AB1035" t="s">
        <v>37</v>
      </c>
      <c r="AC1035" s="6" t="s">
        <v>37</v>
      </c>
      <c r="AD1035" s="6" t="s">
        <v>37</v>
      </c>
      <c r="AE1035" t="s">
        <v>37</v>
      </c>
      <c r="AF1035" t="s">
        <v>37</v>
      </c>
      <c r="AG1035" s="6" t="s">
        <v>37</v>
      </c>
      <c r="AH1035" t="s">
        <v>37</v>
      </c>
      <c r="AI1035" t="s">
        <v>37</v>
      </c>
      <c r="AJ1035" t="str">
        <f t="shared" si="50"/>
        <v>2F7Y5WIXB01K7GEG9W</v>
      </c>
    </row>
    <row r="1036" spans="1:36" ht="15" customHeight="1" x14ac:dyDescent="0.25">
      <c r="A1036" t="s">
        <v>118</v>
      </c>
      <c r="B1036" t="s">
        <v>37</v>
      </c>
      <c r="C1036" t="s">
        <v>37</v>
      </c>
      <c r="D1036" t="s">
        <v>38</v>
      </c>
      <c r="E1036" s="4">
        <v>4</v>
      </c>
      <c r="F1036" s="5">
        <v>485</v>
      </c>
      <c r="G1036" s="5" t="s">
        <v>39</v>
      </c>
      <c r="H1036" s="5">
        <v>685.2</v>
      </c>
      <c r="I1036" s="5" t="s">
        <v>39</v>
      </c>
      <c r="J1036" s="5">
        <v>16.489999999999998</v>
      </c>
      <c r="K1036" s="5">
        <f t="shared" si="48"/>
        <v>4.1224999999999996</v>
      </c>
      <c r="L1036" s="5">
        <f t="shared" si="49"/>
        <v>121.25</v>
      </c>
      <c r="M1036" s="5" t="s">
        <v>39</v>
      </c>
      <c r="N1036" s="5">
        <v>16.489999999999998</v>
      </c>
      <c r="O1036" s="5" t="s">
        <v>39</v>
      </c>
      <c r="P1036" t="s">
        <v>559</v>
      </c>
      <c r="Q1036" t="s">
        <v>98</v>
      </c>
      <c r="R1036" t="s">
        <v>37</v>
      </c>
      <c r="S1036" t="s">
        <v>99</v>
      </c>
      <c r="T1036" t="s">
        <v>43</v>
      </c>
      <c r="U1036" t="s">
        <v>44</v>
      </c>
      <c r="V1036">
        <v>147</v>
      </c>
      <c r="W1036" t="s">
        <v>45</v>
      </c>
      <c r="X1036" t="s">
        <v>60</v>
      </c>
      <c r="Y1036" t="s">
        <v>100</v>
      </c>
      <c r="Z1036" t="s">
        <v>37</v>
      </c>
      <c r="AA1036" t="s">
        <v>48</v>
      </c>
      <c r="AB1036" t="s">
        <v>37</v>
      </c>
      <c r="AC1036" s="6" t="s">
        <v>37</v>
      </c>
      <c r="AD1036" s="6" t="s">
        <v>37</v>
      </c>
      <c r="AE1036" t="s">
        <v>37</v>
      </c>
      <c r="AF1036" t="s">
        <v>37</v>
      </c>
      <c r="AG1036" s="6" t="s">
        <v>37</v>
      </c>
      <c r="AH1036" t="s">
        <v>37</v>
      </c>
      <c r="AI1036" t="s">
        <v>37</v>
      </c>
      <c r="AJ1036" t="str">
        <f t="shared" si="50"/>
        <v>3BEWVQCYB074KGS5C3</v>
      </c>
    </row>
    <row r="1037" spans="1:36" ht="15" customHeight="1" x14ac:dyDescent="0.25">
      <c r="A1037" t="s">
        <v>36</v>
      </c>
      <c r="B1037" t="s">
        <v>37</v>
      </c>
      <c r="C1037" t="s">
        <v>37</v>
      </c>
      <c r="D1037" t="s">
        <v>38</v>
      </c>
      <c r="E1037" s="4">
        <v>24</v>
      </c>
      <c r="F1037" s="5">
        <v>773.04</v>
      </c>
      <c r="G1037" s="5" t="s">
        <v>39</v>
      </c>
      <c r="H1037" s="5">
        <v>1160.4000000000001</v>
      </c>
      <c r="I1037" s="5" t="s">
        <v>39</v>
      </c>
      <c r="J1037" s="5">
        <v>26.283359999999998</v>
      </c>
      <c r="K1037" s="5">
        <f t="shared" si="48"/>
        <v>1.09514</v>
      </c>
      <c r="L1037" s="5">
        <f t="shared" si="49"/>
        <v>32.21</v>
      </c>
      <c r="M1037" s="5" t="s">
        <v>39</v>
      </c>
      <c r="N1037" s="5">
        <v>26.283359999999998</v>
      </c>
      <c r="O1037" s="5" t="s">
        <v>39</v>
      </c>
      <c r="P1037" t="s">
        <v>119</v>
      </c>
      <c r="Q1037" t="s">
        <v>716</v>
      </c>
      <c r="R1037" t="s">
        <v>37</v>
      </c>
      <c r="S1037" t="s">
        <v>717</v>
      </c>
      <c r="T1037" t="s">
        <v>43</v>
      </c>
      <c r="U1037" t="s">
        <v>44</v>
      </c>
      <c r="V1037">
        <v>147</v>
      </c>
      <c r="W1037" t="s">
        <v>45</v>
      </c>
      <c r="X1037" t="s">
        <v>60</v>
      </c>
      <c r="Y1037" t="s">
        <v>718</v>
      </c>
      <c r="Z1037" t="s">
        <v>37</v>
      </c>
      <c r="AA1037" t="s">
        <v>55</v>
      </c>
      <c r="AB1037" t="s">
        <v>37</v>
      </c>
      <c r="AC1037" s="6" t="s">
        <v>37</v>
      </c>
      <c r="AD1037" s="6" t="s">
        <v>37</v>
      </c>
      <c r="AE1037" t="s">
        <v>37</v>
      </c>
      <c r="AF1037" t="s">
        <v>37</v>
      </c>
      <c r="AG1037" s="6" t="s">
        <v>37</v>
      </c>
      <c r="AH1037" t="s">
        <v>37</v>
      </c>
      <c r="AI1037" t="s">
        <v>37</v>
      </c>
      <c r="AJ1037" t="str">
        <f t="shared" si="50"/>
        <v>31DJDC7QB07W6JKH1B</v>
      </c>
    </row>
    <row r="1038" spans="1:36" ht="15" customHeight="1" x14ac:dyDescent="0.25">
      <c r="A1038" t="s">
        <v>96</v>
      </c>
      <c r="B1038" t="s">
        <v>37</v>
      </c>
      <c r="C1038" t="s">
        <v>37</v>
      </c>
      <c r="D1038" t="s">
        <v>38</v>
      </c>
      <c r="E1038" s="4">
        <v>144</v>
      </c>
      <c r="F1038" s="5">
        <v>3794.4</v>
      </c>
      <c r="G1038" s="5" t="s">
        <v>39</v>
      </c>
      <c r="H1038" s="5">
        <v>5664.96</v>
      </c>
      <c r="I1038" s="5" t="s">
        <v>39</v>
      </c>
      <c r="J1038" s="5">
        <v>129.00960000000001</v>
      </c>
      <c r="K1038" s="5">
        <f t="shared" si="48"/>
        <v>0.89590000000000003</v>
      </c>
      <c r="L1038" s="5">
        <f t="shared" si="49"/>
        <v>26.35</v>
      </c>
      <c r="M1038" s="5" t="s">
        <v>39</v>
      </c>
      <c r="N1038" s="5">
        <v>129.00960000000001</v>
      </c>
      <c r="O1038" s="5" t="s">
        <v>39</v>
      </c>
      <c r="P1038" t="s">
        <v>1658</v>
      </c>
      <c r="Q1038" t="s">
        <v>495</v>
      </c>
      <c r="R1038" t="s">
        <v>37</v>
      </c>
      <c r="S1038" t="s">
        <v>496</v>
      </c>
      <c r="T1038" t="s">
        <v>43</v>
      </c>
      <c r="U1038" t="s">
        <v>44</v>
      </c>
      <c r="V1038">
        <v>147</v>
      </c>
      <c r="W1038" t="s">
        <v>45</v>
      </c>
      <c r="X1038" t="s">
        <v>60</v>
      </c>
      <c r="Y1038" t="s">
        <v>497</v>
      </c>
      <c r="Z1038" t="s">
        <v>37</v>
      </c>
      <c r="AA1038" t="s">
        <v>55</v>
      </c>
      <c r="AB1038" t="s">
        <v>37</v>
      </c>
      <c r="AC1038" s="6" t="s">
        <v>37</v>
      </c>
      <c r="AD1038" s="6" t="s">
        <v>37</v>
      </c>
      <c r="AE1038" t="s">
        <v>37</v>
      </c>
      <c r="AF1038" t="s">
        <v>37</v>
      </c>
      <c r="AG1038" s="6" t="s">
        <v>37</v>
      </c>
      <c r="AH1038" t="s">
        <v>37</v>
      </c>
      <c r="AI1038" t="s">
        <v>37</v>
      </c>
      <c r="AJ1038" t="str">
        <f t="shared" si="50"/>
        <v>3OXMGR8FB00BCE30RS</v>
      </c>
    </row>
    <row r="1039" spans="1:36" ht="15" customHeight="1" x14ac:dyDescent="0.25">
      <c r="A1039" t="s">
        <v>118</v>
      </c>
      <c r="B1039" t="s">
        <v>37</v>
      </c>
      <c r="C1039" t="s">
        <v>37</v>
      </c>
      <c r="D1039" t="s">
        <v>38</v>
      </c>
      <c r="E1039" s="4">
        <v>16</v>
      </c>
      <c r="F1039" s="5">
        <v>1856.32</v>
      </c>
      <c r="G1039" s="5" t="s">
        <v>39</v>
      </c>
      <c r="H1039" s="5">
        <v>2622.88</v>
      </c>
      <c r="I1039" s="5" t="s">
        <v>39</v>
      </c>
      <c r="J1039" s="5">
        <v>63.114879999999999</v>
      </c>
      <c r="K1039" s="5">
        <f t="shared" si="48"/>
        <v>3.94468</v>
      </c>
      <c r="L1039" s="5">
        <f t="shared" si="49"/>
        <v>116.02</v>
      </c>
      <c r="M1039" s="5" t="s">
        <v>39</v>
      </c>
      <c r="N1039" s="5">
        <v>63.114879999999999</v>
      </c>
      <c r="O1039" s="5" t="s">
        <v>39</v>
      </c>
      <c r="P1039" t="s">
        <v>537</v>
      </c>
      <c r="Q1039" t="s">
        <v>124</v>
      </c>
      <c r="R1039" t="s">
        <v>37</v>
      </c>
      <c r="S1039" t="s">
        <v>125</v>
      </c>
      <c r="T1039" t="s">
        <v>43</v>
      </c>
      <c r="U1039" t="s">
        <v>44</v>
      </c>
      <c r="V1039">
        <v>147</v>
      </c>
      <c r="W1039" t="s">
        <v>45</v>
      </c>
      <c r="X1039" t="s">
        <v>60</v>
      </c>
      <c r="Y1039" t="s">
        <v>126</v>
      </c>
      <c r="Z1039" t="s">
        <v>37</v>
      </c>
      <c r="AA1039" t="s">
        <v>55</v>
      </c>
      <c r="AB1039" t="s">
        <v>37</v>
      </c>
      <c r="AC1039" s="6" t="s">
        <v>37</v>
      </c>
      <c r="AD1039" s="6" t="s">
        <v>37</v>
      </c>
      <c r="AE1039" t="s">
        <v>37</v>
      </c>
      <c r="AF1039" t="s">
        <v>37</v>
      </c>
      <c r="AG1039" s="6" t="s">
        <v>37</v>
      </c>
      <c r="AH1039" t="s">
        <v>37</v>
      </c>
      <c r="AI1039" t="s">
        <v>37</v>
      </c>
      <c r="AJ1039" t="str">
        <f t="shared" si="50"/>
        <v>1LQM129ZB07W6HPP3R</v>
      </c>
    </row>
    <row r="1040" spans="1:36" ht="15" customHeight="1" x14ac:dyDescent="0.25">
      <c r="A1040" t="s">
        <v>101</v>
      </c>
      <c r="B1040" t="s">
        <v>37</v>
      </c>
      <c r="C1040" t="s">
        <v>37</v>
      </c>
      <c r="D1040" t="s">
        <v>38</v>
      </c>
      <c r="E1040" s="4">
        <v>4</v>
      </c>
      <c r="F1040" s="5">
        <v>73.84</v>
      </c>
      <c r="G1040" s="5" t="s">
        <v>39</v>
      </c>
      <c r="H1040" s="5">
        <v>124.56</v>
      </c>
      <c r="I1040" s="5" t="s">
        <v>39</v>
      </c>
      <c r="J1040" s="5">
        <v>2.5105599999999999</v>
      </c>
      <c r="K1040" s="5">
        <f t="shared" si="48"/>
        <v>0.62763999999999998</v>
      </c>
      <c r="L1040" s="5">
        <f t="shared" si="49"/>
        <v>18.46</v>
      </c>
      <c r="M1040" s="5" t="s">
        <v>39</v>
      </c>
      <c r="N1040" s="5">
        <v>2.5105599999999999</v>
      </c>
      <c r="O1040" s="5" t="s">
        <v>39</v>
      </c>
      <c r="P1040" t="s">
        <v>320</v>
      </c>
      <c r="Q1040" t="s">
        <v>962</v>
      </c>
      <c r="R1040" t="s">
        <v>37</v>
      </c>
      <c r="S1040" t="s">
        <v>963</v>
      </c>
      <c r="T1040" t="s">
        <v>43</v>
      </c>
      <c r="U1040" t="s">
        <v>44</v>
      </c>
      <c r="V1040">
        <v>147</v>
      </c>
      <c r="W1040" t="s">
        <v>45</v>
      </c>
      <c r="X1040" t="s">
        <v>53</v>
      </c>
      <c r="Y1040" t="s">
        <v>964</v>
      </c>
      <c r="Z1040" t="s">
        <v>37</v>
      </c>
      <c r="AA1040" t="s">
        <v>95</v>
      </c>
      <c r="AB1040" t="s">
        <v>37</v>
      </c>
      <c r="AC1040" s="6" t="s">
        <v>37</v>
      </c>
      <c r="AD1040" s="6" t="s">
        <v>37</v>
      </c>
      <c r="AE1040" t="s">
        <v>37</v>
      </c>
      <c r="AF1040" t="s">
        <v>37</v>
      </c>
      <c r="AG1040" s="6" t="s">
        <v>37</v>
      </c>
      <c r="AH1040" t="s">
        <v>37</v>
      </c>
      <c r="AI1040" t="s">
        <v>37</v>
      </c>
      <c r="AJ1040" t="str">
        <f t="shared" si="50"/>
        <v>8BG295LIB07W6H83LD</v>
      </c>
    </row>
    <row r="1041" spans="1:36" ht="15" customHeight="1" x14ac:dyDescent="0.25">
      <c r="A1041" t="s">
        <v>162</v>
      </c>
      <c r="B1041" t="s">
        <v>37</v>
      </c>
      <c r="C1041" t="s">
        <v>37</v>
      </c>
      <c r="D1041" t="s">
        <v>38</v>
      </c>
      <c r="E1041" s="4">
        <v>4</v>
      </c>
      <c r="F1041" s="5">
        <v>168.8</v>
      </c>
      <c r="G1041" s="5" t="s">
        <v>39</v>
      </c>
      <c r="H1041" s="5">
        <v>278.64</v>
      </c>
      <c r="I1041" s="5" t="s">
        <v>39</v>
      </c>
      <c r="J1041" s="5">
        <v>5.7392000000000003</v>
      </c>
      <c r="K1041" s="5">
        <f t="shared" si="48"/>
        <v>1.4348000000000001</v>
      </c>
      <c r="L1041" s="5">
        <f t="shared" si="49"/>
        <v>42.2</v>
      </c>
      <c r="M1041" s="5" t="s">
        <v>39</v>
      </c>
      <c r="N1041" s="5">
        <v>5.7392000000000003</v>
      </c>
      <c r="O1041" s="5" t="s">
        <v>39</v>
      </c>
      <c r="P1041" t="s">
        <v>1069</v>
      </c>
      <c r="Q1041" t="s">
        <v>897</v>
      </c>
      <c r="R1041" t="s">
        <v>37</v>
      </c>
      <c r="S1041" t="s">
        <v>898</v>
      </c>
      <c r="T1041" t="s">
        <v>43</v>
      </c>
      <c r="U1041" t="s">
        <v>44</v>
      </c>
      <c r="V1041">
        <v>147</v>
      </c>
      <c r="W1041" t="s">
        <v>45</v>
      </c>
      <c r="X1041" t="s">
        <v>60</v>
      </c>
      <c r="Y1041" t="s">
        <v>899</v>
      </c>
      <c r="Z1041" t="s">
        <v>37</v>
      </c>
      <c r="AA1041" t="s">
        <v>55</v>
      </c>
      <c r="AB1041" t="s">
        <v>37</v>
      </c>
      <c r="AC1041" s="6" t="s">
        <v>37</v>
      </c>
      <c r="AD1041" s="6" t="s">
        <v>37</v>
      </c>
      <c r="AE1041" t="s">
        <v>37</v>
      </c>
      <c r="AF1041" t="s">
        <v>37</v>
      </c>
      <c r="AG1041" s="6" t="s">
        <v>37</v>
      </c>
      <c r="AH1041" t="s">
        <v>37</v>
      </c>
      <c r="AI1041" t="s">
        <v>37</v>
      </c>
      <c r="AJ1041" t="str">
        <f t="shared" si="50"/>
        <v>2FPVCNJHB07W4DH5GL</v>
      </c>
    </row>
    <row r="1042" spans="1:36" ht="15" customHeight="1" x14ac:dyDescent="0.25">
      <c r="A1042" t="s">
        <v>127</v>
      </c>
      <c r="B1042" t="s">
        <v>37</v>
      </c>
      <c r="C1042" t="s">
        <v>37</v>
      </c>
      <c r="D1042" t="s">
        <v>38</v>
      </c>
      <c r="E1042" s="4">
        <v>8</v>
      </c>
      <c r="F1042" s="5">
        <v>187.36</v>
      </c>
      <c r="G1042" s="5" t="s">
        <v>39</v>
      </c>
      <c r="H1042" s="5">
        <v>187.36</v>
      </c>
      <c r="I1042" s="5" t="s">
        <v>39</v>
      </c>
      <c r="J1042" s="5">
        <v>6.3702399999999999</v>
      </c>
      <c r="K1042" s="5">
        <f t="shared" si="48"/>
        <v>0.79627999999999999</v>
      </c>
      <c r="L1042" s="5">
        <f t="shared" si="49"/>
        <v>23.42</v>
      </c>
      <c r="M1042" s="5" t="s">
        <v>39</v>
      </c>
      <c r="N1042" s="5">
        <v>6.3702399999999999</v>
      </c>
      <c r="O1042" s="5" t="s">
        <v>39</v>
      </c>
      <c r="P1042" t="s">
        <v>270</v>
      </c>
      <c r="Q1042" t="s">
        <v>1531</v>
      </c>
      <c r="R1042" t="s">
        <v>37</v>
      </c>
      <c r="S1042" t="s">
        <v>1532</v>
      </c>
      <c r="T1042" t="s">
        <v>43</v>
      </c>
      <c r="U1042" t="s">
        <v>44</v>
      </c>
      <c r="V1042">
        <v>147</v>
      </c>
      <c r="W1042" t="s">
        <v>45</v>
      </c>
      <c r="X1042" t="s">
        <v>60</v>
      </c>
      <c r="Y1042" t="s">
        <v>1533</v>
      </c>
      <c r="Z1042" t="s">
        <v>37</v>
      </c>
      <c r="AA1042" t="s">
        <v>55</v>
      </c>
      <c r="AB1042" t="s">
        <v>37</v>
      </c>
      <c r="AC1042" s="6" t="s">
        <v>37</v>
      </c>
      <c r="AD1042" s="6" t="s">
        <v>37</v>
      </c>
      <c r="AE1042" t="s">
        <v>37</v>
      </c>
      <c r="AF1042" t="s">
        <v>37</v>
      </c>
      <c r="AG1042" s="6" t="s">
        <v>37</v>
      </c>
      <c r="AH1042" t="s">
        <v>37</v>
      </c>
      <c r="AI1042" t="s">
        <v>37</v>
      </c>
      <c r="AJ1042" t="str">
        <f t="shared" si="50"/>
        <v>1X4DXX4TB006T02YRM</v>
      </c>
    </row>
    <row r="1043" spans="1:36" ht="15" customHeight="1" x14ac:dyDescent="0.25">
      <c r="A1043" t="s">
        <v>36</v>
      </c>
      <c r="B1043" t="s">
        <v>37</v>
      </c>
      <c r="C1043" t="s">
        <v>37</v>
      </c>
      <c r="D1043" t="s">
        <v>38</v>
      </c>
      <c r="E1043" s="4">
        <v>4</v>
      </c>
      <c r="F1043" s="5">
        <v>278.44</v>
      </c>
      <c r="G1043" s="5" t="s">
        <v>39</v>
      </c>
      <c r="H1043" s="5">
        <v>327.84</v>
      </c>
      <c r="I1043" s="5" t="s">
        <v>39</v>
      </c>
      <c r="J1043" s="5">
        <v>9.4669600000000003</v>
      </c>
      <c r="K1043" s="5">
        <f t="shared" si="48"/>
        <v>2.3667400000000001</v>
      </c>
      <c r="L1043" s="5">
        <f t="shared" si="49"/>
        <v>69.61</v>
      </c>
      <c r="M1043" s="5" t="s">
        <v>39</v>
      </c>
      <c r="N1043" s="5">
        <v>9.4669600000000003</v>
      </c>
      <c r="O1043" s="5" t="s">
        <v>39</v>
      </c>
      <c r="P1043" t="s">
        <v>297</v>
      </c>
      <c r="Q1043" t="s">
        <v>786</v>
      </c>
      <c r="R1043" t="s">
        <v>787</v>
      </c>
      <c r="S1043" t="s">
        <v>788</v>
      </c>
      <c r="T1043" t="s">
        <v>43</v>
      </c>
      <c r="U1043" t="s">
        <v>44</v>
      </c>
      <c r="V1043">
        <v>147</v>
      </c>
      <c r="W1043" t="s">
        <v>45</v>
      </c>
      <c r="X1043" t="s">
        <v>60</v>
      </c>
      <c r="Y1043" t="s">
        <v>789</v>
      </c>
      <c r="Z1043" t="s">
        <v>37</v>
      </c>
      <c r="AA1043" t="s">
        <v>55</v>
      </c>
      <c r="AB1043" t="s">
        <v>37</v>
      </c>
      <c r="AC1043" s="6" t="s">
        <v>37</v>
      </c>
      <c r="AD1043" s="6" t="s">
        <v>37</v>
      </c>
      <c r="AE1043" t="s">
        <v>37</v>
      </c>
      <c r="AF1043" t="s">
        <v>37</v>
      </c>
      <c r="AG1043" s="6" t="s">
        <v>37</v>
      </c>
      <c r="AH1043" t="s">
        <v>37</v>
      </c>
      <c r="AI1043" t="s">
        <v>37</v>
      </c>
      <c r="AJ1043" t="str">
        <f t="shared" si="50"/>
        <v>5KUAVFPZB0044AFFMK</v>
      </c>
    </row>
    <row r="1044" spans="1:36" ht="15" customHeight="1" x14ac:dyDescent="0.25">
      <c r="A1044" t="s">
        <v>36</v>
      </c>
      <c r="B1044" t="s">
        <v>37</v>
      </c>
      <c r="C1044" t="s">
        <v>37</v>
      </c>
      <c r="D1044" t="s">
        <v>38</v>
      </c>
      <c r="E1044" s="4">
        <v>212</v>
      </c>
      <c r="F1044" s="5">
        <v>4965.04</v>
      </c>
      <c r="G1044" s="5" t="s">
        <v>39</v>
      </c>
      <c r="H1044" s="5">
        <v>4965.04</v>
      </c>
      <c r="I1044" s="5" t="s">
        <v>39</v>
      </c>
      <c r="J1044" s="5">
        <v>168.81136000000001</v>
      </c>
      <c r="K1044" s="5">
        <f t="shared" si="48"/>
        <v>0.79627999999999999</v>
      </c>
      <c r="L1044" s="5">
        <f t="shared" si="49"/>
        <v>23.419999999999998</v>
      </c>
      <c r="M1044" s="5" t="s">
        <v>39</v>
      </c>
      <c r="N1044" s="5">
        <v>168.81136000000001</v>
      </c>
      <c r="O1044" s="5" t="s">
        <v>39</v>
      </c>
      <c r="P1044" t="s">
        <v>270</v>
      </c>
      <c r="Q1044" t="s">
        <v>1531</v>
      </c>
      <c r="R1044" t="s">
        <v>37</v>
      </c>
      <c r="S1044" t="s">
        <v>1532</v>
      </c>
      <c r="T1044" t="s">
        <v>43</v>
      </c>
      <c r="U1044" t="s">
        <v>44</v>
      </c>
      <c r="V1044">
        <v>147</v>
      </c>
      <c r="W1044" t="s">
        <v>45</v>
      </c>
      <c r="X1044" t="s">
        <v>60</v>
      </c>
      <c r="Y1044" t="s">
        <v>1533</v>
      </c>
      <c r="Z1044" t="s">
        <v>37</v>
      </c>
      <c r="AA1044" t="s">
        <v>55</v>
      </c>
      <c r="AB1044" t="s">
        <v>37</v>
      </c>
      <c r="AC1044" s="6" t="s">
        <v>37</v>
      </c>
      <c r="AD1044" s="6" t="s">
        <v>37</v>
      </c>
      <c r="AE1044" t="s">
        <v>37</v>
      </c>
      <c r="AF1044" t="s">
        <v>37</v>
      </c>
      <c r="AG1044" s="6" t="s">
        <v>37</v>
      </c>
      <c r="AH1044" t="s">
        <v>37</v>
      </c>
      <c r="AI1044" t="s">
        <v>37</v>
      </c>
      <c r="AJ1044" t="str">
        <f t="shared" si="50"/>
        <v>1X4DXX4TB006T02YRM</v>
      </c>
    </row>
    <row r="1045" spans="1:36" ht="15" customHeight="1" x14ac:dyDescent="0.25">
      <c r="A1045" t="s">
        <v>118</v>
      </c>
      <c r="B1045" t="s">
        <v>37</v>
      </c>
      <c r="C1045" t="s">
        <v>37</v>
      </c>
      <c r="D1045" t="s">
        <v>38</v>
      </c>
      <c r="E1045" s="4">
        <v>0</v>
      </c>
      <c r="F1045" s="5">
        <v>0</v>
      </c>
      <c r="G1045" s="5" t="s">
        <v>39</v>
      </c>
      <c r="H1045" s="5">
        <v>0</v>
      </c>
      <c r="I1045" s="5" t="s">
        <v>39</v>
      </c>
      <c r="J1045" s="5">
        <v>0</v>
      </c>
      <c r="K1045" s="5" t="e">
        <f t="shared" si="48"/>
        <v>#DIV/0!</v>
      </c>
      <c r="L1045" s="5" t="e">
        <f t="shared" si="49"/>
        <v>#DIV/0!</v>
      </c>
      <c r="M1045" s="5" t="s">
        <v>39</v>
      </c>
      <c r="N1045" s="5">
        <v>0</v>
      </c>
      <c r="O1045" s="5" t="s">
        <v>39</v>
      </c>
      <c r="P1045" t="s">
        <v>241</v>
      </c>
      <c r="Q1045" t="s">
        <v>1659</v>
      </c>
      <c r="R1045" t="s">
        <v>37</v>
      </c>
      <c r="S1045" t="s">
        <v>1660</v>
      </c>
      <c r="T1045" t="s">
        <v>43</v>
      </c>
      <c r="U1045" t="s">
        <v>44</v>
      </c>
      <c r="V1045">
        <v>147</v>
      </c>
      <c r="W1045" t="s">
        <v>45</v>
      </c>
      <c r="X1045" t="s">
        <v>53</v>
      </c>
      <c r="Y1045" t="s">
        <v>1661</v>
      </c>
      <c r="Z1045" t="s">
        <v>37</v>
      </c>
      <c r="AA1045" t="s">
        <v>55</v>
      </c>
      <c r="AB1045" t="s">
        <v>37</v>
      </c>
      <c r="AC1045" s="6" t="s">
        <v>37</v>
      </c>
      <c r="AD1045" s="6" t="s">
        <v>37</v>
      </c>
      <c r="AE1045" t="s">
        <v>37</v>
      </c>
      <c r="AF1045" t="s">
        <v>37</v>
      </c>
      <c r="AG1045" s="6" t="s">
        <v>37</v>
      </c>
      <c r="AH1045" t="s">
        <v>37</v>
      </c>
      <c r="AI1045" t="s">
        <v>37</v>
      </c>
      <c r="AJ1045" t="str">
        <f t="shared" si="50"/>
        <v>6451M4NBB07H3HGS9R</v>
      </c>
    </row>
    <row r="1046" spans="1:36" ht="15" customHeight="1" x14ac:dyDescent="0.25">
      <c r="A1046" t="s">
        <v>36</v>
      </c>
      <c r="B1046" t="s">
        <v>37</v>
      </c>
      <c r="C1046" t="s">
        <v>37</v>
      </c>
      <c r="D1046" t="s">
        <v>38</v>
      </c>
      <c r="E1046" s="4">
        <v>4</v>
      </c>
      <c r="F1046" s="5">
        <v>3056.36</v>
      </c>
      <c r="G1046" s="5" t="s">
        <v>39</v>
      </c>
      <c r="H1046" s="5">
        <v>3767.2</v>
      </c>
      <c r="I1046" s="5" t="s">
        <v>39</v>
      </c>
      <c r="J1046" s="5">
        <v>103.91624</v>
      </c>
      <c r="K1046" s="5">
        <f t="shared" si="48"/>
        <v>25.97906</v>
      </c>
      <c r="L1046" s="5">
        <f t="shared" si="49"/>
        <v>764.09</v>
      </c>
      <c r="M1046" s="5" t="s">
        <v>39</v>
      </c>
      <c r="N1046" s="5">
        <v>103.91624</v>
      </c>
      <c r="O1046" s="5" t="s">
        <v>39</v>
      </c>
      <c r="P1046" t="s">
        <v>67</v>
      </c>
      <c r="Q1046" t="s">
        <v>1338</v>
      </c>
      <c r="R1046" t="s">
        <v>37</v>
      </c>
      <c r="S1046" t="s">
        <v>1339</v>
      </c>
      <c r="T1046" t="s">
        <v>43</v>
      </c>
      <c r="U1046" t="s">
        <v>44</v>
      </c>
      <c r="V1046">
        <v>147</v>
      </c>
      <c r="W1046" t="s">
        <v>45</v>
      </c>
      <c r="X1046" t="s">
        <v>239</v>
      </c>
      <c r="Y1046" t="s">
        <v>1340</v>
      </c>
      <c r="Z1046" t="s">
        <v>37</v>
      </c>
      <c r="AA1046" t="s">
        <v>55</v>
      </c>
      <c r="AB1046" t="s">
        <v>37</v>
      </c>
      <c r="AC1046" s="6" t="s">
        <v>37</v>
      </c>
      <c r="AD1046" s="6" t="s">
        <v>37</v>
      </c>
      <c r="AE1046" t="s">
        <v>37</v>
      </c>
      <c r="AF1046" t="s">
        <v>37</v>
      </c>
      <c r="AG1046" s="6" t="s">
        <v>37</v>
      </c>
      <c r="AH1046" t="s">
        <v>37</v>
      </c>
      <c r="AI1046" t="s">
        <v>37</v>
      </c>
      <c r="AJ1046" t="str">
        <f t="shared" si="50"/>
        <v>2TMBDXBKB07W4DGQC1</v>
      </c>
    </row>
    <row r="1047" spans="1:36" ht="15" customHeight="1" x14ac:dyDescent="0.25">
      <c r="A1047" t="s">
        <v>101</v>
      </c>
      <c r="B1047" t="s">
        <v>37</v>
      </c>
      <c r="C1047" t="s">
        <v>37</v>
      </c>
      <c r="D1047" t="s">
        <v>38</v>
      </c>
      <c r="E1047" s="4">
        <v>40</v>
      </c>
      <c r="F1047" s="5">
        <v>374.4</v>
      </c>
      <c r="G1047" s="5" t="s">
        <v>39</v>
      </c>
      <c r="H1047" s="5">
        <v>557.20000000000005</v>
      </c>
      <c r="I1047" s="5" t="s">
        <v>39</v>
      </c>
      <c r="J1047" s="5">
        <v>12.7296</v>
      </c>
      <c r="K1047" s="5">
        <f t="shared" si="48"/>
        <v>0.31823999999999997</v>
      </c>
      <c r="L1047" s="5">
        <f t="shared" si="49"/>
        <v>9.36</v>
      </c>
      <c r="M1047" s="5" t="s">
        <v>39</v>
      </c>
      <c r="N1047" s="5">
        <v>12.7296</v>
      </c>
      <c r="O1047" s="5" t="s">
        <v>39</v>
      </c>
      <c r="P1047" t="s">
        <v>72</v>
      </c>
      <c r="Q1047" t="s">
        <v>1662</v>
      </c>
      <c r="R1047" t="s">
        <v>37</v>
      </c>
      <c r="S1047" t="s">
        <v>1663</v>
      </c>
      <c r="T1047" t="s">
        <v>1211</v>
      </c>
      <c r="U1047" t="s">
        <v>44</v>
      </c>
      <c r="V1047">
        <v>147</v>
      </c>
      <c r="W1047" t="s">
        <v>45</v>
      </c>
      <c r="X1047" t="s">
        <v>60</v>
      </c>
      <c r="Y1047" t="s">
        <v>1664</v>
      </c>
      <c r="Z1047" t="s">
        <v>37</v>
      </c>
      <c r="AA1047" t="s">
        <v>55</v>
      </c>
      <c r="AB1047" t="s">
        <v>37</v>
      </c>
      <c r="AC1047" s="6" t="s">
        <v>37</v>
      </c>
      <c r="AD1047" s="6" t="s">
        <v>37</v>
      </c>
      <c r="AE1047" t="s">
        <v>37</v>
      </c>
      <c r="AF1047" t="s">
        <v>37</v>
      </c>
      <c r="AG1047" s="6" t="s">
        <v>37</v>
      </c>
      <c r="AH1047" t="s">
        <v>37</v>
      </c>
      <c r="AI1047" t="s">
        <v>37</v>
      </c>
      <c r="AJ1047" t="str">
        <f t="shared" si="50"/>
        <v>4GF112AEB00P7RAI8A</v>
      </c>
    </row>
    <row r="1048" spans="1:36" ht="15" customHeight="1" x14ac:dyDescent="0.25">
      <c r="A1048" t="s">
        <v>96</v>
      </c>
      <c r="B1048" t="s">
        <v>37</v>
      </c>
      <c r="C1048" t="s">
        <v>37</v>
      </c>
      <c r="D1048" t="s">
        <v>38</v>
      </c>
      <c r="E1048" s="4">
        <v>88</v>
      </c>
      <c r="F1048" s="5">
        <v>3945.92</v>
      </c>
      <c r="G1048" s="5" t="s">
        <v>39</v>
      </c>
      <c r="H1048" s="5">
        <v>6346.56</v>
      </c>
      <c r="I1048" s="5" t="s">
        <v>39</v>
      </c>
      <c r="J1048" s="5">
        <v>134.16128</v>
      </c>
      <c r="K1048" s="5">
        <f t="shared" si="48"/>
        <v>1.5245600000000001</v>
      </c>
      <c r="L1048" s="5">
        <f t="shared" si="49"/>
        <v>44.84</v>
      </c>
      <c r="M1048" s="5" t="s">
        <v>39</v>
      </c>
      <c r="N1048" s="5">
        <v>134.16128</v>
      </c>
      <c r="O1048" s="5" t="s">
        <v>39</v>
      </c>
      <c r="P1048" t="s">
        <v>50</v>
      </c>
      <c r="Q1048" t="s">
        <v>596</v>
      </c>
      <c r="R1048" t="s">
        <v>37</v>
      </c>
      <c r="S1048" t="s">
        <v>597</v>
      </c>
      <c r="T1048" t="s">
        <v>43</v>
      </c>
      <c r="U1048" t="s">
        <v>44</v>
      </c>
      <c r="V1048">
        <v>147</v>
      </c>
      <c r="W1048" t="s">
        <v>45</v>
      </c>
      <c r="X1048" t="s">
        <v>46</v>
      </c>
      <c r="Y1048" t="s">
        <v>598</v>
      </c>
      <c r="Z1048" t="s">
        <v>37</v>
      </c>
      <c r="AA1048" t="s">
        <v>95</v>
      </c>
      <c r="AB1048" t="s">
        <v>37</v>
      </c>
      <c r="AC1048" s="6" t="s">
        <v>37</v>
      </c>
      <c r="AD1048" s="6" t="s">
        <v>37</v>
      </c>
      <c r="AE1048" t="s">
        <v>37</v>
      </c>
      <c r="AF1048" t="s">
        <v>37</v>
      </c>
      <c r="AG1048" s="6" t="s">
        <v>37</v>
      </c>
      <c r="AH1048" t="s">
        <v>37</v>
      </c>
      <c r="AI1048" t="s">
        <v>37</v>
      </c>
      <c r="AJ1048" t="str">
        <f t="shared" si="50"/>
        <v>3A946EXYB07W4DHMVB</v>
      </c>
    </row>
    <row r="1049" spans="1:36" ht="15" customHeight="1" x14ac:dyDescent="0.25">
      <c r="A1049" t="s">
        <v>36</v>
      </c>
      <c r="B1049" t="s">
        <v>37</v>
      </c>
      <c r="C1049" t="s">
        <v>37</v>
      </c>
      <c r="D1049" t="s">
        <v>38</v>
      </c>
      <c r="E1049" s="4">
        <v>116</v>
      </c>
      <c r="F1049" s="5">
        <v>8747.56</v>
      </c>
      <c r="G1049" s="5" t="s">
        <v>39</v>
      </c>
      <c r="H1049" s="5">
        <v>12835.4</v>
      </c>
      <c r="I1049" s="5" t="s">
        <v>39</v>
      </c>
      <c r="J1049" s="5">
        <v>297.41703999999999</v>
      </c>
      <c r="K1049" s="5">
        <f t="shared" si="48"/>
        <v>2.5639399999999997</v>
      </c>
      <c r="L1049" s="5">
        <f t="shared" si="49"/>
        <v>75.41</v>
      </c>
      <c r="M1049" s="5" t="s">
        <v>39</v>
      </c>
      <c r="N1049" s="5">
        <v>297.41703999999999</v>
      </c>
      <c r="O1049" s="5" t="s">
        <v>39</v>
      </c>
      <c r="P1049" t="s">
        <v>270</v>
      </c>
      <c r="Q1049" t="s">
        <v>1070</v>
      </c>
      <c r="R1049" t="s">
        <v>37</v>
      </c>
      <c r="S1049" t="s">
        <v>1071</v>
      </c>
      <c r="T1049" t="s">
        <v>43</v>
      </c>
      <c r="U1049" t="s">
        <v>44</v>
      </c>
      <c r="V1049">
        <v>147</v>
      </c>
      <c r="W1049" t="s">
        <v>45</v>
      </c>
      <c r="X1049" t="s">
        <v>60</v>
      </c>
      <c r="Y1049" t="s">
        <v>1072</v>
      </c>
      <c r="Z1049" t="s">
        <v>37</v>
      </c>
      <c r="AA1049" t="s">
        <v>55</v>
      </c>
      <c r="AB1049" t="s">
        <v>37</v>
      </c>
      <c r="AC1049" s="6" t="s">
        <v>37</v>
      </c>
      <c r="AD1049" s="6" t="s">
        <v>37</v>
      </c>
      <c r="AE1049" t="s">
        <v>37</v>
      </c>
      <c r="AF1049" t="s">
        <v>37</v>
      </c>
      <c r="AG1049" s="6" t="s">
        <v>37</v>
      </c>
      <c r="AH1049" t="s">
        <v>37</v>
      </c>
      <c r="AI1049" t="s">
        <v>37</v>
      </c>
      <c r="AJ1049" t="str">
        <f t="shared" si="50"/>
        <v>1X4DXX4TB07W5JK1JN</v>
      </c>
    </row>
    <row r="1050" spans="1:36" ht="15" customHeight="1" x14ac:dyDescent="0.25">
      <c r="A1050" t="s">
        <v>62</v>
      </c>
      <c r="B1050" t="s">
        <v>37</v>
      </c>
      <c r="C1050" t="s">
        <v>37</v>
      </c>
      <c r="D1050" t="s">
        <v>38</v>
      </c>
      <c r="E1050" s="4">
        <v>520</v>
      </c>
      <c r="F1050" s="5">
        <v>43622.8</v>
      </c>
      <c r="G1050" s="5" t="s">
        <v>39</v>
      </c>
      <c r="H1050" s="5">
        <v>70324.800000000003</v>
      </c>
      <c r="I1050" s="5" t="s">
        <v>39</v>
      </c>
      <c r="J1050" s="5">
        <v>1483.1751999999999</v>
      </c>
      <c r="K1050" s="5">
        <f t="shared" si="48"/>
        <v>2.8522599999999998</v>
      </c>
      <c r="L1050" s="5">
        <f t="shared" si="49"/>
        <v>83.89</v>
      </c>
      <c r="M1050" s="5" t="s">
        <v>39</v>
      </c>
      <c r="N1050" s="5">
        <v>1483.1751999999999</v>
      </c>
      <c r="O1050" s="5" t="s">
        <v>39</v>
      </c>
      <c r="P1050" t="s">
        <v>63</v>
      </c>
      <c r="Q1050" t="s">
        <v>756</v>
      </c>
      <c r="R1050" t="s">
        <v>37</v>
      </c>
      <c r="S1050" t="s">
        <v>757</v>
      </c>
      <c r="T1050" t="s">
        <v>43</v>
      </c>
      <c r="U1050" t="s">
        <v>44</v>
      </c>
      <c r="V1050">
        <v>147</v>
      </c>
      <c r="W1050" t="s">
        <v>45</v>
      </c>
      <c r="X1050" t="s">
        <v>53</v>
      </c>
      <c r="Y1050" t="s">
        <v>503</v>
      </c>
      <c r="Z1050" t="s">
        <v>37</v>
      </c>
      <c r="AA1050" t="s">
        <v>55</v>
      </c>
      <c r="AB1050" t="s">
        <v>37</v>
      </c>
      <c r="AC1050" s="6" t="s">
        <v>37</v>
      </c>
      <c r="AD1050" s="6" t="s">
        <v>37</v>
      </c>
      <c r="AE1050" t="s">
        <v>37</v>
      </c>
      <c r="AF1050" t="s">
        <v>37</v>
      </c>
      <c r="AG1050" s="6" t="s">
        <v>37</v>
      </c>
      <c r="AH1050" t="s">
        <v>37</v>
      </c>
      <c r="AI1050" t="s">
        <v>37</v>
      </c>
      <c r="AJ1050" t="str">
        <f t="shared" si="50"/>
        <v>7H9X1Z6SB07W7MKLNT</v>
      </c>
    </row>
    <row r="1051" spans="1:36" ht="15" customHeight="1" x14ac:dyDescent="0.25">
      <c r="A1051" t="s">
        <v>36</v>
      </c>
      <c r="B1051" t="s">
        <v>37</v>
      </c>
      <c r="C1051" t="s">
        <v>37</v>
      </c>
      <c r="D1051" t="s">
        <v>38</v>
      </c>
      <c r="E1051" s="4">
        <v>16</v>
      </c>
      <c r="F1051" s="5">
        <v>1113.28</v>
      </c>
      <c r="G1051" s="5" t="s">
        <v>39</v>
      </c>
      <c r="H1051" s="5">
        <v>1639.2</v>
      </c>
      <c r="I1051" s="5" t="s">
        <v>39</v>
      </c>
      <c r="J1051" s="5">
        <v>37.851520000000001</v>
      </c>
      <c r="K1051" s="5">
        <f t="shared" si="48"/>
        <v>2.36572</v>
      </c>
      <c r="L1051" s="5">
        <f t="shared" si="49"/>
        <v>69.58</v>
      </c>
      <c r="M1051" s="5" t="s">
        <v>39</v>
      </c>
      <c r="N1051" s="5">
        <v>37.851520000000001</v>
      </c>
      <c r="O1051" s="5" t="s">
        <v>39</v>
      </c>
      <c r="P1051" t="s">
        <v>270</v>
      </c>
      <c r="Q1051" t="s">
        <v>869</v>
      </c>
      <c r="R1051" t="s">
        <v>37</v>
      </c>
      <c r="S1051" t="s">
        <v>870</v>
      </c>
      <c r="T1051" t="s">
        <v>43</v>
      </c>
      <c r="U1051" t="s">
        <v>44</v>
      </c>
      <c r="V1051">
        <v>147</v>
      </c>
      <c r="W1051" t="s">
        <v>45</v>
      </c>
      <c r="X1051" t="s">
        <v>60</v>
      </c>
      <c r="Y1051" t="s">
        <v>871</v>
      </c>
      <c r="Z1051" t="s">
        <v>37</v>
      </c>
      <c r="AA1051" t="s">
        <v>55</v>
      </c>
      <c r="AB1051" t="s">
        <v>37</v>
      </c>
      <c r="AC1051" s="6" t="s">
        <v>37</v>
      </c>
      <c r="AD1051" s="6" t="s">
        <v>37</v>
      </c>
      <c r="AE1051" t="s">
        <v>37</v>
      </c>
      <c r="AF1051" t="s">
        <v>37</v>
      </c>
      <c r="AG1051" s="6" t="s">
        <v>37</v>
      </c>
      <c r="AH1051" t="s">
        <v>37</v>
      </c>
      <c r="AI1051" t="s">
        <v>37</v>
      </c>
      <c r="AJ1051" t="str">
        <f t="shared" si="50"/>
        <v>1X4DXX4TB07W5JKWTH</v>
      </c>
    </row>
    <row r="1052" spans="1:36" ht="15" customHeight="1" x14ac:dyDescent="0.25">
      <c r="A1052" t="s">
        <v>96</v>
      </c>
      <c r="B1052" t="s">
        <v>37</v>
      </c>
      <c r="C1052" t="s">
        <v>37</v>
      </c>
      <c r="D1052" t="s">
        <v>38</v>
      </c>
      <c r="E1052" s="4">
        <v>280</v>
      </c>
      <c r="F1052" s="5">
        <v>1965.6</v>
      </c>
      <c r="G1052" s="5" t="s">
        <v>39</v>
      </c>
      <c r="H1052" s="5">
        <v>2982</v>
      </c>
      <c r="I1052" s="5" t="s">
        <v>39</v>
      </c>
      <c r="J1052" s="5">
        <v>66.830399999999997</v>
      </c>
      <c r="K1052" s="5">
        <f t="shared" si="48"/>
        <v>0.23868</v>
      </c>
      <c r="L1052" s="5">
        <f t="shared" si="49"/>
        <v>7.02</v>
      </c>
      <c r="M1052" s="5" t="s">
        <v>39</v>
      </c>
      <c r="N1052" s="5">
        <v>66.830399999999997</v>
      </c>
      <c r="O1052" s="5" t="s">
        <v>39</v>
      </c>
      <c r="P1052" t="s">
        <v>241</v>
      </c>
      <c r="Q1052" t="s">
        <v>1659</v>
      </c>
      <c r="R1052" t="s">
        <v>37</v>
      </c>
      <c r="S1052" t="s">
        <v>1660</v>
      </c>
      <c r="T1052" t="s">
        <v>43</v>
      </c>
      <c r="U1052" t="s">
        <v>44</v>
      </c>
      <c r="V1052">
        <v>147</v>
      </c>
      <c r="W1052" t="s">
        <v>45</v>
      </c>
      <c r="X1052" t="s">
        <v>53</v>
      </c>
      <c r="Y1052" t="s">
        <v>1661</v>
      </c>
      <c r="Z1052" t="s">
        <v>37</v>
      </c>
      <c r="AA1052" t="s">
        <v>55</v>
      </c>
      <c r="AB1052" t="s">
        <v>37</v>
      </c>
      <c r="AC1052" s="6" t="s">
        <v>37</v>
      </c>
      <c r="AD1052" s="6" t="s">
        <v>37</v>
      </c>
      <c r="AE1052" t="s">
        <v>37</v>
      </c>
      <c r="AF1052" t="s">
        <v>37</v>
      </c>
      <c r="AG1052" s="6" t="s">
        <v>37</v>
      </c>
      <c r="AH1052" t="s">
        <v>37</v>
      </c>
      <c r="AI1052" t="s">
        <v>37</v>
      </c>
      <c r="AJ1052" t="str">
        <f t="shared" si="50"/>
        <v>6451M4NBB07H3HGS9R</v>
      </c>
    </row>
    <row r="1053" spans="1:36" ht="15" customHeight="1" x14ac:dyDescent="0.25">
      <c r="A1053" t="s">
        <v>96</v>
      </c>
      <c r="B1053" t="s">
        <v>37</v>
      </c>
      <c r="C1053" t="s">
        <v>37</v>
      </c>
      <c r="D1053" t="s">
        <v>38</v>
      </c>
      <c r="E1053" s="4">
        <v>30</v>
      </c>
      <c r="F1053" s="5">
        <v>491.7</v>
      </c>
      <c r="G1053" s="5" t="s">
        <v>39</v>
      </c>
      <c r="H1053" s="5">
        <v>737.4</v>
      </c>
      <c r="I1053" s="5" t="s">
        <v>39</v>
      </c>
      <c r="J1053" s="5">
        <v>16.7178</v>
      </c>
      <c r="K1053" s="5">
        <f t="shared" si="48"/>
        <v>0.55725999999999998</v>
      </c>
      <c r="L1053" s="5">
        <f t="shared" si="49"/>
        <v>16.39</v>
      </c>
      <c r="M1053" s="5" t="s">
        <v>39</v>
      </c>
      <c r="N1053" s="5">
        <v>16.7178</v>
      </c>
      <c r="O1053" s="5" t="s">
        <v>39</v>
      </c>
      <c r="P1053" t="s">
        <v>195</v>
      </c>
      <c r="Q1053" t="s">
        <v>1325</v>
      </c>
      <c r="R1053" t="s">
        <v>37</v>
      </c>
      <c r="S1053" t="s">
        <v>1326</v>
      </c>
      <c r="T1053" t="s">
        <v>43</v>
      </c>
      <c r="U1053" t="s">
        <v>44</v>
      </c>
      <c r="V1053">
        <v>147</v>
      </c>
      <c r="W1053" t="s">
        <v>45</v>
      </c>
      <c r="X1053" t="s">
        <v>53</v>
      </c>
      <c r="Y1053" t="s">
        <v>1327</v>
      </c>
      <c r="Z1053" t="s">
        <v>37</v>
      </c>
      <c r="AA1053" t="s">
        <v>48</v>
      </c>
      <c r="AB1053" t="s">
        <v>37</v>
      </c>
      <c r="AC1053" s="6" t="s">
        <v>37</v>
      </c>
      <c r="AD1053" s="6" t="s">
        <v>37</v>
      </c>
      <c r="AE1053" t="s">
        <v>37</v>
      </c>
      <c r="AF1053" t="s">
        <v>37</v>
      </c>
      <c r="AG1053" s="6" t="s">
        <v>37</v>
      </c>
      <c r="AH1053" t="s">
        <v>37</v>
      </c>
      <c r="AI1053" t="s">
        <v>37</v>
      </c>
      <c r="AJ1053" t="str">
        <f t="shared" si="50"/>
        <v>5X1OU9ZGB01K7GEAF2</v>
      </c>
    </row>
    <row r="1054" spans="1:36" ht="15" customHeight="1" x14ac:dyDescent="0.25">
      <c r="A1054" t="s">
        <v>411</v>
      </c>
      <c r="B1054" t="s">
        <v>37</v>
      </c>
      <c r="C1054" t="s">
        <v>37</v>
      </c>
      <c r="D1054" t="s">
        <v>38</v>
      </c>
      <c r="E1054" s="4">
        <v>16</v>
      </c>
      <c r="F1054" s="5">
        <v>702.72</v>
      </c>
      <c r="G1054" s="5" t="s">
        <v>39</v>
      </c>
      <c r="H1054" s="5">
        <v>1049.1199999999999</v>
      </c>
      <c r="I1054" s="5" t="s">
        <v>39</v>
      </c>
      <c r="J1054" s="5">
        <v>23.892479999999999</v>
      </c>
      <c r="K1054" s="5">
        <f t="shared" si="48"/>
        <v>1.4932799999999999</v>
      </c>
      <c r="L1054" s="5">
        <f t="shared" si="49"/>
        <v>43.92</v>
      </c>
      <c r="M1054" s="5" t="s">
        <v>39</v>
      </c>
      <c r="N1054" s="5">
        <v>23.892479999999999</v>
      </c>
      <c r="O1054" s="5" t="s">
        <v>39</v>
      </c>
      <c r="P1054" t="s">
        <v>416</v>
      </c>
      <c r="Q1054" t="s">
        <v>893</v>
      </c>
      <c r="R1054" t="s">
        <v>37</v>
      </c>
      <c r="S1054" t="s">
        <v>894</v>
      </c>
      <c r="T1054" t="s">
        <v>43</v>
      </c>
      <c r="U1054" t="s">
        <v>44</v>
      </c>
      <c r="V1054">
        <v>147</v>
      </c>
      <c r="W1054" t="s">
        <v>45</v>
      </c>
      <c r="X1054" t="s">
        <v>53</v>
      </c>
      <c r="Y1054" t="s">
        <v>895</v>
      </c>
      <c r="Z1054" t="s">
        <v>37</v>
      </c>
      <c r="AA1054" t="s">
        <v>48</v>
      </c>
      <c r="AB1054" t="s">
        <v>37</v>
      </c>
      <c r="AC1054" s="6" t="s">
        <v>37</v>
      </c>
      <c r="AD1054" s="6" t="s">
        <v>37</v>
      </c>
      <c r="AE1054" t="s">
        <v>37</v>
      </c>
      <c r="AF1054" t="s">
        <v>37</v>
      </c>
      <c r="AG1054" s="6" t="s">
        <v>37</v>
      </c>
      <c r="AH1054" t="s">
        <v>37</v>
      </c>
      <c r="AI1054" t="s">
        <v>37</v>
      </c>
      <c r="AJ1054" t="str">
        <f t="shared" si="50"/>
        <v>69351YNLB0797FYB3K</v>
      </c>
    </row>
    <row r="1055" spans="1:36" ht="15" customHeight="1" x14ac:dyDescent="0.25">
      <c r="A1055" t="s">
        <v>76</v>
      </c>
      <c r="B1055" t="s">
        <v>37</v>
      </c>
      <c r="C1055" t="s">
        <v>37</v>
      </c>
      <c r="D1055" t="s">
        <v>38</v>
      </c>
      <c r="E1055" s="4">
        <v>112</v>
      </c>
      <c r="F1055" s="5">
        <v>8443.68</v>
      </c>
      <c r="G1055" s="5" t="s">
        <v>39</v>
      </c>
      <c r="H1055" s="5">
        <v>12392.8</v>
      </c>
      <c r="I1055" s="5" t="s">
        <v>39</v>
      </c>
      <c r="J1055" s="5">
        <v>287.08512000000002</v>
      </c>
      <c r="K1055" s="5">
        <f t="shared" si="48"/>
        <v>2.5632600000000001</v>
      </c>
      <c r="L1055" s="5">
        <f t="shared" si="49"/>
        <v>75.39</v>
      </c>
      <c r="M1055" s="5" t="s">
        <v>39</v>
      </c>
      <c r="N1055" s="5">
        <v>287.08512000000002</v>
      </c>
      <c r="O1055" s="5" t="s">
        <v>39</v>
      </c>
      <c r="P1055" t="s">
        <v>426</v>
      </c>
      <c r="Q1055" t="s">
        <v>1665</v>
      </c>
      <c r="R1055" t="s">
        <v>37</v>
      </c>
      <c r="S1055" t="s">
        <v>1666</v>
      </c>
      <c r="T1055" t="s">
        <v>43</v>
      </c>
      <c r="U1055" t="s">
        <v>44</v>
      </c>
      <c r="V1055">
        <v>147</v>
      </c>
      <c r="W1055" t="s">
        <v>92</v>
      </c>
      <c r="X1055" t="s">
        <v>433</v>
      </c>
      <c r="Y1055" t="s">
        <v>1667</v>
      </c>
      <c r="Z1055" t="s">
        <v>37</v>
      </c>
      <c r="AA1055" t="s">
        <v>55</v>
      </c>
      <c r="AB1055" t="s">
        <v>37</v>
      </c>
      <c r="AC1055" s="6" t="s">
        <v>37</v>
      </c>
      <c r="AD1055" s="6" t="s">
        <v>37</v>
      </c>
      <c r="AE1055" t="s">
        <v>37</v>
      </c>
      <c r="AF1055" t="s">
        <v>37</v>
      </c>
      <c r="AG1055" s="6" t="s">
        <v>37</v>
      </c>
      <c r="AH1055" t="s">
        <v>37</v>
      </c>
      <c r="AI1055" t="s">
        <v>37</v>
      </c>
      <c r="AJ1055" t="str">
        <f t="shared" si="50"/>
        <v>3IQS66UGB07W6JQ52X</v>
      </c>
    </row>
    <row r="1056" spans="1:36" ht="15" customHeight="1" x14ac:dyDescent="0.25">
      <c r="A1056" t="s">
        <v>49</v>
      </c>
      <c r="B1056" t="s">
        <v>37</v>
      </c>
      <c r="C1056" t="s">
        <v>37</v>
      </c>
      <c r="D1056" t="s">
        <v>38</v>
      </c>
      <c r="E1056" s="4">
        <v>88</v>
      </c>
      <c r="F1056" s="5">
        <v>1804</v>
      </c>
      <c r="G1056" s="5" t="s">
        <v>39</v>
      </c>
      <c r="H1056" s="5">
        <v>2740.32</v>
      </c>
      <c r="I1056" s="5" t="s">
        <v>39</v>
      </c>
      <c r="J1056" s="5">
        <v>61.335999999999999</v>
      </c>
      <c r="K1056" s="5">
        <f t="shared" si="48"/>
        <v>0.69699999999999995</v>
      </c>
      <c r="L1056" s="5">
        <f t="shared" si="49"/>
        <v>20.5</v>
      </c>
      <c r="M1056" s="5" t="s">
        <v>39</v>
      </c>
      <c r="N1056" s="5">
        <v>61.335999999999999</v>
      </c>
      <c r="O1056" s="5" t="s">
        <v>39</v>
      </c>
      <c r="P1056" t="s">
        <v>1668</v>
      </c>
      <c r="Q1056" t="s">
        <v>567</v>
      </c>
      <c r="R1056" t="s">
        <v>37</v>
      </c>
      <c r="S1056" t="s">
        <v>568</v>
      </c>
      <c r="T1056" t="s">
        <v>43</v>
      </c>
      <c r="U1056" t="s">
        <v>44</v>
      </c>
      <c r="V1056">
        <v>147</v>
      </c>
      <c r="W1056" t="s">
        <v>45</v>
      </c>
      <c r="X1056" t="s">
        <v>60</v>
      </c>
      <c r="Y1056" t="s">
        <v>569</v>
      </c>
      <c r="Z1056" t="s">
        <v>37</v>
      </c>
      <c r="AA1056" t="s">
        <v>95</v>
      </c>
      <c r="AB1056" t="s">
        <v>37</v>
      </c>
      <c r="AC1056" s="6" t="s">
        <v>37</v>
      </c>
      <c r="AD1056" s="6" t="s">
        <v>37</v>
      </c>
      <c r="AE1056" t="s">
        <v>37</v>
      </c>
      <c r="AF1056" t="s">
        <v>37</v>
      </c>
      <c r="AG1056" s="6" t="s">
        <v>37</v>
      </c>
      <c r="AH1056" t="s">
        <v>37</v>
      </c>
      <c r="AI1056" t="s">
        <v>37</v>
      </c>
      <c r="AJ1056" t="str">
        <f t="shared" si="50"/>
        <v>6SZP9P7CB006ZLK9SQ</v>
      </c>
    </row>
    <row r="1057" spans="1:36" ht="15" customHeight="1" x14ac:dyDescent="0.25">
      <c r="A1057" t="s">
        <v>162</v>
      </c>
      <c r="B1057" t="s">
        <v>37</v>
      </c>
      <c r="C1057" t="s">
        <v>37</v>
      </c>
      <c r="D1057" t="s">
        <v>38</v>
      </c>
      <c r="E1057" s="4">
        <v>4</v>
      </c>
      <c r="F1057" s="5">
        <v>301.64</v>
      </c>
      <c r="G1057" s="5" t="s">
        <v>39</v>
      </c>
      <c r="H1057" s="5">
        <v>442.6</v>
      </c>
      <c r="I1057" s="5" t="s">
        <v>39</v>
      </c>
      <c r="J1057" s="5">
        <v>10.25576</v>
      </c>
      <c r="K1057" s="5">
        <f t="shared" si="48"/>
        <v>2.5639400000000001</v>
      </c>
      <c r="L1057" s="5">
        <f t="shared" si="49"/>
        <v>75.41</v>
      </c>
      <c r="M1057" s="5" t="s">
        <v>39</v>
      </c>
      <c r="N1057" s="5">
        <v>10.25576</v>
      </c>
      <c r="O1057" s="5" t="s">
        <v>39</v>
      </c>
      <c r="P1057" t="s">
        <v>270</v>
      </c>
      <c r="Q1057" t="s">
        <v>1070</v>
      </c>
      <c r="R1057" t="s">
        <v>37</v>
      </c>
      <c r="S1057" t="s">
        <v>1071</v>
      </c>
      <c r="T1057" t="s">
        <v>43</v>
      </c>
      <c r="U1057" t="s">
        <v>44</v>
      </c>
      <c r="V1057">
        <v>147</v>
      </c>
      <c r="W1057" t="s">
        <v>45</v>
      </c>
      <c r="X1057" t="s">
        <v>60</v>
      </c>
      <c r="Y1057" t="s">
        <v>1072</v>
      </c>
      <c r="Z1057" t="s">
        <v>37</v>
      </c>
      <c r="AA1057" t="s">
        <v>55</v>
      </c>
      <c r="AB1057" t="s">
        <v>37</v>
      </c>
      <c r="AC1057" s="6" t="s">
        <v>37</v>
      </c>
      <c r="AD1057" s="6" t="s">
        <v>37</v>
      </c>
      <c r="AE1057" t="s">
        <v>37</v>
      </c>
      <c r="AF1057" t="s">
        <v>37</v>
      </c>
      <c r="AG1057" s="6" t="s">
        <v>37</v>
      </c>
      <c r="AH1057" t="s">
        <v>37</v>
      </c>
      <c r="AI1057" t="s">
        <v>37</v>
      </c>
      <c r="AJ1057" t="str">
        <f t="shared" si="50"/>
        <v>1X4DXX4TB07W5JK1JN</v>
      </c>
    </row>
    <row r="1058" spans="1:36" ht="15" customHeight="1" x14ac:dyDescent="0.25">
      <c r="A1058" t="s">
        <v>101</v>
      </c>
      <c r="B1058" t="s">
        <v>37</v>
      </c>
      <c r="C1058" t="s">
        <v>37</v>
      </c>
      <c r="D1058" t="s">
        <v>38</v>
      </c>
      <c r="E1058" s="4">
        <v>44</v>
      </c>
      <c r="F1058" s="5">
        <v>2994.64</v>
      </c>
      <c r="G1058" s="5" t="s">
        <v>39</v>
      </c>
      <c r="H1058" s="5">
        <v>4868.6000000000004</v>
      </c>
      <c r="I1058" s="5" t="s">
        <v>39</v>
      </c>
      <c r="J1058" s="5">
        <v>101.81776000000001</v>
      </c>
      <c r="K1058" s="5">
        <f t="shared" si="48"/>
        <v>2.3140400000000003</v>
      </c>
      <c r="L1058" s="5">
        <f t="shared" si="49"/>
        <v>68.06</v>
      </c>
      <c r="M1058" s="5" t="s">
        <v>39</v>
      </c>
      <c r="N1058" s="5">
        <v>101.81776000000001</v>
      </c>
      <c r="O1058" s="5" t="s">
        <v>39</v>
      </c>
      <c r="P1058" t="s">
        <v>72</v>
      </c>
      <c r="Q1058" t="s">
        <v>1669</v>
      </c>
      <c r="R1058" t="s">
        <v>37</v>
      </c>
      <c r="S1058" t="s">
        <v>1670</v>
      </c>
      <c r="T1058" t="s">
        <v>1671</v>
      </c>
      <c r="U1058" t="s">
        <v>44</v>
      </c>
      <c r="V1058">
        <v>147</v>
      </c>
      <c r="W1058" t="s">
        <v>92</v>
      </c>
      <c r="X1058" t="s">
        <v>543</v>
      </c>
      <c r="Y1058" t="s">
        <v>1672</v>
      </c>
      <c r="Z1058" t="s">
        <v>37</v>
      </c>
      <c r="AA1058" t="s">
        <v>55</v>
      </c>
      <c r="AB1058" t="s">
        <v>37</v>
      </c>
      <c r="AC1058" s="6" t="s">
        <v>37</v>
      </c>
      <c r="AD1058" s="6" t="s">
        <v>37</v>
      </c>
      <c r="AE1058" t="s">
        <v>37</v>
      </c>
      <c r="AF1058" t="s">
        <v>37</v>
      </c>
      <c r="AG1058" s="6" t="s">
        <v>37</v>
      </c>
      <c r="AH1058" t="s">
        <v>37</v>
      </c>
      <c r="AI1058" t="s">
        <v>37</v>
      </c>
      <c r="AJ1058" t="str">
        <f t="shared" si="50"/>
        <v>4GF112AEB07W7L9JXG</v>
      </c>
    </row>
    <row r="1059" spans="1:36" ht="15" customHeight="1" x14ac:dyDescent="0.25">
      <c r="A1059" t="s">
        <v>96</v>
      </c>
      <c r="B1059" t="s">
        <v>37</v>
      </c>
      <c r="C1059" t="s">
        <v>37</v>
      </c>
      <c r="D1059" t="s">
        <v>38</v>
      </c>
      <c r="E1059" s="4">
        <v>4</v>
      </c>
      <c r="F1059" s="5">
        <v>420</v>
      </c>
      <c r="G1059" s="5" t="s">
        <v>39</v>
      </c>
      <c r="H1059" s="5">
        <v>685.2</v>
      </c>
      <c r="I1059" s="5" t="s">
        <v>39</v>
      </c>
      <c r="J1059" s="5">
        <v>14.28</v>
      </c>
      <c r="K1059" s="5">
        <f t="shared" si="48"/>
        <v>3.57</v>
      </c>
      <c r="L1059" s="5">
        <f t="shared" si="49"/>
        <v>105</v>
      </c>
      <c r="M1059" s="5" t="s">
        <v>39</v>
      </c>
      <c r="N1059" s="5">
        <v>14.28</v>
      </c>
      <c r="O1059" s="5" t="s">
        <v>39</v>
      </c>
      <c r="P1059" t="s">
        <v>479</v>
      </c>
      <c r="Q1059" t="s">
        <v>1228</v>
      </c>
      <c r="R1059" t="s">
        <v>37</v>
      </c>
      <c r="S1059" t="s">
        <v>1229</v>
      </c>
      <c r="T1059" t="s">
        <v>43</v>
      </c>
      <c r="U1059" t="s">
        <v>44</v>
      </c>
      <c r="V1059">
        <v>147</v>
      </c>
      <c r="W1059" t="s">
        <v>45</v>
      </c>
      <c r="X1059" t="s">
        <v>46</v>
      </c>
      <c r="Y1059" t="s">
        <v>1230</v>
      </c>
      <c r="Z1059" t="s">
        <v>37</v>
      </c>
      <c r="AA1059" t="s">
        <v>48</v>
      </c>
      <c r="AB1059" t="s">
        <v>37</v>
      </c>
      <c r="AC1059" s="6" t="s">
        <v>37</v>
      </c>
      <c r="AD1059" s="6" t="s">
        <v>37</v>
      </c>
      <c r="AE1059" t="s">
        <v>37</v>
      </c>
      <c r="AF1059" t="s">
        <v>37</v>
      </c>
      <c r="AG1059" s="6" t="s">
        <v>37</v>
      </c>
      <c r="AH1059" t="s">
        <v>37</v>
      </c>
      <c r="AI1059" t="s">
        <v>37</v>
      </c>
      <c r="AJ1059" t="str">
        <f t="shared" si="50"/>
        <v>7SCVG2OTB01GHP1IDY</v>
      </c>
    </row>
    <row r="1060" spans="1:36" ht="15" customHeight="1" x14ac:dyDescent="0.25">
      <c r="A1060" t="s">
        <v>118</v>
      </c>
      <c r="B1060" t="s">
        <v>37</v>
      </c>
      <c r="C1060" t="s">
        <v>37</v>
      </c>
      <c r="D1060" t="s">
        <v>38</v>
      </c>
      <c r="E1060" s="4">
        <v>4</v>
      </c>
      <c r="F1060" s="5">
        <v>185.6</v>
      </c>
      <c r="G1060" s="5" t="s">
        <v>39</v>
      </c>
      <c r="H1060" s="5">
        <v>268.8</v>
      </c>
      <c r="I1060" s="5" t="s">
        <v>39</v>
      </c>
      <c r="J1060" s="5">
        <v>6.3103999999999996</v>
      </c>
      <c r="K1060" s="5">
        <f t="shared" si="48"/>
        <v>1.5775999999999999</v>
      </c>
      <c r="L1060" s="5">
        <f t="shared" si="49"/>
        <v>46.4</v>
      </c>
      <c r="M1060" s="5" t="s">
        <v>39</v>
      </c>
      <c r="N1060" s="5">
        <v>6.3103999999999996</v>
      </c>
      <c r="O1060" s="5" t="s">
        <v>39</v>
      </c>
      <c r="P1060" t="s">
        <v>141</v>
      </c>
      <c r="Q1060" t="s">
        <v>1463</v>
      </c>
      <c r="R1060" t="s">
        <v>37</v>
      </c>
      <c r="S1060" t="s">
        <v>1464</v>
      </c>
      <c r="T1060" t="s">
        <v>43</v>
      </c>
      <c r="U1060" t="s">
        <v>44</v>
      </c>
      <c r="V1060">
        <v>147</v>
      </c>
      <c r="W1060" t="s">
        <v>45</v>
      </c>
      <c r="X1060" t="s">
        <v>53</v>
      </c>
      <c r="Y1060" t="s">
        <v>1465</v>
      </c>
      <c r="Z1060" t="s">
        <v>37</v>
      </c>
      <c r="AA1060" t="s">
        <v>55</v>
      </c>
      <c r="AB1060" t="s">
        <v>37</v>
      </c>
      <c r="AC1060" s="6" t="s">
        <v>37</v>
      </c>
      <c r="AD1060" s="6" t="s">
        <v>37</v>
      </c>
      <c r="AE1060" t="s">
        <v>37</v>
      </c>
      <c r="AF1060" t="s">
        <v>37</v>
      </c>
      <c r="AG1060" s="6" t="s">
        <v>37</v>
      </c>
      <c r="AH1060" t="s">
        <v>37</v>
      </c>
      <c r="AI1060" t="s">
        <v>37</v>
      </c>
      <c r="AJ1060" t="str">
        <f t="shared" si="50"/>
        <v>56UO2L2IB07W8P4PDD</v>
      </c>
    </row>
    <row r="1061" spans="1:36" ht="15" customHeight="1" x14ac:dyDescent="0.25">
      <c r="A1061" t="s">
        <v>101</v>
      </c>
      <c r="B1061" t="s">
        <v>37</v>
      </c>
      <c r="C1061" t="s">
        <v>37</v>
      </c>
      <c r="D1061" t="s">
        <v>38</v>
      </c>
      <c r="E1061" s="4">
        <v>32</v>
      </c>
      <c r="F1061" s="5">
        <v>370.88</v>
      </c>
      <c r="G1061" s="5" t="s">
        <v>39</v>
      </c>
      <c r="H1061" s="5">
        <v>576.64</v>
      </c>
      <c r="I1061" s="5" t="s">
        <v>39</v>
      </c>
      <c r="J1061" s="5">
        <v>12.609920000000001</v>
      </c>
      <c r="K1061" s="5">
        <f t="shared" si="48"/>
        <v>0.39406000000000002</v>
      </c>
      <c r="L1061" s="5">
        <f t="shared" si="49"/>
        <v>11.59</v>
      </c>
      <c r="M1061" s="5" t="s">
        <v>39</v>
      </c>
      <c r="N1061" s="5">
        <v>12.609920000000001</v>
      </c>
      <c r="O1061" s="5" t="s">
        <v>39</v>
      </c>
      <c r="P1061" t="s">
        <v>120</v>
      </c>
      <c r="Q1061" t="s">
        <v>563</v>
      </c>
      <c r="R1061" t="s">
        <v>37</v>
      </c>
      <c r="S1061" t="s">
        <v>564</v>
      </c>
      <c r="T1061" t="s">
        <v>43</v>
      </c>
      <c r="U1061" t="s">
        <v>44</v>
      </c>
      <c r="V1061">
        <v>147</v>
      </c>
      <c r="W1061" t="s">
        <v>45</v>
      </c>
      <c r="X1061" t="s">
        <v>60</v>
      </c>
      <c r="Y1061" t="s">
        <v>565</v>
      </c>
      <c r="Z1061" t="s">
        <v>37</v>
      </c>
      <c r="AA1061" t="s">
        <v>55</v>
      </c>
      <c r="AB1061" t="s">
        <v>37</v>
      </c>
      <c r="AC1061" s="6" t="s">
        <v>37</v>
      </c>
      <c r="AD1061" s="6" t="s">
        <v>37</v>
      </c>
      <c r="AE1061" t="s">
        <v>37</v>
      </c>
      <c r="AF1061" t="s">
        <v>37</v>
      </c>
      <c r="AG1061" s="6" t="s">
        <v>37</v>
      </c>
      <c r="AH1061" t="s">
        <v>37</v>
      </c>
      <c r="AI1061" t="s">
        <v>37</v>
      </c>
      <c r="AJ1061" t="str">
        <f t="shared" si="50"/>
        <v>5MWU8WTDB07VWZHCNX</v>
      </c>
    </row>
    <row r="1062" spans="1:36" ht="15" customHeight="1" x14ac:dyDescent="0.25">
      <c r="A1062" t="s">
        <v>76</v>
      </c>
      <c r="B1062" t="s">
        <v>37</v>
      </c>
      <c r="C1062" t="s">
        <v>37</v>
      </c>
      <c r="D1062" t="s">
        <v>38</v>
      </c>
      <c r="E1062" s="4">
        <v>10</v>
      </c>
      <c r="F1062" s="5">
        <v>163.9</v>
      </c>
      <c r="G1062" s="5" t="s">
        <v>39</v>
      </c>
      <c r="H1062" s="5">
        <v>245.8</v>
      </c>
      <c r="I1062" s="5" t="s">
        <v>39</v>
      </c>
      <c r="J1062" s="5">
        <v>5.5726000000000004</v>
      </c>
      <c r="K1062" s="5">
        <f t="shared" si="48"/>
        <v>0.55726000000000009</v>
      </c>
      <c r="L1062" s="5">
        <f t="shared" si="49"/>
        <v>16.39</v>
      </c>
      <c r="M1062" s="5" t="s">
        <v>39</v>
      </c>
      <c r="N1062" s="5">
        <v>5.5726000000000004</v>
      </c>
      <c r="O1062" s="5" t="s">
        <v>39</v>
      </c>
      <c r="P1062" t="s">
        <v>114</v>
      </c>
      <c r="Q1062" t="s">
        <v>917</v>
      </c>
      <c r="R1062" t="s">
        <v>37</v>
      </c>
      <c r="S1062" t="s">
        <v>918</v>
      </c>
      <c r="T1062" t="s">
        <v>43</v>
      </c>
      <c r="U1062" t="s">
        <v>44</v>
      </c>
      <c r="V1062">
        <v>147</v>
      </c>
      <c r="W1062" t="s">
        <v>45</v>
      </c>
      <c r="X1062" t="s">
        <v>60</v>
      </c>
      <c r="Y1062" t="s">
        <v>919</v>
      </c>
      <c r="Z1062" t="s">
        <v>37</v>
      </c>
      <c r="AA1062" t="s">
        <v>55</v>
      </c>
      <c r="AB1062" t="s">
        <v>37</v>
      </c>
      <c r="AC1062" s="6" t="s">
        <v>37</v>
      </c>
      <c r="AD1062" s="6" t="s">
        <v>37</v>
      </c>
      <c r="AE1062" t="s">
        <v>37</v>
      </c>
      <c r="AF1062" t="s">
        <v>37</v>
      </c>
      <c r="AG1062" s="6" t="s">
        <v>37</v>
      </c>
      <c r="AH1062" t="s">
        <v>37</v>
      </c>
      <c r="AI1062" t="s">
        <v>37</v>
      </c>
      <c r="AJ1062" t="str">
        <f t="shared" si="50"/>
        <v>243WWSUAB00EJ3RMDM</v>
      </c>
    </row>
    <row r="1063" spans="1:36" ht="15" customHeight="1" x14ac:dyDescent="0.25">
      <c r="A1063" t="s">
        <v>36</v>
      </c>
      <c r="B1063" t="s">
        <v>37</v>
      </c>
      <c r="C1063" t="s">
        <v>37</v>
      </c>
      <c r="D1063" t="s">
        <v>38</v>
      </c>
      <c r="E1063" s="4">
        <v>144</v>
      </c>
      <c r="F1063" s="5">
        <v>4638.24</v>
      </c>
      <c r="G1063" s="5" t="s">
        <v>39</v>
      </c>
      <c r="H1063" s="5">
        <v>6962.4</v>
      </c>
      <c r="I1063" s="5" t="s">
        <v>39</v>
      </c>
      <c r="J1063" s="5">
        <v>157.70016000000001</v>
      </c>
      <c r="K1063" s="5">
        <f t="shared" si="48"/>
        <v>1.09514</v>
      </c>
      <c r="L1063" s="5">
        <f t="shared" si="49"/>
        <v>32.21</v>
      </c>
      <c r="M1063" s="5" t="s">
        <v>39</v>
      </c>
      <c r="N1063" s="5">
        <v>157.70016000000001</v>
      </c>
      <c r="O1063" s="5" t="s">
        <v>39</v>
      </c>
      <c r="P1063" t="s">
        <v>297</v>
      </c>
      <c r="Q1063" t="s">
        <v>1673</v>
      </c>
      <c r="R1063" t="s">
        <v>37</v>
      </c>
      <c r="S1063" t="s">
        <v>1674</v>
      </c>
      <c r="T1063" t="s">
        <v>43</v>
      </c>
      <c r="U1063" t="s">
        <v>44</v>
      </c>
      <c r="V1063">
        <v>147</v>
      </c>
      <c r="W1063" t="s">
        <v>45</v>
      </c>
      <c r="X1063" t="s">
        <v>60</v>
      </c>
      <c r="Y1063" t="s">
        <v>1675</v>
      </c>
      <c r="Z1063" t="s">
        <v>37</v>
      </c>
      <c r="AA1063" t="s">
        <v>55</v>
      </c>
      <c r="AB1063" t="s">
        <v>37</v>
      </c>
      <c r="AC1063" s="6" t="s">
        <v>37</v>
      </c>
      <c r="AD1063" s="6" t="s">
        <v>37</v>
      </c>
      <c r="AE1063" t="s">
        <v>37</v>
      </c>
      <c r="AF1063" t="s">
        <v>37</v>
      </c>
      <c r="AG1063" s="6" t="s">
        <v>37</v>
      </c>
      <c r="AH1063" t="s">
        <v>37</v>
      </c>
      <c r="AI1063" t="s">
        <v>37</v>
      </c>
      <c r="AJ1063" t="str">
        <f t="shared" si="50"/>
        <v>5KUAVFPZB07W6GNXZG</v>
      </c>
    </row>
    <row r="1064" spans="1:36" ht="15" customHeight="1" x14ac:dyDescent="0.25">
      <c r="A1064" t="s">
        <v>88</v>
      </c>
      <c r="B1064" t="s">
        <v>37</v>
      </c>
      <c r="C1064" t="s">
        <v>37</v>
      </c>
      <c r="D1064" t="s">
        <v>38</v>
      </c>
      <c r="E1064" s="4">
        <v>4</v>
      </c>
      <c r="F1064" s="5">
        <v>175.68</v>
      </c>
      <c r="G1064" s="5" t="s">
        <v>39</v>
      </c>
      <c r="H1064" s="5">
        <v>262.27999999999997</v>
      </c>
      <c r="I1064" s="5" t="s">
        <v>39</v>
      </c>
      <c r="J1064" s="5">
        <v>5.9731199999999998</v>
      </c>
      <c r="K1064" s="5">
        <f t="shared" si="48"/>
        <v>1.4932799999999999</v>
      </c>
      <c r="L1064" s="5">
        <f t="shared" si="49"/>
        <v>43.92</v>
      </c>
      <c r="M1064" s="5" t="s">
        <v>39</v>
      </c>
      <c r="N1064" s="5">
        <v>5.9731199999999998</v>
      </c>
      <c r="O1064" s="5" t="s">
        <v>39</v>
      </c>
      <c r="P1064" t="s">
        <v>40</v>
      </c>
      <c r="Q1064" t="s">
        <v>623</v>
      </c>
      <c r="R1064" t="s">
        <v>624</v>
      </c>
      <c r="S1064" t="s">
        <v>625</v>
      </c>
      <c r="T1064" t="s">
        <v>43</v>
      </c>
      <c r="U1064" t="s">
        <v>44</v>
      </c>
      <c r="V1064">
        <v>147</v>
      </c>
      <c r="W1064" t="s">
        <v>45</v>
      </c>
      <c r="X1064" t="s">
        <v>60</v>
      </c>
      <c r="Y1064" t="s">
        <v>626</v>
      </c>
      <c r="Z1064" t="s">
        <v>37</v>
      </c>
      <c r="AA1064" t="s">
        <v>48</v>
      </c>
      <c r="AB1064" t="s">
        <v>37</v>
      </c>
      <c r="AC1064" s="6" t="s">
        <v>37</v>
      </c>
      <c r="AD1064" s="6" t="s">
        <v>37</v>
      </c>
      <c r="AE1064" t="s">
        <v>37</v>
      </c>
      <c r="AF1064" t="s">
        <v>37</v>
      </c>
      <c r="AG1064" s="6" t="s">
        <v>37</v>
      </c>
      <c r="AH1064" t="s">
        <v>37</v>
      </c>
      <c r="AI1064" t="s">
        <v>37</v>
      </c>
      <c r="AJ1064" t="str">
        <f t="shared" si="50"/>
        <v>4A3KDTEZB0797JRLQC</v>
      </c>
    </row>
    <row r="1065" spans="1:36" ht="15" customHeight="1" x14ac:dyDescent="0.25">
      <c r="A1065" t="s">
        <v>36</v>
      </c>
      <c r="B1065" t="s">
        <v>37</v>
      </c>
      <c r="C1065" t="s">
        <v>37</v>
      </c>
      <c r="D1065" t="s">
        <v>38</v>
      </c>
      <c r="E1065" s="4">
        <v>800</v>
      </c>
      <c r="F1065" s="5">
        <v>67112</v>
      </c>
      <c r="G1065" s="5" t="s">
        <v>39</v>
      </c>
      <c r="H1065" s="5">
        <v>108192</v>
      </c>
      <c r="I1065" s="5" t="s">
        <v>39</v>
      </c>
      <c r="J1065" s="5">
        <v>2281.808</v>
      </c>
      <c r="K1065" s="5">
        <f t="shared" si="48"/>
        <v>2.8522599999999998</v>
      </c>
      <c r="L1065" s="5">
        <f t="shared" si="49"/>
        <v>83.89</v>
      </c>
      <c r="M1065" s="5" t="s">
        <v>39</v>
      </c>
      <c r="N1065" s="5">
        <v>2281.808</v>
      </c>
      <c r="O1065" s="5" t="s">
        <v>39</v>
      </c>
      <c r="P1065" t="s">
        <v>404</v>
      </c>
      <c r="Q1065" t="s">
        <v>1676</v>
      </c>
      <c r="R1065" t="s">
        <v>37</v>
      </c>
      <c r="S1065" t="s">
        <v>1677</v>
      </c>
      <c r="T1065" t="s">
        <v>43</v>
      </c>
      <c r="U1065" t="s">
        <v>44</v>
      </c>
      <c r="V1065">
        <v>147</v>
      </c>
      <c r="W1065" t="s">
        <v>45</v>
      </c>
      <c r="X1065" t="s">
        <v>53</v>
      </c>
      <c r="Y1065" t="s">
        <v>1678</v>
      </c>
      <c r="Z1065" t="s">
        <v>37</v>
      </c>
      <c r="AA1065" t="s">
        <v>55</v>
      </c>
      <c r="AB1065" t="s">
        <v>37</v>
      </c>
      <c r="AC1065" s="6" t="s">
        <v>37</v>
      </c>
      <c r="AD1065" s="6" t="s">
        <v>37</v>
      </c>
      <c r="AE1065" t="s">
        <v>37</v>
      </c>
      <c r="AF1065" t="s">
        <v>37</v>
      </c>
      <c r="AG1065" s="6" t="s">
        <v>37</v>
      </c>
      <c r="AH1065" t="s">
        <v>37</v>
      </c>
      <c r="AI1065" t="s">
        <v>37</v>
      </c>
      <c r="AJ1065" t="str">
        <f t="shared" si="50"/>
        <v>54JZ1ZVPB07W5JKPJX</v>
      </c>
    </row>
    <row r="1066" spans="1:36" ht="15" customHeight="1" x14ac:dyDescent="0.25">
      <c r="A1066" t="s">
        <v>88</v>
      </c>
      <c r="B1066" t="s">
        <v>37</v>
      </c>
      <c r="C1066" t="s">
        <v>37</v>
      </c>
      <c r="D1066" t="s">
        <v>38</v>
      </c>
      <c r="E1066" s="4">
        <v>20</v>
      </c>
      <c r="F1066" s="5">
        <v>1677.8</v>
      </c>
      <c r="G1066" s="5" t="s">
        <v>39</v>
      </c>
      <c r="H1066" s="5">
        <v>2704.8</v>
      </c>
      <c r="I1066" s="5" t="s">
        <v>39</v>
      </c>
      <c r="J1066" s="5">
        <v>57.045200000000001</v>
      </c>
      <c r="K1066" s="5">
        <f t="shared" si="48"/>
        <v>2.8522600000000002</v>
      </c>
      <c r="L1066" s="5">
        <f t="shared" si="49"/>
        <v>83.89</v>
      </c>
      <c r="M1066" s="5" t="s">
        <v>39</v>
      </c>
      <c r="N1066" s="5">
        <v>57.045200000000001</v>
      </c>
      <c r="O1066" s="5" t="s">
        <v>39</v>
      </c>
      <c r="P1066" t="s">
        <v>404</v>
      </c>
      <c r="Q1066" t="s">
        <v>1676</v>
      </c>
      <c r="R1066" t="s">
        <v>37</v>
      </c>
      <c r="S1066" t="s">
        <v>1677</v>
      </c>
      <c r="T1066" t="s">
        <v>43</v>
      </c>
      <c r="U1066" t="s">
        <v>44</v>
      </c>
      <c r="V1066">
        <v>147</v>
      </c>
      <c r="W1066" t="s">
        <v>45</v>
      </c>
      <c r="X1066" t="s">
        <v>53</v>
      </c>
      <c r="Y1066" t="s">
        <v>1678</v>
      </c>
      <c r="Z1066" t="s">
        <v>37</v>
      </c>
      <c r="AA1066" t="s">
        <v>55</v>
      </c>
      <c r="AB1066" t="s">
        <v>37</v>
      </c>
      <c r="AC1066" s="6" t="s">
        <v>37</v>
      </c>
      <c r="AD1066" s="6" t="s">
        <v>37</v>
      </c>
      <c r="AE1066" t="s">
        <v>37</v>
      </c>
      <c r="AF1066" t="s">
        <v>37</v>
      </c>
      <c r="AG1066" s="6" t="s">
        <v>37</v>
      </c>
      <c r="AH1066" t="s">
        <v>37</v>
      </c>
      <c r="AI1066" t="s">
        <v>37</v>
      </c>
      <c r="AJ1066" t="str">
        <f t="shared" si="50"/>
        <v>54JZ1ZVPB07W5JKPJX</v>
      </c>
    </row>
    <row r="1067" spans="1:36" ht="15" customHeight="1" x14ac:dyDescent="0.25">
      <c r="A1067" t="s">
        <v>36</v>
      </c>
      <c r="B1067" t="s">
        <v>37</v>
      </c>
      <c r="C1067" t="s">
        <v>37</v>
      </c>
      <c r="D1067" t="s">
        <v>38</v>
      </c>
      <c r="E1067" s="4">
        <v>4</v>
      </c>
      <c r="F1067" s="5">
        <v>175.68</v>
      </c>
      <c r="G1067" s="5" t="s">
        <v>39</v>
      </c>
      <c r="H1067" s="5">
        <v>262.27999999999997</v>
      </c>
      <c r="I1067" s="5" t="s">
        <v>39</v>
      </c>
      <c r="J1067" s="5">
        <v>5.9731199999999998</v>
      </c>
      <c r="K1067" s="5">
        <f t="shared" si="48"/>
        <v>1.4932799999999999</v>
      </c>
      <c r="L1067" s="5">
        <f t="shared" si="49"/>
        <v>43.92</v>
      </c>
      <c r="M1067" s="5" t="s">
        <v>39</v>
      </c>
      <c r="N1067" s="5">
        <v>5.9731199999999998</v>
      </c>
      <c r="O1067" s="5" t="s">
        <v>39</v>
      </c>
      <c r="P1067" t="s">
        <v>40</v>
      </c>
      <c r="Q1067" t="s">
        <v>623</v>
      </c>
      <c r="R1067" t="s">
        <v>624</v>
      </c>
      <c r="S1067" t="s">
        <v>625</v>
      </c>
      <c r="T1067" t="s">
        <v>43</v>
      </c>
      <c r="U1067" t="s">
        <v>44</v>
      </c>
      <c r="V1067">
        <v>147</v>
      </c>
      <c r="W1067" t="s">
        <v>45</v>
      </c>
      <c r="X1067" t="s">
        <v>60</v>
      </c>
      <c r="Y1067" t="s">
        <v>626</v>
      </c>
      <c r="Z1067" t="s">
        <v>37</v>
      </c>
      <c r="AA1067" t="s">
        <v>48</v>
      </c>
      <c r="AB1067" t="s">
        <v>37</v>
      </c>
      <c r="AC1067" s="6" t="s">
        <v>37</v>
      </c>
      <c r="AD1067" s="6" t="s">
        <v>37</v>
      </c>
      <c r="AE1067" t="s">
        <v>37</v>
      </c>
      <c r="AF1067" t="s">
        <v>37</v>
      </c>
      <c r="AG1067" s="6" t="s">
        <v>37</v>
      </c>
      <c r="AH1067" t="s">
        <v>37</v>
      </c>
      <c r="AI1067" t="s">
        <v>37</v>
      </c>
      <c r="AJ1067" t="str">
        <f t="shared" si="50"/>
        <v>4A3KDTEZB0797JRLQC</v>
      </c>
    </row>
    <row r="1068" spans="1:36" ht="15" customHeight="1" x14ac:dyDescent="0.25">
      <c r="A1068" t="s">
        <v>36</v>
      </c>
      <c r="B1068" t="s">
        <v>37</v>
      </c>
      <c r="C1068" t="s">
        <v>37</v>
      </c>
      <c r="D1068" t="s">
        <v>38</v>
      </c>
      <c r="E1068" s="4">
        <v>4</v>
      </c>
      <c r="F1068" s="5">
        <v>278.44</v>
      </c>
      <c r="G1068" s="5" t="s">
        <v>39</v>
      </c>
      <c r="H1068" s="5">
        <v>327.84</v>
      </c>
      <c r="I1068" s="5" t="s">
        <v>39</v>
      </c>
      <c r="J1068" s="5">
        <v>9.4669600000000003</v>
      </c>
      <c r="K1068" s="5">
        <f t="shared" si="48"/>
        <v>2.3667400000000001</v>
      </c>
      <c r="L1068" s="5">
        <f t="shared" si="49"/>
        <v>69.61</v>
      </c>
      <c r="M1068" s="5" t="s">
        <v>39</v>
      </c>
      <c r="N1068" s="5">
        <v>9.4669600000000003</v>
      </c>
      <c r="O1068" s="5" t="s">
        <v>39</v>
      </c>
      <c r="P1068" t="s">
        <v>1160</v>
      </c>
      <c r="Q1068" t="s">
        <v>786</v>
      </c>
      <c r="R1068" t="s">
        <v>787</v>
      </c>
      <c r="S1068" t="s">
        <v>788</v>
      </c>
      <c r="T1068" t="s">
        <v>43</v>
      </c>
      <c r="U1068" t="s">
        <v>44</v>
      </c>
      <c r="V1068">
        <v>147</v>
      </c>
      <c r="W1068" t="s">
        <v>45</v>
      </c>
      <c r="X1068" t="s">
        <v>60</v>
      </c>
      <c r="Y1068" t="s">
        <v>789</v>
      </c>
      <c r="Z1068" t="s">
        <v>37</v>
      </c>
      <c r="AA1068" t="s">
        <v>55</v>
      </c>
      <c r="AB1068" t="s">
        <v>37</v>
      </c>
      <c r="AC1068" s="6" t="s">
        <v>37</v>
      </c>
      <c r="AD1068" s="6" t="s">
        <v>37</v>
      </c>
      <c r="AE1068" t="s">
        <v>37</v>
      </c>
      <c r="AF1068" t="s">
        <v>37</v>
      </c>
      <c r="AG1068" s="6" t="s">
        <v>37</v>
      </c>
      <c r="AH1068" t="s">
        <v>37</v>
      </c>
      <c r="AI1068" t="s">
        <v>37</v>
      </c>
      <c r="AJ1068" t="str">
        <f t="shared" si="50"/>
        <v>6MKSEO6MB0044AFFMK</v>
      </c>
    </row>
    <row r="1069" spans="1:36" ht="15" customHeight="1" x14ac:dyDescent="0.25">
      <c r="A1069" t="s">
        <v>76</v>
      </c>
      <c r="B1069" t="s">
        <v>37</v>
      </c>
      <c r="C1069" t="s">
        <v>37</v>
      </c>
      <c r="D1069" t="s">
        <v>38</v>
      </c>
      <c r="E1069" s="4">
        <v>16</v>
      </c>
      <c r="F1069" s="5">
        <v>1549.28</v>
      </c>
      <c r="G1069" s="5" t="s">
        <v>39</v>
      </c>
      <c r="H1069" s="5">
        <v>1836</v>
      </c>
      <c r="I1069" s="5" t="s">
        <v>39</v>
      </c>
      <c r="J1069" s="5">
        <v>52.675519999999999</v>
      </c>
      <c r="K1069" s="5">
        <f t="shared" si="48"/>
        <v>3.2922199999999999</v>
      </c>
      <c r="L1069" s="5">
        <f t="shared" si="49"/>
        <v>96.83</v>
      </c>
      <c r="M1069" s="5" t="s">
        <v>39</v>
      </c>
      <c r="N1069" s="5">
        <v>52.675519999999999</v>
      </c>
      <c r="O1069" s="5" t="s">
        <v>39</v>
      </c>
      <c r="P1069" t="s">
        <v>63</v>
      </c>
      <c r="Q1069" t="s">
        <v>275</v>
      </c>
      <c r="R1069" t="s">
        <v>276</v>
      </c>
      <c r="S1069" t="s">
        <v>277</v>
      </c>
      <c r="T1069" t="s">
        <v>43</v>
      </c>
      <c r="U1069" t="s">
        <v>44</v>
      </c>
      <c r="V1069">
        <v>267</v>
      </c>
      <c r="W1069" t="s">
        <v>151</v>
      </c>
      <c r="X1069" t="s">
        <v>152</v>
      </c>
      <c r="Y1069" t="s">
        <v>278</v>
      </c>
      <c r="Z1069" t="s">
        <v>37</v>
      </c>
      <c r="AA1069" t="s">
        <v>95</v>
      </c>
      <c r="AB1069" t="s">
        <v>37</v>
      </c>
      <c r="AC1069" s="6" t="s">
        <v>37</v>
      </c>
      <c r="AD1069" s="6" t="s">
        <v>37</v>
      </c>
      <c r="AE1069" t="s">
        <v>37</v>
      </c>
      <c r="AF1069" t="s">
        <v>37</v>
      </c>
      <c r="AG1069" s="6" t="s">
        <v>37</v>
      </c>
      <c r="AH1069" t="s">
        <v>37</v>
      </c>
      <c r="AI1069" t="s">
        <v>37</v>
      </c>
      <c r="AJ1069" t="str">
        <f t="shared" si="50"/>
        <v>7H9X1Z6SB002VA464S</v>
      </c>
    </row>
    <row r="1070" spans="1:36" ht="15" customHeight="1" x14ac:dyDescent="0.25">
      <c r="A1070" t="s">
        <v>118</v>
      </c>
      <c r="B1070" t="s">
        <v>37</v>
      </c>
      <c r="C1070" t="s">
        <v>37</v>
      </c>
      <c r="D1070" t="s">
        <v>38</v>
      </c>
      <c r="E1070" s="4">
        <v>660</v>
      </c>
      <c r="F1070" s="5">
        <v>145906.20000000001</v>
      </c>
      <c r="G1070" s="5" t="s">
        <v>39</v>
      </c>
      <c r="H1070" s="5">
        <v>221799.6</v>
      </c>
      <c r="I1070" s="5" t="s">
        <v>39</v>
      </c>
      <c r="J1070" s="5">
        <v>4960.8108000000002</v>
      </c>
      <c r="K1070" s="5">
        <f t="shared" si="48"/>
        <v>7.5163800000000007</v>
      </c>
      <c r="L1070" s="5">
        <f t="shared" si="49"/>
        <v>221.07000000000002</v>
      </c>
      <c r="M1070" s="5" t="s">
        <v>39</v>
      </c>
      <c r="N1070" s="5">
        <v>4960.8108000000002</v>
      </c>
      <c r="O1070" s="5" t="s">
        <v>39</v>
      </c>
      <c r="P1070" t="s">
        <v>566</v>
      </c>
      <c r="Q1070" t="s">
        <v>298</v>
      </c>
      <c r="R1070" t="s">
        <v>37</v>
      </c>
      <c r="S1070" t="s">
        <v>299</v>
      </c>
      <c r="T1070" t="s">
        <v>43</v>
      </c>
      <c r="U1070" t="s">
        <v>44</v>
      </c>
      <c r="V1070">
        <v>147</v>
      </c>
      <c r="W1070" t="s">
        <v>45</v>
      </c>
      <c r="X1070" t="s">
        <v>46</v>
      </c>
      <c r="Y1070" t="s">
        <v>300</v>
      </c>
      <c r="Z1070" t="s">
        <v>37</v>
      </c>
      <c r="AA1070" t="s">
        <v>55</v>
      </c>
      <c r="AB1070" t="s">
        <v>37</v>
      </c>
      <c r="AC1070" s="6" t="s">
        <v>37</v>
      </c>
      <c r="AD1070" s="6" t="s">
        <v>37</v>
      </c>
      <c r="AE1070" t="s">
        <v>37</v>
      </c>
      <c r="AF1070" t="s">
        <v>37</v>
      </c>
      <c r="AG1070" s="6" t="s">
        <v>37</v>
      </c>
      <c r="AH1070" t="s">
        <v>37</v>
      </c>
      <c r="AI1070" t="s">
        <v>37</v>
      </c>
      <c r="AJ1070" t="str">
        <f t="shared" si="50"/>
        <v>44DTI43XB00YUIM2J0</v>
      </c>
    </row>
    <row r="1071" spans="1:36" ht="15" customHeight="1" x14ac:dyDescent="0.25">
      <c r="A1071" t="s">
        <v>62</v>
      </c>
      <c r="B1071" t="s">
        <v>37</v>
      </c>
      <c r="C1071" t="s">
        <v>37</v>
      </c>
      <c r="D1071" t="s">
        <v>38</v>
      </c>
      <c r="E1071" s="4">
        <v>12</v>
      </c>
      <c r="F1071" s="5">
        <v>967.68</v>
      </c>
      <c r="G1071" s="5" t="s">
        <v>39</v>
      </c>
      <c r="H1071" s="5">
        <v>1426.2</v>
      </c>
      <c r="I1071" s="5" t="s">
        <v>39</v>
      </c>
      <c r="J1071" s="5">
        <v>32.901119999999999</v>
      </c>
      <c r="K1071" s="5">
        <f t="shared" si="48"/>
        <v>2.7417599999999998</v>
      </c>
      <c r="L1071" s="5">
        <f t="shared" si="49"/>
        <v>80.64</v>
      </c>
      <c r="M1071" s="5" t="s">
        <v>39</v>
      </c>
      <c r="N1071" s="5">
        <v>32.901119999999999</v>
      </c>
      <c r="O1071" s="5" t="s">
        <v>39</v>
      </c>
      <c r="P1071" t="s">
        <v>968</v>
      </c>
      <c r="Q1071" t="s">
        <v>1122</v>
      </c>
      <c r="R1071" t="s">
        <v>37</v>
      </c>
      <c r="S1071" t="s">
        <v>1123</v>
      </c>
      <c r="T1071" t="s">
        <v>43</v>
      </c>
      <c r="U1071" t="s">
        <v>44</v>
      </c>
      <c r="V1071">
        <v>147</v>
      </c>
      <c r="W1071" t="s">
        <v>45</v>
      </c>
      <c r="X1071" t="s">
        <v>239</v>
      </c>
      <c r="Y1071" t="s">
        <v>1124</v>
      </c>
      <c r="Z1071" t="s">
        <v>37</v>
      </c>
      <c r="AA1071" t="s">
        <v>95</v>
      </c>
      <c r="AB1071" t="s">
        <v>37</v>
      </c>
      <c r="AC1071" s="6" t="s">
        <v>37</v>
      </c>
      <c r="AD1071" s="6" t="s">
        <v>37</v>
      </c>
      <c r="AE1071" t="s">
        <v>37</v>
      </c>
      <c r="AF1071" t="s">
        <v>37</v>
      </c>
      <c r="AG1071" s="6" t="s">
        <v>37</v>
      </c>
      <c r="AH1071" t="s">
        <v>37</v>
      </c>
      <c r="AI1071" t="s">
        <v>37</v>
      </c>
      <c r="AJ1071" t="str">
        <f t="shared" si="50"/>
        <v>7LA8DZCZB07W7J6RBC</v>
      </c>
    </row>
    <row r="1072" spans="1:36" ht="15" customHeight="1" x14ac:dyDescent="0.25">
      <c r="A1072" t="s">
        <v>62</v>
      </c>
      <c r="B1072" t="s">
        <v>37</v>
      </c>
      <c r="C1072" t="s">
        <v>37</v>
      </c>
      <c r="D1072" t="s">
        <v>38</v>
      </c>
      <c r="E1072" s="4">
        <v>4</v>
      </c>
      <c r="F1072" s="5">
        <v>324.83999999999997</v>
      </c>
      <c r="G1072" s="5" t="s">
        <v>39</v>
      </c>
      <c r="H1072" s="5">
        <v>324.83999999999997</v>
      </c>
      <c r="I1072" s="5" t="s">
        <v>39</v>
      </c>
      <c r="J1072" s="5">
        <v>11.044560000000001</v>
      </c>
      <c r="K1072" s="5">
        <f t="shared" si="48"/>
        <v>2.7611400000000001</v>
      </c>
      <c r="L1072" s="5">
        <f t="shared" si="49"/>
        <v>81.209999999999994</v>
      </c>
      <c r="M1072" s="5" t="s">
        <v>39</v>
      </c>
      <c r="N1072" s="5">
        <v>11.044560000000001</v>
      </c>
      <c r="O1072" s="5" t="s">
        <v>39</v>
      </c>
      <c r="P1072" t="s">
        <v>63</v>
      </c>
      <c r="Q1072" t="s">
        <v>1679</v>
      </c>
      <c r="R1072" t="s">
        <v>37</v>
      </c>
      <c r="S1072" t="s">
        <v>1680</v>
      </c>
      <c r="T1072" t="s">
        <v>43</v>
      </c>
      <c r="U1072" t="s">
        <v>44</v>
      </c>
      <c r="V1072">
        <v>147</v>
      </c>
      <c r="W1072" t="s">
        <v>45</v>
      </c>
      <c r="X1072" t="s">
        <v>60</v>
      </c>
      <c r="Y1072" t="s">
        <v>1681</v>
      </c>
      <c r="Z1072" t="s">
        <v>1682</v>
      </c>
      <c r="AA1072" t="s">
        <v>55</v>
      </c>
      <c r="AB1072" t="s">
        <v>37</v>
      </c>
      <c r="AC1072" s="6" t="s">
        <v>37</v>
      </c>
      <c r="AD1072" s="6" t="s">
        <v>37</v>
      </c>
      <c r="AE1072" t="s">
        <v>37</v>
      </c>
      <c r="AF1072" t="s">
        <v>37</v>
      </c>
      <c r="AG1072" s="6" t="s">
        <v>37</v>
      </c>
      <c r="AH1072" t="s">
        <v>37</v>
      </c>
      <c r="AI1072" t="s">
        <v>37</v>
      </c>
      <c r="AJ1072" t="str">
        <f t="shared" si="50"/>
        <v>7H9X1Z6SB07W6GY48B</v>
      </c>
    </row>
    <row r="1073" spans="1:36" ht="15" customHeight="1" x14ac:dyDescent="0.25">
      <c r="A1073" t="s">
        <v>56</v>
      </c>
      <c r="B1073" t="s">
        <v>37</v>
      </c>
      <c r="C1073" t="s">
        <v>37</v>
      </c>
      <c r="D1073" t="s">
        <v>38</v>
      </c>
      <c r="E1073" s="4">
        <v>8</v>
      </c>
      <c r="F1073" s="5">
        <v>460.08</v>
      </c>
      <c r="G1073" s="5" t="s">
        <v>39</v>
      </c>
      <c r="H1073" s="5">
        <v>681.92</v>
      </c>
      <c r="I1073" s="5" t="s">
        <v>39</v>
      </c>
      <c r="J1073" s="5">
        <v>15.642720000000001</v>
      </c>
      <c r="K1073" s="5">
        <f t="shared" si="48"/>
        <v>1.9553400000000001</v>
      </c>
      <c r="L1073" s="5">
        <f t="shared" si="49"/>
        <v>57.51</v>
      </c>
      <c r="M1073" s="5" t="s">
        <v>39</v>
      </c>
      <c r="N1073" s="5">
        <v>15.642720000000001</v>
      </c>
      <c r="O1073" s="5" t="s">
        <v>39</v>
      </c>
      <c r="P1073" t="s">
        <v>57</v>
      </c>
      <c r="Q1073" t="s">
        <v>1683</v>
      </c>
      <c r="R1073" t="s">
        <v>37</v>
      </c>
      <c r="S1073" t="s">
        <v>1684</v>
      </c>
      <c r="T1073" t="s">
        <v>43</v>
      </c>
      <c r="U1073" t="s">
        <v>44</v>
      </c>
      <c r="V1073">
        <v>147</v>
      </c>
      <c r="W1073" t="s">
        <v>45</v>
      </c>
      <c r="X1073" t="s">
        <v>46</v>
      </c>
      <c r="Y1073" t="s">
        <v>1685</v>
      </c>
      <c r="Z1073" t="s">
        <v>37</v>
      </c>
      <c r="AA1073" t="s">
        <v>55</v>
      </c>
      <c r="AB1073" t="s">
        <v>37</v>
      </c>
      <c r="AC1073" s="6" t="s">
        <v>37</v>
      </c>
      <c r="AD1073" s="6" t="s">
        <v>37</v>
      </c>
      <c r="AE1073" t="s">
        <v>37</v>
      </c>
      <c r="AF1073" t="s">
        <v>37</v>
      </c>
      <c r="AG1073" s="6" t="s">
        <v>37</v>
      </c>
      <c r="AH1073" t="s">
        <v>37</v>
      </c>
      <c r="AI1073" t="s">
        <v>37</v>
      </c>
      <c r="AJ1073" t="str">
        <f t="shared" si="50"/>
        <v>3GBCH66MB06XQ323B3</v>
      </c>
    </row>
    <row r="1074" spans="1:36" ht="15" customHeight="1" x14ac:dyDescent="0.25">
      <c r="A1074" t="s">
        <v>36</v>
      </c>
      <c r="B1074" t="s">
        <v>37</v>
      </c>
      <c r="C1074" t="s">
        <v>37</v>
      </c>
      <c r="D1074" t="s">
        <v>38</v>
      </c>
      <c r="E1074" s="4">
        <v>8</v>
      </c>
      <c r="F1074" s="5">
        <v>505.84</v>
      </c>
      <c r="G1074" s="5" t="s">
        <v>39</v>
      </c>
      <c r="H1074" s="5">
        <v>681.92</v>
      </c>
      <c r="I1074" s="5" t="s">
        <v>39</v>
      </c>
      <c r="J1074" s="5">
        <v>17.198560000000001</v>
      </c>
      <c r="K1074" s="5">
        <f t="shared" si="48"/>
        <v>2.1498200000000001</v>
      </c>
      <c r="L1074" s="5">
        <f t="shared" si="49"/>
        <v>63.23</v>
      </c>
      <c r="M1074" s="5" t="s">
        <v>39</v>
      </c>
      <c r="N1074" s="5">
        <v>17.198560000000001</v>
      </c>
      <c r="O1074" s="5" t="s">
        <v>39</v>
      </c>
      <c r="P1074" t="s">
        <v>365</v>
      </c>
      <c r="Q1074" t="s">
        <v>1318</v>
      </c>
      <c r="R1074" t="s">
        <v>1319</v>
      </c>
      <c r="S1074" t="s">
        <v>1320</v>
      </c>
      <c r="T1074" t="s">
        <v>43</v>
      </c>
      <c r="U1074" t="s">
        <v>44</v>
      </c>
      <c r="V1074">
        <v>147</v>
      </c>
      <c r="W1074" t="s">
        <v>45</v>
      </c>
      <c r="X1074" t="s">
        <v>239</v>
      </c>
      <c r="Y1074" t="s">
        <v>1321</v>
      </c>
      <c r="Z1074" t="s">
        <v>37</v>
      </c>
      <c r="AA1074" t="s">
        <v>48</v>
      </c>
      <c r="AB1074" t="s">
        <v>37</v>
      </c>
      <c r="AC1074" s="6" t="s">
        <v>37</v>
      </c>
      <c r="AD1074" s="6" t="s">
        <v>37</v>
      </c>
      <c r="AE1074" t="s">
        <v>37</v>
      </c>
      <c r="AF1074" t="s">
        <v>37</v>
      </c>
      <c r="AG1074" s="6" t="s">
        <v>37</v>
      </c>
      <c r="AH1074" t="s">
        <v>37</v>
      </c>
      <c r="AI1074" t="s">
        <v>37</v>
      </c>
      <c r="AJ1074" t="str">
        <f t="shared" si="50"/>
        <v>3KYCEHVHB006A2Q81M</v>
      </c>
    </row>
    <row r="1075" spans="1:36" ht="15" customHeight="1" x14ac:dyDescent="0.25">
      <c r="A1075" t="s">
        <v>62</v>
      </c>
      <c r="B1075" t="s">
        <v>37</v>
      </c>
      <c r="C1075" t="s">
        <v>37</v>
      </c>
      <c r="D1075" t="s">
        <v>38</v>
      </c>
      <c r="E1075" s="4">
        <v>144</v>
      </c>
      <c r="F1075" s="5">
        <v>9940.32</v>
      </c>
      <c r="G1075" s="5" t="s">
        <v>39</v>
      </c>
      <c r="H1075" s="5">
        <v>15226.56</v>
      </c>
      <c r="I1075" s="5" t="s">
        <v>39</v>
      </c>
      <c r="J1075" s="5">
        <v>337.97088000000002</v>
      </c>
      <c r="K1075" s="5">
        <f t="shared" si="48"/>
        <v>2.3470200000000001</v>
      </c>
      <c r="L1075" s="5">
        <f t="shared" si="49"/>
        <v>69.03</v>
      </c>
      <c r="M1075" s="5" t="s">
        <v>39</v>
      </c>
      <c r="N1075" s="5">
        <v>337.97088000000002</v>
      </c>
      <c r="O1075" s="5" t="s">
        <v>39</v>
      </c>
      <c r="P1075" t="s">
        <v>63</v>
      </c>
      <c r="Q1075" t="s">
        <v>1686</v>
      </c>
      <c r="R1075" t="s">
        <v>37</v>
      </c>
      <c r="S1075" t="s">
        <v>1687</v>
      </c>
      <c r="T1075" t="s">
        <v>43</v>
      </c>
      <c r="U1075" t="s">
        <v>44</v>
      </c>
      <c r="V1075">
        <v>147</v>
      </c>
      <c r="W1075" t="s">
        <v>45</v>
      </c>
      <c r="X1075" t="s">
        <v>46</v>
      </c>
      <c r="Y1075" t="s">
        <v>1688</v>
      </c>
      <c r="Z1075" t="s">
        <v>37</v>
      </c>
      <c r="AA1075" t="s">
        <v>55</v>
      </c>
      <c r="AB1075" t="s">
        <v>37</v>
      </c>
      <c r="AC1075" s="6" t="s">
        <v>37</v>
      </c>
      <c r="AD1075" s="6" t="s">
        <v>37</v>
      </c>
      <c r="AE1075" t="s">
        <v>37</v>
      </c>
      <c r="AF1075" t="s">
        <v>37</v>
      </c>
      <c r="AG1075" s="6" t="s">
        <v>37</v>
      </c>
      <c r="AH1075" t="s">
        <v>37</v>
      </c>
      <c r="AI1075" t="s">
        <v>37</v>
      </c>
      <c r="AJ1075" t="str">
        <f t="shared" si="50"/>
        <v>7H9X1Z6SB07W4DH9QZ</v>
      </c>
    </row>
    <row r="1076" spans="1:36" ht="15" customHeight="1" x14ac:dyDescent="0.25">
      <c r="A1076" t="s">
        <v>36</v>
      </c>
      <c r="B1076" t="s">
        <v>37</v>
      </c>
      <c r="C1076" t="s">
        <v>37</v>
      </c>
      <c r="D1076" t="s">
        <v>38</v>
      </c>
      <c r="E1076" s="4">
        <v>4</v>
      </c>
      <c r="F1076" s="5">
        <v>175.68</v>
      </c>
      <c r="G1076" s="5" t="s">
        <v>39</v>
      </c>
      <c r="H1076" s="5">
        <v>262.27999999999997</v>
      </c>
      <c r="I1076" s="5" t="s">
        <v>39</v>
      </c>
      <c r="J1076" s="5">
        <v>5.9731199999999998</v>
      </c>
      <c r="K1076" s="5">
        <f t="shared" si="48"/>
        <v>1.4932799999999999</v>
      </c>
      <c r="L1076" s="5">
        <f t="shared" si="49"/>
        <v>43.92</v>
      </c>
      <c r="M1076" s="5" t="s">
        <v>39</v>
      </c>
      <c r="N1076" s="5">
        <v>5.9731199999999998</v>
      </c>
      <c r="O1076" s="5" t="s">
        <v>39</v>
      </c>
      <c r="P1076" t="s">
        <v>246</v>
      </c>
      <c r="Q1076" t="s">
        <v>623</v>
      </c>
      <c r="R1076" t="s">
        <v>624</v>
      </c>
      <c r="S1076" t="s">
        <v>625</v>
      </c>
      <c r="T1076" t="s">
        <v>43</v>
      </c>
      <c r="U1076" t="s">
        <v>44</v>
      </c>
      <c r="V1076">
        <v>147</v>
      </c>
      <c r="W1076" t="s">
        <v>45</v>
      </c>
      <c r="X1076" t="s">
        <v>60</v>
      </c>
      <c r="Y1076" t="s">
        <v>626</v>
      </c>
      <c r="Z1076" t="s">
        <v>37</v>
      </c>
      <c r="AA1076" t="s">
        <v>48</v>
      </c>
      <c r="AB1076" t="s">
        <v>37</v>
      </c>
      <c r="AC1076" s="6" t="s">
        <v>37</v>
      </c>
      <c r="AD1076" s="6" t="s">
        <v>37</v>
      </c>
      <c r="AE1076" t="s">
        <v>37</v>
      </c>
      <c r="AF1076" t="s">
        <v>37</v>
      </c>
      <c r="AG1076" s="6" t="s">
        <v>37</v>
      </c>
      <c r="AH1076" t="s">
        <v>37</v>
      </c>
      <c r="AI1076" t="s">
        <v>37</v>
      </c>
      <c r="AJ1076" t="str">
        <f t="shared" si="50"/>
        <v>1PSIXGLTB0797JRLQC</v>
      </c>
    </row>
    <row r="1077" spans="1:36" ht="15" customHeight="1" x14ac:dyDescent="0.25">
      <c r="A1077" t="s">
        <v>110</v>
      </c>
      <c r="B1077" t="s">
        <v>37</v>
      </c>
      <c r="C1077" t="s">
        <v>37</v>
      </c>
      <c r="D1077" t="s">
        <v>38</v>
      </c>
      <c r="E1077" s="4">
        <v>8</v>
      </c>
      <c r="F1077" s="5">
        <v>257.68</v>
      </c>
      <c r="G1077" s="5" t="s">
        <v>39</v>
      </c>
      <c r="H1077" s="5">
        <v>386.8</v>
      </c>
      <c r="I1077" s="5" t="s">
        <v>39</v>
      </c>
      <c r="J1077" s="5">
        <v>8.76112</v>
      </c>
      <c r="K1077" s="5">
        <f t="shared" si="48"/>
        <v>1.09514</v>
      </c>
      <c r="L1077" s="5">
        <f t="shared" si="49"/>
        <v>32.21</v>
      </c>
      <c r="M1077" s="5" t="s">
        <v>39</v>
      </c>
      <c r="N1077" s="5">
        <v>8.76112</v>
      </c>
      <c r="O1077" s="5" t="s">
        <v>39</v>
      </c>
      <c r="P1077" t="s">
        <v>274</v>
      </c>
      <c r="Q1077" t="s">
        <v>1689</v>
      </c>
      <c r="R1077" t="s">
        <v>37</v>
      </c>
      <c r="S1077" t="s">
        <v>1690</v>
      </c>
      <c r="T1077" t="s">
        <v>43</v>
      </c>
      <c r="U1077" t="s">
        <v>44</v>
      </c>
      <c r="V1077">
        <v>147</v>
      </c>
      <c r="W1077" t="s">
        <v>45</v>
      </c>
      <c r="X1077" t="s">
        <v>60</v>
      </c>
      <c r="Y1077" t="s">
        <v>1691</v>
      </c>
      <c r="Z1077" t="s">
        <v>37</v>
      </c>
      <c r="AA1077" t="s">
        <v>48</v>
      </c>
      <c r="AB1077" t="s">
        <v>37</v>
      </c>
      <c r="AC1077" s="6" t="s">
        <v>37</v>
      </c>
      <c r="AD1077" s="6" t="s">
        <v>37</v>
      </c>
      <c r="AE1077" t="s">
        <v>37</v>
      </c>
      <c r="AF1077" t="s">
        <v>37</v>
      </c>
      <c r="AG1077" s="6" t="s">
        <v>37</v>
      </c>
      <c r="AH1077" t="s">
        <v>37</v>
      </c>
      <c r="AI1077" t="s">
        <v>37</v>
      </c>
      <c r="AJ1077" t="str">
        <f t="shared" si="50"/>
        <v>4LYATDUXB013SL1ZBK</v>
      </c>
    </row>
    <row r="1078" spans="1:36" ht="15" customHeight="1" x14ac:dyDescent="0.25">
      <c r="A1078" t="s">
        <v>101</v>
      </c>
      <c r="B1078" t="s">
        <v>37</v>
      </c>
      <c r="C1078" t="s">
        <v>37</v>
      </c>
      <c r="D1078" t="s">
        <v>38</v>
      </c>
      <c r="E1078" s="4">
        <v>120</v>
      </c>
      <c r="F1078" s="5">
        <v>1966.8</v>
      </c>
      <c r="G1078" s="5" t="s">
        <v>39</v>
      </c>
      <c r="H1078" s="5">
        <v>2949.6</v>
      </c>
      <c r="I1078" s="5" t="s">
        <v>39</v>
      </c>
      <c r="J1078" s="5">
        <v>66.871200000000002</v>
      </c>
      <c r="K1078" s="5">
        <f t="shared" si="48"/>
        <v>0.55725999999999998</v>
      </c>
      <c r="L1078" s="5">
        <f t="shared" si="49"/>
        <v>16.39</v>
      </c>
      <c r="M1078" s="5" t="s">
        <v>39</v>
      </c>
      <c r="N1078" s="5">
        <v>66.871200000000002</v>
      </c>
      <c r="O1078" s="5" t="s">
        <v>39</v>
      </c>
      <c r="P1078" t="s">
        <v>274</v>
      </c>
      <c r="Q1078" t="s">
        <v>1255</v>
      </c>
      <c r="R1078" t="s">
        <v>37</v>
      </c>
      <c r="S1078" t="s">
        <v>1256</v>
      </c>
      <c r="T1078" t="s">
        <v>43</v>
      </c>
      <c r="U1078" t="s">
        <v>44</v>
      </c>
      <c r="V1078">
        <v>147</v>
      </c>
      <c r="W1078" t="s">
        <v>45</v>
      </c>
      <c r="X1078" t="s">
        <v>53</v>
      </c>
      <c r="Y1078" t="s">
        <v>1257</v>
      </c>
      <c r="Z1078" t="s">
        <v>37</v>
      </c>
      <c r="AA1078" t="s">
        <v>55</v>
      </c>
      <c r="AB1078" t="s">
        <v>37</v>
      </c>
      <c r="AC1078" s="6" t="s">
        <v>37</v>
      </c>
      <c r="AD1078" s="6" t="s">
        <v>37</v>
      </c>
      <c r="AE1078" t="s">
        <v>37</v>
      </c>
      <c r="AF1078" t="s">
        <v>37</v>
      </c>
      <c r="AG1078" s="6" t="s">
        <v>37</v>
      </c>
      <c r="AH1078" t="s">
        <v>37</v>
      </c>
      <c r="AI1078" t="s">
        <v>37</v>
      </c>
      <c r="AJ1078" t="str">
        <f t="shared" si="50"/>
        <v>4LYATDUXB07W6G822V</v>
      </c>
    </row>
    <row r="1079" spans="1:36" ht="15" customHeight="1" x14ac:dyDescent="0.25">
      <c r="A1079" t="s">
        <v>1242</v>
      </c>
      <c r="B1079" t="s">
        <v>37</v>
      </c>
      <c r="C1079" t="s">
        <v>37</v>
      </c>
      <c r="D1079" t="s">
        <v>38</v>
      </c>
      <c r="E1079" s="4">
        <v>4</v>
      </c>
      <c r="F1079" s="5">
        <v>276.12</v>
      </c>
      <c r="G1079" s="5" t="s">
        <v>39</v>
      </c>
      <c r="H1079" s="5">
        <v>422.96</v>
      </c>
      <c r="I1079" s="5" t="s">
        <v>39</v>
      </c>
      <c r="J1079" s="5">
        <v>9.3880800000000004</v>
      </c>
      <c r="K1079" s="5">
        <f t="shared" si="48"/>
        <v>2.3470200000000001</v>
      </c>
      <c r="L1079" s="5">
        <f t="shared" si="49"/>
        <v>69.03</v>
      </c>
      <c r="M1079" s="5" t="s">
        <v>39</v>
      </c>
      <c r="N1079" s="5">
        <v>9.3880800000000004</v>
      </c>
      <c r="O1079" s="5" t="s">
        <v>39</v>
      </c>
      <c r="P1079" t="s">
        <v>63</v>
      </c>
      <c r="Q1079" t="s">
        <v>1686</v>
      </c>
      <c r="R1079" t="s">
        <v>37</v>
      </c>
      <c r="S1079" t="s">
        <v>1687</v>
      </c>
      <c r="T1079" t="s">
        <v>43</v>
      </c>
      <c r="U1079" t="s">
        <v>44</v>
      </c>
      <c r="V1079">
        <v>147</v>
      </c>
      <c r="W1079" t="s">
        <v>45</v>
      </c>
      <c r="X1079" t="s">
        <v>46</v>
      </c>
      <c r="Y1079" t="s">
        <v>1688</v>
      </c>
      <c r="Z1079" t="s">
        <v>37</v>
      </c>
      <c r="AA1079" t="s">
        <v>55</v>
      </c>
      <c r="AB1079" t="s">
        <v>37</v>
      </c>
      <c r="AC1079" s="6" t="s">
        <v>37</v>
      </c>
      <c r="AD1079" s="6" t="s">
        <v>37</v>
      </c>
      <c r="AE1079" t="s">
        <v>37</v>
      </c>
      <c r="AF1079" t="s">
        <v>37</v>
      </c>
      <c r="AG1079" s="6" t="s">
        <v>37</v>
      </c>
      <c r="AH1079" t="s">
        <v>37</v>
      </c>
      <c r="AI1079" t="s">
        <v>37</v>
      </c>
      <c r="AJ1079" t="str">
        <f t="shared" si="50"/>
        <v>7H9X1Z6SB07W4DH9QZ</v>
      </c>
    </row>
    <row r="1080" spans="1:36" ht="15" customHeight="1" x14ac:dyDescent="0.25">
      <c r="A1080" t="s">
        <v>221</v>
      </c>
      <c r="B1080" t="s">
        <v>37</v>
      </c>
      <c r="C1080" t="s">
        <v>37</v>
      </c>
      <c r="D1080" t="s">
        <v>38</v>
      </c>
      <c r="E1080" s="4">
        <v>4</v>
      </c>
      <c r="F1080" s="5">
        <v>147.72</v>
      </c>
      <c r="G1080" s="5" t="s">
        <v>39</v>
      </c>
      <c r="H1080" s="5">
        <v>245.88</v>
      </c>
      <c r="I1080" s="5" t="s">
        <v>39</v>
      </c>
      <c r="J1080" s="5">
        <v>5.0224799999999998</v>
      </c>
      <c r="K1080" s="5">
        <f t="shared" si="48"/>
        <v>1.25562</v>
      </c>
      <c r="L1080" s="5">
        <f t="shared" si="49"/>
        <v>36.93</v>
      </c>
      <c r="M1080" s="5" t="s">
        <v>39</v>
      </c>
      <c r="N1080" s="5">
        <v>5.0224799999999998</v>
      </c>
      <c r="O1080" s="5" t="s">
        <v>39</v>
      </c>
      <c r="P1080" t="s">
        <v>120</v>
      </c>
      <c r="Q1080" t="s">
        <v>908</v>
      </c>
      <c r="R1080" t="s">
        <v>909</v>
      </c>
      <c r="S1080" t="s">
        <v>910</v>
      </c>
      <c r="T1080" t="s">
        <v>43</v>
      </c>
      <c r="U1080" t="s">
        <v>44</v>
      </c>
      <c r="V1080">
        <v>147</v>
      </c>
      <c r="W1080" t="s">
        <v>45</v>
      </c>
      <c r="X1080" t="s">
        <v>46</v>
      </c>
      <c r="Y1080" t="s">
        <v>268</v>
      </c>
      <c r="Z1080" t="s">
        <v>37</v>
      </c>
      <c r="AA1080" t="s">
        <v>55</v>
      </c>
      <c r="AB1080" t="s">
        <v>37</v>
      </c>
      <c r="AC1080" s="6" t="s">
        <v>37</v>
      </c>
      <c r="AD1080" s="6" t="s">
        <v>37</v>
      </c>
      <c r="AE1080" t="s">
        <v>37</v>
      </c>
      <c r="AF1080" t="s">
        <v>37</v>
      </c>
      <c r="AG1080" s="6" t="s">
        <v>37</v>
      </c>
      <c r="AH1080" t="s">
        <v>37</v>
      </c>
      <c r="AI1080" t="s">
        <v>37</v>
      </c>
      <c r="AJ1080" t="str">
        <f t="shared" si="50"/>
        <v>5MWU8WTDB07CGPZ3ZQ</v>
      </c>
    </row>
    <row r="1081" spans="1:36" ht="15" customHeight="1" x14ac:dyDescent="0.25">
      <c r="A1081" t="s">
        <v>36</v>
      </c>
      <c r="B1081" t="s">
        <v>37</v>
      </c>
      <c r="C1081" t="s">
        <v>37</v>
      </c>
      <c r="D1081" t="s">
        <v>38</v>
      </c>
      <c r="E1081" s="4">
        <v>10</v>
      </c>
      <c r="F1081" s="5">
        <v>234.2</v>
      </c>
      <c r="G1081" s="5" t="s">
        <v>39</v>
      </c>
      <c r="H1081" s="5">
        <v>336</v>
      </c>
      <c r="I1081" s="5" t="s">
        <v>39</v>
      </c>
      <c r="J1081" s="5">
        <v>7.9627999999999997</v>
      </c>
      <c r="K1081" s="5">
        <f t="shared" si="48"/>
        <v>0.79627999999999999</v>
      </c>
      <c r="L1081" s="5">
        <f t="shared" si="49"/>
        <v>23.419999999999998</v>
      </c>
      <c r="M1081" s="5" t="s">
        <v>39</v>
      </c>
      <c r="N1081" s="5">
        <v>7.9627999999999997</v>
      </c>
      <c r="O1081" s="5" t="s">
        <v>39</v>
      </c>
      <c r="P1081" t="s">
        <v>270</v>
      </c>
      <c r="Q1081" t="s">
        <v>1692</v>
      </c>
      <c r="R1081" t="s">
        <v>37</v>
      </c>
      <c r="S1081" t="s">
        <v>1693</v>
      </c>
      <c r="T1081" t="s">
        <v>43</v>
      </c>
      <c r="U1081" t="s">
        <v>44</v>
      </c>
      <c r="V1081">
        <v>147</v>
      </c>
      <c r="W1081" t="s">
        <v>45</v>
      </c>
      <c r="X1081" t="s">
        <v>60</v>
      </c>
      <c r="Y1081" t="s">
        <v>1694</v>
      </c>
      <c r="Z1081" t="s">
        <v>37</v>
      </c>
      <c r="AA1081" t="s">
        <v>55</v>
      </c>
      <c r="AB1081" t="s">
        <v>37</v>
      </c>
      <c r="AC1081" s="6" t="s">
        <v>37</v>
      </c>
      <c r="AD1081" s="6" t="s">
        <v>37</v>
      </c>
      <c r="AE1081" t="s">
        <v>37</v>
      </c>
      <c r="AF1081" t="s">
        <v>37</v>
      </c>
      <c r="AG1081" s="6" t="s">
        <v>37</v>
      </c>
      <c r="AH1081" t="s">
        <v>37</v>
      </c>
      <c r="AI1081" t="s">
        <v>37</v>
      </c>
      <c r="AJ1081" t="str">
        <f t="shared" si="50"/>
        <v>1X4DXX4TB07W6JNWP8</v>
      </c>
    </row>
    <row r="1082" spans="1:36" ht="15" customHeight="1" x14ac:dyDescent="0.25">
      <c r="A1082" t="s">
        <v>101</v>
      </c>
      <c r="B1082" t="s">
        <v>37</v>
      </c>
      <c r="C1082" t="s">
        <v>37</v>
      </c>
      <c r="D1082" t="s">
        <v>38</v>
      </c>
      <c r="E1082" s="4">
        <v>20</v>
      </c>
      <c r="F1082" s="5">
        <v>327.8</v>
      </c>
      <c r="G1082" s="5" t="s">
        <v>39</v>
      </c>
      <c r="H1082" s="5">
        <v>491.6</v>
      </c>
      <c r="I1082" s="5" t="s">
        <v>39</v>
      </c>
      <c r="J1082" s="5">
        <v>11.145200000000001</v>
      </c>
      <c r="K1082" s="5">
        <f t="shared" si="48"/>
        <v>0.55726000000000009</v>
      </c>
      <c r="L1082" s="5">
        <f t="shared" si="49"/>
        <v>16.39</v>
      </c>
      <c r="M1082" s="5" t="s">
        <v>39</v>
      </c>
      <c r="N1082" s="5">
        <v>11.145200000000001</v>
      </c>
      <c r="O1082" s="5" t="s">
        <v>39</v>
      </c>
      <c r="P1082" t="s">
        <v>102</v>
      </c>
      <c r="Q1082" t="s">
        <v>1562</v>
      </c>
      <c r="R1082" t="s">
        <v>37</v>
      </c>
      <c r="S1082" t="s">
        <v>1563</v>
      </c>
      <c r="T1082" t="s">
        <v>43</v>
      </c>
      <c r="U1082" t="s">
        <v>44</v>
      </c>
      <c r="V1082">
        <v>147</v>
      </c>
      <c r="W1082" t="s">
        <v>45</v>
      </c>
      <c r="X1082" t="s">
        <v>53</v>
      </c>
      <c r="Y1082" t="s">
        <v>1564</v>
      </c>
      <c r="Z1082" t="s">
        <v>37</v>
      </c>
      <c r="AA1082" t="s">
        <v>55</v>
      </c>
      <c r="AB1082" t="s">
        <v>37</v>
      </c>
      <c r="AC1082" s="6" t="s">
        <v>37</v>
      </c>
      <c r="AD1082" s="6" t="s">
        <v>37</v>
      </c>
      <c r="AE1082" t="s">
        <v>37</v>
      </c>
      <c r="AF1082" t="s">
        <v>37</v>
      </c>
      <c r="AG1082" s="6" t="s">
        <v>37</v>
      </c>
      <c r="AH1082" t="s">
        <v>37</v>
      </c>
      <c r="AI1082" t="s">
        <v>37</v>
      </c>
      <c r="AJ1082" t="str">
        <f t="shared" si="50"/>
        <v>2M7QFTCOB07W6GVZFL</v>
      </c>
    </row>
    <row r="1083" spans="1:36" ht="15" customHeight="1" x14ac:dyDescent="0.25">
      <c r="A1083" t="s">
        <v>101</v>
      </c>
      <c r="B1083" t="s">
        <v>37</v>
      </c>
      <c r="C1083" t="s">
        <v>37</v>
      </c>
      <c r="D1083" t="s">
        <v>38</v>
      </c>
      <c r="E1083" s="4">
        <v>280</v>
      </c>
      <c r="F1083" s="5">
        <v>9018.7999999999993</v>
      </c>
      <c r="G1083" s="5" t="s">
        <v>39</v>
      </c>
      <c r="H1083" s="5">
        <v>13538</v>
      </c>
      <c r="I1083" s="5" t="s">
        <v>39</v>
      </c>
      <c r="J1083" s="5">
        <v>306.63920000000002</v>
      </c>
      <c r="K1083" s="5">
        <f t="shared" si="48"/>
        <v>1.09514</v>
      </c>
      <c r="L1083" s="5">
        <f t="shared" si="49"/>
        <v>32.21</v>
      </c>
      <c r="M1083" s="5" t="s">
        <v>39</v>
      </c>
      <c r="N1083" s="5">
        <v>306.63920000000002</v>
      </c>
      <c r="O1083" s="5" t="s">
        <v>39</v>
      </c>
      <c r="P1083" t="s">
        <v>274</v>
      </c>
      <c r="Q1083" t="s">
        <v>1689</v>
      </c>
      <c r="R1083" t="s">
        <v>37</v>
      </c>
      <c r="S1083" t="s">
        <v>1690</v>
      </c>
      <c r="T1083" t="s">
        <v>43</v>
      </c>
      <c r="U1083" t="s">
        <v>44</v>
      </c>
      <c r="V1083">
        <v>147</v>
      </c>
      <c r="W1083" t="s">
        <v>45</v>
      </c>
      <c r="X1083" t="s">
        <v>60</v>
      </c>
      <c r="Y1083" t="s">
        <v>1691</v>
      </c>
      <c r="Z1083" t="s">
        <v>37</v>
      </c>
      <c r="AA1083" t="s">
        <v>48</v>
      </c>
      <c r="AB1083" t="s">
        <v>37</v>
      </c>
      <c r="AC1083" s="6" t="s">
        <v>37</v>
      </c>
      <c r="AD1083" s="6" t="s">
        <v>37</v>
      </c>
      <c r="AE1083" t="s">
        <v>37</v>
      </c>
      <c r="AF1083" t="s">
        <v>37</v>
      </c>
      <c r="AG1083" s="6" t="s">
        <v>37</v>
      </c>
      <c r="AH1083" t="s">
        <v>37</v>
      </c>
      <c r="AI1083" t="s">
        <v>37</v>
      </c>
      <c r="AJ1083" t="str">
        <f t="shared" si="50"/>
        <v>4LYATDUXB013SL1ZBK</v>
      </c>
    </row>
    <row r="1084" spans="1:36" ht="15" customHeight="1" x14ac:dyDescent="0.25">
      <c r="A1084" t="s">
        <v>62</v>
      </c>
      <c r="B1084" t="s">
        <v>37</v>
      </c>
      <c r="C1084" t="s">
        <v>37</v>
      </c>
      <c r="D1084" t="s">
        <v>38</v>
      </c>
      <c r="E1084" s="4">
        <v>40</v>
      </c>
      <c r="F1084" s="5">
        <v>1171.2</v>
      </c>
      <c r="G1084" s="5" t="s">
        <v>39</v>
      </c>
      <c r="H1084" s="5">
        <v>1770</v>
      </c>
      <c r="I1084" s="5" t="s">
        <v>39</v>
      </c>
      <c r="J1084" s="5">
        <v>39.820799999999998</v>
      </c>
      <c r="K1084" s="5">
        <f t="shared" si="48"/>
        <v>0.99551999999999996</v>
      </c>
      <c r="L1084" s="5">
        <f t="shared" si="49"/>
        <v>29.28</v>
      </c>
      <c r="M1084" s="5" t="s">
        <v>39</v>
      </c>
      <c r="N1084" s="5">
        <v>39.820799999999998</v>
      </c>
      <c r="O1084" s="5" t="s">
        <v>39</v>
      </c>
      <c r="P1084" t="s">
        <v>63</v>
      </c>
      <c r="Q1084" t="s">
        <v>884</v>
      </c>
      <c r="R1084" t="s">
        <v>37</v>
      </c>
      <c r="S1084" t="s">
        <v>885</v>
      </c>
      <c r="T1084" t="s">
        <v>43</v>
      </c>
      <c r="U1084" t="s">
        <v>44</v>
      </c>
      <c r="V1084">
        <v>147</v>
      </c>
      <c r="W1084" t="s">
        <v>45</v>
      </c>
      <c r="X1084" t="s">
        <v>53</v>
      </c>
      <c r="Y1084" t="s">
        <v>886</v>
      </c>
      <c r="Z1084" t="s">
        <v>37</v>
      </c>
      <c r="AA1084" t="s">
        <v>55</v>
      </c>
      <c r="AB1084" t="s">
        <v>37</v>
      </c>
      <c r="AC1084" s="6" t="s">
        <v>37</v>
      </c>
      <c r="AD1084" s="6" t="s">
        <v>37</v>
      </c>
      <c r="AE1084" t="s">
        <v>37</v>
      </c>
      <c r="AF1084" t="s">
        <v>37</v>
      </c>
      <c r="AG1084" s="6" t="s">
        <v>37</v>
      </c>
      <c r="AH1084" t="s">
        <v>37</v>
      </c>
      <c r="AI1084" t="s">
        <v>37</v>
      </c>
      <c r="AJ1084" t="str">
        <f t="shared" si="50"/>
        <v>7H9X1Z6SB07W6JHB2P</v>
      </c>
    </row>
    <row r="1085" spans="1:36" ht="15" customHeight="1" x14ac:dyDescent="0.25">
      <c r="A1085" t="s">
        <v>62</v>
      </c>
      <c r="B1085" t="s">
        <v>37</v>
      </c>
      <c r="C1085" t="s">
        <v>37</v>
      </c>
      <c r="D1085" t="s">
        <v>38</v>
      </c>
      <c r="E1085" s="4">
        <v>20</v>
      </c>
      <c r="F1085" s="5">
        <v>791.2</v>
      </c>
      <c r="G1085" s="5" t="s">
        <v>39</v>
      </c>
      <c r="H1085" s="5">
        <v>1311.4</v>
      </c>
      <c r="I1085" s="5" t="s">
        <v>39</v>
      </c>
      <c r="J1085" s="5">
        <v>26.9008</v>
      </c>
      <c r="K1085" s="5">
        <f t="shared" si="48"/>
        <v>1.34504</v>
      </c>
      <c r="L1085" s="5">
        <f t="shared" si="49"/>
        <v>39.56</v>
      </c>
      <c r="M1085" s="5" t="s">
        <v>39</v>
      </c>
      <c r="N1085" s="5">
        <v>26.9008</v>
      </c>
      <c r="O1085" s="5" t="s">
        <v>39</v>
      </c>
      <c r="P1085" t="s">
        <v>177</v>
      </c>
      <c r="Q1085" t="s">
        <v>498</v>
      </c>
      <c r="R1085" t="s">
        <v>37</v>
      </c>
      <c r="S1085" t="s">
        <v>499</v>
      </c>
      <c r="T1085" t="s">
        <v>43</v>
      </c>
      <c r="U1085" t="s">
        <v>44</v>
      </c>
      <c r="V1085">
        <v>147</v>
      </c>
      <c r="W1085" t="s">
        <v>45</v>
      </c>
      <c r="X1085" t="s">
        <v>46</v>
      </c>
      <c r="Y1085" t="s">
        <v>500</v>
      </c>
      <c r="Z1085" t="s">
        <v>37</v>
      </c>
      <c r="AA1085" t="s">
        <v>95</v>
      </c>
      <c r="AB1085" t="s">
        <v>37</v>
      </c>
      <c r="AC1085" s="6" t="s">
        <v>37</v>
      </c>
      <c r="AD1085" s="6" t="s">
        <v>37</v>
      </c>
      <c r="AE1085" t="s">
        <v>37</v>
      </c>
      <c r="AF1085" t="s">
        <v>37</v>
      </c>
      <c r="AG1085" s="6" t="s">
        <v>37</v>
      </c>
      <c r="AH1085" t="s">
        <v>37</v>
      </c>
      <c r="AI1085" t="s">
        <v>37</v>
      </c>
      <c r="AJ1085" t="str">
        <f t="shared" si="50"/>
        <v>4F3XMHTVB07W6HLSFF</v>
      </c>
    </row>
    <row r="1086" spans="1:36" ht="15" customHeight="1" x14ac:dyDescent="0.25">
      <c r="A1086" t="s">
        <v>96</v>
      </c>
      <c r="B1086" t="s">
        <v>37</v>
      </c>
      <c r="C1086" t="s">
        <v>37</v>
      </c>
      <c r="D1086" t="s">
        <v>38</v>
      </c>
      <c r="E1086" s="4">
        <v>12</v>
      </c>
      <c r="F1086" s="5">
        <v>904.92</v>
      </c>
      <c r="G1086" s="5" t="s">
        <v>39</v>
      </c>
      <c r="H1086" s="5">
        <v>1327.8</v>
      </c>
      <c r="I1086" s="5" t="s">
        <v>39</v>
      </c>
      <c r="J1086" s="5">
        <v>30.76728</v>
      </c>
      <c r="K1086" s="5">
        <f t="shared" si="48"/>
        <v>2.5639400000000001</v>
      </c>
      <c r="L1086" s="5">
        <f t="shared" si="49"/>
        <v>75.41</v>
      </c>
      <c r="M1086" s="5" t="s">
        <v>39</v>
      </c>
      <c r="N1086" s="5">
        <v>30.76728</v>
      </c>
      <c r="O1086" s="5" t="s">
        <v>39</v>
      </c>
      <c r="P1086" t="s">
        <v>97</v>
      </c>
      <c r="Q1086" t="s">
        <v>703</v>
      </c>
      <c r="R1086" t="s">
        <v>704</v>
      </c>
      <c r="S1086" t="s">
        <v>705</v>
      </c>
      <c r="T1086" t="s">
        <v>43</v>
      </c>
      <c r="U1086" t="s">
        <v>44</v>
      </c>
      <c r="V1086">
        <v>147</v>
      </c>
      <c r="W1086" t="s">
        <v>45</v>
      </c>
      <c r="X1086" t="s">
        <v>590</v>
      </c>
      <c r="Y1086" t="s">
        <v>706</v>
      </c>
      <c r="Z1086" t="s">
        <v>37</v>
      </c>
      <c r="AA1086" t="s">
        <v>48</v>
      </c>
      <c r="AB1086" t="s">
        <v>37</v>
      </c>
      <c r="AC1086" s="6" t="s">
        <v>37</v>
      </c>
      <c r="AD1086" s="6" t="s">
        <v>37</v>
      </c>
      <c r="AE1086" t="s">
        <v>37</v>
      </c>
      <c r="AF1086" t="s">
        <v>37</v>
      </c>
      <c r="AG1086" s="6" t="s">
        <v>37</v>
      </c>
      <c r="AH1086" t="s">
        <v>37</v>
      </c>
      <c r="AI1086" t="s">
        <v>37</v>
      </c>
      <c r="AJ1086" t="str">
        <f t="shared" si="50"/>
        <v>7EMS2FPGB01MT5WMMG</v>
      </c>
    </row>
    <row r="1087" spans="1:36" ht="15" customHeight="1" x14ac:dyDescent="0.25">
      <c r="A1087" t="s">
        <v>36</v>
      </c>
      <c r="B1087" t="s">
        <v>37</v>
      </c>
      <c r="C1087" t="s">
        <v>37</v>
      </c>
      <c r="D1087" t="s">
        <v>38</v>
      </c>
      <c r="E1087" s="4">
        <v>4</v>
      </c>
      <c r="F1087" s="5">
        <v>94.96</v>
      </c>
      <c r="G1087" s="5" t="s">
        <v>39</v>
      </c>
      <c r="H1087" s="5">
        <v>157.36000000000001</v>
      </c>
      <c r="I1087" s="5" t="s">
        <v>39</v>
      </c>
      <c r="J1087" s="5">
        <v>3.22864</v>
      </c>
      <c r="K1087" s="5">
        <f t="shared" si="48"/>
        <v>0.80715999999999999</v>
      </c>
      <c r="L1087" s="5">
        <f t="shared" si="49"/>
        <v>23.74</v>
      </c>
      <c r="M1087" s="5" t="s">
        <v>39</v>
      </c>
      <c r="N1087" s="5">
        <v>3.22864</v>
      </c>
      <c r="O1087" s="5" t="s">
        <v>39</v>
      </c>
      <c r="P1087" t="s">
        <v>168</v>
      </c>
      <c r="Q1087" t="s">
        <v>825</v>
      </c>
      <c r="R1087" t="s">
        <v>37</v>
      </c>
      <c r="S1087" t="s">
        <v>826</v>
      </c>
      <c r="T1087" t="s">
        <v>43</v>
      </c>
      <c r="U1087" t="s">
        <v>44</v>
      </c>
      <c r="V1087">
        <v>147</v>
      </c>
      <c r="W1087" t="s">
        <v>45</v>
      </c>
      <c r="X1087" t="s">
        <v>53</v>
      </c>
      <c r="Y1087" t="s">
        <v>123</v>
      </c>
      <c r="Z1087" t="s">
        <v>37</v>
      </c>
      <c r="AA1087" t="s">
        <v>95</v>
      </c>
      <c r="AB1087" t="s">
        <v>37</v>
      </c>
      <c r="AC1087" s="6" t="s">
        <v>37</v>
      </c>
      <c r="AD1087" s="6" t="s">
        <v>37</v>
      </c>
      <c r="AE1087" t="s">
        <v>37</v>
      </c>
      <c r="AF1087" t="s">
        <v>37</v>
      </c>
      <c r="AG1087" s="6" t="s">
        <v>37</v>
      </c>
      <c r="AH1087" t="s">
        <v>37</v>
      </c>
      <c r="AI1087" t="s">
        <v>37</v>
      </c>
      <c r="AJ1087" t="str">
        <f t="shared" si="50"/>
        <v>2R6FMUZDB07W6JPVPF</v>
      </c>
    </row>
    <row r="1088" spans="1:36" ht="15" customHeight="1" x14ac:dyDescent="0.25">
      <c r="A1088" t="s">
        <v>36</v>
      </c>
      <c r="B1088" t="s">
        <v>37</v>
      </c>
      <c r="C1088" t="s">
        <v>37</v>
      </c>
      <c r="D1088" t="s">
        <v>38</v>
      </c>
      <c r="E1088" s="4">
        <v>4</v>
      </c>
      <c r="F1088" s="5">
        <v>272.24</v>
      </c>
      <c r="G1088" s="5" t="s">
        <v>39</v>
      </c>
      <c r="H1088" s="5">
        <v>442.6</v>
      </c>
      <c r="I1088" s="5" t="s">
        <v>39</v>
      </c>
      <c r="J1088" s="5">
        <v>9.2561599999999995</v>
      </c>
      <c r="K1088" s="5">
        <f t="shared" si="48"/>
        <v>2.3140399999999999</v>
      </c>
      <c r="L1088" s="5">
        <f t="shared" si="49"/>
        <v>68.06</v>
      </c>
      <c r="M1088" s="5" t="s">
        <v>39</v>
      </c>
      <c r="N1088" s="5">
        <v>9.2561599999999995</v>
      </c>
      <c r="O1088" s="5" t="s">
        <v>39</v>
      </c>
      <c r="P1088" t="s">
        <v>168</v>
      </c>
      <c r="Q1088" t="s">
        <v>1174</v>
      </c>
      <c r="R1088" t="s">
        <v>37</v>
      </c>
      <c r="S1088" t="s">
        <v>1175</v>
      </c>
      <c r="T1088" t="s">
        <v>43</v>
      </c>
      <c r="U1088" t="s">
        <v>44</v>
      </c>
      <c r="V1088">
        <v>147</v>
      </c>
      <c r="W1088" t="s">
        <v>45</v>
      </c>
      <c r="X1088" t="s">
        <v>46</v>
      </c>
      <c r="Y1088" t="s">
        <v>1176</v>
      </c>
      <c r="Z1088" t="s">
        <v>37</v>
      </c>
      <c r="AA1088" t="s">
        <v>95</v>
      </c>
      <c r="AB1088" t="s">
        <v>37</v>
      </c>
      <c r="AC1088" s="6" t="s">
        <v>37</v>
      </c>
      <c r="AD1088" s="6" t="s">
        <v>37</v>
      </c>
      <c r="AE1088" t="s">
        <v>37</v>
      </c>
      <c r="AF1088" t="s">
        <v>37</v>
      </c>
      <c r="AG1088" s="6" t="s">
        <v>37</v>
      </c>
      <c r="AH1088" t="s">
        <v>37</v>
      </c>
      <c r="AI1088" t="s">
        <v>37</v>
      </c>
      <c r="AJ1088" t="str">
        <f t="shared" si="50"/>
        <v>2R6FMUZDB07W6HJPSW</v>
      </c>
    </row>
    <row r="1089" spans="1:36" ht="15" customHeight="1" x14ac:dyDescent="0.25">
      <c r="A1089" t="s">
        <v>101</v>
      </c>
      <c r="B1089" t="s">
        <v>37</v>
      </c>
      <c r="C1089" t="s">
        <v>37</v>
      </c>
      <c r="D1089" t="s">
        <v>38</v>
      </c>
      <c r="E1089" s="4">
        <v>10</v>
      </c>
      <c r="F1089" s="5">
        <v>431.4</v>
      </c>
      <c r="G1089" s="5" t="s">
        <v>39</v>
      </c>
      <c r="H1089" s="5">
        <v>532.70000000000005</v>
      </c>
      <c r="I1089" s="5" t="s">
        <v>39</v>
      </c>
      <c r="J1089" s="5">
        <v>14.6676</v>
      </c>
      <c r="K1089" s="5">
        <f t="shared" si="48"/>
        <v>1.4667600000000001</v>
      </c>
      <c r="L1089" s="5">
        <f t="shared" si="49"/>
        <v>43.14</v>
      </c>
      <c r="M1089" s="5" t="s">
        <v>39</v>
      </c>
      <c r="N1089" s="5">
        <v>14.6676</v>
      </c>
      <c r="O1089" s="5" t="s">
        <v>39</v>
      </c>
      <c r="P1089" t="s">
        <v>72</v>
      </c>
      <c r="Q1089" t="s">
        <v>1695</v>
      </c>
      <c r="R1089" t="s">
        <v>37</v>
      </c>
      <c r="S1089" t="s">
        <v>1696</v>
      </c>
      <c r="T1089" t="s">
        <v>43</v>
      </c>
      <c r="U1089" t="s">
        <v>44</v>
      </c>
      <c r="V1089">
        <v>147</v>
      </c>
      <c r="W1089" t="s">
        <v>45</v>
      </c>
      <c r="X1089" t="s">
        <v>53</v>
      </c>
      <c r="Y1089" t="s">
        <v>1697</v>
      </c>
      <c r="Z1089" t="s">
        <v>37</v>
      </c>
      <c r="AA1089" t="s">
        <v>55</v>
      </c>
      <c r="AB1089" t="s">
        <v>37</v>
      </c>
      <c r="AC1089" s="6" t="s">
        <v>37</v>
      </c>
      <c r="AD1089" s="6" t="s">
        <v>37</v>
      </c>
      <c r="AE1089" t="s">
        <v>37</v>
      </c>
      <c r="AF1089" t="s">
        <v>37</v>
      </c>
      <c r="AG1089" s="6" t="s">
        <v>37</v>
      </c>
      <c r="AH1089" t="s">
        <v>37</v>
      </c>
      <c r="AI1089" t="s">
        <v>37</v>
      </c>
      <c r="AJ1089" t="str">
        <f t="shared" si="50"/>
        <v>4GF112AEB07W6GFN9S</v>
      </c>
    </row>
    <row r="1090" spans="1:36" ht="15" customHeight="1" x14ac:dyDescent="0.25">
      <c r="A1090" t="s">
        <v>118</v>
      </c>
      <c r="B1090" t="s">
        <v>37</v>
      </c>
      <c r="C1090" t="s">
        <v>37</v>
      </c>
      <c r="D1090" t="s">
        <v>38</v>
      </c>
      <c r="E1090" s="4">
        <v>20</v>
      </c>
      <c r="F1090" s="5">
        <v>187.2</v>
      </c>
      <c r="G1090" s="5" t="s">
        <v>39</v>
      </c>
      <c r="H1090" s="5">
        <v>278.60000000000002</v>
      </c>
      <c r="I1090" s="5" t="s">
        <v>39</v>
      </c>
      <c r="J1090" s="5">
        <v>6.3647999999999998</v>
      </c>
      <c r="K1090" s="5">
        <f t="shared" si="48"/>
        <v>0.31823999999999997</v>
      </c>
      <c r="L1090" s="5">
        <f t="shared" si="49"/>
        <v>9.36</v>
      </c>
      <c r="M1090" s="5" t="s">
        <v>39</v>
      </c>
      <c r="N1090" s="5">
        <v>6.3647999999999998</v>
      </c>
      <c r="O1090" s="5" t="s">
        <v>39</v>
      </c>
      <c r="P1090" t="s">
        <v>154</v>
      </c>
      <c r="Q1090" t="s">
        <v>1031</v>
      </c>
      <c r="R1090" t="s">
        <v>37</v>
      </c>
      <c r="S1090" t="s">
        <v>1032</v>
      </c>
      <c r="T1090" t="s">
        <v>43</v>
      </c>
      <c r="U1090" t="s">
        <v>44</v>
      </c>
      <c r="V1090">
        <v>147</v>
      </c>
      <c r="W1090" t="s">
        <v>45</v>
      </c>
      <c r="X1090" t="s">
        <v>60</v>
      </c>
      <c r="Y1090" t="s">
        <v>1033</v>
      </c>
      <c r="Z1090" t="s">
        <v>37</v>
      </c>
      <c r="AA1090" t="s">
        <v>55</v>
      </c>
      <c r="AB1090" t="s">
        <v>37</v>
      </c>
      <c r="AC1090" s="6" t="s">
        <v>37</v>
      </c>
      <c r="AD1090" s="6" t="s">
        <v>37</v>
      </c>
      <c r="AE1090" t="s">
        <v>37</v>
      </c>
      <c r="AF1090" t="s">
        <v>37</v>
      </c>
      <c r="AG1090" s="6" t="s">
        <v>37</v>
      </c>
      <c r="AH1090" t="s">
        <v>37</v>
      </c>
      <c r="AI1090" t="s">
        <v>37</v>
      </c>
      <c r="AJ1090" t="str">
        <f t="shared" si="50"/>
        <v>1KW92RHQB00BT8QIJ4</v>
      </c>
    </row>
    <row r="1091" spans="1:36" ht="15" customHeight="1" x14ac:dyDescent="0.25">
      <c r="A1091" t="s">
        <v>36</v>
      </c>
      <c r="B1091" t="s">
        <v>37</v>
      </c>
      <c r="C1091" t="s">
        <v>37</v>
      </c>
      <c r="D1091" t="s">
        <v>38</v>
      </c>
      <c r="E1091" s="4">
        <v>24</v>
      </c>
      <c r="F1091" s="5">
        <v>843.12</v>
      </c>
      <c r="G1091" s="5" t="s">
        <v>39</v>
      </c>
      <c r="H1091" s="5">
        <v>1219.44</v>
      </c>
      <c r="I1091" s="5" t="s">
        <v>39</v>
      </c>
      <c r="J1091" s="5">
        <v>28.666080000000001</v>
      </c>
      <c r="K1091" s="5">
        <f t="shared" ref="K1091:K1154" si="51">J1091/E1091</f>
        <v>1.19442</v>
      </c>
      <c r="L1091" s="5">
        <f t="shared" ref="L1091:L1154" si="52">F1091/E1091</f>
        <v>35.130000000000003</v>
      </c>
      <c r="M1091" s="5" t="s">
        <v>39</v>
      </c>
      <c r="N1091" s="5">
        <v>28.666080000000001</v>
      </c>
      <c r="O1091" s="5" t="s">
        <v>39</v>
      </c>
      <c r="P1091" t="s">
        <v>119</v>
      </c>
      <c r="Q1091" t="s">
        <v>1698</v>
      </c>
      <c r="R1091" t="s">
        <v>37</v>
      </c>
      <c r="S1091" t="s">
        <v>1699</v>
      </c>
      <c r="T1091" t="s">
        <v>43</v>
      </c>
      <c r="U1091" t="s">
        <v>44</v>
      </c>
      <c r="V1091">
        <v>147</v>
      </c>
      <c r="W1091" t="s">
        <v>45</v>
      </c>
      <c r="X1091" t="s">
        <v>60</v>
      </c>
      <c r="Y1091" t="s">
        <v>1700</v>
      </c>
      <c r="Z1091" t="s">
        <v>37</v>
      </c>
      <c r="AA1091" t="s">
        <v>55</v>
      </c>
      <c r="AB1091" t="s">
        <v>37</v>
      </c>
      <c r="AC1091" s="6" t="s">
        <v>37</v>
      </c>
      <c r="AD1091" s="6" t="s">
        <v>37</v>
      </c>
      <c r="AE1091" t="s">
        <v>37</v>
      </c>
      <c r="AF1091" t="s">
        <v>37</v>
      </c>
      <c r="AG1091" s="6" t="s">
        <v>37</v>
      </c>
      <c r="AH1091" t="s">
        <v>37</v>
      </c>
      <c r="AI1091" t="s">
        <v>37</v>
      </c>
      <c r="AJ1091" t="str">
        <f t="shared" ref="AJ1091:AJ1154" si="53">P1091&amp;Q1091</f>
        <v>31DJDC7QB07W4DGLJX</v>
      </c>
    </row>
    <row r="1092" spans="1:36" ht="15" customHeight="1" x14ac:dyDescent="0.25">
      <c r="A1092" t="s">
        <v>411</v>
      </c>
      <c r="B1092" t="s">
        <v>37</v>
      </c>
      <c r="C1092" t="s">
        <v>37</v>
      </c>
      <c r="D1092" t="s">
        <v>38</v>
      </c>
      <c r="E1092" s="4">
        <v>5</v>
      </c>
      <c r="F1092" s="5">
        <v>577.20000000000005</v>
      </c>
      <c r="G1092" s="5" t="s">
        <v>39</v>
      </c>
      <c r="H1092" s="5">
        <v>733.6</v>
      </c>
      <c r="I1092" s="5" t="s">
        <v>39</v>
      </c>
      <c r="J1092" s="5">
        <v>19.6248</v>
      </c>
      <c r="K1092" s="5">
        <f t="shared" si="51"/>
        <v>3.92496</v>
      </c>
      <c r="L1092" s="5">
        <f t="shared" si="52"/>
        <v>115.44000000000001</v>
      </c>
      <c r="M1092" s="5" t="s">
        <v>39</v>
      </c>
      <c r="N1092" s="5">
        <v>19.6248</v>
      </c>
      <c r="O1092" s="5" t="s">
        <v>39</v>
      </c>
      <c r="P1092" t="s">
        <v>522</v>
      </c>
      <c r="Q1092" t="s">
        <v>480</v>
      </c>
      <c r="R1092" t="s">
        <v>481</v>
      </c>
      <c r="S1092" t="s">
        <v>482</v>
      </c>
      <c r="T1092" t="s">
        <v>43</v>
      </c>
      <c r="U1092" t="s">
        <v>44</v>
      </c>
      <c r="V1092">
        <v>147</v>
      </c>
      <c r="W1092" t="s">
        <v>45</v>
      </c>
      <c r="X1092" t="s">
        <v>389</v>
      </c>
      <c r="Y1092" t="s">
        <v>483</v>
      </c>
      <c r="Z1092" t="s">
        <v>37</v>
      </c>
      <c r="AA1092" t="s">
        <v>95</v>
      </c>
      <c r="AB1092" t="s">
        <v>37</v>
      </c>
      <c r="AC1092" s="6" t="s">
        <v>37</v>
      </c>
      <c r="AD1092" s="6" t="s">
        <v>37</v>
      </c>
      <c r="AE1092" t="s">
        <v>37</v>
      </c>
      <c r="AF1092" t="s">
        <v>37</v>
      </c>
      <c r="AG1092" s="6" t="s">
        <v>37</v>
      </c>
      <c r="AH1092" t="s">
        <v>37</v>
      </c>
      <c r="AI1092" t="s">
        <v>37</v>
      </c>
      <c r="AJ1092" t="str">
        <f t="shared" si="53"/>
        <v>24EUBTHXB003UPJXIC</v>
      </c>
    </row>
    <row r="1093" spans="1:36" ht="15" customHeight="1" x14ac:dyDescent="0.25">
      <c r="A1093" t="s">
        <v>101</v>
      </c>
      <c r="B1093" t="s">
        <v>37</v>
      </c>
      <c r="C1093" t="s">
        <v>37</v>
      </c>
      <c r="D1093" t="s">
        <v>38</v>
      </c>
      <c r="E1093" s="4">
        <v>8</v>
      </c>
      <c r="F1093" s="5">
        <v>257.68</v>
      </c>
      <c r="G1093" s="5" t="s">
        <v>39</v>
      </c>
      <c r="H1093" s="5">
        <v>386.8</v>
      </c>
      <c r="I1093" s="5" t="s">
        <v>39</v>
      </c>
      <c r="J1093" s="5">
        <v>8.76112</v>
      </c>
      <c r="K1093" s="5">
        <f t="shared" si="51"/>
        <v>1.09514</v>
      </c>
      <c r="L1093" s="5">
        <f t="shared" si="52"/>
        <v>32.21</v>
      </c>
      <c r="M1093" s="5" t="s">
        <v>39</v>
      </c>
      <c r="N1093" s="5">
        <v>8.76112</v>
      </c>
      <c r="O1093" s="5" t="s">
        <v>39</v>
      </c>
      <c r="P1093" t="s">
        <v>102</v>
      </c>
      <c r="Q1093" t="s">
        <v>716</v>
      </c>
      <c r="R1093" t="s">
        <v>37</v>
      </c>
      <c r="S1093" t="s">
        <v>717</v>
      </c>
      <c r="T1093" t="s">
        <v>43</v>
      </c>
      <c r="U1093" t="s">
        <v>44</v>
      </c>
      <c r="V1093">
        <v>147</v>
      </c>
      <c r="W1093" t="s">
        <v>45</v>
      </c>
      <c r="X1093" t="s">
        <v>60</v>
      </c>
      <c r="Y1093" t="s">
        <v>718</v>
      </c>
      <c r="Z1093" t="s">
        <v>37</v>
      </c>
      <c r="AA1093" t="s">
        <v>55</v>
      </c>
      <c r="AB1093" t="s">
        <v>37</v>
      </c>
      <c r="AC1093" s="6" t="s">
        <v>37</v>
      </c>
      <c r="AD1093" s="6" t="s">
        <v>37</v>
      </c>
      <c r="AE1093" t="s">
        <v>37</v>
      </c>
      <c r="AF1093" t="s">
        <v>37</v>
      </c>
      <c r="AG1093" s="6" t="s">
        <v>37</v>
      </c>
      <c r="AH1093" t="s">
        <v>37</v>
      </c>
      <c r="AI1093" t="s">
        <v>37</v>
      </c>
      <c r="AJ1093" t="str">
        <f t="shared" si="53"/>
        <v>2M7QFTCOB07W6JKH1B</v>
      </c>
    </row>
    <row r="1094" spans="1:36" ht="15" customHeight="1" x14ac:dyDescent="0.25">
      <c r="A1094" t="s">
        <v>118</v>
      </c>
      <c r="B1094" t="s">
        <v>37</v>
      </c>
      <c r="C1094" t="s">
        <v>37</v>
      </c>
      <c r="D1094" t="s">
        <v>38</v>
      </c>
      <c r="E1094" s="4">
        <v>42</v>
      </c>
      <c r="F1094" s="5">
        <v>1218</v>
      </c>
      <c r="G1094" s="5" t="s">
        <v>39</v>
      </c>
      <c r="H1094" s="5">
        <v>1858.5</v>
      </c>
      <c r="I1094" s="5" t="s">
        <v>39</v>
      </c>
      <c r="J1094" s="5">
        <v>41.411999999999999</v>
      </c>
      <c r="K1094" s="5">
        <f t="shared" si="51"/>
        <v>0.98599999999999999</v>
      </c>
      <c r="L1094" s="5">
        <f t="shared" si="52"/>
        <v>29</v>
      </c>
      <c r="M1094" s="5" t="s">
        <v>39</v>
      </c>
      <c r="N1094" s="5">
        <v>41.411999999999999</v>
      </c>
      <c r="O1094" s="5" t="s">
        <v>39</v>
      </c>
      <c r="P1094" t="s">
        <v>522</v>
      </c>
      <c r="Q1094" t="s">
        <v>1252</v>
      </c>
      <c r="R1094" t="s">
        <v>37</v>
      </c>
      <c r="S1094" t="s">
        <v>1253</v>
      </c>
      <c r="T1094" t="s">
        <v>43</v>
      </c>
      <c r="U1094" t="s">
        <v>44</v>
      </c>
      <c r="V1094">
        <v>147</v>
      </c>
      <c r="W1094" t="s">
        <v>92</v>
      </c>
      <c r="X1094" t="s">
        <v>543</v>
      </c>
      <c r="Y1094" t="s">
        <v>1254</v>
      </c>
      <c r="Z1094" t="s">
        <v>37</v>
      </c>
      <c r="AA1094" t="s">
        <v>55</v>
      </c>
      <c r="AB1094" t="s">
        <v>37</v>
      </c>
      <c r="AC1094" s="6" t="s">
        <v>37</v>
      </c>
      <c r="AD1094" s="6" t="s">
        <v>37</v>
      </c>
      <c r="AE1094" t="s">
        <v>37</v>
      </c>
      <c r="AF1094" t="s">
        <v>37</v>
      </c>
      <c r="AG1094" s="6" t="s">
        <v>37</v>
      </c>
      <c r="AH1094" t="s">
        <v>37</v>
      </c>
      <c r="AI1094" t="s">
        <v>37</v>
      </c>
      <c r="AJ1094" t="str">
        <f t="shared" si="53"/>
        <v>24EUBTHXB07W7K29YM</v>
      </c>
    </row>
    <row r="1095" spans="1:36" ht="15" customHeight="1" x14ac:dyDescent="0.25">
      <c r="A1095" t="s">
        <v>62</v>
      </c>
      <c r="B1095" t="s">
        <v>37</v>
      </c>
      <c r="C1095" t="s">
        <v>37</v>
      </c>
      <c r="D1095" t="s">
        <v>38</v>
      </c>
      <c r="E1095" s="4">
        <v>30</v>
      </c>
      <c r="F1095" s="5">
        <v>702.6</v>
      </c>
      <c r="G1095" s="5" t="s">
        <v>39</v>
      </c>
      <c r="H1095" s="5">
        <v>1081.8</v>
      </c>
      <c r="I1095" s="5" t="s">
        <v>39</v>
      </c>
      <c r="J1095" s="5">
        <v>23.888400000000001</v>
      </c>
      <c r="K1095" s="5">
        <f t="shared" si="51"/>
        <v>0.79627999999999999</v>
      </c>
      <c r="L1095" s="5">
        <f t="shared" si="52"/>
        <v>23.42</v>
      </c>
      <c r="M1095" s="5" t="s">
        <v>39</v>
      </c>
      <c r="N1095" s="5">
        <v>23.888400000000001</v>
      </c>
      <c r="O1095" s="5" t="s">
        <v>39</v>
      </c>
      <c r="P1095" t="s">
        <v>968</v>
      </c>
      <c r="Q1095" t="s">
        <v>1701</v>
      </c>
      <c r="R1095" t="s">
        <v>37</v>
      </c>
      <c r="S1095" t="s">
        <v>1702</v>
      </c>
      <c r="T1095" t="s">
        <v>43</v>
      </c>
      <c r="U1095" t="s">
        <v>44</v>
      </c>
      <c r="V1095">
        <v>147</v>
      </c>
      <c r="W1095" t="s">
        <v>45</v>
      </c>
      <c r="X1095" t="s">
        <v>53</v>
      </c>
      <c r="Y1095" t="s">
        <v>1703</v>
      </c>
      <c r="Z1095" t="s">
        <v>37</v>
      </c>
      <c r="AA1095" t="s">
        <v>48</v>
      </c>
      <c r="AB1095" t="s">
        <v>37</v>
      </c>
      <c r="AC1095" s="6" t="s">
        <v>37</v>
      </c>
      <c r="AD1095" s="6" t="s">
        <v>37</v>
      </c>
      <c r="AE1095" t="s">
        <v>37</v>
      </c>
      <c r="AF1095" t="s">
        <v>37</v>
      </c>
      <c r="AG1095" s="6" t="s">
        <v>37</v>
      </c>
      <c r="AH1095" t="s">
        <v>37</v>
      </c>
      <c r="AI1095" t="s">
        <v>37</v>
      </c>
      <c r="AJ1095" t="str">
        <f t="shared" si="53"/>
        <v>7LA8DZCZB00MWR5IQK</v>
      </c>
    </row>
    <row r="1096" spans="1:36" ht="15" customHeight="1" x14ac:dyDescent="0.25">
      <c r="A1096" t="s">
        <v>36</v>
      </c>
      <c r="B1096" t="s">
        <v>37</v>
      </c>
      <c r="C1096" t="s">
        <v>37</v>
      </c>
      <c r="D1096" t="s">
        <v>38</v>
      </c>
      <c r="E1096" s="4">
        <v>160</v>
      </c>
      <c r="F1096" s="5">
        <v>5153.6000000000004</v>
      </c>
      <c r="G1096" s="5" t="s">
        <v>39</v>
      </c>
      <c r="H1096" s="5">
        <v>7736</v>
      </c>
      <c r="I1096" s="5" t="s">
        <v>39</v>
      </c>
      <c r="J1096" s="5">
        <v>175.22239999999999</v>
      </c>
      <c r="K1096" s="5">
        <f t="shared" si="51"/>
        <v>1.09514</v>
      </c>
      <c r="L1096" s="5">
        <f t="shared" si="52"/>
        <v>32.21</v>
      </c>
      <c r="M1096" s="5" t="s">
        <v>39</v>
      </c>
      <c r="N1096" s="5">
        <v>175.22239999999999</v>
      </c>
      <c r="O1096" s="5" t="s">
        <v>39</v>
      </c>
      <c r="P1096" t="s">
        <v>119</v>
      </c>
      <c r="Q1096" t="s">
        <v>1543</v>
      </c>
      <c r="R1096" t="s">
        <v>37</v>
      </c>
      <c r="S1096" t="s">
        <v>1544</v>
      </c>
      <c r="T1096" t="s">
        <v>43</v>
      </c>
      <c r="U1096" t="s">
        <v>44</v>
      </c>
      <c r="V1096">
        <v>147</v>
      </c>
      <c r="W1096" t="s">
        <v>45</v>
      </c>
      <c r="X1096" t="s">
        <v>53</v>
      </c>
      <c r="Y1096" t="s">
        <v>1545</v>
      </c>
      <c r="Z1096" t="s">
        <v>37</v>
      </c>
      <c r="AA1096" t="s">
        <v>55</v>
      </c>
      <c r="AB1096" t="s">
        <v>37</v>
      </c>
      <c r="AC1096" s="6" t="s">
        <v>37</v>
      </c>
      <c r="AD1096" s="6" t="s">
        <v>37</v>
      </c>
      <c r="AE1096" t="s">
        <v>37</v>
      </c>
      <c r="AF1096" t="s">
        <v>37</v>
      </c>
      <c r="AG1096" s="6" t="s">
        <v>37</v>
      </c>
      <c r="AH1096" t="s">
        <v>37</v>
      </c>
      <c r="AI1096" t="s">
        <v>37</v>
      </c>
      <c r="AJ1096" t="str">
        <f t="shared" si="53"/>
        <v>31DJDC7QB07W4DHT47</v>
      </c>
    </row>
    <row r="1097" spans="1:36" ht="15" customHeight="1" x14ac:dyDescent="0.25">
      <c r="A1097" t="s">
        <v>118</v>
      </c>
      <c r="B1097" t="s">
        <v>37</v>
      </c>
      <c r="C1097" t="s">
        <v>37</v>
      </c>
      <c r="D1097" t="s">
        <v>38</v>
      </c>
      <c r="E1097" s="4">
        <v>90</v>
      </c>
      <c r="F1097" s="5">
        <v>21624.3</v>
      </c>
      <c r="G1097" s="5" t="s">
        <v>39</v>
      </c>
      <c r="H1097" s="5">
        <v>33195.599999999999</v>
      </c>
      <c r="I1097" s="5" t="s">
        <v>39</v>
      </c>
      <c r="J1097" s="5">
        <v>735.22619999999995</v>
      </c>
      <c r="K1097" s="5">
        <f t="shared" si="51"/>
        <v>8.169179999999999</v>
      </c>
      <c r="L1097" s="5">
        <f t="shared" si="52"/>
        <v>240.26999999999998</v>
      </c>
      <c r="M1097" s="5" t="s">
        <v>39</v>
      </c>
      <c r="N1097" s="5">
        <v>735.22619999999995</v>
      </c>
      <c r="O1097" s="5" t="s">
        <v>39</v>
      </c>
      <c r="P1097" t="s">
        <v>154</v>
      </c>
      <c r="Q1097" t="s">
        <v>1008</v>
      </c>
      <c r="R1097" t="s">
        <v>37</v>
      </c>
      <c r="S1097" t="s">
        <v>1009</v>
      </c>
      <c r="T1097" t="s">
        <v>43</v>
      </c>
      <c r="U1097" t="s">
        <v>44</v>
      </c>
      <c r="V1097">
        <v>23</v>
      </c>
      <c r="W1097" t="s">
        <v>281</v>
      </c>
      <c r="X1097" t="s">
        <v>282</v>
      </c>
      <c r="Y1097" t="s">
        <v>1010</v>
      </c>
      <c r="Z1097" t="s">
        <v>37</v>
      </c>
      <c r="AA1097" t="s">
        <v>95</v>
      </c>
      <c r="AB1097" t="s">
        <v>37</v>
      </c>
      <c r="AC1097" s="6" t="s">
        <v>37</v>
      </c>
      <c r="AD1097" s="6" t="s">
        <v>37</v>
      </c>
      <c r="AE1097" t="s">
        <v>37</v>
      </c>
      <c r="AF1097" t="s">
        <v>37</v>
      </c>
      <c r="AG1097" s="6" t="s">
        <v>37</v>
      </c>
      <c r="AH1097" t="s">
        <v>37</v>
      </c>
      <c r="AI1097" t="s">
        <v>37</v>
      </c>
      <c r="AJ1097" t="str">
        <f t="shared" si="53"/>
        <v>1KW92RHQB07W6JPZBL</v>
      </c>
    </row>
    <row r="1098" spans="1:36" ht="15" customHeight="1" x14ac:dyDescent="0.25">
      <c r="A1098" t="s">
        <v>76</v>
      </c>
      <c r="B1098" t="s">
        <v>37</v>
      </c>
      <c r="C1098" t="s">
        <v>37</v>
      </c>
      <c r="D1098" t="s">
        <v>38</v>
      </c>
      <c r="E1098" s="4">
        <v>186</v>
      </c>
      <c r="F1098" s="5">
        <v>5394</v>
      </c>
      <c r="G1098" s="5" t="s">
        <v>39</v>
      </c>
      <c r="H1098" s="5">
        <v>8230.5</v>
      </c>
      <c r="I1098" s="5" t="s">
        <v>39</v>
      </c>
      <c r="J1098" s="5">
        <v>183.39599999999999</v>
      </c>
      <c r="K1098" s="5">
        <f t="shared" si="51"/>
        <v>0.98599999999999988</v>
      </c>
      <c r="L1098" s="5">
        <f t="shared" si="52"/>
        <v>29</v>
      </c>
      <c r="M1098" s="5" t="s">
        <v>39</v>
      </c>
      <c r="N1098" s="5">
        <v>183.39599999999999</v>
      </c>
      <c r="O1098" s="5" t="s">
        <v>39</v>
      </c>
      <c r="P1098" t="s">
        <v>114</v>
      </c>
      <c r="Q1098" t="s">
        <v>541</v>
      </c>
      <c r="R1098" t="s">
        <v>37</v>
      </c>
      <c r="S1098" t="s">
        <v>542</v>
      </c>
      <c r="T1098" t="s">
        <v>43</v>
      </c>
      <c r="U1098" t="s">
        <v>44</v>
      </c>
      <c r="V1098">
        <v>147</v>
      </c>
      <c r="W1098" t="s">
        <v>92</v>
      </c>
      <c r="X1098" t="s">
        <v>543</v>
      </c>
      <c r="Y1098" t="s">
        <v>544</v>
      </c>
      <c r="Z1098" t="s">
        <v>37</v>
      </c>
      <c r="AA1098" t="s">
        <v>55</v>
      </c>
      <c r="AB1098" t="s">
        <v>37</v>
      </c>
      <c r="AC1098" s="6" t="s">
        <v>37</v>
      </c>
      <c r="AD1098" s="6" t="s">
        <v>37</v>
      </c>
      <c r="AE1098" t="s">
        <v>37</v>
      </c>
      <c r="AF1098" t="s">
        <v>37</v>
      </c>
      <c r="AG1098" s="6" t="s">
        <v>37</v>
      </c>
      <c r="AH1098" t="s">
        <v>37</v>
      </c>
      <c r="AI1098" t="s">
        <v>37</v>
      </c>
      <c r="AJ1098" t="str">
        <f t="shared" si="53"/>
        <v>243WWSUAB07W7LF6F1</v>
      </c>
    </row>
    <row r="1099" spans="1:36" ht="15" customHeight="1" x14ac:dyDescent="0.25">
      <c r="A1099" t="s">
        <v>36</v>
      </c>
      <c r="B1099" t="s">
        <v>37</v>
      </c>
      <c r="C1099" t="s">
        <v>37</v>
      </c>
      <c r="D1099" t="s">
        <v>38</v>
      </c>
      <c r="E1099" s="4">
        <v>8</v>
      </c>
      <c r="F1099" s="5">
        <v>737.92</v>
      </c>
      <c r="G1099" s="5" t="s">
        <v>39</v>
      </c>
      <c r="H1099" s="5">
        <v>1081.92</v>
      </c>
      <c r="I1099" s="5" t="s">
        <v>39</v>
      </c>
      <c r="J1099" s="5">
        <v>25.089279999999999</v>
      </c>
      <c r="K1099" s="5">
        <f t="shared" si="51"/>
        <v>3.1361599999999998</v>
      </c>
      <c r="L1099" s="5">
        <f t="shared" si="52"/>
        <v>92.24</v>
      </c>
      <c r="M1099" s="5" t="s">
        <v>39</v>
      </c>
      <c r="N1099" s="5">
        <v>25.089279999999999</v>
      </c>
      <c r="O1099" s="5" t="s">
        <v>39</v>
      </c>
      <c r="P1099" t="s">
        <v>270</v>
      </c>
      <c r="Q1099" t="s">
        <v>531</v>
      </c>
      <c r="R1099" t="s">
        <v>37</v>
      </c>
      <c r="S1099" t="s">
        <v>532</v>
      </c>
      <c r="T1099" t="s">
        <v>43</v>
      </c>
      <c r="U1099" t="s">
        <v>44</v>
      </c>
      <c r="V1099">
        <v>147</v>
      </c>
      <c r="W1099" t="s">
        <v>45</v>
      </c>
      <c r="X1099" t="s">
        <v>239</v>
      </c>
      <c r="Y1099" t="s">
        <v>533</v>
      </c>
      <c r="Z1099" t="s">
        <v>37</v>
      </c>
      <c r="AA1099" t="s">
        <v>55</v>
      </c>
      <c r="AB1099" t="s">
        <v>37</v>
      </c>
      <c r="AC1099" s="6" t="s">
        <v>37</v>
      </c>
      <c r="AD1099" s="6" t="s">
        <v>37</v>
      </c>
      <c r="AE1099" t="s">
        <v>37</v>
      </c>
      <c r="AF1099" t="s">
        <v>37</v>
      </c>
      <c r="AG1099" s="6" t="s">
        <v>37</v>
      </c>
      <c r="AH1099" t="s">
        <v>37</v>
      </c>
      <c r="AI1099" t="s">
        <v>37</v>
      </c>
      <c r="AJ1099" t="str">
        <f t="shared" si="53"/>
        <v>1X4DXX4TB07W4DHNBF</v>
      </c>
    </row>
    <row r="1100" spans="1:36" ht="15" customHeight="1" x14ac:dyDescent="0.25">
      <c r="A1100" t="s">
        <v>76</v>
      </c>
      <c r="B1100" t="s">
        <v>37</v>
      </c>
      <c r="C1100" t="s">
        <v>37</v>
      </c>
      <c r="D1100" t="s">
        <v>38</v>
      </c>
      <c r="E1100" s="4">
        <v>440</v>
      </c>
      <c r="F1100" s="5">
        <v>35732.400000000001</v>
      </c>
      <c r="G1100" s="5" t="s">
        <v>39</v>
      </c>
      <c r="H1100" s="5">
        <v>35732.400000000001</v>
      </c>
      <c r="I1100" s="5" t="s">
        <v>39</v>
      </c>
      <c r="J1100" s="5">
        <v>1214.9015999999999</v>
      </c>
      <c r="K1100" s="5">
        <f t="shared" si="51"/>
        <v>2.7611399999999997</v>
      </c>
      <c r="L1100" s="5">
        <f t="shared" si="52"/>
        <v>81.210000000000008</v>
      </c>
      <c r="M1100" s="5" t="s">
        <v>39</v>
      </c>
      <c r="N1100" s="5">
        <v>1214.9015999999999</v>
      </c>
      <c r="O1100" s="5" t="s">
        <v>39</v>
      </c>
      <c r="P1100" t="s">
        <v>63</v>
      </c>
      <c r="Q1100" t="s">
        <v>1679</v>
      </c>
      <c r="R1100" t="s">
        <v>37</v>
      </c>
      <c r="S1100" t="s">
        <v>1680</v>
      </c>
      <c r="T1100" t="s">
        <v>43</v>
      </c>
      <c r="U1100" t="s">
        <v>44</v>
      </c>
      <c r="V1100">
        <v>147</v>
      </c>
      <c r="W1100" t="s">
        <v>45</v>
      </c>
      <c r="X1100" t="s">
        <v>60</v>
      </c>
      <c r="Y1100" t="s">
        <v>1681</v>
      </c>
      <c r="Z1100" t="s">
        <v>1682</v>
      </c>
      <c r="AA1100" t="s">
        <v>55</v>
      </c>
      <c r="AB1100" t="s">
        <v>37</v>
      </c>
      <c r="AC1100" s="6" t="s">
        <v>37</v>
      </c>
      <c r="AD1100" s="6" t="s">
        <v>37</v>
      </c>
      <c r="AE1100" t="s">
        <v>37</v>
      </c>
      <c r="AF1100" t="s">
        <v>37</v>
      </c>
      <c r="AG1100" s="6" t="s">
        <v>37</v>
      </c>
      <c r="AH1100" t="s">
        <v>37</v>
      </c>
      <c r="AI1100" t="s">
        <v>37</v>
      </c>
      <c r="AJ1100" t="str">
        <f t="shared" si="53"/>
        <v>7H9X1Z6SB07W6GY48B</v>
      </c>
    </row>
    <row r="1101" spans="1:36" ht="15" customHeight="1" x14ac:dyDescent="0.25">
      <c r="A1101" t="s">
        <v>411</v>
      </c>
      <c r="B1101" t="s">
        <v>37</v>
      </c>
      <c r="C1101" t="s">
        <v>37</v>
      </c>
      <c r="D1101" t="s">
        <v>38</v>
      </c>
      <c r="E1101" s="4">
        <v>200</v>
      </c>
      <c r="F1101" s="5">
        <v>22054</v>
      </c>
      <c r="G1101" s="5" t="s">
        <v>39</v>
      </c>
      <c r="H1101" s="5">
        <v>45800</v>
      </c>
      <c r="I1101" s="5" t="s">
        <v>39</v>
      </c>
      <c r="J1101" s="5">
        <v>749.83600000000001</v>
      </c>
      <c r="K1101" s="5">
        <f t="shared" si="51"/>
        <v>3.74918</v>
      </c>
      <c r="L1101" s="5">
        <f t="shared" si="52"/>
        <v>110.27</v>
      </c>
      <c r="M1101" s="5" t="s">
        <v>39</v>
      </c>
      <c r="N1101" s="5">
        <v>749.83600000000001</v>
      </c>
      <c r="O1101" s="5" t="s">
        <v>39</v>
      </c>
      <c r="P1101" t="s">
        <v>1704</v>
      </c>
      <c r="Q1101" t="s">
        <v>1422</v>
      </c>
      <c r="R1101" t="s">
        <v>37</v>
      </c>
      <c r="S1101" t="s">
        <v>1423</v>
      </c>
      <c r="T1101" t="s">
        <v>43</v>
      </c>
      <c r="U1101" t="s">
        <v>44</v>
      </c>
      <c r="V1101">
        <v>147</v>
      </c>
      <c r="W1101" t="s">
        <v>45</v>
      </c>
      <c r="X1101" t="s">
        <v>60</v>
      </c>
      <c r="Y1101" t="s">
        <v>1424</v>
      </c>
      <c r="Z1101" t="s">
        <v>37</v>
      </c>
      <c r="AA1101" t="s">
        <v>55</v>
      </c>
      <c r="AB1101" t="s">
        <v>37</v>
      </c>
      <c r="AC1101" s="6" t="s">
        <v>37</v>
      </c>
      <c r="AD1101" s="6" t="s">
        <v>37</v>
      </c>
      <c r="AE1101" t="s">
        <v>37</v>
      </c>
      <c r="AF1101" t="s">
        <v>37</v>
      </c>
      <c r="AG1101" s="6" t="s">
        <v>37</v>
      </c>
      <c r="AH1101" t="s">
        <v>37</v>
      </c>
      <c r="AI1101" t="s">
        <v>37</v>
      </c>
      <c r="AJ1101" t="str">
        <f t="shared" si="53"/>
        <v>6LL8HOVUB07VWF2HCL</v>
      </c>
    </row>
    <row r="1102" spans="1:36" ht="15" customHeight="1" x14ac:dyDescent="0.25">
      <c r="A1102" t="s">
        <v>110</v>
      </c>
      <c r="B1102" t="s">
        <v>37</v>
      </c>
      <c r="C1102" t="s">
        <v>37</v>
      </c>
      <c r="D1102" t="s">
        <v>38</v>
      </c>
      <c r="E1102" s="4">
        <v>4</v>
      </c>
      <c r="F1102" s="5">
        <v>147.72</v>
      </c>
      <c r="G1102" s="5" t="s">
        <v>39</v>
      </c>
      <c r="H1102" s="5">
        <v>245.88</v>
      </c>
      <c r="I1102" s="5" t="s">
        <v>39</v>
      </c>
      <c r="J1102" s="5">
        <v>5.0224799999999998</v>
      </c>
      <c r="K1102" s="5">
        <f t="shared" si="51"/>
        <v>1.25562</v>
      </c>
      <c r="L1102" s="5">
        <f t="shared" si="52"/>
        <v>36.93</v>
      </c>
      <c r="M1102" s="5" t="s">
        <v>39</v>
      </c>
      <c r="N1102" s="5">
        <v>5.0224799999999998</v>
      </c>
      <c r="O1102" s="5" t="s">
        <v>39</v>
      </c>
      <c r="P1102" t="s">
        <v>120</v>
      </c>
      <c r="Q1102" t="s">
        <v>908</v>
      </c>
      <c r="R1102" t="s">
        <v>909</v>
      </c>
      <c r="S1102" t="s">
        <v>910</v>
      </c>
      <c r="T1102" t="s">
        <v>43</v>
      </c>
      <c r="U1102" t="s">
        <v>44</v>
      </c>
      <c r="V1102">
        <v>147</v>
      </c>
      <c r="W1102" t="s">
        <v>45</v>
      </c>
      <c r="X1102" t="s">
        <v>46</v>
      </c>
      <c r="Y1102" t="s">
        <v>268</v>
      </c>
      <c r="Z1102" t="s">
        <v>37</v>
      </c>
      <c r="AA1102" t="s">
        <v>55</v>
      </c>
      <c r="AB1102" t="s">
        <v>37</v>
      </c>
      <c r="AC1102" s="6" t="s">
        <v>37</v>
      </c>
      <c r="AD1102" s="6" t="s">
        <v>37</v>
      </c>
      <c r="AE1102" t="s">
        <v>37</v>
      </c>
      <c r="AF1102" t="s">
        <v>37</v>
      </c>
      <c r="AG1102" s="6" t="s">
        <v>37</v>
      </c>
      <c r="AH1102" t="s">
        <v>37</v>
      </c>
      <c r="AI1102" t="s">
        <v>37</v>
      </c>
      <c r="AJ1102" t="str">
        <f t="shared" si="53"/>
        <v>5MWU8WTDB07CGPZ3ZQ</v>
      </c>
    </row>
    <row r="1103" spans="1:36" ht="15" customHeight="1" x14ac:dyDescent="0.25">
      <c r="A1103" t="s">
        <v>96</v>
      </c>
      <c r="B1103" t="s">
        <v>37</v>
      </c>
      <c r="C1103" t="s">
        <v>37</v>
      </c>
      <c r="D1103" t="s">
        <v>38</v>
      </c>
      <c r="E1103" s="4">
        <v>40</v>
      </c>
      <c r="F1103" s="5">
        <v>355.6</v>
      </c>
      <c r="G1103" s="5" t="s">
        <v>39</v>
      </c>
      <c r="H1103" s="5">
        <v>786.4</v>
      </c>
      <c r="I1103" s="5" t="s">
        <v>39</v>
      </c>
      <c r="J1103" s="5">
        <v>12.090400000000001</v>
      </c>
      <c r="K1103" s="5">
        <f t="shared" si="51"/>
        <v>0.30226000000000003</v>
      </c>
      <c r="L1103" s="5">
        <f t="shared" si="52"/>
        <v>8.89</v>
      </c>
      <c r="M1103" s="5" t="s">
        <v>39</v>
      </c>
      <c r="N1103" s="5">
        <v>12.090400000000001</v>
      </c>
      <c r="O1103" s="5" t="s">
        <v>39</v>
      </c>
      <c r="P1103" t="s">
        <v>286</v>
      </c>
      <c r="Q1103" t="s">
        <v>970</v>
      </c>
      <c r="R1103" t="s">
        <v>37</v>
      </c>
      <c r="S1103" t="s">
        <v>971</v>
      </c>
      <c r="T1103" t="s">
        <v>43</v>
      </c>
      <c r="U1103" t="s">
        <v>44</v>
      </c>
      <c r="V1103">
        <v>147</v>
      </c>
      <c r="W1103" t="s">
        <v>45</v>
      </c>
      <c r="X1103" t="s">
        <v>46</v>
      </c>
      <c r="Y1103" t="s">
        <v>972</v>
      </c>
      <c r="Z1103" t="s">
        <v>37</v>
      </c>
      <c r="AA1103" t="s">
        <v>95</v>
      </c>
      <c r="AB1103" t="s">
        <v>37</v>
      </c>
      <c r="AC1103" s="6" t="s">
        <v>37</v>
      </c>
      <c r="AD1103" s="6" t="s">
        <v>37</v>
      </c>
      <c r="AE1103" t="s">
        <v>37</v>
      </c>
      <c r="AF1103" t="s">
        <v>37</v>
      </c>
      <c r="AG1103" s="6" t="s">
        <v>37</v>
      </c>
      <c r="AH1103" t="s">
        <v>37</v>
      </c>
      <c r="AI1103" t="s">
        <v>37</v>
      </c>
      <c r="AJ1103" t="str">
        <f t="shared" si="53"/>
        <v>4AP423UWB07W5JK3Z2</v>
      </c>
    </row>
    <row r="1104" spans="1:36" ht="15" customHeight="1" x14ac:dyDescent="0.25">
      <c r="A1104" t="s">
        <v>118</v>
      </c>
      <c r="B1104" t="s">
        <v>37</v>
      </c>
      <c r="C1104" t="s">
        <v>37</v>
      </c>
      <c r="D1104" t="s">
        <v>38</v>
      </c>
      <c r="E1104" s="4">
        <v>4</v>
      </c>
      <c r="F1104" s="5">
        <v>299.36</v>
      </c>
      <c r="G1104" s="5" t="s">
        <v>39</v>
      </c>
      <c r="H1104" s="5">
        <v>455.72</v>
      </c>
      <c r="I1104" s="5" t="s">
        <v>39</v>
      </c>
      <c r="J1104" s="5">
        <v>10.178240000000001</v>
      </c>
      <c r="K1104" s="5">
        <f t="shared" si="51"/>
        <v>2.5445600000000002</v>
      </c>
      <c r="L1104" s="5">
        <f t="shared" si="52"/>
        <v>74.84</v>
      </c>
      <c r="M1104" s="5" t="s">
        <v>39</v>
      </c>
      <c r="N1104" s="5">
        <v>10.178240000000001</v>
      </c>
      <c r="O1104" s="5" t="s">
        <v>39</v>
      </c>
      <c r="P1104" t="s">
        <v>462</v>
      </c>
      <c r="Q1104" t="s">
        <v>1705</v>
      </c>
      <c r="R1104" t="s">
        <v>37</v>
      </c>
      <c r="S1104" t="s">
        <v>1706</v>
      </c>
      <c r="T1104" t="s">
        <v>43</v>
      </c>
      <c r="U1104" t="s">
        <v>44</v>
      </c>
      <c r="V1104">
        <v>147</v>
      </c>
      <c r="W1104" t="s">
        <v>45</v>
      </c>
      <c r="X1104" t="s">
        <v>46</v>
      </c>
      <c r="Y1104" t="s">
        <v>1707</v>
      </c>
      <c r="Z1104" t="s">
        <v>37</v>
      </c>
      <c r="AA1104" t="s">
        <v>95</v>
      </c>
      <c r="AB1104" t="s">
        <v>37</v>
      </c>
      <c r="AC1104" s="6" t="s">
        <v>37</v>
      </c>
      <c r="AD1104" s="6" t="s">
        <v>37</v>
      </c>
      <c r="AE1104" t="s">
        <v>37</v>
      </c>
      <c r="AF1104" t="s">
        <v>37</v>
      </c>
      <c r="AG1104" s="6" t="s">
        <v>37</v>
      </c>
      <c r="AH1104" t="s">
        <v>37</v>
      </c>
      <c r="AI1104" t="s">
        <v>37</v>
      </c>
      <c r="AJ1104" t="str">
        <f t="shared" si="53"/>
        <v>17D6YHERB07W6JPVP3</v>
      </c>
    </row>
    <row r="1105" spans="1:36" ht="15" customHeight="1" x14ac:dyDescent="0.25">
      <c r="A1105" t="s">
        <v>36</v>
      </c>
      <c r="B1105" t="s">
        <v>37</v>
      </c>
      <c r="C1105" t="s">
        <v>37</v>
      </c>
      <c r="D1105" t="s">
        <v>38</v>
      </c>
      <c r="E1105" s="4">
        <v>4</v>
      </c>
      <c r="F1105" s="5">
        <v>244.48</v>
      </c>
      <c r="G1105" s="5" t="s">
        <v>39</v>
      </c>
      <c r="H1105" s="5">
        <v>244.48</v>
      </c>
      <c r="I1105" s="5" t="s">
        <v>39</v>
      </c>
      <c r="J1105" s="5">
        <v>8.3123199999999997</v>
      </c>
      <c r="K1105" s="5">
        <f t="shared" si="51"/>
        <v>2.0780799999999999</v>
      </c>
      <c r="L1105" s="5">
        <f t="shared" si="52"/>
        <v>61.12</v>
      </c>
      <c r="M1105" s="5" t="s">
        <v>39</v>
      </c>
      <c r="N1105" s="5">
        <v>8.3123199999999997</v>
      </c>
      <c r="O1105" s="5" t="s">
        <v>39</v>
      </c>
      <c r="P1105" t="s">
        <v>40</v>
      </c>
      <c r="Q1105" t="s">
        <v>1708</v>
      </c>
      <c r="R1105" t="s">
        <v>37</v>
      </c>
      <c r="S1105" t="s">
        <v>1709</v>
      </c>
      <c r="T1105" t="s">
        <v>1211</v>
      </c>
      <c r="U1105" t="s">
        <v>44</v>
      </c>
      <c r="V1105">
        <v>147</v>
      </c>
      <c r="W1105" t="s">
        <v>45</v>
      </c>
      <c r="X1105" t="s">
        <v>60</v>
      </c>
      <c r="Y1105" t="s">
        <v>1710</v>
      </c>
      <c r="Z1105" t="s">
        <v>37</v>
      </c>
      <c r="AA1105" t="s">
        <v>55</v>
      </c>
      <c r="AB1105" t="s">
        <v>37</v>
      </c>
      <c r="AC1105" s="6" t="s">
        <v>37</v>
      </c>
      <c r="AD1105" s="6" t="s">
        <v>37</v>
      </c>
      <c r="AE1105" t="s">
        <v>37</v>
      </c>
      <c r="AF1105" t="s">
        <v>37</v>
      </c>
      <c r="AG1105" s="6" t="s">
        <v>37</v>
      </c>
      <c r="AH1105" t="s">
        <v>37</v>
      </c>
      <c r="AI1105" t="s">
        <v>37</v>
      </c>
      <c r="AJ1105" t="str">
        <f t="shared" si="53"/>
        <v>4A3KDTEZB07W6JGH91</v>
      </c>
    </row>
    <row r="1106" spans="1:36" ht="15" customHeight="1" x14ac:dyDescent="0.25">
      <c r="A1106" t="s">
        <v>101</v>
      </c>
      <c r="B1106" t="s">
        <v>37</v>
      </c>
      <c r="C1106" t="s">
        <v>37</v>
      </c>
      <c r="D1106" t="s">
        <v>38</v>
      </c>
      <c r="E1106" s="4">
        <v>32</v>
      </c>
      <c r="F1106" s="5">
        <v>1181.76</v>
      </c>
      <c r="G1106" s="5" t="s">
        <v>39</v>
      </c>
      <c r="H1106" s="5">
        <v>1967.04</v>
      </c>
      <c r="I1106" s="5" t="s">
        <v>39</v>
      </c>
      <c r="J1106" s="5">
        <v>40.179839999999999</v>
      </c>
      <c r="K1106" s="5">
        <f t="shared" si="51"/>
        <v>1.25562</v>
      </c>
      <c r="L1106" s="5">
        <f t="shared" si="52"/>
        <v>36.93</v>
      </c>
      <c r="M1106" s="5" t="s">
        <v>39</v>
      </c>
      <c r="N1106" s="5">
        <v>40.179839999999999</v>
      </c>
      <c r="O1106" s="5" t="s">
        <v>39</v>
      </c>
      <c r="P1106" t="s">
        <v>120</v>
      </c>
      <c r="Q1106" t="s">
        <v>908</v>
      </c>
      <c r="R1106" t="s">
        <v>909</v>
      </c>
      <c r="S1106" t="s">
        <v>910</v>
      </c>
      <c r="T1106" t="s">
        <v>43</v>
      </c>
      <c r="U1106" t="s">
        <v>44</v>
      </c>
      <c r="V1106">
        <v>147</v>
      </c>
      <c r="W1106" t="s">
        <v>45</v>
      </c>
      <c r="X1106" t="s">
        <v>46</v>
      </c>
      <c r="Y1106" t="s">
        <v>268</v>
      </c>
      <c r="Z1106" t="s">
        <v>37</v>
      </c>
      <c r="AA1106" t="s">
        <v>55</v>
      </c>
      <c r="AB1106" t="s">
        <v>37</v>
      </c>
      <c r="AC1106" s="6" t="s">
        <v>37</v>
      </c>
      <c r="AD1106" s="6" t="s">
        <v>37</v>
      </c>
      <c r="AE1106" t="s">
        <v>37</v>
      </c>
      <c r="AF1106" t="s">
        <v>37</v>
      </c>
      <c r="AG1106" s="6" t="s">
        <v>37</v>
      </c>
      <c r="AH1106" t="s">
        <v>37</v>
      </c>
      <c r="AI1106" t="s">
        <v>37</v>
      </c>
      <c r="AJ1106" t="str">
        <f t="shared" si="53"/>
        <v>5MWU8WTDB07CGPZ3ZQ</v>
      </c>
    </row>
    <row r="1107" spans="1:36" ht="15" customHeight="1" x14ac:dyDescent="0.25">
      <c r="A1107" t="s">
        <v>76</v>
      </c>
      <c r="B1107" t="s">
        <v>37</v>
      </c>
      <c r="C1107" t="s">
        <v>37</v>
      </c>
      <c r="D1107" t="s">
        <v>38</v>
      </c>
      <c r="E1107" s="4">
        <v>8</v>
      </c>
      <c r="F1107" s="5">
        <v>257.68</v>
      </c>
      <c r="G1107" s="5" t="s">
        <v>39</v>
      </c>
      <c r="H1107" s="5">
        <v>386.8</v>
      </c>
      <c r="I1107" s="5" t="s">
        <v>39</v>
      </c>
      <c r="J1107" s="5">
        <v>8.76112</v>
      </c>
      <c r="K1107" s="5">
        <f t="shared" si="51"/>
        <v>1.09514</v>
      </c>
      <c r="L1107" s="5">
        <f t="shared" si="52"/>
        <v>32.21</v>
      </c>
      <c r="M1107" s="5" t="s">
        <v>39</v>
      </c>
      <c r="N1107" s="5">
        <v>8.76112</v>
      </c>
      <c r="O1107" s="5" t="s">
        <v>39</v>
      </c>
      <c r="P1107" t="s">
        <v>102</v>
      </c>
      <c r="Q1107" t="s">
        <v>716</v>
      </c>
      <c r="R1107" t="s">
        <v>37</v>
      </c>
      <c r="S1107" t="s">
        <v>717</v>
      </c>
      <c r="T1107" t="s">
        <v>43</v>
      </c>
      <c r="U1107" t="s">
        <v>44</v>
      </c>
      <c r="V1107">
        <v>147</v>
      </c>
      <c r="W1107" t="s">
        <v>45</v>
      </c>
      <c r="X1107" t="s">
        <v>60</v>
      </c>
      <c r="Y1107" t="s">
        <v>718</v>
      </c>
      <c r="Z1107" t="s">
        <v>37</v>
      </c>
      <c r="AA1107" t="s">
        <v>55</v>
      </c>
      <c r="AB1107" t="s">
        <v>37</v>
      </c>
      <c r="AC1107" s="6" t="s">
        <v>37</v>
      </c>
      <c r="AD1107" s="6" t="s">
        <v>37</v>
      </c>
      <c r="AE1107" t="s">
        <v>37</v>
      </c>
      <c r="AF1107" t="s">
        <v>37</v>
      </c>
      <c r="AG1107" s="6" t="s">
        <v>37</v>
      </c>
      <c r="AH1107" t="s">
        <v>37</v>
      </c>
      <c r="AI1107" t="s">
        <v>37</v>
      </c>
      <c r="AJ1107" t="str">
        <f t="shared" si="53"/>
        <v>2M7QFTCOB07W6JKH1B</v>
      </c>
    </row>
    <row r="1108" spans="1:36" ht="15" customHeight="1" x14ac:dyDescent="0.25">
      <c r="A1108" t="s">
        <v>118</v>
      </c>
      <c r="B1108" t="s">
        <v>37</v>
      </c>
      <c r="C1108" t="s">
        <v>37</v>
      </c>
      <c r="D1108" t="s">
        <v>38</v>
      </c>
      <c r="E1108" s="4">
        <v>49</v>
      </c>
      <c r="F1108" s="5">
        <v>2008.51</v>
      </c>
      <c r="G1108" s="5" t="s">
        <v>39</v>
      </c>
      <c r="H1108" s="5">
        <v>2891.49</v>
      </c>
      <c r="I1108" s="5" t="s">
        <v>39</v>
      </c>
      <c r="J1108" s="5">
        <v>68.289339999999996</v>
      </c>
      <c r="K1108" s="5">
        <f t="shared" si="51"/>
        <v>1.3936599999999999</v>
      </c>
      <c r="L1108" s="5">
        <f t="shared" si="52"/>
        <v>40.99</v>
      </c>
      <c r="M1108" s="5" t="s">
        <v>39</v>
      </c>
      <c r="N1108" s="5">
        <v>68.289339999999996</v>
      </c>
      <c r="O1108" s="5" t="s">
        <v>39</v>
      </c>
      <c r="P1108" t="s">
        <v>40</v>
      </c>
      <c r="Q1108" t="s">
        <v>1711</v>
      </c>
      <c r="R1108" t="s">
        <v>37</v>
      </c>
      <c r="S1108" t="s">
        <v>1712</v>
      </c>
      <c r="T1108" t="s">
        <v>43</v>
      </c>
      <c r="U1108" t="s">
        <v>44</v>
      </c>
      <c r="V1108">
        <v>147</v>
      </c>
      <c r="W1108" t="s">
        <v>45</v>
      </c>
      <c r="X1108" t="s">
        <v>60</v>
      </c>
      <c r="Y1108" t="s">
        <v>1713</v>
      </c>
      <c r="Z1108" t="s">
        <v>37</v>
      </c>
      <c r="AA1108" t="s">
        <v>55</v>
      </c>
      <c r="AB1108" t="s">
        <v>37</v>
      </c>
      <c r="AC1108" s="6" t="s">
        <v>37</v>
      </c>
      <c r="AD1108" s="6" t="s">
        <v>37</v>
      </c>
      <c r="AE1108" t="s">
        <v>37</v>
      </c>
      <c r="AF1108" t="s">
        <v>37</v>
      </c>
      <c r="AG1108" s="6" t="s">
        <v>37</v>
      </c>
      <c r="AH1108" t="s">
        <v>37</v>
      </c>
      <c r="AI1108" t="s">
        <v>37</v>
      </c>
      <c r="AJ1108" t="str">
        <f t="shared" si="53"/>
        <v>4A3KDTEZB009N6WMOY</v>
      </c>
    </row>
    <row r="1109" spans="1:36" ht="15" customHeight="1" x14ac:dyDescent="0.25">
      <c r="A1109" t="s">
        <v>88</v>
      </c>
      <c r="B1109" t="s">
        <v>37</v>
      </c>
      <c r="C1109" t="s">
        <v>37</v>
      </c>
      <c r="D1109" t="s">
        <v>38</v>
      </c>
      <c r="E1109" s="4">
        <v>4</v>
      </c>
      <c r="F1109" s="5">
        <v>94.96</v>
      </c>
      <c r="G1109" s="5" t="s">
        <v>39</v>
      </c>
      <c r="H1109" s="5">
        <v>157.36000000000001</v>
      </c>
      <c r="I1109" s="5" t="s">
        <v>39</v>
      </c>
      <c r="J1109" s="5">
        <v>3.22864</v>
      </c>
      <c r="K1109" s="5">
        <f t="shared" si="51"/>
        <v>0.80715999999999999</v>
      </c>
      <c r="L1109" s="5">
        <f t="shared" si="52"/>
        <v>23.74</v>
      </c>
      <c r="M1109" s="5" t="s">
        <v>39</v>
      </c>
      <c r="N1109" s="5">
        <v>3.22864</v>
      </c>
      <c r="O1109" s="5" t="s">
        <v>39</v>
      </c>
      <c r="P1109" t="s">
        <v>89</v>
      </c>
      <c r="Q1109" t="s">
        <v>121</v>
      </c>
      <c r="R1109" t="s">
        <v>37</v>
      </c>
      <c r="S1109" t="s">
        <v>122</v>
      </c>
      <c r="T1109" t="s">
        <v>43</v>
      </c>
      <c r="U1109" t="s">
        <v>44</v>
      </c>
      <c r="V1109">
        <v>147</v>
      </c>
      <c r="W1109" t="s">
        <v>45</v>
      </c>
      <c r="X1109" t="s">
        <v>53</v>
      </c>
      <c r="Y1109" t="s">
        <v>123</v>
      </c>
      <c r="Z1109" t="s">
        <v>37</v>
      </c>
      <c r="AA1109" t="s">
        <v>95</v>
      </c>
      <c r="AB1109" t="s">
        <v>37</v>
      </c>
      <c r="AC1109" s="6" t="s">
        <v>37</v>
      </c>
      <c r="AD1109" s="6" t="s">
        <v>37</v>
      </c>
      <c r="AE1109" t="s">
        <v>37</v>
      </c>
      <c r="AF1109" t="s">
        <v>37</v>
      </c>
      <c r="AG1109" s="6" t="s">
        <v>37</v>
      </c>
      <c r="AH1109" t="s">
        <v>37</v>
      </c>
      <c r="AI1109" t="s">
        <v>37</v>
      </c>
      <c r="AJ1109" t="str">
        <f t="shared" si="53"/>
        <v>2W68T8TOB07W6HBBMH</v>
      </c>
    </row>
    <row r="1110" spans="1:36" ht="15" customHeight="1" x14ac:dyDescent="0.25">
      <c r="A1110" t="s">
        <v>127</v>
      </c>
      <c r="B1110" t="s">
        <v>37</v>
      </c>
      <c r="C1110" t="s">
        <v>37</v>
      </c>
      <c r="D1110" t="s">
        <v>38</v>
      </c>
      <c r="E1110" s="4">
        <v>0</v>
      </c>
      <c r="F1110" s="5">
        <v>0</v>
      </c>
      <c r="G1110" s="5" t="s">
        <v>39</v>
      </c>
      <c r="H1110" s="5">
        <v>0</v>
      </c>
      <c r="I1110" s="5" t="s">
        <v>39</v>
      </c>
      <c r="J1110" s="5">
        <v>0</v>
      </c>
      <c r="K1110" s="5" t="e">
        <f t="shared" si="51"/>
        <v>#DIV/0!</v>
      </c>
      <c r="L1110" s="5" t="e">
        <f t="shared" si="52"/>
        <v>#DIV/0!</v>
      </c>
      <c r="M1110" s="5" t="s">
        <v>39</v>
      </c>
      <c r="N1110" s="5">
        <v>0</v>
      </c>
      <c r="O1110" s="5" t="s">
        <v>39</v>
      </c>
      <c r="P1110" t="s">
        <v>67</v>
      </c>
      <c r="Q1110" t="s">
        <v>1714</v>
      </c>
      <c r="R1110" t="s">
        <v>37</v>
      </c>
      <c r="S1110" t="s">
        <v>1715</v>
      </c>
      <c r="T1110" t="s">
        <v>43</v>
      </c>
      <c r="U1110" t="s">
        <v>44</v>
      </c>
      <c r="V1110">
        <v>147</v>
      </c>
      <c r="W1110" t="s">
        <v>45</v>
      </c>
      <c r="X1110" t="s">
        <v>239</v>
      </c>
      <c r="Y1110" t="s">
        <v>1716</v>
      </c>
      <c r="Z1110" t="s">
        <v>37</v>
      </c>
      <c r="AA1110" t="s">
        <v>95</v>
      </c>
      <c r="AB1110" t="s">
        <v>37</v>
      </c>
      <c r="AC1110" s="6" t="s">
        <v>37</v>
      </c>
      <c r="AD1110" s="6" t="s">
        <v>37</v>
      </c>
      <c r="AE1110" t="s">
        <v>37</v>
      </c>
      <c r="AF1110" t="s">
        <v>37</v>
      </c>
      <c r="AG1110" s="6" t="s">
        <v>37</v>
      </c>
      <c r="AH1110" t="s">
        <v>37</v>
      </c>
      <c r="AI1110" t="s">
        <v>37</v>
      </c>
      <c r="AJ1110" t="str">
        <f t="shared" si="53"/>
        <v>2TMBDXBKB07W4DH9CY</v>
      </c>
    </row>
    <row r="1111" spans="1:36" ht="15" customHeight="1" x14ac:dyDescent="0.25">
      <c r="A1111" t="s">
        <v>36</v>
      </c>
      <c r="B1111" t="s">
        <v>37</v>
      </c>
      <c r="C1111" t="s">
        <v>37</v>
      </c>
      <c r="D1111" t="s">
        <v>38</v>
      </c>
      <c r="E1111" s="4">
        <v>312</v>
      </c>
      <c r="F1111" s="5">
        <v>26173.68</v>
      </c>
      <c r="G1111" s="5" t="s">
        <v>39</v>
      </c>
      <c r="H1111" s="5">
        <v>43218.239999999998</v>
      </c>
      <c r="I1111" s="5" t="s">
        <v>39</v>
      </c>
      <c r="J1111" s="5">
        <v>889.90512000000001</v>
      </c>
      <c r="K1111" s="5">
        <f t="shared" si="51"/>
        <v>2.8522600000000002</v>
      </c>
      <c r="L1111" s="5">
        <f t="shared" si="52"/>
        <v>83.89</v>
      </c>
      <c r="M1111" s="5" t="s">
        <v>39</v>
      </c>
      <c r="N1111" s="5">
        <v>889.90512000000001</v>
      </c>
      <c r="O1111" s="5" t="s">
        <v>39</v>
      </c>
      <c r="P1111" t="s">
        <v>67</v>
      </c>
      <c r="Q1111" t="s">
        <v>1714</v>
      </c>
      <c r="R1111" t="s">
        <v>37</v>
      </c>
      <c r="S1111" t="s">
        <v>1715</v>
      </c>
      <c r="T1111" t="s">
        <v>43</v>
      </c>
      <c r="U1111" t="s">
        <v>44</v>
      </c>
      <c r="V1111">
        <v>147</v>
      </c>
      <c r="W1111" t="s">
        <v>45</v>
      </c>
      <c r="X1111" t="s">
        <v>239</v>
      </c>
      <c r="Y1111" t="s">
        <v>1716</v>
      </c>
      <c r="Z1111" t="s">
        <v>37</v>
      </c>
      <c r="AA1111" t="s">
        <v>95</v>
      </c>
      <c r="AB1111" t="s">
        <v>37</v>
      </c>
      <c r="AC1111" s="6" t="s">
        <v>37</v>
      </c>
      <c r="AD1111" s="6" t="s">
        <v>37</v>
      </c>
      <c r="AE1111" t="s">
        <v>37</v>
      </c>
      <c r="AF1111" t="s">
        <v>37</v>
      </c>
      <c r="AG1111" s="6" t="s">
        <v>37</v>
      </c>
      <c r="AH1111" t="s">
        <v>37</v>
      </c>
      <c r="AI1111" t="s">
        <v>37</v>
      </c>
      <c r="AJ1111" t="str">
        <f t="shared" si="53"/>
        <v>2TMBDXBKB07W4DH9CY</v>
      </c>
    </row>
    <row r="1112" spans="1:36" ht="15" customHeight="1" x14ac:dyDescent="0.25">
      <c r="A1112" t="s">
        <v>62</v>
      </c>
      <c r="B1112" t="s">
        <v>37</v>
      </c>
      <c r="C1112" t="s">
        <v>37</v>
      </c>
      <c r="D1112" t="s">
        <v>38</v>
      </c>
      <c r="E1112" s="4">
        <v>64</v>
      </c>
      <c r="F1112" s="5">
        <v>741.76</v>
      </c>
      <c r="G1112" s="5" t="s">
        <v>39</v>
      </c>
      <c r="H1112" s="5">
        <v>1153.28</v>
      </c>
      <c r="I1112" s="5" t="s">
        <v>39</v>
      </c>
      <c r="J1112" s="5">
        <v>25.219840000000001</v>
      </c>
      <c r="K1112" s="5">
        <f t="shared" si="51"/>
        <v>0.39406000000000002</v>
      </c>
      <c r="L1112" s="5">
        <f t="shared" si="52"/>
        <v>11.59</v>
      </c>
      <c r="M1112" s="5" t="s">
        <v>39</v>
      </c>
      <c r="N1112" s="5">
        <v>25.219840000000001</v>
      </c>
      <c r="O1112" s="5" t="s">
        <v>39</v>
      </c>
      <c r="P1112" t="s">
        <v>177</v>
      </c>
      <c r="Q1112" t="s">
        <v>563</v>
      </c>
      <c r="R1112" t="s">
        <v>37</v>
      </c>
      <c r="S1112" t="s">
        <v>564</v>
      </c>
      <c r="T1112" t="s">
        <v>43</v>
      </c>
      <c r="U1112" t="s">
        <v>44</v>
      </c>
      <c r="V1112">
        <v>147</v>
      </c>
      <c r="W1112" t="s">
        <v>45</v>
      </c>
      <c r="X1112" t="s">
        <v>60</v>
      </c>
      <c r="Y1112" t="s">
        <v>565</v>
      </c>
      <c r="Z1112" t="s">
        <v>37</v>
      </c>
      <c r="AA1112" t="s">
        <v>55</v>
      </c>
      <c r="AB1112" t="s">
        <v>37</v>
      </c>
      <c r="AC1112" s="6" t="s">
        <v>37</v>
      </c>
      <c r="AD1112" s="6" t="s">
        <v>37</v>
      </c>
      <c r="AE1112" t="s">
        <v>37</v>
      </c>
      <c r="AF1112" t="s">
        <v>37</v>
      </c>
      <c r="AG1112" s="6" t="s">
        <v>37</v>
      </c>
      <c r="AH1112" t="s">
        <v>37</v>
      </c>
      <c r="AI1112" t="s">
        <v>37</v>
      </c>
      <c r="AJ1112" t="str">
        <f t="shared" si="53"/>
        <v>4F3XMHTVB07VWZHCNX</v>
      </c>
    </row>
    <row r="1113" spans="1:36" ht="15" customHeight="1" x14ac:dyDescent="0.25">
      <c r="A1113" t="s">
        <v>36</v>
      </c>
      <c r="B1113" t="s">
        <v>37</v>
      </c>
      <c r="C1113" t="s">
        <v>37</v>
      </c>
      <c r="D1113" t="s">
        <v>38</v>
      </c>
      <c r="E1113" s="4">
        <v>8</v>
      </c>
      <c r="F1113" s="5">
        <v>428.08</v>
      </c>
      <c r="G1113" s="5" t="s">
        <v>39</v>
      </c>
      <c r="H1113" s="5">
        <v>655.68</v>
      </c>
      <c r="I1113" s="5" t="s">
        <v>39</v>
      </c>
      <c r="J1113" s="5">
        <v>14.55472</v>
      </c>
      <c r="K1113" s="5">
        <f t="shared" si="51"/>
        <v>1.81934</v>
      </c>
      <c r="L1113" s="5">
        <f t="shared" si="52"/>
        <v>53.51</v>
      </c>
      <c r="M1113" s="5" t="s">
        <v>39</v>
      </c>
      <c r="N1113" s="5">
        <v>14.55472</v>
      </c>
      <c r="O1113" s="5" t="s">
        <v>39</v>
      </c>
      <c r="P1113" t="s">
        <v>141</v>
      </c>
      <c r="Q1113" t="s">
        <v>279</v>
      </c>
      <c r="R1113" t="s">
        <v>37</v>
      </c>
      <c r="S1113" t="s">
        <v>280</v>
      </c>
      <c r="T1113" t="s">
        <v>43</v>
      </c>
      <c r="U1113" t="s">
        <v>44</v>
      </c>
      <c r="V1113">
        <v>23</v>
      </c>
      <c r="W1113" t="s">
        <v>281</v>
      </c>
      <c r="X1113" t="s">
        <v>282</v>
      </c>
      <c r="Y1113" t="s">
        <v>283</v>
      </c>
      <c r="Z1113" t="s">
        <v>37</v>
      </c>
      <c r="AA1113" t="s">
        <v>95</v>
      </c>
      <c r="AB1113" t="s">
        <v>37</v>
      </c>
      <c r="AC1113" s="6" t="s">
        <v>37</v>
      </c>
      <c r="AD1113" s="6" t="s">
        <v>37</v>
      </c>
      <c r="AE1113" t="s">
        <v>37</v>
      </c>
      <c r="AF1113" t="s">
        <v>37</v>
      </c>
      <c r="AG1113" s="6" t="s">
        <v>37</v>
      </c>
      <c r="AH1113" t="s">
        <v>37</v>
      </c>
      <c r="AI1113" t="s">
        <v>37</v>
      </c>
      <c r="AJ1113" t="str">
        <f t="shared" si="53"/>
        <v>56UO2L2IB07W6HLQ35</v>
      </c>
    </row>
    <row r="1114" spans="1:36" ht="15" customHeight="1" x14ac:dyDescent="0.25">
      <c r="A1114" t="s">
        <v>36</v>
      </c>
      <c r="B1114" t="s">
        <v>37</v>
      </c>
      <c r="C1114" t="s">
        <v>37</v>
      </c>
      <c r="D1114" t="s">
        <v>38</v>
      </c>
      <c r="E1114" s="4">
        <v>16</v>
      </c>
      <c r="F1114" s="5">
        <v>590.88</v>
      </c>
      <c r="G1114" s="5" t="s">
        <v>39</v>
      </c>
      <c r="H1114" s="5">
        <v>983.52</v>
      </c>
      <c r="I1114" s="5" t="s">
        <v>39</v>
      </c>
      <c r="J1114" s="5">
        <v>20.089919999999999</v>
      </c>
      <c r="K1114" s="5">
        <f t="shared" si="51"/>
        <v>1.25562</v>
      </c>
      <c r="L1114" s="5">
        <f t="shared" si="52"/>
        <v>36.93</v>
      </c>
      <c r="M1114" s="5" t="s">
        <v>39</v>
      </c>
      <c r="N1114" s="5">
        <v>20.089919999999999</v>
      </c>
      <c r="O1114" s="5" t="s">
        <v>39</v>
      </c>
      <c r="P1114" t="s">
        <v>365</v>
      </c>
      <c r="Q1114" t="s">
        <v>516</v>
      </c>
      <c r="R1114" t="s">
        <v>37</v>
      </c>
      <c r="S1114" t="s">
        <v>517</v>
      </c>
      <c r="T1114" t="s">
        <v>43</v>
      </c>
      <c r="U1114" t="s">
        <v>44</v>
      </c>
      <c r="V1114">
        <v>147</v>
      </c>
      <c r="W1114" t="s">
        <v>45</v>
      </c>
      <c r="X1114" t="s">
        <v>53</v>
      </c>
      <c r="Y1114" t="s">
        <v>518</v>
      </c>
      <c r="Z1114" t="s">
        <v>37</v>
      </c>
      <c r="AA1114" t="s">
        <v>55</v>
      </c>
      <c r="AB1114" t="s">
        <v>37</v>
      </c>
      <c r="AC1114" s="6" t="s">
        <v>37</v>
      </c>
      <c r="AD1114" s="6" t="s">
        <v>37</v>
      </c>
      <c r="AE1114" t="s">
        <v>37</v>
      </c>
      <c r="AF1114" t="s">
        <v>37</v>
      </c>
      <c r="AG1114" s="6" t="s">
        <v>37</v>
      </c>
      <c r="AH1114" t="s">
        <v>37</v>
      </c>
      <c r="AI1114" t="s">
        <v>37</v>
      </c>
      <c r="AJ1114" t="str">
        <f t="shared" si="53"/>
        <v>3KYCEHVHB07CGNP3RH</v>
      </c>
    </row>
    <row r="1115" spans="1:36" ht="15" customHeight="1" x14ac:dyDescent="0.25">
      <c r="A1115" t="s">
        <v>36</v>
      </c>
      <c r="B1115" t="s">
        <v>37</v>
      </c>
      <c r="C1115" t="s">
        <v>37</v>
      </c>
      <c r="D1115" t="s">
        <v>38</v>
      </c>
      <c r="E1115" s="4">
        <v>8</v>
      </c>
      <c r="F1115" s="5">
        <v>603.28</v>
      </c>
      <c r="G1115" s="5" t="s">
        <v>39</v>
      </c>
      <c r="H1115" s="5">
        <v>885.2</v>
      </c>
      <c r="I1115" s="5" t="s">
        <v>39</v>
      </c>
      <c r="J1115" s="5">
        <v>20.511520000000001</v>
      </c>
      <c r="K1115" s="5">
        <f t="shared" si="51"/>
        <v>2.5639400000000001</v>
      </c>
      <c r="L1115" s="5">
        <f t="shared" si="52"/>
        <v>75.41</v>
      </c>
      <c r="M1115" s="5" t="s">
        <v>39</v>
      </c>
      <c r="N1115" s="5">
        <v>20.511520000000001</v>
      </c>
      <c r="O1115" s="5" t="s">
        <v>39</v>
      </c>
      <c r="P1115" t="s">
        <v>40</v>
      </c>
      <c r="Q1115" t="s">
        <v>699</v>
      </c>
      <c r="R1115" t="s">
        <v>37</v>
      </c>
      <c r="S1115" t="s">
        <v>700</v>
      </c>
      <c r="T1115" t="s">
        <v>43</v>
      </c>
      <c r="U1115" t="s">
        <v>44</v>
      </c>
      <c r="V1115">
        <v>23</v>
      </c>
      <c r="W1115" t="s">
        <v>310</v>
      </c>
      <c r="X1115" t="s">
        <v>701</v>
      </c>
      <c r="Y1115" t="s">
        <v>702</v>
      </c>
      <c r="Z1115" t="s">
        <v>37</v>
      </c>
      <c r="AA1115" t="s">
        <v>48</v>
      </c>
      <c r="AB1115" t="s">
        <v>37</v>
      </c>
      <c r="AC1115" s="6" t="s">
        <v>37</v>
      </c>
      <c r="AD1115" s="6" t="s">
        <v>37</v>
      </c>
      <c r="AE1115" t="s">
        <v>37</v>
      </c>
      <c r="AF1115" t="s">
        <v>37</v>
      </c>
      <c r="AG1115" s="6" t="s">
        <v>37</v>
      </c>
      <c r="AH1115" t="s">
        <v>37</v>
      </c>
      <c r="AI1115" t="s">
        <v>37</v>
      </c>
      <c r="AJ1115" t="str">
        <f t="shared" si="53"/>
        <v>4A3KDTEZB01MT5WL4M</v>
      </c>
    </row>
    <row r="1116" spans="1:36" ht="15" customHeight="1" x14ac:dyDescent="0.25">
      <c r="A1116" t="s">
        <v>101</v>
      </c>
      <c r="B1116" t="s">
        <v>37</v>
      </c>
      <c r="C1116" t="s">
        <v>37</v>
      </c>
      <c r="D1116" t="s">
        <v>38</v>
      </c>
      <c r="E1116" s="4">
        <v>4</v>
      </c>
      <c r="F1116" s="5">
        <v>252.92</v>
      </c>
      <c r="G1116" s="5" t="s">
        <v>39</v>
      </c>
      <c r="H1116" s="5">
        <v>390.16</v>
      </c>
      <c r="I1116" s="5" t="s">
        <v>39</v>
      </c>
      <c r="J1116" s="5">
        <v>8.5992800000000003</v>
      </c>
      <c r="K1116" s="5">
        <f t="shared" si="51"/>
        <v>2.1498200000000001</v>
      </c>
      <c r="L1116" s="5">
        <f t="shared" si="52"/>
        <v>63.23</v>
      </c>
      <c r="M1116" s="5" t="s">
        <v>39</v>
      </c>
      <c r="N1116" s="5">
        <v>8.5992800000000003</v>
      </c>
      <c r="O1116" s="5" t="s">
        <v>39</v>
      </c>
      <c r="P1116" t="s">
        <v>102</v>
      </c>
      <c r="Q1116" t="s">
        <v>1604</v>
      </c>
      <c r="R1116" t="s">
        <v>37</v>
      </c>
      <c r="S1116" t="s">
        <v>1605</v>
      </c>
      <c r="T1116" t="s">
        <v>43</v>
      </c>
      <c r="U1116" t="s">
        <v>44</v>
      </c>
      <c r="V1116">
        <v>147</v>
      </c>
      <c r="W1116" t="s">
        <v>45</v>
      </c>
      <c r="X1116" t="s">
        <v>60</v>
      </c>
      <c r="Y1116" t="s">
        <v>1606</v>
      </c>
      <c r="Z1116" t="s">
        <v>37</v>
      </c>
      <c r="AA1116" t="s">
        <v>1607</v>
      </c>
      <c r="AB1116" t="s">
        <v>37</v>
      </c>
      <c r="AC1116" s="6" t="s">
        <v>37</v>
      </c>
      <c r="AD1116" s="6" t="s">
        <v>37</v>
      </c>
      <c r="AE1116" t="s">
        <v>37</v>
      </c>
      <c r="AF1116" t="s">
        <v>37</v>
      </c>
      <c r="AG1116" s="6" t="s">
        <v>37</v>
      </c>
      <c r="AH1116" t="s">
        <v>37</v>
      </c>
      <c r="AI1116" t="s">
        <v>37</v>
      </c>
      <c r="AJ1116" t="str">
        <f t="shared" si="53"/>
        <v>2M7QFTCOB07W6J6WYH</v>
      </c>
    </row>
    <row r="1117" spans="1:36" ht="15" customHeight="1" x14ac:dyDescent="0.25">
      <c r="A1117" t="s">
        <v>110</v>
      </c>
      <c r="B1117" t="s">
        <v>37</v>
      </c>
      <c r="C1117" t="s">
        <v>37</v>
      </c>
      <c r="D1117" t="s">
        <v>38</v>
      </c>
      <c r="E1117" s="4">
        <v>4</v>
      </c>
      <c r="F1117" s="5">
        <v>252.92</v>
      </c>
      <c r="G1117" s="5" t="s">
        <v>39</v>
      </c>
      <c r="H1117" s="5">
        <v>390.16</v>
      </c>
      <c r="I1117" s="5" t="s">
        <v>39</v>
      </c>
      <c r="J1117" s="5">
        <v>8.5992800000000003</v>
      </c>
      <c r="K1117" s="5">
        <f t="shared" si="51"/>
        <v>2.1498200000000001</v>
      </c>
      <c r="L1117" s="5">
        <f t="shared" si="52"/>
        <v>63.23</v>
      </c>
      <c r="M1117" s="5" t="s">
        <v>39</v>
      </c>
      <c r="N1117" s="5">
        <v>8.5992800000000003</v>
      </c>
      <c r="O1117" s="5" t="s">
        <v>39</v>
      </c>
      <c r="P1117" t="s">
        <v>102</v>
      </c>
      <c r="Q1117" t="s">
        <v>1604</v>
      </c>
      <c r="R1117" t="s">
        <v>37</v>
      </c>
      <c r="S1117" t="s">
        <v>1605</v>
      </c>
      <c r="T1117" t="s">
        <v>43</v>
      </c>
      <c r="U1117" t="s">
        <v>44</v>
      </c>
      <c r="V1117">
        <v>147</v>
      </c>
      <c r="W1117" t="s">
        <v>45</v>
      </c>
      <c r="X1117" t="s">
        <v>60</v>
      </c>
      <c r="Y1117" t="s">
        <v>1606</v>
      </c>
      <c r="Z1117" t="s">
        <v>37</v>
      </c>
      <c r="AA1117" t="s">
        <v>1607</v>
      </c>
      <c r="AB1117" t="s">
        <v>37</v>
      </c>
      <c r="AC1117" s="6" t="s">
        <v>37</v>
      </c>
      <c r="AD1117" s="6" t="s">
        <v>37</v>
      </c>
      <c r="AE1117" t="s">
        <v>37</v>
      </c>
      <c r="AF1117" t="s">
        <v>37</v>
      </c>
      <c r="AG1117" s="6" t="s">
        <v>37</v>
      </c>
      <c r="AH1117" t="s">
        <v>37</v>
      </c>
      <c r="AI1117" t="s">
        <v>37</v>
      </c>
      <c r="AJ1117" t="str">
        <f t="shared" si="53"/>
        <v>2M7QFTCOB07W6J6WYH</v>
      </c>
    </row>
    <row r="1118" spans="1:36" ht="15" customHeight="1" x14ac:dyDescent="0.25">
      <c r="A1118" t="s">
        <v>118</v>
      </c>
      <c r="B1118" t="s">
        <v>37</v>
      </c>
      <c r="C1118" t="s">
        <v>37</v>
      </c>
      <c r="D1118" t="s">
        <v>38</v>
      </c>
      <c r="E1118" s="4">
        <v>304</v>
      </c>
      <c r="F1118" s="5">
        <v>22924.639999999999</v>
      </c>
      <c r="G1118" s="5" t="s">
        <v>39</v>
      </c>
      <c r="H1118" s="5">
        <v>33637.599999999999</v>
      </c>
      <c r="I1118" s="5" t="s">
        <v>39</v>
      </c>
      <c r="J1118" s="5">
        <v>779.43776000000003</v>
      </c>
      <c r="K1118" s="5">
        <f t="shared" si="51"/>
        <v>2.5639400000000001</v>
      </c>
      <c r="L1118" s="5">
        <f t="shared" si="52"/>
        <v>75.41</v>
      </c>
      <c r="M1118" s="5" t="s">
        <v>39</v>
      </c>
      <c r="N1118" s="5">
        <v>779.43776000000003</v>
      </c>
      <c r="O1118" s="5" t="s">
        <v>39</v>
      </c>
      <c r="P1118" t="s">
        <v>270</v>
      </c>
      <c r="Q1118" t="s">
        <v>1717</v>
      </c>
      <c r="R1118" t="s">
        <v>37</v>
      </c>
      <c r="S1118" t="s">
        <v>1718</v>
      </c>
      <c r="T1118" t="s">
        <v>43</v>
      </c>
      <c r="U1118" t="s">
        <v>44</v>
      </c>
      <c r="V1118">
        <v>147</v>
      </c>
      <c r="W1118" t="s">
        <v>45</v>
      </c>
      <c r="X1118" t="s">
        <v>239</v>
      </c>
      <c r="Y1118" t="s">
        <v>1719</v>
      </c>
      <c r="Z1118" t="s">
        <v>37</v>
      </c>
      <c r="AA1118" t="s">
        <v>55</v>
      </c>
      <c r="AB1118" t="s">
        <v>37</v>
      </c>
      <c r="AC1118" s="6" t="s">
        <v>37</v>
      </c>
      <c r="AD1118" s="6" t="s">
        <v>37</v>
      </c>
      <c r="AE1118" t="s">
        <v>37</v>
      </c>
      <c r="AF1118" t="s">
        <v>37</v>
      </c>
      <c r="AG1118" s="6" t="s">
        <v>37</v>
      </c>
      <c r="AH1118" t="s">
        <v>37</v>
      </c>
      <c r="AI1118" t="s">
        <v>37</v>
      </c>
      <c r="AJ1118" t="str">
        <f t="shared" si="53"/>
        <v>1X4DXX4TB01L6L52K4</v>
      </c>
    </row>
    <row r="1119" spans="1:36" ht="15" customHeight="1" x14ac:dyDescent="0.25">
      <c r="A1119" t="s">
        <v>88</v>
      </c>
      <c r="B1119" t="s">
        <v>37</v>
      </c>
      <c r="C1119" t="s">
        <v>37</v>
      </c>
      <c r="D1119" t="s">
        <v>38</v>
      </c>
      <c r="E1119" s="4">
        <v>8</v>
      </c>
      <c r="F1119" s="5">
        <v>1067.3599999999999</v>
      </c>
      <c r="G1119" s="5" t="s">
        <v>39</v>
      </c>
      <c r="H1119" s="5">
        <v>1508.16</v>
      </c>
      <c r="I1119" s="5" t="s">
        <v>39</v>
      </c>
      <c r="J1119" s="5">
        <v>36.290239999999997</v>
      </c>
      <c r="K1119" s="5">
        <f t="shared" si="51"/>
        <v>4.5362799999999996</v>
      </c>
      <c r="L1119" s="5">
        <f t="shared" si="52"/>
        <v>133.41999999999999</v>
      </c>
      <c r="M1119" s="5" t="s">
        <v>39</v>
      </c>
      <c r="N1119" s="5">
        <v>36.290239999999997</v>
      </c>
      <c r="O1119" s="5" t="s">
        <v>39</v>
      </c>
      <c r="P1119" t="s">
        <v>133</v>
      </c>
      <c r="Q1119" t="s">
        <v>257</v>
      </c>
      <c r="R1119" t="s">
        <v>37</v>
      </c>
      <c r="S1119" t="s">
        <v>258</v>
      </c>
      <c r="T1119" t="s">
        <v>43</v>
      </c>
      <c r="U1119" t="s">
        <v>44</v>
      </c>
      <c r="V1119">
        <v>147</v>
      </c>
      <c r="W1119" t="s">
        <v>45</v>
      </c>
      <c r="X1119" t="s">
        <v>60</v>
      </c>
      <c r="Y1119" t="s">
        <v>259</v>
      </c>
      <c r="Z1119" t="s">
        <v>37</v>
      </c>
      <c r="AA1119" t="s">
        <v>55</v>
      </c>
      <c r="AB1119" t="s">
        <v>37</v>
      </c>
      <c r="AC1119" s="6" t="s">
        <v>37</v>
      </c>
      <c r="AD1119" s="6" t="s">
        <v>37</v>
      </c>
      <c r="AE1119" t="s">
        <v>37</v>
      </c>
      <c r="AF1119" t="s">
        <v>37</v>
      </c>
      <c r="AG1119" s="6" t="s">
        <v>37</v>
      </c>
      <c r="AH1119" t="s">
        <v>37</v>
      </c>
      <c r="AI1119" t="s">
        <v>37</v>
      </c>
      <c r="AJ1119" t="str">
        <f t="shared" si="53"/>
        <v>36BT7GGLB07W6JNF81</v>
      </c>
    </row>
    <row r="1120" spans="1:36" ht="15" customHeight="1" x14ac:dyDescent="0.25">
      <c r="A1120" t="s">
        <v>101</v>
      </c>
      <c r="B1120" t="s">
        <v>37</v>
      </c>
      <c r="C1120" t="s">
        <v>37</v>
      </c>
      <c r="D1120" t="s">
        <v>38</v>
      </c>
      <c r="E1120" s="4">
        <v>48</v>
      </c>
      <c r="F1120" s="5">
        <v>4026.72</v>
      </c>
      <c r="G1120" s="5" t="s">
        <v>39</v>
      </c>
      <c r="H1120" s="5">
        <v>6491.52</v>
      </c>
      <c r="I1120" s="5" t="s">
        <v>39</v>
      </c>
      <c r="J1120" s="5">
        <v>136.90848</v>
      </c>
      <c r="K1120" s="5">
        <f t="shared" si="51"/>
        <v>2.8522599999999998</v>
      </c>
      <c r="L1120" s="5">
        <f t="shared" si="52"/>
        <v>83.89</v>
      </c>
      <c r="M1120" s="5" t="s">
        <v>39</v>
      </c>
      <c r="N1120" s="5">
        <v>136.90848</v>
      </c>
      <c r="O1120" s="5" t="s">
        <v>39</v>
      </c>
      <c r="P1120" t="s">
        <v>102</v>
      </c>
      <c r="Q1120" t="s">
        <v>223</v>
      </c>
      <c r="R1120" t="s">
        <v>37</v>
      </c>
      <c r="S1120" t="s">
        <v>224</v>
      </c>
      <c r="T1120" t="s">
        <v>43</v>
      </c>
      <c r="U1120" t="s">
        <v>44</v>
      </c>
      <c r="V1120">
        <v>147</v>
      </c>
      <c r="W1120" t="s">
        <v>45</v>
      </c>
      <c r="X1120" t="s">
        <v>53</v>
      </c>
      <c r="Y1120" t="s">
        <v>225</v>
      </c>
      <c r="Z1120" t="s">
        <v>37</v>
      </c>
      <c r="AA1120" t="s">
        <v>55</v>
      </c>
      <c r="AB1120" t="s">
        <v>37</v>
      </c>
      <c r="AC1120" s="6" t="s">
        <v>37</v>
      </c>
      <c r="AD1120" s="6" t="s">
        <v>37</v>
      </c>
      <c r="AE1120" t="s">
        <v>37</v>
      </c>
      <c r="AF1120" t="s">
        <v>37</v>
      </c>
      <c r="AG1120" s="6" t="s">
        <v>37</v>
      </c>
      <c r="AH1120" t="s">
        <v>37</v>
      </c>
      <c r="AI1120" t="s">
        <v>37</v>
      </c>
      <c r="AJ1120" t="str">
        <f t="shared" si="53"/>
        <v>2M7QFTCOB07W4DHKTD</v>
      </c>
    </row>
    <row r="1121" spans="1:36" ht="15" customHeight="1" x14ac:dyDescent="0.25">
      <c r="A1121" t="s">
        <v>101</v>
      </c>
      <c r="B1121" t="s">
        <v>37</v>
      </c>
      <c r="C1121" t="s">
        <v>37</v>
      </c>
      <c r="D1121" t="s">
        <v>38</v>
      </c>
      <c r="E1121" s="4">
        <v>6</v>
      </c>
      <c r="F1121" s="5">
        <v>279.95999999999998</v>
      </c>
      <c r="G1121" s="5" t="s">
        <v>39</v>
      </c>
      <c r="H1121" s="5">
        <v>368.82</v>
      </c>
      <c r="I1121" s="5" t="s">
        <v>39</v>
      </c>
      <c r="J1121" s="5">
        <v>9.5186399999999995</v>
      </c>
      <c r="K1121" s="5">
        <f t="shared" si="51"/>
        <v>1.5864399999999999</v>
      </c>
      <c r="L1121" s="5">
        <f t="shared" si="52"/>
        <v>46.66</v>
      </c>
      <c r="M1121" s="5" t="s">
        <v>39</v>
      </c>
      <c r="N1121" s="5">
        <v>9.5186399999999995</v>
      </c>
      <c r="O1121" s="5" t="s">
        <v>39</v>
      </c>
      <c r="P1121" t="s">
        <v>274</v>
      </c>
      <c r="Q1121" t="s">
        <v>627</v>
      </c>
      <c r="R1121" t="s">
        <v>37</v>
      </c>
      <c r="S1121" t="s">
        <v>628</v>
      </c>
      <c r="T1121" t="s">
        <v>43</v>
      </c>
      <c r="U1121" t="s">
        <v>44</v>
      </c>
      <c r="V1121">
        <v>147</v>
      </c>
      <c r="W1121" t="s">
        <v>45</v>
      </c>
      <c r="X1121" t="s">
        <v>219</v>
      </c>
      <c r="Y1121" t="s">
        <v>629</v>
      </c>
      <c r="Z1121" t="s">
        <v>37</v>
      </c>
      <c r="AA1121" t="s">
        <v>48</v>
      </c>
      <c r="AB1121" t="s">
        <v>37</v>
      </c>
      <c r="AC1121" s="6" t="s">
        <v>37</v>
      </c>
      <c r="AD1121" s="6" t="s">
        <v>37</v>
      </c>
      <c r="AE1121" t="s">
        <v>37</v>
      </c>
      <c r="AF1121" t="s">
        <v>37</v>
      </c>
      <c r="AG1121" s="6" t="s">
        <v>37</v>
      </c>
      <c r="AH1121" t="s">
        <v>37</v>
      </c>
      <c r="AI1121" t="s">
        <v>37</v>
      </c>
      <c r="AJ1121" t="str">
        <f t="shared" si="53"/>
        <v>4LYATDUXB00C7INSWU</v>
      </c>
    </row>
    <row r="1122" spans="1:36" ht="15" customHeight="1" x14ac:dyDescent="0.25">
      <c r="A1122" t="s">
        <v>96</v>
      </c>
      <c r="B1122" t="s">
        <v>37</v>
      </c>
      <c r="C1122" t="s">
        <v>37</v>
      </c>
      <c r="D1122" t="s">
        <v>38</v>
      </c>
      <c r="E1122" s="4">
        <v>248</v>
      </c>
      <c r="F1122" s="5">
        <v>3194.24</v>
      </c>
      <c r="G1122" s="5" t="s">
        <v>39</v>
      </c>
      <c r="H1122" s="5">
        <v>5205.5200000000004</v>
      </c>
      <c r="I1122" s="5" t="s">
        <v>39</v>
      </c>
      <c r="J1122" s="5">
        <v>108.60415999999999</v>
      </c>
      <c r="K1122" s="5">
        <f t="shared" si="51"/>
        <v>0.43791999999999998</v>
      </c>
      <c r="L1122" s="5">
        <f t="shared" si="52"/>
        <v>12.879999999999999</v>
      </c>
      <c r="M1122" s="5" t="s">
        <v>39</v>
      </c>
      <c r="N1122" s="5">
        <v>108.60415999999999</v>
      </c>
      <c r="O1122" s="5" t="s">
        <v>39</v>
      </c>
      <c r="P1122" t="s">
        <v>195</v>
      </c>
      <c r="Q1122" t="s">
        <v>242</v>
      </c>
      <c r="R1122" t="s">
        <v>243</v>
      </c>
      <c r="S1122" t="s">
        <v>244</v>
      </c>
      <c r="T1122" t="s">
        <v>43</v>
      </c>
      <c r="U1122" t="s">
        <v>44</v>
      </c>
      <c r="V1122">
        <v>147</v>
      </c>
      <c r="W1122" t="s">
        <v>45</v>
      </c>
      <c r="X1122" t="s">
        <v>53</v>
      </c>
      <c r="Y1122" t="s">
        <v>245</v>
      </c>
      <c r="Z1122" t="s">
        <v>37</v>
      </c>
      <c r="AA1122" t="s">
        <v>48</v>
      </c>
      <c r="AB1122" t="s">
        <v>37</v>
      </c>
      <c r="AC1122" s="6" t="s">
        <v>37</v>
      </c>
      <c r="AD1122" s="6" t="s">
        <v>37</v>
      </c>
      <c r="AE1122" t="s">
        <v>37</v>
      </c>
      <c r="AF1122" t="s">
        <v>37</v>
      </c>
      <c r="AG1122" s="6" t="s">
        <v>37</v>
      </c>
      <c r="AH1122" t="s">
        <v>37</v>
      </c>
      <c r="AI1122" t="s">
        <v>37</v>
      </c>
      <c r="AJ1122" t="str">
        <f t="shared" si="53"/>
        <v>5X1OU9ZGB00745IE2K</v>
      </c>
    </row>
    <row r="1123" spans="1:36" ht="15" customHeight="1" x14ac:dyDescent="0.25">
      <c r="A1123" t="s">
        <v>96</v>
      </c>
      <c r="B1123" t="s">
        <v>37</v>
      </c>
      <c r="C1123" t="s">
        <v>37</v>
      </c>
      <c r="D1123" t="s">
        <v>38</v>
      </c>
      <c r="E1123" s="4">
        <v>32</v>
      </c>
      <c r="F1123" s="5">
        <v>2346.88</v>
      </c>
      <c r="G1123" s="5" t="s">
        <v>39</v>
      </c>
      <c r="H1123" s="5">
        <v>3803.2</v>
      </c>
      <c r="I1123" s="5" t="s">
        <v>39</v>
      </c>
      <c r="J1123" s="5">
        <v>79.79392</v>
      </c>
      <c r="K1123" s="5">
        <f t="shared" si="51"/>
        <v>2.49356</v>
      </c>
      <c r="L1123" s="5">
        <f t="shared" si="52"/>
        <v>73.34</v>
      </c>
      <c r="M1123" s="5" t="s">
        <v>39</v>
      </c>
      <c r="N1123" s="5">
        <v>79.79392</v>
      </c>
      <c r="O1123" s="5" t="s">
        <v>39</v>
      </c>
      <c r="P1123" t="s">
        <v>969</v>
      </c>
      <c r="Q1123" t="s">
        <v>401</v>
      </c>
      <c r="R1123" t="s">
        <v>37</v>
      </c>
      <c r="S1123" t="s">
        <v>402</v>
      </c>
      <c r="T1123" t="s">
        <v>43</v>
      </c>
      <c r="U1123" t="s">
        <v>44</v>
      </c>
      <c r="V1123">
        <v>147</v>
      </c>
      <c r="W1123" t="s">
        <v>45</v>
      </c>
      <c r="X1123" t="s">
        <v>46</v>
      </c>
      <c r="Y1123" t="s">
        <v>403</v>
      </c>
      <c r="Z1123" t="s">
        <v>37</v>
      </c>
      <c r="AA1123" t="s">
        <v>55</v>
      </c>
      <c r="AB1123" t="s">
        <v>37</v>
      </c>
      <c r="AC1123" s="6" t="s">
        <v>37</v>
      </c>
      <c r="AD1123" s="6" t="s">
        <v>37</v>
      </c>
      <c r="AE1123" t="s">
        <v>37</v>
      </c>
      <c r="AF1123" t="s">
        <v>37</v>
      </c>
      <c r="AG1123" s="6" t="s">
        <v>37</v>
      </c>
      <c r="AH1123" t="s">
        <v>37</v>
      </c>
      <c r="AI1123" t="s">
        <v>37</v>
      </c>
      <c r="AJ1123" t="str">
        <f t="shared" si="53"/>
        <v>1VBBCE3CB07G5XJLWK</v>
      </c>
    </row>
    <row r="1124" spans="1:36" ht="15" customHeight="1" x14ac:dyDescent="0.25">
      <c r="A1124" t="s">
        <v>49</v>
      </c>
      <c r="B1124" t="s">
        <v>37</v>
      </c>
      <c r="C1124" t="s">
        <v>37</v>
      </c>
      <c r="D1124" t="s">
        <v>38</v>
      </c>
      <c r="E1124" s="4">
        <v>4</v>
      </c>
      <c r="F1124" s="5">
        <v>293.36</v>
      </c>
      <c r="G1124" s="5" t="s">
        <v>39</v>
      </c>
      <c r="H1124" s="5">
        <v>475.4</v>
      </c>
      <c r="I1124" s="5" t="s">
        <v>39</v>
      </c>
      <c r="J1124" s="5">
        <v>9.97424</v>
      </c>
      <c r="K1124" s="5">
        <f t="shared" si="51"/>
        <v>2.49356</v>
      </c>
      <c r="L1124" s="5">
        <f t="shared" si="52"/>
        <v>73.34</v>
      </c>
      <c r="M1124" s="5" t="s">
        <v>39</v>
      </c>
      <c r="N1124" s="5">
        <v>9.97424</v>
      </c>
      <c r="O1124" s="5" t="s">
        <v>39</v>
      </c>
      <c r="P1124" t="s">
        <v>969</v>
      </c>
      <c r="Q1124" t="s">
        <v>401</v>
      </c>
      <c r="R1124" t="s">
        <v>37</v>
      </c>
      <c r="S1124" t="s">
        <v>402</v>
      </c>
      <c r="T1124" t="s">
        <v>43</v>
      </c>
      <c r="U1124" t="s">
        <v>44</v>
      </c>
      <c r="V1124">
        <v>147</v>
      </c>
      <c r="W1124" t="s">
        <v>45</v>
      </c>
      <c r="X1124" t="s">
        <v>46</v>
      </c>
      <c r="Y1124" t="s">
        <v>403</v>
      </c>
      <c r="Z1124" t="s">
        <v>37</v>
      </c>
      <c r="AA1124" t="s">
        <v>55</v>
      </c>
      <c r="AB1124" t="s">
        <v>37</v>
      </c>
      <c r="AC1124" s="6" t="s">
        <v>37</v>
      </c>
      <c r="AD1124" s="6" t="s">
        <v>37</v>
      </c>
      <c r="AE1124" t="s">
        <v>37</v>
      </c>
      <c r="AF1124" t="s">
        <v>37</v>
      </c>
      <c r="AG1124" s="6" t="s">
        <v>37</v>
      </c>
      <c r="AH1124" t="s">
        <v>37</v>
      </c>
      <c r="AI1124" t="s">
        <v>37</v>
      </c>
      <c r="AJ1124" t="str">
        <f t="shared" si="53"/>
        <v>1VBBCE3CB07G5XJLWK</v>
      </c>
    </row>
    <row r="1125" spans="1:36" ht="15" customHeight="1" x14ac:dyDescent="0.25">
      <c r="A1125" t="s">
        <v>210</v>
      </c>
      <c r="B1125" t="s">
        <v>37</v>
      </c>
      <c r="C1125" t="s">
        <v>37</v>
      </c>
      <c r="D1125" t="s">
        <v>38</v>
      </c>
      <c r="E1125" s="4">
        <v>8</v>
      </c>
      <c r="F1125" s="5">
        <v>103.04</v>
      </c>
      <c r="G1125" s="5" t="s">
        <v>39</v>
      </c>
      <c r="H1125" s="5">
        <v>167.92</v>
      </c>
      <c r="I1125" s="5" t="s">
        <v>39</v>
      </c>
      <c r="J1125" s="5">
        <v>3.5033599999999998</v>
      </c>
      <c r="K1125" s="5">
        <f t="shared" si="51"/>
        <v>0.43791999999999998</v>
      </c>
      <c r="L1125" s="5">
        <f t="shared" si="52"/>
        <v>12.88</v>
      </c>
      <c r="M1125" s="5" t="s">
        <v>39</v>
      </c>
      <c r="N1125" s="5">
        <v>3.5033599999999998</v>
      </c>
      <c r="O1125" s="5" t="s">
        <v>39</v>
      </c>
      <c r="P1125" t="s">
        <v>195</v>
      </c>
      <c r="Q1125" t="s">
        <v>242</v>
      </c>
      <c r="R1125" t="s">
        <v>243</v>
      </c>
      <c r="S1125" t="s">
        <v>244</v>
      </c>
      <c r="T1125" t="s">
        <v>43</v>
      </c>
      <c r="U1125" t="s">
        <v>44</v>
      </c>
      <c r="V1125">
        <v>147</v>
      </c>
      <c r="W1125" t="s">
        <v>45</v>
      </c>
      <c r="X1125" t="s">
        <v>53</v>
      </c>
      <c r="Y1125" t="s">
        <v>245</v>
      </c>
      <c r="Z1125" t="s">
        <v>37</v>
      </c>
      <c r="AA1125" t="s">
        <v>48</v>
      </c>
      <c r="AB1125" t="s">
        <v>37</v>
      </c>
      <c r="AC1125" s="6" t="s">
        <v>37</v>
      </c>
      <c r="AD1125" s="6" t="s">
        <v>37</v>
      </c>
      <c r="AE1125" t="s">
        <v>37</v>
      </c>
      <c r="AF1125" t="s">
        <v>37</v>
      </c>
      <c r="AG1125" s="6" t="s">
        <v>37</v>
      </c>
      <c r="AH1125" t="s">
        <v>37</v>
      </c>
      <c r="AI1125" t="s">
        <v>37</v>
      </c>
      <c r="AJ1125" t="str">
        <f t="shared" si="53"/>
        <v>5X1OU9ZGB00745IE2K</v>
      </c>
    </row>
    <row r="1126" spans="1:36" ht="15" customHeight="1" x14ac:dyDescent="0.25">
      <c r="A1126" t="s">
        <v>88</v>
      </c>
      <c r="B1126" t="s">
        <v>37</v>
      </c>
      <c r="C1126" t="s">
        <v>37</v>
      </c>
      <c r="D1126" t="s">
        <v>38</v>
      </c>
      <c r="E1126" s="4">
        <v>8</v>
      </c>
      <c r="F1126" s="5">
        <v>422.08</v>
      </c>
      <c r="G1126" s="5" t="s">
        <v>39</v>
      </c>
      <c r="H1126" s="5">
        <v>681.92</v>
      </c>
      <c r="I1126" s="5" t="s">
        <v>39</v>
      </c>
      <c r="J1126" s="5">
        <v>14.350720000000001</v>
      </c>
      <c r="K1126" s="5">
        <f t="shared" si="51"/>
        <v>1.7938400000000001</v>
      </c>
      <c r="L1126" s="5">
        <f t="shared" si="52"/>
        <v>52.76</v>
      </c>
      <c r="M1126" s="5" t="s">
        <v>39</v>
      </c>
      <c r="N1126" s="5">
        <v>14.350720000000001</v>
      </c>
      <c r="O1126" s="5" t="s">
        <v>39</v>
      </c>
      <c r="P1126" t="s">
        <v>89</v>
      </c>
      <c r="Q1126" t="s">
        <v>304</v>
      </c>
      <c r="R1126" t="s">
        <v>37</v>
      </c>
      <c r="S1126" t="s">
        <v>305</v>
      </c>
      <c r="T1126" t="s">
        <v>43</v>
      </c>
      <c r="U1126" t="s">
        <v>44</v>
      </c>
      <c r="V1126">
        <v>63</v>
      </c>
      <c r="W1126" t="s">
        <v>45</v>
      </c>
      <c r="X1126" t="s">
        <v>46</v>
      </c>
      <c r="Y1126" t="s">
        <v>306</v>
      </c>
      <c r="Z1126" t="s">
        <v>37</v>
      </c>
      <c r="AA1126" t="s">
        <v>307</v>
      </c>
      <c r="AB1126" t="s">
        <v>37</v>
      </c>
      <c r="AC1126" s="6" t="s">
        <v>37</v>
      </c>
      <c r="AD1126" s="6" t="s">
        <v>37</v>
      </c>
      <c r="AE1126" t="s">
        <v>37</v>
      </c>
      <c r="AF1126" t="s">
        <v>37</v>
      </c>
      <c r="AG1126" s="6" t="s">
        <v>37</v>
      </c>
      <c r="AH1126" t="s">
        <v>37</v>
      </c>
      <c r="AI1126" t="s">
        <v>37</v>
      </c>
      <c r="AJ1126" t="str">
        <f t="shared" si="53"/>
        <v>2W68T8TOB07W6JGH8Z</v>
      </c>
    </row>
    <row r="1127" spans="1:36" ht="15" customHeight="1" x14ac:dyDescent="0.25">
      <c r="A1127" t="s">
        <v>62</v>
      </c>
      <c r="B1127" t="s">
        <v>37</v>
      </c>
      <c r="C1127" t="s">
        <v>37</v>
      </c>
      <c r="D1127" t="s">
        <v>38</v>
      </c>
      <c r="E1127" s="4">
        <v>10</v>
      </c>
      <c r="F1127" s="5">
        <v>292.8</v>
      </c>
      <c r="G1127" s="5" t="s">
        <v>39</v>
      </c>
      <c r="H1127" s="5">
        <v>442.5</v>
      </c>
      <c r="I1127" s="5" t="s">
        <v>39</v>
      </c>
      <c r="J1127" s="5">
        <v>9.9551999999999996</v>
      </c>
      <c r="K1127" s="5">
        <f t="shared" si="51"/>
        <v>0.99551999999999996</v>
      </c>
      <c r="L1127" s="5">
        <f t="shared" si="52"/>
        <v>29.28</v>
      </c>
      <c r="M1127" s="5" t="s">
        <v>39</v>
      </c>
      <c r="N1127" s="5">
        <v>9.9551999999999996</v>
      </c>
      <c r="O1127" s="5" t="s">
        <v>39</v>
      </c>
      <c r="P1127" t="s">
        <v>63</v>
      </c>
      <c r="Q1127" t="s">
        <v>1720</v>
      </c>
      <c r="R1127" t="s">
        <v>37</v>
      </c>
      <c r="S1127" t="s">
        <v>1721</v>
      </c>
      <c r="T1127" t="s">
        <v>43</v>
      </c>
      <c r="U1127" t="s">
        <v>44</v>
      </c>
      <c r="V1127">
        <v>147</v>
      </c>
      <c r="W1127" t="s">
        <v>45</v>
      </c>
      <c r="X1127" t="s">
        <v>53</v>
      </c>
      <c r="Y1127" t="s">
        <v>1722</v>
      </c>
      <c r="Z1127" t="s">
        <v>37</v>
      </c>
      <c r="AA1127" t="s">
        <v>55</v>
      </c>
      <c r="AB1127" t="s">
        <v>37</v>
      </c>
      <c r="AC1127" s="6" t="s">
        <v>37</v>
      </c>
      <c r="AD1127" s="6" t="s">
        <v>37</v>
      </c>
      <c r="AE1127" t="s">
        <v>37</v>
      </c>
      <c r="AF1127" t="s">
        <v>37</v>
      </c>
      <c r="AG1127" s="6" t="s">
        <v>37</v>
      </c>
      <c r="AH1127" t="s">
        <v>37</v>
      </c>
      <c r="AI1127" t="s">
        <v>37</v>
      </c>
      <c r="AJ1127" t="str">
        <f t="shared" si="53"/>
        <v>7H9X1Z6SB07W6J829G</v>
      </c>
    </row>
    <row r="1128" spans="1:36" ht="15" customHeight="1" x14ac:dyDescent="0.25">
      <c r="A1128" t="s">
        <v>118</v>
      </c>
      <c r="B1128" t="s">
        <v>37</v>
      </c>
      <c r="C1128" t="s">
        <v>37</v>
      </c>
      <c r="D1128" t="s">
        <v>38</v>
      </c>
      <c r="E1128" s="4">
        <v>70</v>
      </c>
      <c r="F1128" s="5">
        <v>1147.3</v>
      </c>
      <c r="G1128" s="5" t="s">
        <v>39</v>
      </c>
      <c r="H1128" s="5">
        <v>1720.6</v>
      </c>
      <c r="I1128" s="5" t="s">
        <v>39</v>
      </c>
      <c r="J1128" s="5">
        <v>39.008200000000002</v>
      </c>
      <c r="K1128" s="5">
        <f t="shared" si="51"/>
        <v>0.55725999999999998</v>
      </c>
      <c r="L1128" s="5">
        <f t="shared" si="52"/>
        <v>16.39</v>
      </c>
      <c r="M1128" s="5" t="s">
        <v>39</v>
      </c>
      <c r="N1128" s="5">
        <v>39.008200000000002</v>
      </c>
      <c r="O1128" s="5" t="s">
        <v>39</v>
      </c>
      <c r="P1128" t="s">
        <v>1723</v>
      </c>
      <c r="Q1128" t="s">
        <v>173</v>
      </c>
      <c r="R1128" t="s">
        <v>37</v>
      </c>
      <c r="S1128" t="s">
        <v>174</v>
      </c>
      <c r="T1128" t="s">
        <v>43</v>
      </c>
      <c r="U1128" t="s">
        <v>44</v>
      </c>
      <c r="V1128">
        <v>147</v>
      </c>
      <c r="W1128" t="s">
        <v>45</v>
      </c>
      <c r="X1128" t="s">
        <v>60</v>
      </c>
      <c r="Y1128" t="s">
        <v>175</v>
      </c>
      <c r="Z1128" t="s">
        <v>37</v>
      </c>
      <c r="AA1128" t="s">
        <v>55</v>
      </c>
      <c r="AB1128" t="s">
        <v>37</v>
      </c>
      <c r="AC1128" s="6" t="s">
        <v>37</v>
      </c>
      <c r="AD1128" s="6" t="s">
        <v>37</v>
      </c>
      <c r="AE1128" t="s">
        <v>37</v>
      </c>
      <c r="AF1128" t="s">
        <v>37</v>
      </c>
      <c r="AG1128" s="6" t="s">
        <v>37</v>
      </c>
      <c r="AH1128" t="s">
        <v>37</v>
      </c>
      <c r="AI1128" t="s">
        <v>37</v>
      </c>
      <c r="AJ1128" t="str">
        <f t="shared" si="53"/>
        <v>8M8TKVMPB077BT728N</v>
      </c>
    </row>
    <row r="1129" spans="1:36" ht="15" customHeight="1" x14ac:dyDescent="0.25">
      <c r="A1129" t="s">
        <v>96</v>
      </c>
      <c r="B1129" t="s">
        <v>37</v>
      </c>
      <c r="C1129" t="s">
        <v>37</v>
      </c>
      <c r="D1129" t="s">
        <v>38</v>
      </c>
      <c r="E1129" s="4">
        <v>4</v>
      </c>
      <c r="F1129" s="5">
        <v>301.64</v>
      </c>
      <c r="G1129" s="5" t="s">
        <v>39</v>
      </c>
      <c r="H1129" s="5">
        <v>442.6</v>
      </c>
      <c r="I1129" s="5" t="s">
        <v>39</v>
      </c>
      <c r="J1129" s="5">
        <v>10.25576</v>
      </c>
      <c r="K1129" s="5">
        <f t="shared" si="51"/>
        <v>2.5639400000000001</v>
      </c>
      <c r="L1129" s="5">
        <f t="shared" si="52"/>
        <v>75.41</v>
      </c>
      <c r="M1129" s="5" t="s">
        <v>39</v>
      </c>
      <c r="N1129" s="5">
        <v>10.25576</v>
      </c>
      <c r="O1129" s="5" t="s">
        <v>39</v>
      </c>
      <c r="P1129" t="s">
        <v>195</v>
      </c>
      <c r="Q1129" t="s">
        <v>1070</v>
      </c>
      <c r="R1129" t="s">
        <v>37</v>
      </c>
      <c r="S1129" t="s">
        <v>1071</v>
      </c>
      <c r="T1129" t="s">
        <v>43</v>
      </c>
      <c r="U1129" t="s">
        <v>44</v>
      </c>
      <c r="V1129">
        <v>147</v>
      </c>
      <c r="W1129" t="s">
        <v>45</v>
      </c>
      <c r="X1129" t="s">
        <v>60</v>
      </c>
      <c r="Y1129" t="s">
        <v>1072</v>
      </c>
      <c r="Z1129" t="s">
        <v>37</v>
      </c>
      <c r="AA1129" t="s">
        <v>55</v>
      </c>
      <c r="AB1129" t="s">
        <v>37</v>
      </c>
      <c r="AC1129" s="6" t="s">
        <v>37</v>
      </c>
      <c r="AD1129" s="6" t="s">
        <v>37</v>
      </c>
      <c r="AE1129" t="s">
        <v>37</v>
      </c>
      <c r="AF1129" t="s">
        <v>37</v>
      </c>
      <c r="AG1129" s="6" t="s">
        <v>37</v>
      </c>
      <c r="AH1129" t="s">
        <v>37</v>
      </c>
      <c r="AI1129" t="s">
        <v>37</v>
      </c>
      <c r="AJ1129" t="str">
        <f t="shared" si="53"/>
        <v>5X1OU9ZGB07W5JK1JN</v>
      </c>
    </row>
    <row r="1130" spans="1:36" ht="15" customHeight="1" x14ac:dyDescent="0.25">
      <c r="A1130" t="s">
        <v>62</v>
      </c>
      <c r="B1130" t="s">
        <v>37</v>
      </c>
      <c r="C1130" t="s">
        <v>37</v>
      </c>
      <c r="D1130" t="s">
        <v>38</v>
      </c>
      <c r="E1130" s="4">
        <v>4</v>
      </c>
      <c r="F1130" s="5">
        <v>301.64</v>
      </c>
      <c r="G1130" s="5" t="s">
        <v>39</v>
      </c>
      <c r="H1130" s="5">
        <v>442.6</v>
      </c>
      <c r="I1130" s="5" t="s">
        <v>39</v>
      </c>
      <c r="J1130" s="5">
        <v>10.25576</v>
      </c>
      <c r="K1130" s="5">
        <f t="shared" si="51"/>
        <v>2.5639400000000001</v>
      </c>
      <c r="L1130" s="5">
        <f t="shared" si="52"/>
        <v>75.41</v>
      </c>
      <c r="M1130" s="5" t="s">
        <v>39</v>
      </c>
      <c r="N1130" s="5">
        <v>10.25576</v>
      </c>
      <c r="O1130" s="5" t="s">
        <v>39</v>
      </c>
      <c r="P1130" t="s">
        <v>63</v>
      </c>
      <c r="Q1130" t="s">
        <v>1724</v>
      </c>
      <c r="R1130" t="s">
        <v>37</v>
      </c>
      <c r="S1130" t="s">
        <v>1725</v>
      </c>
      <c r="T1130" t="s">
        <v>43</v>
      </c>
      <c r="U1130" t="s">
        <v>44</v>
      </c>
      <c r="V1130">
        <v>147</v>
      </c>
      <c r="W1130" t="s">
        <v>45</v>
      </c>
      <c r="X1130" t="s">
        <v>53</v>
      </c>
      <c r="Y1130" t="s">
        <v>1726</v>
      </c>
      <c r="Z1130" t="s">
        <v>37</v>
      </c>
      <c r="AA1130" t="s">
        <v>55</v>
      </c>
      <c r="AB1130" t="s">
        <v>37</v>
      </c>
      <c r="AC1130" s="6" t="s">
        <v>37</v>
      </c>
      <c r="AD1130" s="6" t="s">
        <v>37</v>
      </c>
      <c r="AE1130" t="s">
        <v>37</v>
      </c>
      <c r="AF1130" t="s">
        <v>37</v>
      </c>
      <c r="AG1130" s="6" t="s">
        <v>37</v>
      </c>
      <c r="AH1130" t="s">
        <v>37</v>
      </c>
      <c r="AI1130" t="s">
        <v>37</v>
      </c>
      <c r="AJ1130" t="str">
        <f t="shared" si="53"/>
        <v>7H9X1Z6SB07W6HXQ9J</v>
      </c>
    </row>
    <row r="1131" spans="1:36" ht="15" customHeight="1" x14ac:dyDescent="0.25">
      <c r="A1131" t="s">
        <v>96</v>
      </c>
      <c r="B1131" t="s">
        <v>37</v>
      </c>
      <c r="C1131" t="s">
        <v>37</v>
      </c>
      <c r="D1131" t="s">
        <v>38</v>
      </c>
      <c r="E1131" s="4">
        <v>16</v>
      </c>
      <c r="F1131" s="5">
        <v>206.08</v>
      </c>
      <c r="G1131" s="5" t="s">
        <v>39</v>
      </c>
      <c r="H1131" s="5">
        <v>206.08</v>
      </c>
      <c r="I1131" s="5" t="s">
        <v>39</v>
      </c>
      <c r="J1131" s="5">
        <v>7.0067199999999996</v>
      </c>
      <c r="K1131" s="5">
        <f t="shared" si="51"/>
        <v>0.43791999999999998</v>
      </c>
      <c r="L1131" s="5">
        <f t="shared" si="52"/>
        <v>12.88</v>
      </c>
      <c r="M1131" s="5" t="s">
        <v>39</v>
      </c>
      <c r="N1131" s="5">
        <v>7.0067199999999996</v>
      </c>
      <c r="O1131" s="5" t="s">
        <v>39</v>
      </c>
      <c r="P1131" t="s">
        <v>195</v>
      </c>
      <c r="Q1131" t="s">
        <v>923</v>
      </c>
      <c r="R1131" t="s">
        <v>37</v>
      </c>
      <c r="S1131" t="s">
        <v>924</v>
      </c>
      <c r="T1131" t="s">
        <v>43</v>
      </c>
      <c r="U1131" t="s">
        <v>44</v>
      </c>
      <c r="V1131">
        <v>147</v>
      </c>
      <c r="W1131" t="s">
        <v>45</v>
      </c>
      <c r="X1131" t="s">
        <v>53</v>
      </c>
      <c r="Y1131" t="s">
        <v>925</v>
      </c>
      <c r="Z1131" t="s">
        <v>926</v>
      </c>
      <c r="AA1131" t="s">
        <v>48</v>
      </c>
      <c r="AB1131" t="s">
        <v>37</v>
      </c>
      <c r="AC1131" s="6" t="s">
        <v>37</v>
      </c>
      <c r="AD1131" s="6" t="s">
        <v>37</v>
      </c>
      <c r="AE1131" t="s">
        <v>37</v>
      </c>
      <c r="AF1131" t="s">
        <v>37</v>
      </c>
      <c r="AG1131" s="6" t="s">
        <v>37</v>
      </c>
      <c r="AH1131" t="s">
        <v>37</v>
      </c>
      <c r="AI1131" t="s">
        <v>37</v>
      </c>
      <c r="AJ1131" t="str">
        <f t="shared" si="53"/>
        <v>5X1OU9ZGB00745IE0W</v>
      </c>
    </row>
    <row r="1132" spans="1:36" ht="15" customHeight="1" x14ac:dyDescent="0.25">
      <c r="A1132" t="s">
        <v>96</v>
      </c>
      <c r="B1132" t="s">
        <v>37</v>
      </c>
      <c r="C1132" t="s">
        <v>37</v>
      </c>
      <c r="D1132" t="s">
        <v>38</v>
      </c>
      <c r="E1132" s="4">
        <v>8</v>
      </c>
      <c r="F1132" s="5">
        <v>696.08</v>
      </c>
      <c r="G1132" s="5" t="s">
        <v>39</v>
      </c>
      <c r="H1132" s="5">
        <v>1082</v>
      </c>
      <c r="I1132" s="5" t="s">
        <v>39</v>
      </c>
      <c r="J1132" s="5">
        <v>23.666720000000002</v>
      </c>
      <c r="K1132" s="5">
        <f t="shared" si="51"/>
        <v>2.9583400000000002</v>
      </c>
      <c r="L1132" s="5">
        <f t="shared" si="52"/>
        <v>87.01</v>
      </c>
      <c r="M1132" s="5" t="s">
        <v>39</v>
      </c>
      <c r="N1132" s="5">
        <v>23.666720000000002</v>
      </c>
      <c r="O1132" s="5" t="s">
        <v>39</v>
      </c>
      <c r="P1132" t="s">
        <v>1727</v>
      </c>
      <c r="Q1132" t="s">
        <v>1728</v>
      </c>
      <c r="R1132" t="s">
        <v>37</v>
      </c>
      <c r="S1132" t="s">
        <v>1729</v>
      </c>
      <c r="T1132" t="s">
        <v>43</v>
      </c>
      <c r="U1132" t="s">
        <v>44</v>
      </c>
      <c r="V1132">
        <v>147</v>
      </c>
      <c r="W1132" t="s">
        <v>45</v>
      </c>
      <c r="X1132" t="s">
        <v>60</v>
      </c>
      <c r="Y1132" t="s">
        <v>1730</v>
      </c>
      <c r="Z1132" t="s">
        <v>37</v>
      </c>
      <c r="AA1132" t="s">
        <v>55</v>
      </c>
      <c r="AB1132" t="s">
        <v>37</v>
      </c>
      <c r="AC1132" s="6" t="s">
        <v>37</v>
      </c>
      <c r="AD1132" s="6" t="s">
        <v>37</v>
      </c>
      <c r="AE1132" t="s">
        <v>37</v>
      </c>
      <c r="AF1132" t="s">
        <v>37</v>
      </c>
      <c r="AG1132" s="6" t="s">
        <v>37</v>
      </c>
      <c r="AH1132" t="s">
        <v>37</v>
      </c>
      <c r="AI1132" t="s">
        <v>37</v>
      </c>
      <c r="AJ1132" t="str">
        <f t="shared" si="53"/>
        <v>64HSRN5OB07W5JK2L1</v>
      </c>
    </row>
    <row r="1133" spans="1:36" ht="15" customHeight="1" x14ac:dyDescent="0.25">
      <c r="A1133" t="s">
        <v>71</v>
      </c>
      <c r="B1133" t="s">
        <v>37</v>
      </c>
      <c r="C1133" t="s">
        <v>37</v>
      </c>
      <c r="D1133" t="s">
        <v>38</v>
      </c>
      <c r="E1133" s="4">
        <v>4</v>
      </c>
      <c r="F1133" s="5">
        <v>73.84</v>
      </c>
      <c r="G1133" s="5" t="s">
        <v>39</v>
      </c>
      <c r="H1133" s="5">
        <v>124.56</v>
      </c>
      <c r="I1133" s="5" t="s">
        <v>39</v>
      </c>
      <c r="J1133" s="5">
        <v>2.5105599999999999</v>
      </c>
      <c r="K1133" s="5">
        <f t="shared" si="51"/>
        <v>0.62763999999999998</v>
      </c>
      <c r="L1133" s="5">
        <f t="shared" si="52"/>
        <v>18.46</v>
      </c>
      <c r="M1133" s="5" t="s">
        <v>39</v>
      </c>
      <c r="N1133" s="5">
        <v>2.5105599999999999</v>
      </c>
      <c r="O1133" s="5" t="s">
        <v>39</v>
      </c>
      <c r="P1133" t="s">
        <v>320</v>
      </c>
      <c r="Q1133" t="s">
        <v>1731</v>
      </c>
      <c r="R1133" t="s">
        <v>37</v>
      </c>
      <c r="S1133" t="s">
        <v>1732</v>
      </c>
      <c r="T1133" t="s">
        <v>43</v>
      </c>
      <c r="U1133" t="s">
        <v>44</v>
      </c>
      <c r="V1133">
        <v>147</v>
      </c>
      <c r="W1133" t="s">
        <v>45</v>
      </c>
      <c r="X1133" t="s">
        <v>53</v>
      </c>
      <c r="Y1133" t="s">
        <v>964</v>
      </c>
      <c r="Z1133" t="s">
        <v>37</v>
      </c>
      <c r="AA1133" t="s">
        <v>95</v>
      </c>
      <c r="AB1133" t="s">
        <v>37</v>
      </c>
      <c r="AC1133" s="6" t="s">
        <v>37</v>
      </c>
      <c r="AD1133" s="6" t="s">
        <v>37</v>
      </c>
      <c r="AE1133" t="s">
        <v>37</v>
      </c>
      <c r="AF1133" t="s">
        <v>37</v>
      </c>
      <c r="AG1133" s="6" t="s">
        <v>37</v>
      </c>
      <c r="AH1133" t="s">
        <v>37</v>
      </c>
      <c r="AI1133" t="s">
        <v>37</v>
      </c>
      <c r="AJ1133" t="str">
        <f t="shared" si="53"/>
        <v>8BG295LIB07W5JKR75</v>
      </c>
    </row>
    <row r="1134" spans="1:36" ht="15" customHeight="1" x14ac:dyDescent="0.25">
      <c r="A1134" t="s">
        <v>96</v>
      </c>
      <c r="B1134" t="s">
        <v>37</v>
      </c>
      <c r="C1134" t="s">
        <v>37</v>
      </c>
      <c r="D1134" t="s">
        <v>38</v>
      </c>
      <c r="E1134" s="4">
        <v>4</v>
      </c>
      <c r="F1134" s="5">
        <v>140.52000000000001</v>
      </c>
      <c r="G1134" s="5" t="s">
        <v>39</v>
      </c>
      <c r="H1134" s="5">
        <v>140.52000000000001</v>
      </c>
      <c r="I1134" s="5" t="s">
        <v>39</v>
      </c>
      <c r="J1134" s="5">
        <v>4.7776800000000001</v>
      </c>
      <c r="K1134" s="5">
        <f t="shared" si="51"/>
        <v>1.19442</v>
      </c>
      <c r="L1134" s="5">
        <f t="shared" si="52"/>
        <v>35.130000000000003</v>
      </c>
      <c r="M1134" s="5" t="s">
        <v>39</v>
      </c>
      <c r="N1134" s="5">
        <v>4.7776800000000001</v>
      </c>
      <c r="O1134" s="5" t="s">
        <v>39</v>
      </c>
      <c r="P1134" t="s">
        <v>241</v>
      </c>
      <c r="Q1134" t="s">
        <v>1523</v>
      </c>
      <c r="R1134" t="s">
        <v>37</v>
      </c>
      <c r="S1134" t="s">
        <v>1524</v>
      </c>
      <c r="T1134" t="s">
        <v>43</v>
      </c>
      <c r="U1134" t="s">
        <v>44</v>
      </c>
      <c r="V1134">
        <v>147</v>
      </c>
      <c r="W1134" t="s">
        <v>37</v>
      </c>
      <c r="X1134" t="s">
        <v>37</v>
      </c>
      <c r="Y1134" t="s">
        <v>1525</v>
      </c>
      <c r="Z1134" t="s">
        <v>37</v>
      </c>
      <c r="AA1134" t="s">
        <v>55</v>
      </c>
      <c r="AB1134" t="s">
        <v>37</v>
      </c>
      <c r="AC1134" s="6" t="s">
        <v>37</v>
      </c>
      <c r="AD1134" s="6" t="s">
        <v>37</v>
      </c>
      <c r="AE1134" t="s">
        <v>37</v>
      </c>
      <c r="AF1134" t="s">
        <v>37</v>
      </c>
      <c r="AG1134" s="6" t="s">
        <v>37</v>
      </c>
      <c r="AH1134" t="s">
        <v>37</v>
      </c>
      <c r="AI1134" t="s">
        <v>37</v>
      </c>
      <c r="AJ1134" t="str">
        <f t="shared" si="53"/>
        <v>6451M4NBB07VRLJHFH</v>
      </c>
    </row>
    <row r="1135" spans="1:36" ht="15" customHeight="1" x14ac:dyDescent="0.25">
      <c r="A1135" t="s">
        <v>36</v>
      </c>
      <c r="B1135" t="s">
        <v>37</v>
      </c>
      <c r="C1135" t="s">
        <v>37</v>
      </c>
      <c r="D1135" t="s">
        <v>38</v>
      </c>
      <c r="E1135" s="4">
        <v>60</v>
      </c>
      <c r="F1135" s="5">
        <v>8515.7999999999993</v>
      </c>
      <c r="G1135" s="5" t="s">
        <v>39</v>
      </c>
      <c r="H1135" s="5">
        <v>14213.4</v>
      </c>
      <c r="I1135" s="5" t="s">
        <v>39</v>
      </c>
      <c r="J1135" s="5">
        <v>289.53719999999998</v>
      </c>
      <c r="K1135" s="5">
        <f t="shared" si="51"/>
        <v>4.8256199999999998</v>
      </c>
      <c r="L1135" s="5">
        <f t="shared" si="52"/>
        <v>141.92999999999998</v>
      </c>
      <c r="M1135" s="5" t="s">
        <v>39</v>
      </c>
      <c r="N1135" s="5">
        <v>289.53719999999998</v>
      </c>
      <c r="O1135" s="5" t="s">
        <v>39</v>
      </c>
      <c r="P1135" t="s">
        <v>40</v>
      </c>
      <c r="Q1135" t="s">
        <v>1733</v>
      </c>
      <c r="R1135" t="s">
        <v>37</v>
      </c>
      <c r="S1135" t="s">
        <v>1734</v>
      </c>
      <c r="T1135" t="s">
        <v>43</v>
      </c>
      <c r="U1135" t="s">
        <v>44</v>
      </c>
      <c r="V1135">
        <v>147</v>
      </c>
      <c r="W1135" t="s">
        <v>45</v>
      </c>
      <c r="X1135" t="s">
        <v>46</v>
      </c>
      <c r="Y1135" t="s">
        <v>1735</v>
      </c>
      <c r="Z1135" t="s">
        <v>37</v>
      </c>
      <c r="AA1135" t="s">
        <v>95</v>
      </c>
      <c r="AB1135" t="s">
        <v>37</v>
      </c>
      <c r="AC1135" s="6" t="s">
        <v>37</v>
      </c>
      <c r="AD1135" s="6" t="s">
        <v>37</v>
      </c>
      <c r="AE1135" t="s">
        <v>37</v>
      </c>
      <c r="AF1135" t="s">
        <v>37</v>
      </c>
      <c r="AG1135" s="6" t="s">
        <v>37</v>
      </c>
      <c r="AH1135" t="s">
        <v>37</v>
      </c>
      <c r="AI1135" t="s">
        <v>37</v>
      </c>
      <c r="AJ1135" t="str">
        <f t="shared" si="53"/>
        <v>4A3KDTEZB07VTRZLWJ</v>
      </c>
    </row>
    <row r="1136" spans="1:36" ht="15" customHeight="1" x14ac:dyDescent="0.25">
      <c r="A1136" t="s">
        <v>101</v>
      </c>
      <c r="B1136" t="s">
        <v>37</v>
      </c>
      <c r="C1136" t="s">
        <v>37</v>
      </c>
      <c r="D1136" t="s">
        <v>38</v>
      </c>
      <c r="E1136" s="4">
        <v>10</v>
      </c>
      <c r="F1136" s="5">
        <v>292.8</v>
      </c>
      <c r="G1136" s="5" t="s">
        <v>39</v>
      </c>
      <c r="H1136" s="5">
        <v>442.5</v>
      </c>
      <c r="I1136" s="5" t="s">
        <v>39</v>
      </c>
      <c r="J1136" s="5">
        <v>9.9551999999999996</v>
      </c>
      <c r="K1136" s="5">
        <f t="shared" si="51"/>
        <v>0.99551999999999996</v>
      </c>
      <c r="L1136" s="5">
        <f t="shared" si="52"/>
        <v>29.28</v>
      </c>
      <c r="M1136" s="5" t="s">
        <v>39</v>
      </c>
      <c r="N1136" s="5">
        <v>9.9551999999999996</v>
      </c>
      <c r="O1136" s="5" t="s">
        <v>39</v>
      </c>
      <c r="P1136" t="s">
        <v>72</v>
      </c>
      <c r="Q1136" t="s">
        <v>1720</v>
      </c>
      <c r="R1136" t="s">
        <v>37</v>
      </c>
      <c r="S1136" t="s">
        <v>1721</v>
      </c>
      <c r="T1136" t="s">
        <v>43</v>
      </c>
      <c r="U1136" t="s">
        <v>44</v>
      </c>
      <c r="V1136">
        <v>147</v>
      </c>
      <c r="W1136" t="s">
        <v>45</v>
      </c>
      <c r="X1136" t="s">
        <v>53</v>
      </c>
      <c r="Y1136" t="s">
        <v>1722</v>
      </c>
      <c r="Z1136" t="s">
        <v>37</v>
      </c>
      <c r="AA1136" t="s">
        <v>55</v>
      </c>
      <c r="AB1136" t="s">
        <v>37</v>
      </c>
      <c r="AC1136" s="6" t="s">
        <v>37</v>
      </c>
      <c r="AD1136" s="6" t="s">
        <v>37</v>
      </c>
      <c r="AE1136" t="s">
        <v>37</v>
      </c>
      <c r="AF1136" t="s">
        <v>37</v>
      </c>
      <c r="AG1136" s="6" t="s">
        <v>37</v>
      </c>
      <c r="AH1136" t="s">
        <v>37</v>
      </c>
      <c r="AI1136" t="s">
        <v>37</v>
      </c>
      <c r="AJ1136" t="str">
        <f t="shared" si="53"/>
        <v>4GF112AEB07W6J829G</v>
      </c>
    </row>
    <row r="1137" spans="1:36" ht="15" customHeight="1" x14ac:dyDescent="0.25">
      <c r="A1137" t="s">
        <v>36</v>
      </c>
      <c r="B1137" t="s">
        <v>37</v>
      </c>
      <c r="C1137" t="s">
        <v>37</v>
      </c>
      <c r="D1137" t="s">
        <v>38</v>
      </c>
      <c r="E1137" s="4">
        <v>10</v>
      </c>
      <c r="F1137" s="5">
        <v>783.9</v>
      </c>
      <c r="G1137" s="5" t="s">
        <v>39</v>
      </c>
      <c r="H1137" s="5">
        <v>975.4</v>
      </c>
      <c r="I1137" s="5" t="s">
        <v>39</v>
      </c>
      <c r="J1137" s="5">
        <v>26.6526</v>
      </c>
      <c r="K1137" s="5">
        <f t="shared" si="51"/>
        <v>2.66526</v>
      </c>
      <c r="L1137" s="5">
        <f t="shared" si="52"/>
        <v>78.39</v>
      </c>
      <c r="M1137" s="5" t="s">
        <v>39</v>
      </c>
      <c r="N1137" s="5">
        <v>26.6526</v>
      </c>
      <c r="O1137" s="5" t="s">
        <v>39</v>
      </c>
      <c r="P1137" t="s">
        <v>365</v>
      </c>
      <c r="Q1137" t="s">
        <v>1736</v>
      </c>
      <c r="R1137" t="s">
        <v>37</v>
      </c>
      <c r="S1137" t="s">
        <v>1737</v>
      </c>
      <c r="T1137" t="s">
        <v>43</v>
      </c>
      <c r="U1137" t="s">
        <v>44</v>
      </c>
      <c r="V1137">
        <v>147</v>
      </c>
      <c r="W1137" t="s">
        <v>45</v>
      </c>
      <c r="X1137" t="s">
        <v>53</v>
      </c>
      <c r="Y1137" t="s">
        <v>1738</v>
      </c>
      <c r="Z1137" t="s">
        <v>37</v>
      </c>
      <c r="AA1137" t="s">
        <v>634</v>
      </c>
      <c r="AB1137" t="s">
        <v>37</v>
      </c>
      <c r="AC1137" s="6" t="s">
        <v>37</v>
      </c>
      <c r="AD1137" s="6" t="s">
        <v>37</v>
      </c>
      <c r="AE1137" t="s">
        <v>37</v>
      </c>
      <c r="AF1137" t="s">
        <v>37</v>
      </c>
      <c r="AG1137" s="6" t="s">
        <v>37</v>
      </c>
      <c r="AH1137" t="s">
        <v>37</v>
      </c>
      <c r="AI1137" t="s">
        <v>37</v>
      </c>
      <c r="AJ1137" t="str">
        <f t="shared" si="53"/>
        <v>3KYCEHVHB07W4DHDCQ</v>
      </c>
    </row>
    <row r="1138" spans="1:36" ht="15" customHeight="1" x14ac:dyDescent="0.25">
      <c r="A1138" t="s">
        <v>76</v>
      </c>
      <c r="B1138" t="s">
        <v>37</v>
      </c>
      <c r="C1138" t="s">
        <v>37</v>
      </c>
      <c r="D1138" t="s">
        <v>38</v>
      </c>
      <c r="E1138" s="4">
        <v>8</v>
      </c>
      <c r="F1138" s="5">
        <v>281.04000000000002</v>
      </c>
      <c r="G1138" s="5" t="s">
        <v>39</v>
      </c>
      <c r="H1138" s="5">
        <v>426.16</v>
      </c>
      <c r="I1138" s="5" t="s">
        <v>39</v>
      </c>
      <c r="J1138" s="5">
        <v>9.5553600000000003</v>
      </c>
      <c r="K1138" s="5">
        <f t="shared" si="51"/>
        <v>1.19442</v>
      </c>
      <c r="L1138" s="5">
        <f t="shared" si="52"/>
        <v>35.130000000000003</v>
      </c>
      <c r="M1138" s="5" t="s">
        <v>39</v>
      </c>
      <c r="N1138" s="5">
        <v>9.5553600000000003</v>
      </c>
      <c r="O1138" s="5" t="s">
        <v>39</v>
      </c>
      <c r="P1138" t="s">
        <v>114</v>
      </c>
      <c r="Q1138" t="s">
        <v>783</v>
      </c>
      <c r="R1138" t="s">
        <v>37</v>
      </c>
      <c r="S1138" t="s">
        <v>784</v>
      </c>
      <c r="T1138" t="s">
        <v>43</v>
      </c>
      <c r="U1138" t="s">
        <v>44</v>
      </c>
      <c r="V1138">
        <v>147</v>
      </c>
      <c r="W1138" t="s">
        <v>92</v>
      </c>
      <c r="X1138" t="s">
        <v>543</v>
      </c>
      <c r="Y1138" t="s">
        <v>785</v>
      </c>
      <c r="Z1138" t="s">
        <v>37</v>
      </c>
      <c r="AA1138" t="s">
        <v>55</v>
      </c>
      <c r="AB1138" t="s">
        <v>37</v>
      </c>
      <c r="AC1138" s="6" t="s">
        <v>37</v>
      </c>
      <c r="AD1138" s="6" t="s">
        <v>37</v>
      </c>
      <c r="AE1138" t="s">
        <v>37</v>
      </c>
      <c r="AF1138" t="s">
        <v>37</v>
      </c>
      <c r="AG1138" s="6" t="s">
        <v>37</v>
      </c>
      <c r="AH1138" t="s">
        <v>37</v>
      </c>
      <c r="AI1138" t="s">
        <v>37</v>
      </c>
      <c r="AJ1138" t="str">
        <f t="shared" si="53"/>
        <v>243WWSUAB016QPMN84</v>
      </c>
    </row>
    <row r="1139" spans="1:36" ht="15" customHeight="1" x14ac:dyDescent="0.25">
      <c r="A1139" t="s">
        <v>101</v>
      </c>
      <c r="B1139" t="s">
        <v>37</v>
      </c>
      <c r="C1139" t="s">
        <v>37</v>
      </c>
      <c r="D1139" t="s">
        <v>38</v>
      </c>
      <c r="E1139" s="4">
        <v>4</v>
      </c>
      <c r="F1139" s="5">
        <v>373.96</v>
      </c>
      <c r="G1139" s="5" t="s">
        <v>39</v>
      </c>
      <c r="H1139" s="5">
        <v>442.6</v>
      </c>
      <c r="I1139" s="5" t="s">
        <v>39</v>
      </c>
      <c r="J1139" s="5">
        <v>12.714639999999999</v>
      </c>
      <c r="K1139" s="5">
        <f t="shared" si="51"/>
        <v>3.1786599999999998</v>
      </c>
      <c r="L1139" s="5">
        <f t="shared" si="52"/>
        <v>93.49</v>
      </c>
      <c r="M1139" s="5" t="s">
        <v>39</v>
      </c>
      <c r="N1139" s="5">
        <v>12.714639999999999</v>
      </c>
      <c r="O1139" s="5" t="s">
        <v>39</v>
      </c>
      <c r="P1139" t="s">
        <v>72</v>
      </c>
      <c r="Q1139" t="s">
        <v>1739</v>
      </c>
      <c r="R1139" t="s">
        <v>37</v>
      </c>
      <c r="S1139" t="s">
        <v>1740</v>
      </c>
      <c r="T1139" t="s">
        <v>43</v>
      </c>
      <c r="U1139" t="s">
        <v>44</v>
      </c>
      <c r="V1139">
        <v>147</v>
      </c>
      <c r="W1139" t="s">
        <v>45</v>
      </c>
      <c r="X1139" t="s">
        <v>53</v>
      </c>
      <c r="Y1139" t="s">
        <v>1741</v>
      </c>
      <c r="Z1139" t="s">
        <v>37</v>
      </c>
      <c r="AA1139" t="s">
        <v>55</v>
      </c>
      <c r="AB1139" t="s">
        <v>37</v>
      </c>
      <c r="AC1139" s="6" t="s">
        <v>37</v>
      </c>
      <c r="AD1139" s="6" t="s">
        <v>37</v>
      </c>
      <c r="AE1139" t="s">
        <v>37</v>
      </c>
      <c r="AF1139" t="s">
        <v>37</v>
      </c>
      <c r="AG1139" s="6" t="s">
        <v>37</v>
      </c>
      <c r="AH1139" t="s">
        <v>37</v>
      </c>
      <c r="AI1139" t="s">
        <v>37</v>
      </c>
      <c r="AJ1139" t="str">
        <f t="shared" si="53"/>
        <v>4GF112AEB07W6HCFYS</v>
      </c>
    </row>
    <row r="1140" spans="1:36" ht="15" customHeight="1" x14ac:dyDescent="0.25">
      <c r="A1140" t="s">
        <v>36</v>
      </c>
      <c r="B1140" t="s">
        <v>37</v>
      </c>
      <c r="C1140" t="s">
        <v>37</v>
      </c>
      <c r="D1140" t="s">
        <v>38</v>
      </c>
      <c r="E1140" s="4">
        <v>12</v>
      </c>
      <c r="F1140" s="5">
        <v>421.56</v>
      </c>
      <c r="G1140" s="5" t="s">
        <v>39</v>
      </c>
      <c r="H1140" s="5">
        <v>609.72</v>
      </c>
      <c r="I1140" s="5" t="s">
        <v>39</v>
      </c>
      <c r="J1140" s="5">
        <v>14.33304</v>
      </c>
      <c r="K1140" s="5">
        <f t="shared" si="51"/>
        <v>1.19442</v>
      </c>
      <c r="L1140" s="5">
        <f t="shared" si="52"/>
        <v>35.130000000000003</v>
      </c>
      <c r="M1140" s="5" t="s">
        <v>39</v>
      </c>
      <c r="N1140" s="5">
        <v>14.33304</v>
      </c>
      <c r="O1140" s="5" t="s">
        <v>39</v>
      </c>
      <c r="P1140" t="s">
        <v>270</v>
      </c>
      <c r="Q1140" t="s">
        <v>423</v>
      </c>
      <c r="R1140" t="s">
        <v>37</v>
      </c>
      <c r="S1140" t="s">
        <v>424</v>
      </c>
      <c r="T1140" t="s">
        <v>43</v>
      </c>
      <c r="U1140" t="s">
        <v>44</v>
      </c>
      <c r="V1140">
        <v>147</v>
      </c>
      <c r="W1140" t="s">
        <v>45</v>
      </c>
      <c r="X1140" t="s">
        <v>60</v>
      </c>
      <c r="Y1140" t="s">
        <v>425</v>
      </c>
      <c r="Z1140" t="s">
        <v>37</v>
      </c>
      <c r="AA1140" t="s">
        <v>55</v>
      </c>
      <c r="AB1140" t="s">
        <v>37</v>
      </c>
      <c r="AC1140" s="6" t="s">
        <v>37</v>
      </c>
      <c r="AD1140" s="6" t="s">
        <v>37</v>
      </c>
      <c r="AE1140" t="s">
        <v>37</v>
      </c>
      <c r="AF1140" t="s">
        <v>37</v>
      </c>
      <c r="AG1140" s="6" t="s">
        <v>37</v>
      </c>
      <c r="AH1140" t="s">
        <v>37</v>
      </c>
      <c r="AI1140" t="s">
        <v>37</v>
      </c>
      <c r="AJ1140" t="str">
        <f t="shared" si="53"/>
        <v>1X4DXX4TB07VL9YHC9</v>
      </c>
    </row>
    <row r="1141" spans="1:36" ht="15" customHeight="1" x14ac:dyDescent="0.25">
      <c r="A1141" t="s">
        <v>118</v>
      </c>
      <c r="B1141" t="s">
        <v>37</v>
      </c>
      <c r="C1141" t="s">
        <v>37</v>
      </c>
      <c r="D1141" t="s">
        <v>38</v>
      </c>
      <c r="E1141" s="4">
        <v>32</v>
      </c>
      <c r="F1141" s="5">
        <v>1030.72</v>
      </c>
      <c r="G1141" s="5" t="s">
        <v>39</v>
      </c>
      <c r="H1141" s="5">
        <v>1547.2</v>
      </c>
      <c r="I1141" s="5" t="s">
        <v>39</v>
      </c>
      <c r="J1141" s="5">
        <v>35.04448</v>
      </c>
      <c r="K1141" s="5">
        <f t="shared" si="51"/>
        <v>1.09514</v>
      </c>
      <c r="L1141" s="5">
        <f t="shared" si="52"/>
        <v>32.21</v>
      </c>
      <c r="M1141" s="5" t="s">
        <v>39</v>
      </c>
      <c r="N1141" s="5">
        <v>35.04448</v>
      </c>
      <c r="O1141" s="5" t="s">
        <v>39</v>
      </c>
      <c r="P1141" t="s">
        <v>154</v>
      </c>
      <c r="Q1141" t="s">
        <v>1351</v>
      </c>
      <c r="R1141" t="s">
        <v>37</v>
      </c>
      <c r="S1141" t="s">
        <v>1352</v>
      </c>
      <c r="T1141" t="s">
        <v>432</v>
      </c>
      <c r="U1141" t="s">
        <v>44</v>
      </c>
      <c r="V1141">
        <v>147</v>
      </c>
      <c r="W1141" t="s">
        <v>92</v>
      </c>
      <c r="X1141" t="s">
        <v>433</v>
      </c>
      <c r="Y1141" t="s">
        <v>1353</v>
      </c>
      <c r="Z1141" t="s">
        <v>37</v>
      </c>
      <c r="AA1141" t="s">
        <v>55</v>
      </c>
      <c r="AB1141" t="s">
        <v>37</v>
      </c>
      <c r="AC1141" s="6" t="s">
        <v>37</v>
      </c>
      <c r="AD1141" s="6" t="s">
        <v>37</v>
      </c>
      <c r="AE1141" t="s">
        <v>37</v>
      </c>
      <c r="AF1141" t="s">
        <v>37</v>
      </c>
      <c r="AG1141" s="6" t="s">
        <v>37</v>
      </c>
      <c r="AH1141" t="s">
        <v>37</v>
      </c>
      <c r="AI1141" t="s">
        <v>37</v>
      </c>
      <c r="AJ1141" t="str">
        <f t="shared" si="53"/>
        <v>1KW92RHQB07W4DGQSX</v>
      </c>
    </row>
    <row r="1142" spans="1:36" ht="15" customHeight="1" x14ac:dyDescent="0.25">
      <c r="A1142" t="s">
        <v>411</v>
      </c>
      <c r="B1142" t="s">
        <v>37</v>
      </c>
      <c r="C1142" t="s">
        <v>37</v>
      </c>
      <c r="D1142" t="s">
        <v>38</v>
      </c>
      <c r="E1142" s="4">
        <v>10</v>
      </c>
      <c r="F1142" s="5">
        <v>163.9</v>
      </c>
      <c r="G1142" s="5" t="s">
        <v>39</v>
      </c>
      <c r="H1142" s="5">
        <v>245.8</v>
      </c>
      <c r="I1142" s="5" t="s">
        <v>39</v>
      </c>
      <c r="J1142" s="5">
        <v>5.5726000000000004</v>
      </c>
      <c r="K1142" s="5">
        <f t="shared" si="51"/>
        <v>0.55726000000000009</v>
      </c>
      <c r="L1142" s="5">
        <f t="shared" si="52"/>
        <v>16.39</v>
      </c>
      <c r="M1142" s="5" t="s">
        <v>39</v>
      </c>
      <c r="N1142" s="5">
        <v>5.5726000000000004</v>
      </c>
      <c r="O1142" s="5" t="s">
        <v>39</v>
      </c>
      <c r="P1142" t="s">
        <v>1742</v>
      </c>
      <c r="Q1142" t="s">
        <v>1743</v>
      </c>
      <c r="R1142" t="s">
        <v>37</v>
      </c>
      <c r="S1142" t="s">
        <v>1744</v>
      </c>
      <c r="T1142" t="s">
        <v>43</v>
      </c>
      <c r="U1142" t="s">
        <v>44</v>
      </c>
      <c r="V1142">
        <v>147</v>
      </c>
      <c r="W1142" t="s">
        <v>45</v>
      </c>
      <c r="X1142" t="s">
        <v>60</v>
      </c>
      <c r="Y1142" t="s">
        <v>1745</v>
      </c>
      <c r="Z1142" t="s">
        <v>37</v>
      </c>
      <c r="AA1142" t="s">
        <v>55</v>
      </c>
      <c r="AB1142" t="s">
        <v>37</v>
      </c>
      <c r="AC1142" s="6" t="s">
        <v>37</v>
      </c>
      <c r="AD1142" s="6" t="s">
        <v>37</v>
      </c>
      <c r="AE1142" t="s">
        <v>37</v>
      </c>
      <c r="AF1142" t="s">
        <v>37</v>
      </c>
      <c r="AG1142" s="6" t="s">
        <v>37</v>
      </c>
      <c r="AH1142" t="s">
        <v>37</v>
      </c>
      <c r="AI1142" t="s">
        <v>37</v>
      </c>
      <c r="AJ1142" t="str">
        <f t="shared" si="53"/>
        <v>1UJ41WNCB00EJ3RN7C</v>
      </c>
    </row>
    <row r="1143" spans="1:36" ht="15" customHeight="1" x14ac:dyDescent="0.25">
      <c r="A1143" t="s">
        <v>101</v>
      </c>
      <c r="B1143" t="s">
        <v>37</v>
      </c>
      <c r="C1143" t="s">
        <v>37</v>
      </c>
      <c r="D1143" t="s">
        <v>38</v>
      </c>
      <c r="E1143" s="4">
        <v>60</v>
      </c>
      <c r="F1143" s="5">
        <v>1867.2</v>
      </c>
      <c r="G1143" s="5" t="s">
        <v>39</v>
      </c>
      <c r="H1143" s="5">
        <v>2360.4</v>
      </c>
      <c r="I1143" s="5" t="s">
        <v>39</v>
      </c>
      <c r="J1143" s="5">
        <v>63.4848</v>
      </c>
      <c r="K1143" s="5">
        <f t="shared" si="51"/>
        <v>1.0580799999999999</v>
      </c>
      <c r="L1143" s="5">
        <f t="shared" si="52"/>
        <v>31.12</v>
      </c>
      <c r="M1143" s="5" t="s">
        <v>39</v>
      </c>
      <c r="N1143" s="5">
        <v>63.4848</v>
      </c>
      <c r="O1143" s="5" t="s">
        <v>39</v>
      </c>
      <c r="P1143" t="s">
        <v>120</v>
      </c>
      <c r="Q1143" t="s">
        <v>90</v>
      </c>
      <c r="R1143" t="s">
        <v>37</v>
      </c>
      <c r="S1143" t="s">
        <v>91</v>
      </c>
      <c r="T1143" t="s">
        <v>43</v>
      </c>
      <c r="U1143" t="s">
        <v>44</v>
      </c>
      <c r="V1143">
        <v>147</v>
      </c>
      <c r="W1143" t="s">
        <v>92</v>
      </c>
      <c r="X1143" t="s">
        <v>93</v>
      </c>
      <c r="Y1143" t="s">
        <v>94</v>
      </c>
      <c r="Z1143" t="s">
        <v>37</v>
      </c>
      <c r="AA1143" t="s">
        <v>95</v>
      </c>
      <c r="AB1143" t="s">
        <v>37</v>
      </c>
      <c r="AC1143" s="6" t="s">
        <v>37</v>
      </c>
      <c r="AD1143" s="6" t="s">
        <v>37</v>
      </c>
      <c r="AE1143" t="s">
        <v>37</v>
      </c>
      <c r="AF1143" t="s">
        <v>37</v>
      </c>
      <c r="AG1143" s="6" t="s">
        <v>37</v>
      </c>
      <c r="AH1143" t="s">
        <v>37</v>
      </c>
      <c r="AI1143" t="s">
        <v>37</v>
      </c>
      <c r="AJ1143" t="str">
        <f t="shared" si="53"/>
        <v>5MWU8WTDB07W5JKBMG</v>
      </c>
    </row>
    <row r="1144" spans="1:36" ht="15" customHeight="1" x14ac:dyDescent="0.25">
      <c r="A1144" t="s">
        <v>62</v>
      </c>
      <c r="B1144" t="s">
        <v>37</v>
      </c>
      <c r="C1144" t="s">
        <v>37</v>
      </c>
      <c r="D1144" t="s">
        <v>38</v>
      </c>
      <c r="E1144" s="4">
        <v>48</v>
      </c>
      <c r="F1144" s="5">
        <v>3773.76</v>
      </c>
      <c r="G1144" s="5" t="s">
        <v>39</v>
      </c>
      <c r="H1144" s="5">
        <v>6097.92</v>
      </c>
      <c r="I1144" s="5" t="s">
        <v>39</v>
      </c>
      <c r="J1144" s="5">
        <v>128.30784</v>
      </c>
      <c r="K1144" s="5">
        <f t="shared" si="51"/>
        <v>2.6730800000000001</v>
      </c>
      <c r="L1144" s="5">
        <f t="shared" si="52"/>
        <v>78.62</v>
      </c>
      <c r="M1144" s="5" t="s">
        <v>39</v>
      </c>
      <c r="N1144" s="5">
        <v>128.30784</v>
      </c>
      <c r="O1144" s="5" t="s">
        <v>39</v>
      </c>
      <c r="P1144" t="s">
        <v>63</v>
      </c>
      <c r="Q1144" t="s">
        <v>528</v>
      </c>
      <c r="R1144" t="s">
        <v>37</v>
      </c>
      <c r="S1144" t="s">
        <v>529</v>
      </c>
      <c r="T1144" t="s">
        <v>43</v>
      </c>
      <c r="U1144" t="s">
        <v>44</v>
      </c>
      <c r="V1144">
        <v>147</v>
      </c>
      <c r="W1144" t="s">
        <v>45</v>
      </c>
      <c r="X1144" t="s">
        <v>46</v>
      </c>
      <c r="Y1144" t="s">
        <v>530</v>
      </c>
      <c r="Z1144" t="s">
        <v>37</v>
      </c>
      <c r="AA1144" t="s">
        <v>48</v>
      </c>
      <c r="AB1144" t="s">
        <v>37</v>
      </c>
      <c r="AC1144" s="6" t="s">
        <v>37</v>
      </c>
      <c r="AD1144" s="6" t="s">
        <v>37</v>
      </c>
      <c r="AE1144" t="s">
        <v>37</v>
      </c>
      <c r="AF1144" t="s">
        <v>37</v>
      </c>
      <c r="AG1144" s="6" t="s">
        <v>37</v>
      </c>
      <c r="AH1144" t="s">
        <v>37</v>
      </c>
      <c r="AI1144" t="s">
        <v>37</v>
      </c>
      <c r="AJ1144" t="str">
        <f t="shared" si="53"/>
        <v>7H9X1Z6SB01MYW8COY</v>
      </c>
    </row>
    <row r="1145" spans="1:36" ht="15" customHeight="1" x14ac:dyDescent="0.25">
      <c r="A1145" t="s">
        <v>36</v>
      </c>
      <c r="B1145" t="s">
        <v>37</v>
      </c>
      <c r="C1145" t="s">
        <v>37</v>
      </c>
      <c r="D1145" t="s">
        <v>38</v>
      </c>
      <c r="E1145" s="4">
        <v>8</v>
      </c>
      <c r="F1145" s="5">
        <v>324.8</v>
      </c>
      <c r="G1145" s="5" t="s">
        <v>39</v>
      </c>
      <c r="H1145" s="5">
        <v>472.08</v>
      </c>
      <c r="I1145" s="5" t="s">
        <v>39</v>
      </c>
      <c r="J1145" s="5">
        <v>11.043200000000001</v>
      </c>
      <c r="K1145" s="5">
        <f t="shared" si="51"/>
        <v>1.3804000000000001</v>
      </c>
      <c r="L1145" s="5">
        <f t="shared" si="52"/>
        <v>40.6</v>
      </c>
      <c r="M1145" s="5" t="s">
        <v>39</v>
      </c>
      <c r="N1145" s="5">
        <v>11.043200000000001</v>
      </c>
      <c r="O1145" s="5" t="s">
        <v>39</v>
      </c>
      <c r="P1145" t="s">
        <v>119</v>
      </c>
      <c r="Q1145" t="s">
        <v>1746</v>
      </c>
      <c r="R1145" t="s">
        <v>37</v>
      </c>
      <c r="S1145" t="s">
        <v>1747</v>
      </c>
      <c r="T1145" t="s">
        <v>43</v>
      </c>
      <c r="U1145" t="s">
        <v>44</v>
      </c>
      <c r="V1145">
        <v>147</v>
      </c>
      <c r="W1145" t="s">
        <v>45</v>
      </c>
      <c r="X1145" t="s">
        <v>60</v>
      </c>
      <c r="Y1145" t="s">
        <v>1748</v>
      </c>
      <c r="Z1145" t="s">
        <v>37</v>
      </c>
      <c r="AA1145" t="s">
        <v>48</v>
      </c>
      <c r="AB1145" t="s">
        <v>37</v>
      </c>
      <c r="AC1145" s="6" t="s">
        <v>37</v>
      </c>
      <c r="AD1145" s="6" t="s">
        <v>37</v>
      </c>
      <c r="AE1145" t="s">
        <v>37</v>
      </c>
      <c r="AF1145" t="s">
        <v>37</v>
      </c>
      <c r="AG1145" s="6" t="s">
        <v>37</v>
      </c>
      <c r="AH1145" t="s">
        <v>37</v>
      </c>
      <c r="AI1145" t="s">
        <v>37</v>
      </c>
      <c r="AJ1145" t="str">
        <f t="shared" si="53"/>
        <v>31DJDC7QB00OK49SMI</v>
      </c>
    </row>
    <row r="1146" spans="1:36" ht="15" customHeight="1" x14ac:dyDescent="0.25">
      <c r="A1146" t="s">
        <v>613</v>
      </c>
      <c r="B1146" t="s">
        <v>37</v>
      </c>
      <c r="C1146" t="s">
        <v>37</v>
      </c>
      <c r="D1146" t="s">
        <v>38</v>
      </c>
      <c r="E1146" s="4">
        <v>7</v>
      </c>
      <c r="F1146" s="5">
        <v>1473.64</v>
      </c>
      <c r="G1146" s="5" t="s">
        <v>39</v>
      </c>
      <c r="H1146" s="5">
        <v>2352.42</v>
      </c>
      <c r="I1146" s="5" t="s">
        <v>39</v>
      </c>
      <c r="J1146" s="5">
        <v>50.103760000000001</v>
      </c>
      <c r="K1146" s="5">
        <f t="shared" si="51"/>
        <v>7.15768</v>
      </c>
      <c r="L1146" s="5">
        <f t="shared" si="52"/>
        <v>210.52</v>
      </c>
      <c r="M1146" s="5" t="s">
        <v>39</v>
      </c>
      <c r="N1146" s="5">
        <v>50.103760000000001</v>
      </c>
      <c r="O1146" s="5" t="s">
        <v>39</v>
      </c>
      <c r="P1146" t="s">
        <v>211</v>
      </c>
      <c r="Q1146" t="s">
        <v>81</v>
      </c>
      <c r="R1146" t="s">
        <v>37</v>
      </c>
      <c r="S1146" t="s">
        <v>82</v>
      </c>
      <c r="T1146" t="s">
        <v>43</v>
      </c>
      <c r="U1146" t="s">
        <v>44</v>
      </c>
      <c r="V1146">
        <v>147</v>
      </c>
      <c r="W1146" t="s">
        <v>45</v>
      </c>
      <c r="X1146" t="s">
        <v>46</v>
      </c>
      <c r="Y1146" t="s">
        <v>83</v>
      </c>
      <c r="Z1146" t="s">
        <v>37</v>
      </c>
      <c r="AA1146" t="s">
        <v>55</v>
      </c>
      <c r="AB1146" t="s">
        <v>37</v>
      </c>
      <c r="AC1146" s="6" t="s">
        <v>37</v>
      </c>
      <c r="AD1146" s="6" t="s">
        <v>37</v>
      </c>
      <c r="AE1146" t="s">
        <v>37</v>
      </c>
      <c r="AF1146" t="s">
        <v>37</v>
      </c>
      <c r="AG1146" s="6" t="s">
        <v>37</v>
      </c>
      <c r="AH1146" t="s">
        <v>37</v>
      </c>
      <c r="AI1146" t="s">
        <v>37</v>
      </c>
      <c r="AJ1146" t="str">
        <f t="shared" si="53"/>
        <v>7ILTX3HJB07W6JB7N7</v>
      </c>
    </row>
    <row r="1147" spans="1:36" ht="15" customHeight="1" x14ac:dyDescent="0.25">
      <c r="A1147" t="s">
        <v>36</v>
      </c>
      <c r="B1147" t="s">
        <v>37</v>
      </c>
      <c r="C1147" t="s">
        <v>37</v>
      </c>
      <c r="D1147" t="s">
        <v>38</v>
      </c>
      <c r="E1147" s="4">
        <v>14</v>
      </c>
      <c r="F1147" s="5">
        <v>3168.9</v>
      </c>
      <c r="G1147" s="5" t="s">
        <v>39</v>
      </c>
      <c r="H1147" s="5">
        <v>5037.76</v>
      </c>
      <c r="I1147" s="5" t="s">
        <v>39</v>
      </c>
      <c r="J1147" s="5">
        <v>107.7426</v>
      </c>
      <c r="K1147" s="5">
        <f t="shared" si="51"/>
        <v>7.6959</v>
      </c>
      <c r="L1147" s="5">
        <f t="shared" si="52"/>
        <v>226.35</v>
      </c>
      <c r="M1147" s="5" t="s">
        <v>39</v>
      </c>
      <c r="N1147" s="5">
        <v>107.7426</v>
      </c>
      <c r="O1147" s="5" t="s">
        <v>39</v>
      </c>
      <c r="P1147" t="s">
        <v>40</v>
      </c>
      <c r="Q1147" t="s">
        <v>675</v>
      </c>
      <c r="R1147" t="s">
        <v>37</v>
      </c>
      <c r="S1147" t="s">
        <v>676</v>
      </c>
      <c r="T1147" t="s">
        <v>43</v>
      </c>
      <c r="U1147" t="s">
        <v>44</v>
      </c>
      <c r="V1147">
        <v>147</v>
      </c>
      <c r="W1147" t="s">
        <v>45</v>
      </c>
      <c r="X1147" t="s">
        <v>46</v>
      </c>
      <c r="Y1147" t="s">
        <v>677</v>
      </c>
      <c r="Z1147" t="s">
        <v>37</v>
      </c>
      <c r="AA1147" t="s">
        <v>55</v>
      </c>
      <c r="AB1147" t="s">
        <v>37</v>
      </c>
      <c r="AC1147" s="6" t="s">
        <v>37</v>
      </c>
      <c r="AD1147" s="6" t="s">
        <v>37</v>
      </c>
      <c r="AE1147" t="s">
        <v>37</v>
      </c>
      <c r="AF1147" t="s">
        <v>37</v>
      </c>
      <c r="AG1147" s="6" t="s">
        <v>37</v>
      </c>
      <c r="AH1147" t="s">
        <v>37</v>
      </c>
      <c r="AI1147" t="s">
        <v>37</v>
      </c>
      <c r="AJ1147" t="str">
        <f t="shared" si="53"/>
        <v>4A3KDTEZB07W7KFFFF</v>
      </c>
    </row>
    <row r="1148" spans="1:36" ht="15" customHeight="1" x14ac:dyDescent="0.25">
      <c r="A1148" t="s">
        <v>101</v>
      </c>
      <c r="B1148" t="s">
        <v>37</v>
      </c>
      <c r="C1148" t="s">
        <v>37</v>
      </c>
      <c r="D1148" t="s">
        <v>38</v>
      </c>
      <c r="E1148" s="4">
        <v>4</v>
      </c>
      <c r="F1148" s="5">
        <v>314.48</v>
      </c>
      <c r="G1148" s="5" t="s">
        <v>39</v>
      </c>
      <c r="H1148" s="5">
        <v>508.16</v>
      </c>
      <c r="I1148" s="5" t="s">
        <v>39</v>
      </c>
      <c r="J1148" s="5">
        <v>10.69232</v>
      </c>
      <c r="K1148" s="5">
        <f t="shared" si="51"/>
        <v>2.6730800000000001</v>
      </c>
      <c r="L1148" s="5">
        <f t="shared" si="52"/>
        <v>78.62</v>
      </c>
      <c r="M1148" s="5" t="s">
        <v>39</v>
      </c>
      <c r="N1148" s="5">
        <v>10.69232</v>
      </c>
      <c r="O1148" s="5" t="s">
        <v>39</v>
      </c>
      <c r="P1148" t="s">
        <v>72</v>
      </c>
      <c r="Q1148" t="s">
        <v>528</v>
      </c>
      <c r="R1148" t="s">
        <v>37</v>
      </c>
      <c r="S1148" t="s">
        <v>529</v>
      </c>
      <c r="T1148" t="s">
        <v>43</v>
      </c>
      <c r="U1148" t="s">
        <v>44</v>
      </c>
      <c r="V1148">
        <v>147</v>
      </c>
      <c r="W1148" t="s">
        <v>45</v>
      </c>
      <c r="X1148" t="s">
        <v>46</v>
      </c>
      <c r="Y1148" t="s">
        <v>530</v>
      </c>
      <c r="Z1148" t="s">
        <v>37</v>
      </c>
      <c r="AA1148" t="s">
        <v>48</v>
      </c>
      <c r="AB1148" t="s">
        <v>37</v>
      </c>
      <c r="AC1148" s="6" t="s">
        <v>37</v>
      </c>
      <c r="AD1148" s="6" t="s">
        <v>37</v>
      </c>
      <c r="AE1148" t="s">
        <v>37</v>
      </c>
      <c r="AF1148" t="s">
        <v>37</v>
      </c>
      <c r="AG1148" s="6" t="s">
        <v>37</v>
      </c>
      <c r="AH1148" t="s">
        <v>37</v>
      </c>
      <c r="AI1148" t="s">
        <v>37</v>
      </c>
      <c r="AJ1148" t="str">
        <f t="shared" si="53"/>
        <v>4GF112AEB01MYW8COY</v>
      </c>
    </row>
    <row r="1149" spans="1:36" ht="15" customHeight="1" x14ac:dyDescent="0.25">
      <c r="A1149" t="s">
        <v>62</v>
      </c>
      <c r="B1149" t="s">
        <v>37</v>
      </c>
      <c r="C1149" t="s">
        <v>37</v>
      </c>
      <c r="D1149" t="s">
        <v>38</v>
      </c>
      <c r="E1149" s="4">
        <v>10</v>
      </c>
      <c r="F1149" s="5">
        <v>263.5</v>
      </c>
      <c r="G1149" s="5" t="s">
        <v>39</v>
      </c>
      <c r="H1149" s="5">
        <v>393.4</v>
      </c>
      <c r="I1149" s="5" t="s">
        <v>39</v>
      </c>
      <c r="J1149" s="5">
        <v>8.9589999999999996</v>
      </c>
      <c r="K1149" s="5">
        <f t="shared" si="51"/>
        <v>0.89589999999999992</v>
      </c>
      <c r="L1149" s="5">
        <f t="shared" si="52"/>
        <v>26.35</v>
      </c>
      <c r="M1149" s="5" t="s">
        <v>39</v>
      </c>
      <c r="N1149" s="5">
        <v>8.9589999999999996</v>
      </c>
      <c r="O1149" s="5" t="s">
        <v>39</v>
      </c>
      <c r="P1149" t="s">
        <v>72</v>
      </c>
      <c r="Q1149" t="s">
        <v>405</v>
      </c>
      <c r="R1149" t="s">
        <v>37</v>
      </c>
      <c r="S1149" t="s">
        <v>406</v>
      </c>
      <c r="T1149" t="s">
        <v>43</v>
      </c>
      <c r="U1149" t="s">
        <v>44</v>
      </c>
      <c r="V1149">
        <v>147</v>
      </c>
      <c r="W1149" t="s">
        <v>45</v>
      </c>
      <c r="X1149" t="s">
        <v>53</v>
      </c>
      <c r="Y1149" t="s">
        <v>407</v>
      </c>
      <c r="Z1149" t="s">
        <v>37</v>
      </c>
      <c r="AA1149" t="s">
        <v>55</v>
      </c>
      <c r="AB1149" t="s">
        <v>37</v>
      </c>
      <c r="AC1149" s="6" t="s">
        <v>37</v>
      </c>
      <c r="AD1149" s="6" t="s">
        <v>37</v>
      </c>
      <c r="AE1149" t="s">
        <v>37</v>
      </c>
      <c r="AF1149" t="s">
        <v>37</v>
      </c>
      <c r="AG1149" s="6" t="s">
        <v>37</v>
      </c>
      <c r="AH1149" t="s">
        <v>37</v>
      </c>
      <c r="AI1149" t="s">
        <v>37</v>
      </c>
      <c r="AJ1149" t="str">
        <f t="shared" si="53"/>
        <v>4GF112AEB07W6J829F</v>
      </c>
    </row>
    <row r="1150" spans="1:36" ht="15" customHeight="1" x14ac:dyDescent="0.25">
      <c r="A1150" t="s">
        <v>76</v>
      </c>
      <c r="B1150" t="s">
        <v>37</v>
      </c>
      <c r="C1150" t="s">
        <v>37</v>
      </c>
      <c r="D1150" t="s">
        <v>38</v>
      </c>
      <c r="E1150" s="4">
        <v>304</v>
      </c>
      <c r="F1150" s="5">
        <v>25502.560000000001</v>
      </c>
      <c r="G1150" s="5" t="s">
        <v>39</v>
      </c>
      <c r="H1150" s="5">
        <v>42110.080000000002</v>
      </c>
      <c r="I1150" s="5" t="s">
        <v>39</v>
      </c>
      <c r="J1150" s="5">
        <v>867.08704</v>
      </c>
      <c r="K1150" s="5">
        <f t="shared" si="51"/>
        <v>2.8522599999999998</v>
      </c>
      <c r="L1150" s="5">
        <f t="shared" si="52"/>
        <v>83.89</v>
      </c>
      <c r="M1150" s="5" t="s">
        <v>39</v>
      </c>
      <c r="N1150" s="5">
        <v>867.08704</v>
      </c>
      <c r="O1150" s="5" t="s">
        <v>39</v>
      </c>
      <c r="P1150" t="s">
        <v>320</v>
      </c>
      <c r="Q1150" t="s">
        <v>420</v>
      </c>
      <c r="R1150" t="s">
        <v>37</v>
      </c>
      <c r="S1150" t="s">
        <v>421</v>
      </c>
      <c r="T1150" t="s">
        <v>43</v>
      </c>
      <c r="U1150" t="s">
        <v>44</v>
      </c>
      <c r="V1150">
        <v>147</v>
      </c>
      <c r="W1150" t="s">
        <v>45</v>
      </c>
      <c r="X1150" t="s">
        <v>46</v>
      </c>
      <c r="Y1150" t="s">
        <v>422</v>
      </c>
      <c r="Z1150" t="s">
        <v>37</v>
      </c>
      <c r="AA1150" t="s">
        <v>55</v>
      </c>
      <c r="AB1150" t="s">
        <v>37</v>
      </c>
      <c r="AC1150" s="6" t="s">
        <v>37</v>
      </c>
      <c r="AD1150" s="6" t="s">
        <v>37</v>
      </c>
      <c r="AE1150" t="s">
        <v>37</v>
      </c>
      <c r="AF1150" t="s">
        <v>37</v>
      </c>
      <c r="AG1150" s="6" t="s">
        <v>37</v>
      </c>
      <c r="AH1150" t="s">
        <v>37</v>
      </c>
      <c r="AI1150" t="s">
        <v>37</v>
      </c>
      <c r="AJ1150" t="str">
        <f t="shared" si="53"/>
        <v>8BG295LIB07QKC4WWD</v>
      </c>
    </row>
    <row r="1151" spans="1:36" ht="15" customHeight="1" x14ac:dyDescent="0.25">
      <c r="A1151" t="s">
        <v>49</v>
      </c>
      <c r="B1151" t="s">
        <v>37</v>
      </c>
      <c r="C1151" t="s">
        <v>37</v>
      </c>
      <c r="D1151" t="s">
        <v>38</v>
      </c>
      <c r="E1151" s="4">
        <v>4</v>
      </c>
      <c r="F1151" s="5">
        <v>189.92</v>
      </c>
      <c r="G1151" s="5" t="s">
        <v>39</v>
      </c>
      <c r="H1151" s="5">
        <v>311.44</v>
      </c>
      <c r="I1151" s="5" t="s">
        <v>39</v>
      </c>
      <c r="J1151" s="5">
        <v>6.4572799999999999</v>
      </c>
      <c r="K1151" s="5">
        <f t="shared" si="51"/>
        <v>1.61432</v>
      </c>
      <c r="L1151" s="5">
        <f t="shared" si="52"/>
        <v>47.48</v>
      </c>
      <c r="M1151" s="5" t="s">
        <v>39</v>
      </c>
      <c r="N1151" s="5">
        <v>6.4572799999999999</v>
      </c>
      <c r="O1151" s="5" t="s">
        <v>39</v>
      </c>
      <c r="P1151" t="s">
        <v>638</v>
      </c>
      <c r="Q1151" t="s">
        <v>1594</v>
      </c>
      <c r="R1151" t="s">
        <v>37</v>
      </c>
      <c r="S1151" t="s">
        <v>1595</v>
      </c>
      <c r="T1151" t="s">
        <v>43</v>
      </c>
      <c r="U1151" t="s">
        <v>44</v>
      </c>
      <c r="V1151">
        <v>147</v>
      </c>
      <c r="W1151" t="s">
        <v>45</v>
      </c>
      <c r="X1151" t="s">
        <v>53</v>
      </c>
      <c r="Y1151" t="s">
        <v>1596</v>
      </c>
      <c r="Z1151" t="s">
        <v>37</v>
      </c>
      <c r="AA1151" t="s">
        <v>55</v>
      </c>
      <c r="AB1151" t="s">
        <v>37</v>
      </c>
      <c r="AC1151" s="6" t="s">
        <v>37</v>
      </c>
      <c r="AD1151" s="6" t="s">
        <v>37</v>
      </c>
      <c r="AE1151" t="s">
        <v>37</v>
      </c>
      <c r="AF1151" t="s">
        <v>37</v>
      </c>
      <c r="AG1151" s="6" t="s">
        <v>37</v>
      </c>
      <c r="AH1151" t="s">
        <v>37</v>
      </c>
      <c r="AI1151" t="s">
        <v>37</v>
      </c>
      <c r="AJ1151" t="str">
        <f t="shared" si="53"/>
        <v>7CQW3EPPB07W7MQMD9</v>
      </c>
    </row>
    <row r="1152" spans="1:36" ht="15" customHeight="1" x14ac:dyDescent="0.25">
      <c r="A1152" t="s">
        <v>96</v>
      </c>
      <c r="B1152" t="s">
        <v>37</v>
      </c>
      <c r="C1152" t="s">
        <v>37</v>
      </c>
      <c r="D1152" t="s">
        <v>38</v>
      </c>
      <c r="E1152" s="4">
        <v>52</v>
      </c>
      <c r="F1152" s="5">
        <v>3921.32</v>
      </c>
      <c r="G1152" s="5" t="s">
        <v>39</v>
      </c>
      <c r="H1152" s="5">
        <v>5753.8</v>
      </c>
      <c r="I1152" s="5" t="s">
        <v>39</v>
      </c>
      <c r="J1152" s="5">
        <v>133.32488000000001</v>
      </c>
      <c r="K1152" s="5">
        <f t="shared" si="51"/>
        <v>2.5639400000000001</v>
      </c>
      <c r="L1152" s="5">
        <f t="shared" si="52"/>
        <v>75.41</v>
      </c>
      <c r="M1152" s="5" t="s">
        <v>39</v>
      </c>
      <c r="N1152" s="5">
        <v>133.32488000000001</v>
      </c>
      <c r="O1152" s="5" t="s">
        <v>39</v>
      </c>
      <c r="P1152" t="s">
        <v>50</v>
      </c>
      <c r="Q1152" t="s">
        <v>73</v>
      </c>
      <c r="R1152" t="s">
        <v>37</v>
      </c>
      <c r="S1152" t="s">
        <v>74</v>
      </c>
      <c r="T1152" t="s">
        <v>43</v>
      </c>
      <c r="U1152" t="s">
        <v>44</v>
      </c>
      <c r="V1152">
        <v>147</v>
      </c>
      <c r="W1152" t="s">
        <v>45</v>
      </c>
      <c r="X1152" t="s">
        <v>53</v>
      </c>
      <c r="Y1152" t="s">
        <v>75</v>
      </c>
      <c r="Z1152" t="s">
        <v>37</v>
      </c>
      <c r="AA1152" t="s">
        <v>48</v>
      </c>
      <c r="AB1152" t="s">
        <v>37</v>
      </c>
      <c r="AC1152" s="6" t="s">
        <v>37</v>
      </c>
      <c r="AD1152" s="6" t="s">
        <v>37</v>
      </c>
      <c r="AE1152" t="s">
        <v>37</v>
      </c>
      <c r="AF1152" t="s">
        <v>37</v>
      </c>
      <c r="AG1152" s="6" t="s">
        <v>37</v>
      </c>
      <c r="AH1152" t="s">
        <v>37</v>
      </c>
      <c r="AI1152" t="s">
        <v>37</v>
      </c>
      <c r="AJ1152" t="str">
        <f t="shared" si="53"/>
        <v>3A946EXYB07W4DGFSM</v>
      </c>
    </row>
    <row r="1153" spans="1:36" ht="15" customHeight="1" x14ac:dyDescent="0.25">
      <c r="A1153" t="s">
        <v>71</v>
      </c>
      <c r="B1153" t="s">
        <v>37</v>
      </c>
      <c r="C1153" t="s">
        <v>37</v>
      </c>
      <c r="D1153" t="s">
        <v>38</v>
      </c>
      <c r="E1153" s="4">
        <v>8</v>
      </c>
      <c r="F1153" s="5">
        <v>257.68</v>
      </c>
      <c r="G1153" s="5" t="s">
        <v>39</v>
      </c>
      <c r="H1153" s="5">
        <v>386.8</v>
      </c>
      <c r="I1153" s="5" t="s">
        <v>39</v>
      </c>
      <c r="J1153" s="5">
        <v>8.76112</v>
      </c>
      <c r="K1153" s="5">
        <f t="shared" si="51"/>
        <v>1.09514</v>
      </c>
      <c r="L1153" s="5">
        <f t="shared" si="52"/>
        <v>32.21</v>
      </c>
      <c r="M1153" s="5" t="s">
        <v>39</v>
      </c>
      <c r="N1153" s="5">
        <v>8.76112</v>
      </c>
      <c r="O1153" s="5" t="s">
        <v>39</v>
      </c>
      <c r="P1153" t="s">
        <v>274</v>
      </c>
      <c r="Q1153" t="s">
        <v>1689</v>
      </c>
      <c r="R1153" t="s">
        <v>37</v>
      </c>
      <c r="S1153" t="s">
        <v>1690</v>
      </c>
      <c r="T1153" t="s">
        <v>43</v>
      </c>
      <c r="U1153" t="s">
        <v>44</v>
      </c>
      <c r="V1153">
        <v>147</v>
      </c>
      <c r="W1153" t="s">
        <v>45</v>
      </c>
      <c r="X1153" t="s">
        <v>60</v>
      </c>
      <c r="Y1153" t="s">
        <v>1691</v>
      </c>
      <c r="Z1153" t="s">
        <v>37</v>
      </c>
      <c r="AA1153" t="s">
        <v>48</v>
      </c>
      <c r="AB1153" t="s">
        <v>37</v>
      </c>
      <c r="AC1153" s="6" t="s">
        <v>37</v>
      </c>
      <c r="AD1153" s="6" t="s">
        <v>37</v>
      </c>
      <c r="AE1153" t="s">
        <v>37</v>
      </c>
      <c r="AF1153" t="s">
        <v>37</v>
      </c>
      <c r="AG1153" s="6" t="s">
        <v>37</v>
      </c>
      <c r="AH1153" t="s">
        <v>37</v>
      </c>
      <c r="AI1153" t="s">
        <v>37</v>
      </c>
      <c r="AJ1153" t="str">
        <f t="shared" si="53"/>
        <v>4LYATDUXB013SL1ZBK</v>
      </c>
    </row>
    <row r="1154" spans="1:36" ht="15" customHeight="1" x14ac:dyDescent="0.25">
      <c r="A1154" t="s">
        <v>36</v>
      </c>
      <c r="B1154" t="s">
        <v>37</v>
      </c>
      <c r="C1154" t="s">
        <v>37</v>
      </c>
      <c r="D1154" t="s">
        <v>38</v>
      </c>
      <c r="E1154" s="4">
        <v>4</v>
      </c>
      <c r="F1154" s="5">
        <v>272.24</v>
      </c>
      <c r="G1154" s="5" t="s">
        <v>39</v>
      </c>
      <c r="H1154" s="5">
        <v>556</v>
      </c>
      <c r="I1154" s="5" t="s">
        <v>39</v>
      </c>
      <c r="J1154" s="5">
        <v>9.2561599999999995</v>
      </c>
      <c r="K1154" s="5">
        <f t="shared" si="51"/>
        <v>2.3140399999999999</v>
      </c>
      <c r="L1154" s="5">
        <f t="shared" si="52"/>
        <v>68.06</v>
      </c>
      <c r="M1154" s="5" t="s">
        <v>39</v>
      </c>
      <c r="N1154" s="5">
        <v>9.2561599999999995</v>
      </c>
      <c r="O1154" s="5" t="s">
        <v>39</v>
      </c>
      <c r="P1154" t="s">
        <v>246</v>
      </c>
      <c r="Q1154" t="s">
        <v>1363</v>
      </c>
      <c r="R1154" t="s">
        <v>37</v>
      </c>
      <c r="S1154" t="s">
        <v>1364</v>
      </c>
      <c r="T1154" t="s">
        <v>43</v>
      </c>
      <c r="U1154" t="s">
        <v>44</v>
      </c>
      <c r="V1154">
        <v>107</v>
      </c>
      <c r="W1154" t="s">
        <v>1365</v>
      </c>
      <c r="X1154" t="s">
        <v>1366</v>
      </c>
      <c r="Y1154" t="s">
        <v>1367</v>
      </c>
      <c r="Z1154" t="s">
        <v>1368</v>
      </c>
      <c r="AA1154" t="s">
        <v>55</v>
      </c>
      <c r="AB1154" t="s">
        <v>37</v>
      </c>
      <c r="AC1154" s="6" t="s">
        <v>37</v>
      </c>
      <c r="AD1154" s="6" t="s">
        <v>37</v>
      </c>
      <c r="AE1154" t="s">
        <v>37</v>
      </c>
      <c r="AF1154" t="s">
        <v>37</v>
      </c>
      <c r="AG1154" s="6" t="s">
        <v>37</v>
      </c>
      <c r="AH1154" t="s">
        <v>37</v>
      </c>
      <c r="AI1154" t="s">
        <v>37</v>
      </c>
      <c r="AJ1154" t="str">
        <f t="shared" si="53"/>
        <v>1PSIXGLTB07W5JHLZK</v>
      </c>
    </row>
    <row r="1155" spans="1:36" ht="15" customHeight="1" x14ac:dyDescent="0.25">
      <c r="A1155" t="s">
        <v>62</v>
      </c>
      <c r="B1155" t="s">
        <v>37</v>
      </c>
      <c r="C1155" t="s">
        <v>37</v>
      </c>
      <c r="D1155" t="s">
        <v>38</v>
      </c>
      <c r="E1155" s="4">
        <v>20</v>
      </c>
      <c r="F1155" s="5">
        <v>1677.8</v>
      </c>
      <c r="G1155" s="5" t="s">
        <v>39</v>
      </c>
      <c r="H1155" s="5">
        <v>2770.4</v>
      </c>
      <c r="I1155" s="5" t="s">
        <v>39</v>
      </c>
      <c r="J1155" s="5">
        <v>57.045200000000001</v>
      </c>
      <c r="K1155" s="5">
        <f t="shared" ref="K1155:K1218" si="54">J1155/E1155</f>
        <v>2.8522600000000002</v>
      </c>
      <c r="L1155" s="5">
        <f t="shared" ref="L1155:L1218" si="55">F1155/E1155</f>
        <v>83.89</v>
      </c>
      <c r="M1155" s="5" t="s">
        <v>39</v>
      </c>
      <c r="N1155" s="5">
        <v>57.045200000000001</v>
      </c>
      <c r="O1155" s="5" t="s">
        <v>39</v>
      </c>
      <c r="P1155" t="s">
        <v>320</v>
      </c>
      <c r="Q1155" t="s">
        <v>420</v>
      </c>
      <c r="R1155" t="s">
        <v>37</v>
      </c>
      <c r="S1155" t="s">
        <v>421</v>
      </c>
      <c r="T1155" t="s">
        <v>43</v>
      </c>
      <c r="U1155" t="s">
        <v>44</v>
      </c>
      <c r="V1155">
        <v>147</v>
      </c>
      <c r="W1155" t="s">
        <v>45</v>
      </c>
      <c r="X1155" t="s">
        <v>46</v>
      </c>
      <c r="Y1155" t="s">
        <v>422</v>
      </c>
      <c r="Z1155" t="s">
        <v>37</v>
      </c>
      <c r="AA1155" t="s">
        <v>55</v>
      </c>
      <c r="AB1155" t="s">
        <v>37</v>
      </c>
      <c r="AC1155" s="6" t="s">
        <v>37</v>
      </c>
      <c r="AD1155" s="6" t="s">
        <v>37</v>
      </c>
      <c r="AE1155" t="s">
        <v>37</v>
      </c>
      <c r="AF1155" t="s">
        <v>37</v>
      </c>
      <c r="AG1155" s="6" t="s">
        <v>37</v>
      </c>
      <c r="AH1155" t="s">
        <v>37</v>
      </c>
      <c r="AI1155" t="s">
        <v>37</v>
      </c>
      <c r="AJ1155" t="str">
        <f t="shared" ref="AJ1155:AJ1218" si="56">P1155&amp;Q1155</f>
        <v>8BG295LIB07QKC4WWD</v>
      </c>
    </row>
    <row r="1156" spans="1:36" ht="15" customHeight="1" x14ac:dyDescent="0.25">
      <c r="A1156" t="s">
        <v>118</v>
      </c>
      <c r="B1156" t="s">
        <v>37</v>
      </c>
      <c r="C1156" t="s">
        <v>37</v>
      </c>
      <c r="D1156" t="s">
        <v>38</v>
      </c>
      <c r="E1156" s="4">
        <v>8</v>
      </c>
      <c r="F1156" s="5">
        <v>257.68</v>
      </c>
      <c r="G1156" s="5" t="s">
        <v>39</v>
      </c>
      <c r="H1156" s="5">
        <v>386.8</v>
      </c>
      <c r="I1156" s="5" t="s">
        <v>39</v>
      </c>
      <c r="J1156" s="5">
        <v>8.76112</v>
      </c>
      <c r="K1156" s="5">
        <f t="shared" si="54"/>
        <v>1.09514</v>
      </c>
      <c r="L1156" s="5">
        <f t="shared" si="55"/>
        <v>32.21</v>
      </c>
      <c r="M1156" s="5" t="s">
        <v>39</v>
      </c>
      <c r="N1156" s="5">
        <v>8.76112</v>
      </c>
      <c r="O1156" s="5" t="s">
        <v>39</v>
      </c>
      <c r="P1156" t="s">
        <v>141</v>
      </c>
      <c r="Q1156" t="s">
        <v>192</v>
      </c>
      <c r="R1156" t="s">
        <v>37</v>
      </c>
      <c r="S1156" t="s">
        <v>193</v>
      </c>
      <c r="T1156" t="s">
        <v>43</v>
      </c>
      <c r="U1156" t="s">
        <v>44</v>
      </c>
      <c r="V1156">
        <v>147</v>
      </c>
      <c r="W1156" t="s">
        <v>45</v>
      </c>
      <c r="X1156" t="s">
        <v>60</v>
      </c>
      <c r="Y1156" t="s">
        <v>194</v>
      </c>
      <c r="Z1156" t="s">
        <v>37</v>
      </c>
      <c r="AA1156" t="s">
        <v>55</v>
      </c>
      <c r="AB1156" t="s">
        <v>37</v>
      </c>
      <c r="AC1156" s="6" t="s">
        <v>37</v>
      </c>
      <c r="AD1156" s="6" t="s">
        <v>37</v>
      </c>
      <c r="AE1156" t="s">
        <v>37</v>
      </c>
      <c r="AF1156" t="s">
        <v>37</v>
      </c>
      <c r="AG1156" s="6" t="s">
        <v>37</v>
      </c>
      <c r="AH1156" t="s">
        <v>37</v>
      </c>
      <c r="AI1156" t="s">
        <v>37</v>
      </c>
      <c r="AJ1156" t="str">
        <f t="shared" si="56"/>
        <v>56UO2L2IB07W5JKPFG</v>
      </c>
    </row>
    <row r="1157" spans="1:36" ht="15" customHeight="1" x14ac:dyDescent="0.25">
      <c r="A1157" t="s">
        <v>101</v>
      </c>
      <c r="B1157" t="s">
        <v>37</v>
      </c>
      <c r="C1157" t="s">
        <v>37</v>
      </c>
      <c r="D1157" t="s">
        <v>38</v>
      </c>
      <c r="E1157" s="4">
        <v>32</v>
      </c>
      <c r="F1157" s="5">
        <v>590.72</v>
      </c>
      <c r="G1157" s="5" t="s">
        <v>39</v>
      </c>
      <c r="H1157" s="5">
        <v>996.48</v>
      </c>
      <c r="I1157" s="5" t="s">
        <v>39</v>
      </c>
      <c r="J1157" s="5">
        <v>20.084479999999999</v>
      </c>
      <c r="K1157" s="5">
        <f t="shared" si="54"/>
        <v>0.62763999999999998</v>
      </c>
      <c r="L1157" s="5">
        <f t="shared" si="55"/>
        <v>18.46</v>
      </c>
      <c r="M1157" s="5" t="s">
        <v>39</v>
      </c>
      <c r="N1157" s="5">
        <v>20.084479999999999</v>
      </c>
      <c r="O1157" s="5" t="s">
        <v>39</v>
      </c>
      <c r="P1157" t="s">
        <v>320</v>
      </c>
      <c r="Q1157" t="s">
        <v>1731</v>
      </c>
      <c r="R1157" t="s">
        <v>37</v>
      </c>
      <c r="S1157" t="s">
        <v>1732</v>
      </c>
      <c r="T1157" t="s">
        <v>43</v>
      </c>
      <c r="U1157" t="s">
        <v>44</v>
      </c>
      <c r="V1157">
        <v>147</v>
      </c>
      <c r="W1157" t="s">
        <v>45</v>
      </c>
      <c r="X1157" t="s">
        <v>53</v>
      </c>
      <c r="Y1157" t="s">
        <v>964</v>
      </c>
      <c r="Z1157" t="s">
        <v>37</v>
      </c>
      <c r="AA1157" t="s">
        <v>95</v>
      </c>
      <c r="AB1157" t="s">
        <v>37</v>
      </c>
      <c r="AC1157" s="6" t="s">
        <v>37</v>
      </c>
      <c r="AD1157" s="6" t="s">
        <v>37</v>
      </c>
      <c r="AE1157" t="s">
        <v>37</v>
      </c>
      <c r="AF1157" t="s">
        <v>37</v>
      </c>
      <c r="AG1157" s="6" t="s">
        <v>37</v>
      </c>
      <c r="AH1157" t="s">
        <v>37</v>
      </c>
      <c r="AI1157" t="s">
        <v>37</v>
      </c>
      <c r="AJ1157" t="str">
        <f t="shared" si="56"/>
        <v>8BG295LIB07W5JKR75</v>
      </c>
    </row>
    <row r="1158" spans="1:36" ht="15" customHeight="1" x14ac:dyDescent="0.25">
      <c r="A1158" t="s">
        <v>118</v>
      </c>
      <c r="B1158" t="s">
        <v>37</v>
      </c>
      <c r="C1158" t="s">
        <v>37</v>
      </c>
      <c r="D1158" t="s">
        <v>38</v>
      </c>
      <c r="E1158" s="4">
        <v>3</v>
      </c>
      <c r="F1158" s="5">
        <v>663.21</v>
      </c>
      <c r="G1158" s="5" t="s">
        <v>39</v>
      </c>
      <c r="H1158" s="5">
        <v>1005.75</v>
      </c>
      <c r="I1158" s="5" t="s">
        <v>39</v>
      </c>
      <c r="J1158" s="5">
        <v>22.549140000000001</v>
      </c>
      <c r="K1158" s="5">
        <f t="shared" si="54"/>
        <v>7.5163800000000007</v>
      </c>
      <c r="L1158" s="5">
        <f t="shared" si="55"/>
        <v>221.07000000000002</v>
      </c>
      <c r="M1158" s="5" t="s">
        <v>39</v>
      </c>
      <c r="N1158" s="5">
        <v>22.549140000000001</v>
      </c>
      <c r="O1158" s="5" t="s">
        <v>39</v>
      </c>
      <c r="P1158" t="s">
        <v>462</v>
      </c>
      <c r="Q1158" t="s">
        <v>671</v>
      </c>
      <c r="R1158" t="s">
        <v>672</v>
      </c>
      <c r="S1158" t="s">
        <v>673</v>
      </c>
      <c r="T1158" t="s">
        <v>43</v>
      </c>
      <c r="U1158" t="s">
        <v>44</v>
      </c>
      <c r="V1158">
        <v>147</v>
      </c>
      <c r="W1158" t="s">
        <v>45</v>
      </c>
      <c r="X1158" t="s">
        <v>46</v>
      </c>
      <c r="Y1158" t="s">
        <v>674</v>
      </c>
      <c r="Z1158" t="s">
        <v>37</v>
      </c>
      <c r="AA1158" t="s">
        <v>55</v>
      </c>
      <c r="AB1158" t="s">
        <v>37</v>
      </c>
      <c r="AC1158" s="6" t="s">
        <v>37</v>
      </c>
      <c r="AD1158" s="6" t="s">
        <v>37</v>
      </c>
      <c r="AE1158" t="s">
        <v>37</v>
      </c>
      <c r="AF1158" t="s">
        <v>37</v>
      </c>
      <c r="AG1158" s="6" t="s">
        <v>37</v>
      </c>
      <c r="AH1158" t="s">
        <v>37</v>
      </c>
      <c r="AI1158" t="s">
        <v>37</v>
      </c>
      <c r="AJ1158" t="str">
        <f t="shared" si="56"/>
        <v>17D6YHERB011N78DMA</v>
      </c>
    </row>
    <row r="1159" spans="1:36" ht="15" customHeight="1" x14ac:dyDescent="0.25">
      <c r="A1159" t="s">
        <v>36</v>
      </c>
      <c r="B1159" t="s">
        <v>37</v>
      </c>
      <c r="C1159" t="s">
        <v>37</v>
      </c>
      <c r="D1159" t="s">
        <v>38</v>
      </c>
      <c r="E1159" s="4">
        <v>20</v>
      </c>
      <c r="F1159" s="5">
        <v>187.2</v>
      </c>
      <c r="G1159" s="5" t="s">
        <v>39</v>
      </c>
      <c r="H1159" s="5">
        <v>278.60000000000002</v>
      </c>
      <c r="I1159" s="5" t="s">
        <v>39</v>
      </c>
      <c r="J1159" s="5">
        <v>6.3647999999999998</v>
      </c>
      <c r="K1159" s="5">
        <f t="shared" si="54"/>
        <v>0.31823999999999997</v>
      </c>
      <c r="L1159" s="5">
        <f t="shared" si="55"/>
        <v>9.36</v>
      </c>
      <c r="M1159" s="5" t="s">
        <v>39</v>
      </c>
      <c r="N1159" s="5">
        <v>6.3647999999999998</v>
      </c>
      <c r="O1159" s="5" t="s">
        <v>39</v>
      </c>
      <c r="P1159" t="s">
        <v>1749</v>
      </c>
      <c r="Q1159" t="s">
        <v>1496</v>
      </c>
      <c r="R1159" t="s">
        <v>1497</v>
      </c>
      <c r="S1159" t="s">
        <v>1498</v>
      </c>
      <c r="T1159" t="s">
        <v>43</v>
      </c>
      <c r="U1159" t="s">
        <v>44</v>
      </c>
      <c r="V1159">
        <v>147</v>
      </c>
      <c r="W1159" t="s">
        <v>45</v>
      </c>
      <c r="X1159" t="s">
        <v>60</v>
      </c>
      <c r="Y1159" t="s">
        <v>1499</v>
      </c>
      <c r="Z1159" t="s">
        <v>37</v>
      </c>
      <c r="AA1159" t="s">
        <v>55</v>
      </c>
      <c r="AB1159" t="s">
        <v>37</v>
      </c>
      <c r="AC1159" s="6" t="s">
        <v>37</v>
      </c>
      <c r="AD1159" s="6" t="s">
        <v>37</v>
      </c>
      <c r="AE1159" t="s">
        <v>37</v>
      </c>
      <c r="AF1159" t="s">
        <v>37</v>
      </c>
      <c r="AG1159" s="6" t="s">
        <v>37</v>
      </c>
      <c r="AH1159" t="s">
        <v>37</v>
      </c>
      <c r="AI1159" t="s">
        <v>37</v>
      </c>
      <c r="AJ1159" t="str">
        <f t="shared" si="56"/>
        <v>3PHD2T1GB004LAWLPW</v>
      </c>
    </row>
    <row r="1160" spans="1:36" ht="15" customHeight="1" x14ac:dyDescent="0.25">
      <c r="A1160" t="s">
        <v>36</v>
      </c>
      <c r="B1160" t="s">
        <v>37</v>
      </c>
      <c r="C1160" t="s">
        <v>37</v>
      </c>
      <c r="D1160" t="s">
        <v>38</v>
      </c>
      <c r="E1160" s="4">
        <v>4</v>
      </c>
      <c r="F1160" s="5">
        <v>293.36</v>
      </c>
      <c r="G1160" s="5" t="s">
        <v>39</v>
      </c>
      <c r="H1160" s="5">
        <v>475.4</v>
      </c>
      <c r="I1160" s="5" t="s">
        <v>39</v>
      </c>
      <c r="J1160" s="5">
        <v>9.97424</v>
      </c>
      <c r="K1160" s="5">
        <f t="shared" si="54"/>
        <v>2.49356</v>
      </c>
      <c r="L1160" s="5">
        <f t="shared" si="55"/>
        <v>73.34</v>
      </c>
      <c r="M1160" s="5" t="s">
        <v>39</v>
      </c>
      <c r="N1160" s="5">
        <v>9.97424</v>
      </c>
      <c r="O1160" s="5" t="s">
        <v>39</v>
      </c>
      <c r="P1160" t="s">
        <v>67</v>
      </c>
      <c r="Q1160" t="s">
        <v>1041</v>
      </c>
      <c r="R1160" t="s">
        <v>37</v>
      </c>
      <c r="S1160" t="s">
        <v>1042</v>
      </c>
      <c r="T1160" t="s">
        <v>43</v>
      </c>
      <c r="U1160" t="s">
        <v>44</v>
      </c>
      <c r="V1160">
        <v>147</v>
      </c>
      <c r="W1160" t="s">
        <v>45</v>
      </c>
      <c r="X1160" t="s">
        <v>53</v>
      </c>
      <c r="Y1160" t="s">
        <v>1043</v>
      </c>
      <c r="Z1160" t="s">
        <v>37</v>
      </c>
      <c r="AA1160" t="s">
        <v>55</v>
      </c>
      <c r="AB1160" t="s">
        <v>37</v>
      </c>
      <c r="AC1160" s="6" t="s">
        <v>37</v>
      </c>
      <c r="AD1160" s="6" t="s">
        <v>37</v>
      </c>
      <c r="AE1160" t="s">
        <v>37</v>
      </c>
      <c r="AF1160" t="s">
        <v>37</v>
      </c>
      <c r="AG1160" s="6" t="s">
        <v>37</v>
      </c>
      <c r="AH1160" t="s">
        <v>37</v>
      </c>
      <c r="AI1160" t="s">
        <v>37</v>
      </c>
      <c r="AJ1160" t="str">
        <f t="shared" si="56"/>
        <v>2TMBDXBKB07W6JLFZ2</v>
      </c>
    </row>
    <row r="1161" spans="1:36" ht="15" customHeight="1" x14ac:dyDescent="0.25">
      <c r="A1161" t="s">
        <v>118</v>
      </c>
      <c r="B1161" t="s">
        <v>37</v>
      </c>
      <c r="C1161" t="s">
        <v>37</v>
      </c>
      <c r="D1161" t="s">
        <v>38</v>
      </c>
      <c r="E1161" s="4">
        <v>2</v>
      </c>
      <c r="F1161" s="5">
        <v>294.42</v>
      </c>
      <c r="G1161" s="5" t="s">
        <v>39</v>
      </c>
      <c r="H1161" s="5">
        <v>475.4</v>
      </c>
      <c r="I1161" s="5" t="s">
        <v>39</v>
      </c>
      <c r="J1161" s="5">
        <v>10.01028</v>
      </c>
      <c r="K1161" s="5">
        <f t="shared" si="54"/>
        <v>5.0051399999999999</v>
      </c>
      <c r="L1161" s="5">
        <f t="shared" si="55"/>
        <v>147.21</v>
      </c>
      <c r="M1161" s="5" t="s">
        <v>39</v>
      </c>
      <c r="N1161" s="5">
        <v>10.01028</v>
      </c>
      <c r="O1161" s="5" t="s">
        <v>39</v>
      </c>
      <c r="P1161" t="s">
        <v>1750</v>
      </c>
      <c r="Q1161" t="s">
        <v>977</v>
      </c>
      <c r="R1161" t="s">
        <v>978</v>
      </c>
      <c r="S1161" t="s">
        <v>979</v>
      </c>
      <c r="T1161" t="s">
        <v>43</v>
      </c>
      <c r="U1161" t="s">
        <v>44</v>
      </c>
      <c r="V1161">
        <v>147</v>
      </c>
      <c r="W1161" t="s">
        <v>45</v>
      </c>
      <c r="X1161" t="s">
        <v>46</v>
      </c>
      <c r="Y1161" t="s">
        <v>980</v>
      </c>
      <c r="Z1161" t="s">
        <v>37</v>
      </c>
      <c r="AA1161" t="s">
        <v>307</v>
      </c>
      <c r="AB1161" t="s">
        <v>37</v>
      </c>
      <c r="AC1161" s="6" t="s">
        <v>37</v>
      </c>
      <c r="AD1161" s="6" t="s">
        <v>37</v>
      </c>
      <c r="AE1161" t="s">
        <v>37</v>
      </c>
      <c r="AF1161" t="s">
        <v>37</v>
      </c>
      <c r="AG1161" s="6" t="s">
        <v>37</v>
      </c>
      <c r="AH1161" t="s">
        <v>37</v>
      </c>
      <c r="AI1161" t="s">
        <v>37</v>
      </c>
      <c r="AJ1161" t="str">
        <f t="shared" si="56"/>
        <v>6ENZZ2HCB07JGCM9QM</v>
      </c>
    </row>
    <row r="1162" spans="1:36" ht="15" customHeight="1" x14ac:dyDescent="0.25">
      <c r="A1162" t="s">
        <v>285</v>
      </c>
      <c r="B1162" t="s">
        <v>37</v>
      </c>
      <c r="C1162" t="s">
        <v>37</v>
      </c>
      <c r="D1162" t="s">
        <v>38</v>
      </c>
      <c r="E1162" s="4">
        <v>163</v>
      </c>
      <c r="F1162" s="5">
        <v>3341.5</v>
      </c>
      <c r="G1162" s="5" t="s">
        <v>39</v>
      </c>
      <c r="H1162" s="5">
        <v>5075.82</v>
      </c>
      <c r="I1162" s="5" t="s">
        <v>39</v>
      </c>
      <c r="J1162" s="5">
        <v>113.611</v>
      </c>
      <c r="K1162" s="5">
        <f t="shared" si="54"/>
        <v>0.69700000000000006</v>
      </c>
      <c r="L1162" s="5">
        <f t="shared" si="55"/>
        <v>20.5</v>
      </c>
      <c r="M1162" s="5" t="s">
        <v>39</v>
      </c>
      <c r="N1162" s="5">
        <v>113.611</v>
      </c>
      <c r="O1162" s="5" t="s">
        <v>39</v>
      </c>
      <c r="P1162" t="s">
        <v>270</v>
      </c>
      <c r="Q1162" t="s">
        <v>567</v>
      </c>
      <c r="R1162" t="s">
        <v>37</v>
      </c>
      <c r="S1162" t="s">
        <v>568</v>
      </c>
      <c r="T1162" t="s">
        <v>43</v>
      </c>
      <c r="U1162" t="s">
        <v>44</v>
      </c>
      <c r="V1162">
        <v>147</v>
      </c>
      <c r="W1162" t="s">
        <v>45</v>
      </c>
      <c r="X1162" t="s">
        <v>60</v>
      </c>
      <c r="Y1162" t="s">
        <v>569</v>
      </c>
      <c r="Z1162" t="s">
        <v>37</v>
      </c>
      <c r="AA1162" t="s">
        <v>95</v>
      </c>
      <c r="AB1162" t="s">
        <v>37</v>
      </c>
      <c r="AC1162" s="6" t="s">
        <v>37</v>
      </c>
      <c r="AD1162" s="6" t="s">
        <v>37</v>
      </c>
      <c r="AE1162" t="s">
        <v>37</v>
      </c>
      <c r="AF1162" t="s">
        <v>37</v>
      </c>
      <c r="AG1162" s="6" t="s">
        <v>37</v>
      </c>
      <c r="AH1162" t="s">
        <v>37</v>
      </c>
      <c r="AI1162" t="s">
        <v>37</v>
      </c>
      <c r="AJ1162" t="str">
        <f t="shared" si="56"/>
        <v>1X4DXX4TB006ZLK9SQ</v>
      </c>
    </row>
    <row r="1163" spans="1:36" ht="15" customHeight="1" x14ac:dyDescent="0.25">
      <c r="A1163" t="s">
        <v>284</v>
      </c>
      <c r="B1163" t="s">
        <v>37</v>
      </c>
      <c r="C1163" t="s">
        <v>37</v>
      </c>
      <c r="D1163" t="s">
        <v>38</v>
      </c>
      <c r="E1163" s="4">
        <v>0</v>
      </c>
      <c r="F1163" s="5">
        <v>0</v>
      </c>
      <c r="G1163" s="5" t="s">
        <v>39</v>
      </c>
      <c r="H1163" s="5">
        <v>0</v>
      </c>
      <c r="I1163" s="5" t="s">
        <v>39</v>
      </c>
      <c r="J1163" s="5">
        <v>0</v>
      </c>
      <c r="K1163" s="5" t="e">
        <f t="shared" si="54"/>
        <v>#DIV/0!</v>
      </c>
      <c r="L1163" s="5" t="e">
        <f t="shared" si="55"/>
        <v>#DIV/0!</v>
      </c>
      <c r="M1163" s="5" t="s">
        <v>39</v>
      </c>
      <c r="N1163" s="5">
        <v>0</v>
      </c>
      <c r="O1163" s="5" t="s">
        <v>39</v>
      </c>
      <c r="P1163" t="s">
        <v>195</v>
      </c>
      <c r="Q1163" t="s">
        <v>1751</v>
      </c>
      <c r="R1163" t="s">
        <v>1752</v>
      </c>
      <c r="S1163" t="s">
        <v>1753</v>
      </c>
      <c r="T1163" t="s">
        <v>43</v>
      </c>
      <c r="U1163" t="s">
        <v>44</v>
      </c>
      <c r="V1163">
        <v>147</v>
      </c>
      <c r="W1163" t="s">
        <v>45</v>
      </c>
      <c r="X1163" t="s">
        <v>53</v>
      </c>
      <c r="Y1163" t="s">
        <v>1754</v>
      </c>
      <c r="Z1163" t="s">
        <v>37</v>
      </c>
      <c r="AA1163" t="s">
        <v>48</v>
      </c>
      <c r="AB1163" t="s">
        <v>37</v>
      </c>
      <c r="AC1163" s="6" t="s">
        <v>37</v>
      </c>
      <c r="AD1163" s="6" t="s">
        <v>37</v>
      </c>
      <c r="AE1163" t="s">
        <v>37</v>
      </c>
      <c r="AF1163" t="s">
        <v>37</v>
      </c>
      <c r="AG1163" s="6" t="s">
        <v>37</v>
      </c>
      <c r="AH1163" t="s">
        <v>37</v>
      </c>
      <c r="AI1163" t="s">
        <v>37</v>
      </c>
      <c r="AJ1163" t="str">
        <f t="shared" si="56"/>
        <v>5X1OU9ZGB01A9GXMW2</v>
      </c>
    </row>
    <row r="1164" spans="1:36" ht="15" customHeight="1" x14ac:dyDescent="0.25">
      <c r="A1164" t="s">
        <v>162</v>
      </c>
      <c r="B1164" t="s">
        <v>37</v>
      </c>
      <c r="C1164" t="s">
        <v>37</v>
      </c>
      <c r="D1164" t="s">
        <v>38</v>
      </c>
      <c r="E1164" s="4">
        <v>0</v>
      </c>
      <c r="F1164" s="5">
        <v>0</v>
      </c>
      <c r="G1164" s="5" t="s">
        <v>39</v>
      </c>
      <c r="H1164" s="5">
        <v>0</v>
      </c>
      <c r="I1164" s="5" t="s">
        <v>39</v>
      </c>
      <c r="J1164" s="5">
        <v>0</v>
      </c>
      <c r="K1164" s="5" t="e">
        <f t="shared" si="54"/>
        <v>#DIV/0!</v>
      </c>
      <c r="L1164" s="5" t="e">
        <f t="shared" si="55"/>
        <v>#DIV/0!</v>
      </c>
      <c r="M1164" s="5" t="s">
        <v>39</v>
      </c>
      <c r="N1164" s="5">
        <v>0</v>
      </c>
      <c r="O1164" s="5" t="s">
        <v>39</v>
      </c>
      <c r="P1164" t="s">
        <v>365</v>
      </c>
      <c r="Q1164" t="s">
        <v>1079</v>
      </c>
      <c r="R1164" t="s">
        <v>37</v>
      </c>
      <c r="S1164" t="s">
        <v>1080</v>
      </c>
      <c r="T1164" t="s">
        <v>43</v>
      </c>
      <c r="U1164" t="s">
        <v>44</v>
      </c>
      <c r="V1164">
        <v>147</v>
      </c>
      <c r="W1164" t="s">
        <v>45</v>
      </c>
      <c r="X1164" t="s">
        <v>53</v>
      </c>
      <c r="Y1164" t="s">
        <v>1081</v>
      </c>
      <c r="Z1164" t="s">
        <v>37</v>
      </c>
      <c r="AA1164" t="s">
        <v>55</v>
      </c>
      <c r="AB1164" t="s">
        <v>37</v>
      </c>
      <c r="AC1164" s="6" t="s">
        <v>37</v>
      </c>
      <c r="AD1164" s="6" t="s">
        <v>37</v>
      </c>
      <c r="AE1164" t="s">
        <v>37</v>
      </c>
      <c r="AF1164" t="s">
        <v>37</v>
      </c>
      <c r="AG1164" s="6" t="s">
        <v>37</v>
      </c>
      <c r="AH1164" t="s">
        <v>37</v>
      </c>
      <c r="AI1164" t="s">
        <v>37</v>
      </c>
      <c r="AJ1164" t="str">
        <f t="shared" si="56"/>
        <v>3KYCEHVHB01K7GEAFC</v>
      </c>
    </row>
    <row r="1165" spans="1:36" ht="15" customHeight="1" x14ac:dyDescent="0.25">
      <c r="A1165" t="s">
        <v>36</v>
      </c>
      <c r="B1165" t="s">
        <v>37</v>
      </c>
      <c r="C1165" t="s">
        <v>37</v>
      </c>
      <c r="D1165" t="s">
        <v>38</v>
      </c>
      <c r="E1165" s="4">
        <v>1810</v>
      </c>
      <c r="F1165" s="5">
        <v>47693.5</v>
      </c>
      <c r="G1165" s="5" t="s">
        <v>39</v>
      </c>
      <c r="H1165" s="5">
        <v>71205.399999999994</v>
      </c>
      <c r="I1165" s="5" t="s">
        <v>39</v>
      </c>
      <c r="J1165" s="5">
        <v>1621.579</v>
      </c>
      <c r="K1165" s="5">
        <f t="shared" si="54"/>
        <v>0.89589999999999992</v>
      </c>
      <c r="L1165" s="5">
        <f t="shared" si="55"/>
        <v>26.35</v>
      </c>
      <c r="M1165" s="5" t="s">
        <v>39</v>
      </c>
      <c r="N1165" s="5">
        <v>1621.579</v>
      </c>
      <c r="O1165" s="5" t="s">
        <v>39</v>
      </c>
      <c r="P1165" t="s">
        <v>365</v>
      </c>
      <c r="Q1165" t="s">
        <v>1079</v>
      </c>
      <c r="R1165" t="s">
        <v>37</v>
      </c>
      <c r="S1165" t="s">
        <v>1080</v>
      </c>
      <c r="T1165" t="s">
        <v>43</v>
      </c>
      <c r="U1165" t="s">
        <v>44</v>
      </c>
      <c r="V1165">
        <v>147</v>
      </c>
      <c r="W1165" t="s">
        <v>45</v>
      </c>
      <c r="X1165" t="s">
        <v>53</v>
      </c>
      <c r="Y1165" t="s">
        <v>1081</v>
      </c>
      <c r="Z1165" t="s">
        <v>37</v>
      </c>
      <c r="AA1165" t="s">
        <v>55</v>
      </c>
      <c r="AB1165" t="s">
        <v>37</v>
      </c>
      <c r="AC1165" s="6" t="s">
        <v>37</v>
      </c>
      <c r="AD1165" s="6" t="s">
        <v>37</v>
      </c>
      <c r="AE1165" t="s">
        <v>37</v>
      </c>
      <c r="AF1165" t="s">
        <v>37</v>
      </c>
      <c r="AG1165" s="6" t="s">
        <v>37</v>
      </c>
      <c r="AH1165" t="s">
        <v>37</v>
      </c>
      <c r="AI1165" t="s">
        <v>37</v>
      </c>
      <c r="AJ1165" t="str">
        <f t="shared" si="56"/>
        <v>3KYCEHVHB01K7GEAFC</v>
      </c>
    </row>
    <row r="1166" spans="1:36" ht="15" customHeight="1" x14ac:dyDescent="0.25">
      <c r="A1166" t="s">
        <v>36</v>
      </c>
      <c r="B1166" t="s">
        <v>37</v>
      </c>
      <c r="C1166" t="s">
        <v>37</v>
      </c>
      <c r="D1166" t="s">
        <v>38</v>
      </c>
      <c r="E1166" s="4">
        <v>22</v>
      </c>
      <c r="F1166" s="5">
        <v>2425.94</v>
      </c>
      <c r="G1166" s="5" t="s">
        <v>39</v>
      </c>
      <c r="H1166" s="5">
        <v>4129.3999999999996</v>
      </c>
      <c r="I1166" s="5" t="s">
        <v>39</v>
      </c>
      <c r="J1166" s="5">
        <v>82.481960000000001</v>
      </c>
      <c r="K1166" s="5">
        <f t="shared" si="54"/>
        <v>3.74918</v>
      </c>
      <c r="L1166" s="5">
        <f t="shared" si="55"/>
        <v>110.27</v>
      </c>
      <c r="M1166" s="5" t="s">
        <v>39</v>
      </c>
      <c r="N1166" s="5">
        <v>82.481960000000001</v>
      </c>
      <c r="O1166" s="5" t="s">
        <v>39</v>
      </c>
      <c r="P1166" t="s">
        <v>40</v>
      </c>
      <c r="Q1166" t="s">
        <v>1755</v>
      </c>
      <c r="R1166" t="s">
        <v>37</v>
      </c>
      <c r="S1166" t="s">
        <v>1756</v>
      </c>
      <c r="T1166" t="s">
        <v>43</v>
      </c>
      <c r="U1166" t="s">
        <v>44</v>
      </c>
      <c r="V1166">
        <v>147</v>
      </c>
      <c r="W1166" t="s">
        <v>92</v>
      </c>
      <c r="X1166" t="s">
        <v>1757</v>
      </c>
      <c r="Y1166" t="s">
        <v>1758</v>
      </c>
      <c r="Z1166" t="s">
        <v>37</v>
      </c>
      <c r="AA1166" t="s">
        <v>95</v>
      </c>
      <c r="AB1166" t="s">
        <v>37</v>
      </c>
      <c r="AC1166" s="6" t="s">
        <v>37</v>
      </c>
      <c r="AD1166" s="6" t="s">
        <v>37</v>
      </c>
      <c r="AE1166" t="s">
        <v>37</v>
      </c>
      <c r="AF1166" t="s">
        <v>37</v>
      </c>
      <c r="AG1166" s="6" t="s">
        <v>37</v>
      </c>
      <c r="AH1166" t="s">
        <v>37</v>
      </c>
      <c r="AI1166" t="s">
        <v>37</v>
      </c>
      <c r="AJ1166" t="str">
        <f t="shared" si="56"/>
        <v>4A3KDTEZB07W6JPFH1</v>
      </c>
    </row>
    <row r="1167" spans="1:36" ht="15" customHeight="1" x14ac:dyDescent="0.25">
      <c r="A1167" t="s">
        <v>36</v>
      </c>
      <c r="B1167" t="s">
        <v>37</v>
      </c>
      <c r="C1167" t="s">
        <v>37</v>
      </c>
      <c r="D1167" t="s">
        <v>38</v>
      </c>
      <c r="E1167" s="4">
        <v>4</v>
      </c>
      <c r="F1167" s="5">
        <v>377.76</v>
      </c>
      <c r="G1167" s="5" t="s">
        <v>39</v>
      </c>
      <c r="H1167" s="5">
        <v>377.76</v>
      </c>
      <c r="I1167" s="5" t="s">
        <v>39</v>
      </c>
      <c r="J1167" s="5">
        <v>12.84384</v>
      </c>
      <c r="K1167" s="5">
        <f t="shared" si="54"/>
        <v>3.21096</v>
      </c>
      <c r="L1167" s="5">
        <f t="shared" si="55"/>
        <v>94.44</v>
      </c>
      <c r="M1167" s="5" t="s">
        <v>39</v>
      </c>
      <c r="N1167" s="5">
        <v>12.84384</v>
      </c>
      <c r="O1167" s="5" t="s">
        <v>39</v>
      </c>
      <c r="P1167" t="s">
        <v>365</v>
      </c>
      <c r="Q1167" t="s">
        <v>1654</v>
      </c>
      <c r="R1167" t="s">
        <v>37</v>
      </c>
      <c r="S1167" t="s">
        <v>1655</v>
      </c>
      <c r="T1167" t="s">
        <v>318</v>
      </c>
      <c r="U1167" t="s">
        <v>44</v>
      </c>
      <c r="V1167">
        <v>147</v>
      </c>
      <c r="W1167" t="s">
        <v>45</v>
      </c>
      <c r="X1167" t="s">
        <v>60</v>
      </c>
      <c r="Y1167" t="s">
        <v>1656</v>
      </c>
      <c r="Z1167" t="s">
        <v>37</v>
      </c>
      <c r="AA1167" t="s">
        <v>55</v>
      </c>
      <c r="AB1167" t="s">
        <v>37</v>
      </c>
      <c r="AC1167" s="6" t="s">
        <v>37</v>
      </c>
      <c r="AD1167" s="6" t="s">
        <v>37</v>
      </c>
      <c r="AE1167" t="s">
        <v>37</v>
      </c>
      <c r="AF1167" t="s">
        <v>37</v>
      </c>
      <c r="AG1167" s="6" t="s">
        <v>37</v>
      </c>
      <c r="AH1167" t="s">
        <v>37</v>
      </c>
      <c r="AI1167" t="s">
        <v>37</v>
      </c>
      <c r="AJ1167" t="str">
        <f t="shared" si="56"/>
        <v>3KYCEHVHB07W5JK9J9</v>
      </c>
    </row>
    <row r="1168" spans="1:36" ht="15" customHeight="1" x14ac:dyDescent="0.25">
      <c r="A1168" t="s">
        <v>127</v>
      </c>
      <c r="B1168" t="s">
        <v>37</v>
      </c>
      <c r="C1168" t="s">
        <v>37</v>
      </c>
      <c r="D1168" t="s">
        <v>38</v>
      </c>
      <c r="E1168" s="4">
        <v>2</v>
      </c>
      <c r="F1168" s="5">
        <v>220.54</v>
      </c>
      <c r="G1168" s="5" t="s">
        <v>39</v>
      </c>
      <c r="H1168" s="5">
        <v>375.4</v>
      </c>
      <c r="I1168" s="5" t="s">
        <v>39</v>
      </c>
      <c r="J1168" s="5">
        <v>7.4983599999999999</v>
      </c>
      <c r="K1168" s="5">
        <f t="shared" si="54"/>
        <v>3.74918</v>
      </c>
      <c r="L1168" s="5">
        <f t="shared" si="55"/>
        <v>110.27</v>
      </c>
      <c r="M1168" s="5" t="s">
        <v>39</v>
      </c>
      <c r="N1168" s="5">
        <v>7.4983599999999999</v>
      </c>
      <c r="O1168" s="5" t="s">
        <v>39</v>
      </c>
      <c r="P1168" t="s">
        <v>40</v>
      </c>
      <c r="Q1168" t="s">
        <v>1755</v>
      </c>
      <c r="R1168" t="s">
        <v>37</v>
      </c>
      <c r="S1168" t="s">
        <v>1756</v>
      </c>
      <c r="T1168" t="s">
        <v>43</v>
      </c>
      <c r="U1168" t="s">
        <v>44</v>
      </c>
      <c r="V1168">
        <v>147</v>
      </c>
      <c r="W1168" t="s">
        <v>92</v>
      </c>
      <c r="X1168" t="s">
        <v>1757</v>
      </c>
      <c r="Y1168" t="s">
        <v>1758</v>
      </c>
      <c r="Z1168" t="s">
        <v>37</v>
      </c>
      <c r="AA1168" t="s">
        <v>95</v>
      </c>
      <c r="AB1168" t="s">
        <v>37</v>
      </c>
      <c r="AC1168" s="6" t="s">
        <v>37</v>
      </c>
      <c r="AD1168" s="6" t="s">
        <v>37</v>
      </c>
      <c r="AE1168" t="s">
        <v>37</v>
      </c>
      <c r="AF1168" t="s">
        <v>37</v>
      </c>
      <c r="AG1168" s="6" t="s">
        <v>37</v>
      </c>
      <c r="AH1168" t="s">
        <v>37</v>
      </c>
      <c r="AI1168" t="s">
        <v>37</v>
      </c>
      <c r="AJ1168" t="str">
        <f t="shared" si="56"/>
        <v>4A3KDTEZB07W6JPFH1</v>
      </c>
    </row>
    <row r="1169" spans="1:36" ht="15" customHeight="1" x14ac:dyDescent="0.25">
      <c r="A1169" t="s">
        <v>118</v>
      </c>
      <c r="B1169" t="s">
        <v>37</v>
      </c>
      <c r="C1169" t="s">
        <v>37</v>
      </c>
      <c r="D1169" t="s">
        <v>38</v>
      </c>
      <c r="E1169" s="4">
        <v>40</v>
      </c>
      <c r="F1169" s="5">
        <v>1793.6</v>
      </c>
      <c r="G1169" s="5" t="s">
        <v>39</v>
      </c>
      <c r="H1169" s="5">
        <v>2884.8</v>
      </c>
      <c r="I1169" s="5" t="s">
        <v>39</v>
      </c>
      <c r="J1169" s="5">
        <v>60.982399999999998</v>
      </c>
      <c r="K1169" s="5">
        <f t="shared" si="54"/>
        <v>1.5245599999999999</v>
      </c>
      <c r="L1169" s="5">
        <f t="shared" si="55"/>
        <v>44.839999999999996</v>
      </c>
      <c r="M1169" s="5" t="s">
        <v>39</v>
      </c>
      <c r="N1169" s="5">
        <v>60.982399999999998</v>
      </c>
      <c r="O1169" s="5" t="s">
        <v>39</v>
      </c>
      <c r="P1169" t="s">
        <v>462</v>
      </c>
      <c r="Q1169" t="s">
        <v>1357</v>
      </c>
      <c r="R1169" t="s">
        <v>37</v>
      </c>
      <c r="S1169" t="s">
        <v>1358</v>
      </c>
      <c r="T1169" t="s">
        <v>43</v>
      </c>
      <c r="U1169" t="s">
        <v>44</v>
      </c>
      <c r="V1169">
        <v>147</v>
      </c>
      <c r="W1169" t="s">
        <v>45</v>
      </c>
      <c r="X1169" t="s">
        <v>60</v>
      </c>
      <c r="Y1169" t="s">
        <v>1359</v>
      </c>
      <c r="Z1169" t="s">
        <v>37</v>
      </c>
      <c r="AA1169" t="s">
        <v>55</v>
      </c>
      <c r="AB1169" t="s">
        <v>37</v>
      </c>
      <c r="AC1169" s="6" t="s">
        <v>37</v>
      </c>
      <c r="AD1169" s="6" t="s">
        <v>37</v>
      </c>
      <c r="AE1169" t="s">
        <v>37</v>
      </c>
      <c r="AF1169" t="s">
        <v>37</v>
      </c>
      <c r="AG1169" s="6" t="s">
        <v>37</v>
      </c>
      <c r="AH1169" t="s">
        <v>37</v>
      </c>
      <c r="AI1169" t="s">
        <v>37</v>
      </c>
      <c r="AJ1169" t="str">
        <f t="shared" si="56"/>
        <v>17D6YHERB07W6GVS5C</v>
      </c>
    </row>
    <row r="1170" spans="1:36" ht="15" customHeight="1" x14ac:dyDescent="0.25">
      <c r="A1170" t="s">
        <v>62</v>
      </c>
      <c r="B1170" t="s">
        <v>37</v>
      </c>
      <c r="C1170" t="s">
        <v>37</v>
      </c>
      <c r="D1170" t="s">
        <v>38</v>
      </c>
      <c r="E1170" s="4">
        <v>80</v>
      </c>
      <c r="F1170" s="5">
        <v>1640</v>
      </c>
      <c r="G1170" s="5" t="s">
        <v>39</v>
      </c>
      <c r="H1170" s="5">
        <v>2559.1999999999998</v>
      </c>
      <c r="I1170" s="5" t="s">
        <v>39</v>
      </c>
      <c r="J1170" s="5">
        <v>55.76</v>
      </c>
      <c r="K1170" s="5">
        <f t="shared" si="54"/>
        <v>0.69699999999999995</v>
      </c>
      <c r="L1170" s="5">
        <f t="shared" si="55"/>
        <v>20.5</v>
      </c>
      <c r="M1170" s="5" t="s">
        <v>39</v>
      </c>
      <c r="N1170" s="5">
        <v>55.76</v>
      </c>
      <c r="O1170" s="5" t="s">
        <v>39</v>
      </c>
      <c r="P1170" t="s">
        <v>968</v>
      </c>
      <c r="Q1170" t="s">
        <v>1759</v>
      </c>
      <c r="R1170" t="s">
        <v>1760</v>
      </c>
      <c r="S1170" t="s">
        <v>1761</v>
      </c>
      <c r="T1170" t="s">
        <v>43</v>
      </c>
      <c r="U1170" t="s">
        <v>44</v>
      </c>
      <c r="V1170">
        <v>147</v>
      </c>
      <c r="W1170" t="s">
        <v>45</v>
      </c>
      <c r="X1170" t="s">
        <v>389</v>
      </c>
      <c r="Y1170" t="s">
        <v>1762</v>
      </c>
      <c r="Z1170" t="s">
        <v>37</v>
      </c>
      <c r="AA1170" t="s">
        <v>48</v>
      </c>
      <c r="AB1170" t="s">
        <v>37</v>
      </c>
      <c r="AC1170" s="6" t="s">
        <v>37</v>
      </c>
      <c r="AD1170" s="6" t="s">
        <v>37</v>
      </c>
      <c r="AE1170" t="s">
        <v>37</v>
      </c>
      <c r="AF1170" t="s">
        <v>37</v>
      </c>
      <c r="AG1170" s="6" t="s">
        <v>37</v>
      </c>
      <c r="AH1170" t="s">
        <v>37</v>
      </c>
      <c r="AI1170" t="s">
        <v>37</v>
      </c>
      <c r="AJ1170" t="str">
        <f t="shared" si="56"/>
        <v>7LA8DZCZB0013N474I</v>
      </c>
    </row>
    <row r="1171" spans="1:36" ht="15" customHeight="1" x14ac:dyDescent="0.25">
      <c r="A1171" t="s">
        <v>62</v>
      </c>
      <c r="B1171" t="s">
        <v>37</v>
      </c>
      <c r="C1171" t="s">
        <v>37</v>
      </c>
      <c r="D1171" t="s">
        <v>38</v>
      </c>
      <c r="E1171" s="4">
        <v>8</v>
      </c>
      <c r="F1171" s="5">
        <v>164</v>
      </c>
      <c r="G1171" s="5" t="s">
        <v>39</v>
      </c>
      <c r="H1171" s="5">
        <v>249.12</v>
      </c>
      <c r="I1171" s="5" t="s">
        <v>39</v>
      </c>
      <c r="J1171" s="5">
        <v>5.5759999999999996</v>
      </c>
      <c r="K1171" s="5">
        <f t="shared" si="54"/>
        <v>0.69699999999999995</v>
      </c>
      <c r="L1171" s="5">
        <f t="shared" si="55"/>
        <v>20.5</v>
      </c>
      <c r="M1171" s="5" t="s">
        <v>39</v>
      </c>
      <c r="N1171" s="5">
        <v>5.5759999999999996</v>
      </c>
      <c r="O1171" s="5" t="s">
        <v>39</v>
      </c>
      <c r="P1171" t="s">
        <v>63</v>
      </c>
      <c r="Q1171" t="s">
        <v>1236</v>
      </c>
      <c r="R1171" t="s">
        <v>37</v>
      </c>
      <c r="S1171" t="s">
        <v>1237</v>
      </c>
      <c r="T1171" t="s">
        <v>43</v>
      </c>
      <c r="U1171" t="s">
        <v>44</v>
      </c>
      <c r="V1171">
        <v>147</v>
      </c>
      <c r="W1171" t="s">
        <v>45</v>
      </c>
      <c r="X1171" t="s">
        <v>60</v>
      </c>
      <c r="Y1171" t="s">
        <v>1238</v>
      </c>
      <c r="Z1171" t="s">
        <v>37</v>
      </c>
      <c r="AA1171" t="s">
        <v>55</v>
      </c>
      <c r="AB1171" t="s">
        <v>37</v>
      </c>
      <c r="AC1171" s="6" t="s">
        <v>37</v>
      </c>
      <c r="AD1171" s="6" t="s">
        <v>37</v>
      </c>
      <c r="AE1171" t="s">
        <v>37</v>
      </c>
      <c r="AF1171" t="s">
        <v>37</v>
      </c>
      <c r="AG1171" s="6" t="s">
        <v>37</v>
      </c>
      <c r="AH1171" t="s">
        <v>37</v>
      </c>
      <c r="AI1171" t="s">
        <v>37</v>
      </c>
      <c r="AJ1171" t="str">
        <f t="shared" si="56"/>
        <v>7H9X1Z6SB006YYNGNY</v>
      </c>
    </row>
    <row r="1172" spans="1:36" ht="15" customHeight="1" x14ac:dyDescent="0.25">
      <c r="A1172" t="s">
        <v>96</v>
      </c>
      <c r="B1172" t="s">
        <v>37</v>
      </c>
      <c r="C1172" t="s">
        <v>37</v>
      </c>
      <c r="D1172" t="s">
        <v>38</v>
      </c>
      <c r="E1172" s="4">
        <v>50</v>
      </c>
      <c r="F1172" s="5">
        <v>468</v>
      </c>
      <c r="G1172" s="5" t="s">
        <v>39</v>
      </c>
      <c r="H1172" s="5">
        <v>696.5</v>
      </c>
      <c r="I1172" s="5" t="s">
        <v>39</v>
      </c>
      <c r="J1172" s="5">
        <v>15.912000000000001</v>
      </c>
      <c r="K1172" s="5">
        <f t="shared" si="54"/>
        <v>0.31824000000000002</v>
      </c>
      <c r="L1172" s="5">
        <f t="shared" si="55"/>
        <v>9.36</v>
      </c>
      <c r="M1172" s="5" t="s">
        <v>39</v>
      </c>
      <c r="N1172" s="5">
        <v>15.912000000000001</v>
      </c>
      <c r="O1172" s="5" t="s">
        <v>39</v>
      </c>
      <c r="P1172" t="s">
        <v>148</v>
      </c>
      <c r="Q1172" t="s">
        <v>84</v>
      </c>
      <c r="R1172" t="s">
        <v>85</v>
      </c>
      <c r="S1172" t="s">
        <v>86</v>
      </c>
      <c r="T1172" t="s">
        <v>43</v>
      </c>
      <c r="U1172" t="s">
        <v>44</v>
      </c>
      <c r="V1172">
        <v>147</v>
      </c>
      <c r="W1172" t="s">
        <v>45</v>
      </c>
      <c r="X1172" t="s">
        <v>53</v>
      </c>
      <c r="Y1172" t="s">
        <v>87</v>
      </c>
      <c r="Z1172" t="s">
        <v>37</v>
      </c>
      <c r="AA1172" t="s">
        <v>48</v>
      </c>
      <c r="AB1172" t="s">
        <v>37</v>
      </c>
      <c r="AC1172" s="6" t="s">
        <v>37</v>
      </c>
      <c r="AD1172" s="6" t="s">
        <v>37</v>
      </c>
      <c r="AE1172" t="s">
        <v>37</v>
      </c>
      <c r="AF1172" t="s">
        <v>37</v>
      </c>
      <c r="AG1172" s="6" t="s">
        <v>37</v>
      </c>
      <c r="AH1172" t="s">
        <v>37</v>
      </c>
      <c r="AI1172" t="s">
        <v>37</v>
      </c>
      <c r="AJ1172" t="str">
        <f t="shared" si="56"/>
        <v>5FPQ9KSZB01A9GXEOI</v>
      </c>
    </row>
    <row r="1173" spans="1:36" ht="15" customHeight="1" x14ac:dyDescent="0.25">
      <c r="A1173" t="s">
        <v>76</v>
      </c>
      <c r="B1173" t="s">
        <v>37</v>
      </c>
      <c r="C1173" t="s">
        <v>37</v>
      </c>
      <c r="D1173" t="s">
        <v>38</v>
      </c>
      <c r="E1173" s="4">
        <v>216</v>
      </c>
      <c r="F1173" s="5">
        <v>6957.36</v>
      </c>
      <c r="G1173" s="5" t="s">
        <v>39</v>
      </c>
      <c r="H1173" s="5">
        <v>10443.6</v>
      </c>
      <c r="I1173" s="5" t="s">
        <v>39</v>
      </c>
      <c r="J1173" s="5">
        <v>236.55024</v>
      </c>
      <c r="K1173" s="5">
        <f t="shared" si="54"/>
        <v>1.09514</v>
      </c>
      <c r="L1173" s="5">
        <f t="shared" si="55"/>
        <v>32.21</v>
      </c>
      <c r="M1173" s="5" t="s">
        <v>39</v>
      </c>
      <c r="N1173" s="5">
        <v>236.55024</v>
      </c>
      <c r="O1173" s="5" t="s">
        <v>39</v>
      </c>
      <c r="P1173" t="s">
        <v>968</v>
      </c>
      <c r="Q1173" t="s">
        <v>1401</v>
      </c>
      <c r="R1173" t="s">
        <v>37</v>
      </c>
      <c r="S1173" t="s">
        <v>1402</v>
      </c>
      <c r="T1173" t="s">
        <v>43</v>
      </c>
      <c r="U1173" t="s">
        <v>44</v>
      </c>
      <c r="V1173">
        <v>147</v>
      </c>
      <c r="W1173" t="s">
        <v>45</v>
      </c>
      <c r="X1173" t="s">
        <v>60</v>
      </c>
      <c r="Y1173" t="s">
        <v>1403</v>
      </c>
      <c r="Z1173" t="s">
        <v>37</v>
      </c>
      <c r="AA1173" t="s">
        <v>48</v>
      </c>
      <c r="AB1173" t="s">
        <v>37</v>
      </c>
      <c r="AC1173" s="6" t="s">
        <v>37</v>
      </c>
      <c r="AD1173" s="6" t="s">
        <v>37</v>
      </c>
      <c r="AE1173" t="s">
        <v>37</v>
      </c>
      <c r="AF1173" t="s">
        <v>37</v>
      </c>
      <c r="AG1173" s="6" t="s">
        <v>37</v>
      </c>
      <c r="AH1173" t="s">
        <v>37</v>
      </c>
      <c r="AI1173" t="s">
        <v>37</v>
      </c>
      <c r="AJ1173" t="str">
        <f t="shared" si="56"/>
        <v>7LA8DZCZB013SL26LS</v>
      </c>
    </row>
    <row r="1174" spans="1:36" ht="15" customHeight="1" x14ac:dyDescent="0.25">
      <c r="A1174" t="s">
        <v>62</v>
      </c>
      <c r="B1174" t="s">
        <v>37</v>
      </c>
      <c r="C1174" t="s">
        <v>37</v>
      </c>
      <c r="D1174" t="s">
        <v>38</v>
      </c>
      <c r="E1174" s="4">
        <v>88</v>
      </c>
      <c r="F1174" s="5">
        <v>3771.68</v>
      </c>
      <c r="G1174" s="5" t="s">
        <v>39</v>
      </c>
      <c r="H1174" s="5">
        <v>5192.88</v>
      </c>
      <c r="I1174" s="5" t="s">
        <v>39</v>
      </c>
      <c r="J1174" s="5">
        <v>128.23712</v>
      </c>
      <c r="K1174" s="5">
        <f t="shared" si="54"/>
        <v>1.4572400000000001</v>
      </c>
      <c r="L1174" s="5">
        <f t="shared" si="55"/>
        <v>42.86</v>
      </c>
      <c r="M1174" s="5" t="s">
        <v>39</v>
      </c>
      <c r="N1174" s="5">
        <v>128.23712</v>
      </c>
      <c r="O1174" s="5" t="s">
        <v>39</v>
      </c>
      <c r="P1174" t="s">
        <v>63</v>
      </c>
      <c r="Q1174" t="s">
        <v>366</v>
      </c>
      <c r="R1174" t="s">
        <v>37</v>
      </c>
      <c r="S1174" t="s">
        <v>367</v>
      </c>
      <c r="T1174" t="s">
        <v>43</v>
      </c>
      <c r="U1174" t="s">
        <v>44</v>
      </c>
      <c r="V1174">
        <v>147</v>
      </c>
      <c r="W1174" t="s">
        <v>45</v>
      </c>
      <c r="X1174" t="s">
        <v>368</v>
      </c>
      <c r="Y1174" t="s">
        <v>369</v>
      </c>
      <c r="Z1174" t="s">
        <v>37</v>
      </c>
      <c r="AA1174" t="s">
        <v>48</v>
      </c>
      <c r="AB1174" t="s">
        <v>37</v>
      </c>
      <c r="AC1174" s="6" t="s">
        <v>37</v>
      </c>
      <c r="AD1174" s="6" t="s">
        <v>37</v>
      </c>
      <c r="AE1174" t="s">
        <v>37</v>
      </c>
      <c r="AF1174" t="s">
        <v>37</v>
      </c>
      <c r="AG1174" s="6" t="s">
        <v>37</v>
      </c>
      <c r="AH1174" t="s">
        <v>37</v>
      </c>
      <c r="AI1174" t="s">
        <v>37</v>
      </c>
      <c r="AJ1174" t="str">
        <f t="shared" si="56"/>
        <v>7H9X1Z6SB07H3HGVDW</v>
      </c>
    </row>
    <row r="1175" spans="1:36" ht="15" customHeight="1" x14ac:dyDescent="0.25">
      <c r="A1175" t="s">
        <v>284</v>
      </c>
      <c r="B1175" t="s">
        <v>37</v>
      </c>
      <c r="C1175" t="s">
        <v>37</v>
      </c>
      <c r="D1175" t="s">
        <v>38</v>
      </c>
      <c r="E1175" s="4">
        <v>414</v>
      </c>
      <c r="F1175" s="5">
        <v>91522.98</v>
      </c>
      <c r="G1175" s="5" t="s">
        <v>39</v>
      </c>
      <c r="H1175" s="5">
        <v>138793.5</v>
      </c>
      <c r="I1175" s="5" t="s">
        <v>39</v>
      </c>
      <c r="J1175" s="5">
        <v>3111.7813200000001</v>
      </c>
      <c r="K1175" s="5">
        <f t="shared" si="54"/>
        <v>7.5163799999999998</v>
      </c>
      <c r="L1175" s="5">
        <f t="shared" si="55"/>
        <v>221.07</v>
      </c>
      <c r="M1175" s="5" t="s">
        <v>39</v>
      </c>
      <c r="N1175" s="5">
        <v>3111.7813200000001</v>
      </c>
      <c r="O1175" s="5" t="s">
        <v>39</v>
      </c>
      <c r="P1175" t="s">
        <v>211</v>
      </c>
      <c r="Q1175" t="s">
        <v>671</v>
      </c>
      <c r="R1175" t="s">
        <v>672</v>
      </c>
      <c r="S1175" t="s">
        <v>673</v>
      </c>
      <c r="T1175" t="s">
        <v>43</v>
      </c>
      <c r="U1175" t="s">
        <v>44</v>
      </c>
      <c r="V1175">
        <v>147</v>
      </c>
      <c r="W1175" t="s">
        <v>45</v>
      </c>
      <c r="X1175" t="s">
        <v>46</v>
      </c>
      <c r="Y1175" t="s">
        <v>674</v>
      </c>
      <c r="Z1175" t="s">
        <v>37</v>
      </c>
      <c r="AA1175" t="s">
        <v>55</v>
      </c>
      <c r="AB1175" t="s">
        <v>37</v>
      </c>
      <c r="AC1175" s="6" t="s">
        <v>37</v>
      </c>
      <c r="AD1175" s="6" t="s">
        <v>37</v>
      </c>
      <c r="AE1175" t="s">
        <v>37</v>
      </c>
      <c r="AF1175" t="s">
        <v>37</v>
      </c>
      <c r="AG1175" s="6" t="s">
        <v>37</v>
      </c>
      <c r="AH1175" t="s">
        <v>37</v>
      </c>
      <c r="AI1175" t="s">
        <v>37</v>
      </c>
      <c r="AJ1175" t="str">
        <f t="shared" si="56"/>
        <v>7ILTX3HJB011N78DMA</v>
      </c>
    </row>
    <row r="1176" spans="1:36" ht="15" customHeight="1" x14ac:dyDescent="0.25">
      <c r="A1176" t="s">
        <v>76</v>
      </c>
      <c r="B1176" t="s">
        <v>37</v>
      </c>
      <c r="C1176" t="s">
        <v>37</v>
      </c>
      <c r="D1176" t="s">
        <v>38</v>
      </c>
      <c r="E1176" s="4">
        <v>44</v>
      </c>
      <c r="F1176" s="5">
        <v>1392.6</v>
      </c>
      <c r="G1176" s="5" t="s">
        <v>39</v>
      </c>
      <c r="H1176" s="5">
        <v>2235.64</v>
      </c>
      <c r="I1176" s="5" t="s">
        <v>39</v>
      </c>
      <c r="J1176" s="5">
        <v>47.348399999999998</v>
      </c>
      <c r="K1176" s="5">
        <f t="shared" si="54"/>
        <v>1.0761000000000001</v>
      </c>
      <c r="L1176" s="5">
        <f t="shared" si="55"/>
        <v>31.65</v>
      </c>
      <c r="M1176" s="5" t="s">
        <v>39</v>
      </c>
      <c r="N1176" s="5">
        <v>47.348399999999998</v>
      </c>
      <c r="O1176" s="5" t="s">
        <v>39</v>
      </c>
      <c r="P1176" t="s">
        <v>63</v>
      </c>
      <c r="Q1176" t="s">
        <v>1763</v>
      </c>
      <c r="R1176" t="s">
        <v>37</v>
      </c>
      <c r="S1176" t="s">
        <v>1764</v>
      </c>
      <c r="T1176" t="s">
        <v>43</v>
      </c>
      <c r="U1176" t="s">
        <v>44</v>
      </c>
      <c r="V1176">
        <v>147</v>
      </c>
      <c r="W1176" t="s">
        <v>45</v>
      </c>
      <c r="X1176" t="s">
        <v>53</v>
      </c>
      <c r="Y1176" t="s">
        <v>604</v>
      </c>
      <c r="Z1176" t="s">
        <v>37</v>
      </c>
      <c r="AA1176" t="s">
        <v>55</v>
      </c>
      <c r="AB1176" t="s">
        <v>37</v>
      </c>
      <c r="AC1176" s="6" t="s">
        <v>37</v>
      </c>
      <c r="AD1176" s="6" t="s">
        <v>37</v>
      </c>
      <c r="AE1176" t="s">
        <v>37</v>
      </c>
      <c r="AF1176" t="s">
        <v>37</v>
      </c>
      <c r="AG1176" s="6" t="s">
        <v>37</v>
      </c>
      <c r="AH1176" t="s">
        <v>37</v>
      </c>
      <c r="AI1176" t="s">
        <v>37</v>
      </c>
      <c r="AJ1176" t="str">
        <f t="shared" si="56"/>
        <v>7H9X1Z6SB07W5JHZKS</v>
      </c>
    </row>
    <row r="1177" spans="1:36" ht="15" customHeight="1" x14ac:dyDescent="0.25">
      <c r="A1177" t="s">
        <v>36</v>
      </c>
      <c r="B1177" t="s">
        <v>37</v>
      </c>
      <c r="C1177" t="s">
        <v>37</v>
      </c>
      <c r="D1177" t="s">
        <v>38</v>
      </c>
      <c r="E1177" s="4">
        <v>100</v>
      </c>
      <c r="F1177" s="5">
        <v>3112</v>
      </c>
      <c r="G1177" s="5" t="s">
        <v>39</v>
      </c>
      <c r="H1177" s="5">
        <v>3934</v>
      </c>
      <c r="I1177" s="5" t="s">
        <v>39</v>
      </c>
      <c r="J1177" s="5">
        <v>105.80800000000001</v>
      </c>
      <c r="K1177" s="5">
        <f t="shared" si="54"/>
        <v>1.0580800000000001</v>
      </c>
      <c r="L1177" s="5">
        <f t="shared" si="55"/>
        <v>31.12</v>
      </c>
      <c r="M1177" s="5" t="s">
        <v>39</v>
      </c>
      <c r="N1177" s="5">
        <v>105.80800000000001</v>
      </c>
      <c r="O1177" s="5" t="s">
        <v>39</v>
      </c>
      <c r="P1177" t="s">
        <v>365</v>
      </c>
      <c r="Q1177" t="s">
        <v>90</v>
      </c>
      <c r="R1177" t="s">
        <v>37</v>
      </c>
      <c r="S1177" t="s">
        <v>91</v>
      </c>
      <c r="T1177" t="s">
        <v>43</v>
      </c>
      <c r="U1177" t="s">
        <v>44</v>
      </c>
      <c r="V1177">
        <v>147</v>
      </c>
      <c r="W1177" t="s">
        <v>92</v>
      </c>
      <c r="X1177" t="s">
        <v>93</v>
      </c>
      <c r="Y1177" t="s">
        <v>94</v>
      </c>
      <c r="Z1177" t="s">
        <v>37</v>
      </c>
      <c r="AA1177" t="s">
        <v>95</v>
      </c>
      <c r="AB1177" t="s">
        <v>37</v>
      </c>
      <c r="AC1177" s="6" t="s">
        <v>37</v>
      </c>
      <c r="AD1177" s="6" t="s">
        <v>37</v>
      </c>
      <c r="AE1177" t="s">
        <v>37</v>
      </c>
      <c r="AF1177" t="s">
        <v>37</v>
      </c>
      <c r="AG1177" s="6" t="s">
        <v>37</v>
      </c>
      <c r="AH1177" t="s">
        <v>37</v>
      </c>
      <c r="AI1177" t="s">
        <v>37</v>
      </c>
      <c r="AJ1177" t="str">
        <f t="shared" si="56"/>
        <v>3KYCEHVHB07W5JKBMG</v>
      </c>
    </row>
    <row r="1178" spans="1:36" ht="15" customHeight="1" x14ac:dyDescent="0.25">
      <c r="A1178" t="s">
        <v>127</v>
      </c>
      <c r="B1178" t="s">
        <v>37</v>
      </c>
      <c r="C1178" t="s">
        <v>37</v>
      </c>
      <c r="D1178" t="s">
        <v>38</v>
      </c>
      <c r="E1178" s="4">
        <v>4</v>
      </c>
      <c r="F1178" s="5">
        <v>140.52000000000001</v>
      </c>
      <c r="G1178" s="5" t="s">
        <v>39</v>
      </c>
      <c r="H1178" s="5">
        <v>203.24</v>
      </c>
      <c r="I1178" s="5" t="s">
        <v>39</v>
      </c>
      <c r="J1178" s="5">
        <v>4.7776800000000001</v>
      </c>
      <c r="K1178" s="5">
        <f t="shared" si="54"/>
        <v>1.19442</v>
      </c>
      <c r="L1178" s="5">
        <f t="shared" si="55"/>
        <v>35.130000000000003</v>
      </c>
      <c r="M1178" s="5" t="s">
        <v>39</v>
      </c>
      <c r="N1178" s="5">
        <v>4.7776800000000001</v>
      </c>
      <c r="O1178" s="5" t="s">
        <v>39</v>
      </c>
      <c r="P1178" t="s">
        <v>67</v>
      </c>
      <c r="Q1178" t="s">
        <v>423</v>
      </c>
      <c r="R1178" t="s">
        <v>37</v>
      </c>
      <c r="S1178" t="s">
        <v>424</v>
      </c>
      <c r="T1178" t="s">
        <v>43</v>
      </c>
      <c r="U1178" t="s">
        <v>44</v>
      </c>
      <c r="V1178">
        <v>147</v>
      </c>
      <c r="W1178" t="s">
        <v>45</v>
      </c>
      <c r="X1178" t="s">
        <v>60</v>
      </c>
      <c r="Y1178" t="s">
        <v>425</v>
      </c>
      <c r="Z1178" t="s">
        <v>37</v>
      </c>
      <c r="AA1178" t="s">
        <v>55</v>
      </c>
      <c r="AB1178" t="s">
        <v>37</v>
      </c>
      <c r="AC1178" s="6" t="s">
        <v>37</v>
      </c>
      <c r="AD1178" s="6" t="s">
        <v>37</v>
      </c>
      <c r="AE1178" t="s">
        <v>37</v>
      </c>
      <c r="AF1178" t="s">
        <v>37</v>
      </c>
      <c r="AG1178" s="6" t="s">
        <v>37</v>
      </c>
      <c r="AH1178" t="s">
        <v>37</v>
      </c>
      <c r="AI1178" t="s">
        <v>37</v>
      </c>
      <c r="AJ1178" t="str">
        <f t="shared" si="56"/>
        <v>2TMBDXBKB07VL9YHC9</v>
      </c>
    </row>
    <row r="1179" spans="1:36" ht="15" customHeight="1" x14ac:dyDescent="0.25">
      <c r="A1179" t="s">
        <v>36</v>
      </c>
      <c r="B1179" t="s">
        <v>37</v>
      </c>
      <c r="C1179" t="s">
        <v>37</v>
      </c>
      <c r="D1179" t="s">
        <v>38</v>
      </c>
      <c r="E1179" s="4">
        <v>0</v>
      </c>
      <c r="F1179" s="5">
        <v>0</v>
      </c>
      <c r="G1179" s="5" t="s">
        <v>39</v>
      </c>
      <c r="H1179" s="5">
        <v>0</v>
      </c>
      <c r="I1179" s="5" t="s">
        <v>39</v>
      </c>
      <c r="J1179" s="5">
        <v>0</v>
      </c>
      <c r="K1179" s="5" t="e">
        <f t="shared" si="54"/>
        <v>#DIV/0!</v>
      </c>
      <c r="L1179" s="5" t="e">
        <f t="shared" si="55"/>
        <v>#DIV/0!</v>
      </c>
      <c r="M1179" s="5" t="s">
        <v>39</v>
      </c>
      <c r="N1179" s="5">
        <v>0</v>
      </c>
      <c r="O1179" s="5" t="s">
        <v>39</v>
      </c>
      <c r="P1179" t="s">
        <v>462</v>
      </c>
      <c r="Q1179" t="s">
        <v>233</v>
      </c>
      <c r="R1179" t="s">
        <v>234</v>
      </c>
      <c r="S1179" t="s">
        <v>235</v>
      </c>
      <c r="T1179" t="s">
        <v>43</v>
      </c>
      <c r="U1179" t="s">
        <v>44</v>
      </c>
      <c r="V1179">
        <v>147</v>
      </c>
      <c r="W1179" t="s">
        <v>45</v>
      </c>
      <c r="X1179" t="s">
        <v>46</v>
      </c>
      <c r="Y1179" t="s">
        <v>236</v>
      </c>
      <c r="Z1179" t="s">
        <v>37</v>
      </c>
      <c r="AA1179" t="s">
        <v>55</v>
      </c>
      <c r="AB1179" t="s">
        <v>37</v>
      </c>
      <c r="AC1179" s="6" t="s">
        <v>37</v>
      </c>
      <c r="AD1179" s="6" t="s">
        <v>37</v>
      </c>
      <c r="AE1179" t="s">
        <v>37</v>
      </c>
      <c r="AF1179" t="s">
        <v>37</v>
      </c>
      <c r="AG1179" s="6" t="s">
        <v>37</v>
      </c>
      <c r="AH1179" t="s">
        <v>37</v>
      </c>
      <c r="AI1179" t="s">
        <v>37</v>
      </c>
      <c r="AJ1179" t="str">
        <f t="shared" si="56"/>
        <v>17D6YHERB013Y78YY4</v>
      </c>
    </row>
    <row r="1180" spans="1:36" ht="15" customHeight="1" x14ac:dyDescent="0.25">
      <c r="A1180" t="s">
        <v>127</v>
      </c>
      <c r="B1180" t="s">
        <v>37</v>
      </c>
      <c r="C1180" t="s">
        <v>37</v>
      </c>
      <c r="D1180" t="s">
        <v>38</v>
      </c>
      <c r="E1180" s="4">
        <v>1</v>
      </c>
      <c r="F1180" s="5">
        <v>210.52</v>
      </c>
      <c r="G1180" s="5" t="s">
        <v>39</v>
      </c>
      <c r="H1180" s="5">
        <v>336.06</v>
      </c>
      <c r="I1180" s="5" t="s">
        <v>39</v>
      </c>
      <c r="J1180" s="5">
        <v>7.15768</v>
      </c>
      <c r="K1180" s="5">
        <f t="shared" si="54"/>
        <v>7.15768</v>
      </c>
      <c r="L1180" s="5">
        <f t="shared" si="55"/>
        <v>210.52</v>
      </c>
      <c r="M1180" s="5" t="s">
        <v>39</v>
      </c>
      <c r="N1180" s="5">
        <v>7.15768</v>
      </c>
      <c r="O1180" s="5" t="s">
        <v>39</v>
      </c>
      <c r="P1180" t="s">
        <v>462</v>
      </c>
      <c r="Q1180" t="s">
        <v>233</v>
      </c>
      <c r="R1180" t="s">
        <v>234</v>
      </c>
      <c r="S1180" t="s">
        <v>235</v>
      </c>
      <c r="T1180" t="s">
        <v>43</v>
      </c>
      <c r="U1180" t="s">
        <v>44</v>
      </c>
      <c r="V1180">
        <v>147</v>
      </c>
      <c r="W1180" t="s">
        <v>45</v>
      </c>
      <c r="X1180" t="s">
        <v>46</v>
      </c>
      <c r="Y1180" t="s">
        <v>236</v>
      </c>
      <c r="Z1180" t="s">
        <v>37</v>
      </c>
      <c r="AA1180" t="s">
        <v>55</v>
      </c>
      <c r="AB1180" t="s">
        <v>37</v>
      </c>
      <c r="AC1180" s="6" t="s">
        <v>37</v>
      </c>
      <c r="AD1180" s="6" t="s">
        <v>37</v>
      </c>
      <c r="AE1180" t="s">
        <v>37</v>
      </c>
      <c r="AF1180" t="s">
        <v>37</v>
      </c>
      <c r="AG1180" s="6" t="s">
        <v>37</v>
      </c>
      <c r="AH1180" t="s">
        <v>37</v>
      </c>
      <c r="AI1180" t="s">
        <v>37</v>
      </c>
      <c r="AJ1180" t="str">
        <f t="shared" si="56"/>
        <v>17D6YHERB013Y78YY4</v>
      </c>
    </row>
    <row r="1181" spans="1:36" ht="15" customHeight="1" x14ac:dyDescent="0.25">
      <c r="A1181" t="s">
        <v>36</v>
      </c>
      <c r="B1181" t="s">
        <v>37</v>
      </c>
      <c r="C1181" t="s">
        <v>37</v>
      </c>
      <c r="D1181" t="s">
        <v>38</v>
      </c>
      <c r="E1181" s="4">
        <v>4</v>
      </c>
      <c r="F1181" s="5">
        <v>664</v>
      </c>
      <c r="G1181" s="5" t="s">
        <v>39</v>
      </c>
      <c r="H1181" s="5">
        <v>849.16</v>
      </c>
      <c r="I1181" s="5" t="s">
        <v>39</v>
      </c>
      <c r="J1181" s="5">
        <v>22.576000000000001</v>
      </c>
      <c r="K1181" s="5">
        <f t="shared" si="54"/>
        <v>5.6440000000000001</v>
      </c>
      <c r="L1181" s="5">
        <f t="shared" si="55"/>
        <v>166</v>
      </c>
      <c r="M1181" s="5" t="s">
        <v>39</v>
      </c>
      <c r="N1181" s="5">
        <v>22.576000000000001</v>
      </c>
      <c r="O1181" s="5" t="s">
        <v>39</v>
      </c>
      <c r="P1181" t="s">
        <v>119</v>
      </c>
      <c r="Q1181" t="s">
        <v>1765</v>
      </c>
      <c r="R1181" t="s">
        <v>1766</v>
      </c>
      <c r="S1181" t="s">
        <v>1767</v>
      </c>
      <c r="T1181" t="s">
        <v>43</v>
      </c>
      <c r="U1181" t="s">
        <v>44</v>
      </c>
      <c r="V1181">
        <v>147</v>
      </c>
      <c r="W1181" t="s">
        <v>45</v>
      </c>
      <c r="X1181" t="s">
        <v>239</v>
      </c>
      <c r="Y1181" t="s">
        <v>1768</v>
      </c>
      <c r="Z1181" t="s">
        <v>37</v>
      </c>
      <c r="AA1181" t="s">
        <v>55</v>
      </c>
      <c r="AB1181" t="s">
        <v>37</v>
      </c>
      <c r="AC1181" s="6" t="s">
        <v>37</v>
      </c>
      <c r="AD1181" s="6" t="s">
        <v>37</v>
      </c>
      <c r="AE1181" t="s">
        <v>37</v>
      </c>
      <c r="AF1181" t="s">
        <v>37</v>
      </c>
      <c r="AG1181" s="6" t="s">
        <v>37</v>
      </c>
      <c r="AH1181" t="s">
        <v>37</v>
      </c>
      <c r="AI1181" t="s">
        <v>37</v>
      </c>
      <c r="AJ1181" t="str">
        <f t="shared" si="56"/>
        <v>31DJDC7QB072R4BL6S</v>
      </c>
    </row>
    <row r="1182" spans="1:36" ht="15" customHeight="1" x14ac:dyDescent="0.25">
      <c r="A1182" t="s">
        <v>36</v>
      </c>
      <c r="B1182" t="s">
        <v>37</v>
      </c>
      <c r="C1182" t="s">
        <v>37</v>
      </c>
      <c r="D1182" t="s">
        <v>38</v>
      </c>
      <c r="E1182" s="4">
        <v>100</v>
      </c>
      <c r="F1182" s="5">
        <v>3513</v>
      </c>
      <c r="G1182" s="5" t="s">
        <v>39</v>
      </c>
      <c r="H1182" s="5">
        <v>5081</v>
      </c>
      <c r="I1182" s="5" t="s">
        <v>39</v>
      </c>
      <c r="J1182" s="5">
        <v>119.44199999999999</v>
      </c>
      <c r="K1182" s="5">
        <f t="shared" si="54"/>
        <v>1.19442</v>
      </c>
      <c r="L1182" s="5">
        <f t="shared" si="55"/>
        <v>35.130000000000003</v>
      </c>
      <c r="M1182" s="5" t="s">
        <v>39</v>
      </c>
      <c r="N1182" s="5">
        <v>119.44199999999999</v>
      </c>
      <c r="O1182" s="5" t="s">
        <v>39</v>
      </c>
      <c r="P1182" t="s">
        <v>67</v>
      </c>
      <c r="Q1182" t="s">
        <v>423</v>
      </c>
      <c r="R1182" t="s">
        <v>37</v>
      </c>
      <c r="S1182" t="s">
        <v>424</v>
      </c>
      <c r="T1182" t="s">
        <v>43</v>
      </c>
      <c r="U1182" t="s">
        <v>44</v>
      </c>
      <c r="V1182">
        <v>147</v>
      </c>
      <c r="W1182" t="s">
        <v>45</v>
      </c>
      <c r="X1182" t="s">
        <v>60</v>
      </c>
      <c r="Y1182" t="s">
        <v>425</v>
      </c>
      <c r="Z1182" t="s">
        <v>37</v>
      </c>
      <c r="AA1182" t="s">
        <v>55</v>
      </c>
      <c r="AB1182" t="s">
        <v>37</v>
      </c>
      <c r="AC1182" s="6" t="s">
        <v>37</v>
      </c>
      <c r="AD1182" s="6" t="s">
        <v>37</v>
      </c>
      <c r="AE1182" t="s">
        <v>37</v>
      </c>
      <c r="AF1182" t="s">
        <v>37</v>
      </c>
      <c r="AG1182" s="6" t="s">
        <v>37</v>
      </c>
      <c r="AH1182" t="s">
        <v>37</v>
      </c>
      <c r="AI1182" t="s">
        <v>37</v>
      </c>
      <c r="AJ1182" t="str">
        <f t="shared" si="56"/>
        <v>2TMBDXBKB07VL9YHC9</v>
      </c>
    </row>
    <row r="1183" spans="1:36" ht="15" customHeight="1" x14ac:dyDescent="0.25">
      <c r="A1183" t="s">
        <v>76</v>
      </c>
      <c r="B1183" t="s">
        <v>37</v>
      </c>
      <c r="C1183" t="s">
        <v>37</v>
      </c>
      <c r="D1183" t="s">
        <v>38</v>
      </c>
      <c r="E1183" s="4">
        <v>280</v>
      </c>
      <c r="F1183" s="5">
        <v>2620.8000000000002</v>
      </c>
      <c r="G1183" s="5" t="s">
        <v>39</v>
      </c>
      <c r="H1183" s="5">
        <v>3900.4</v>
      </c>
      <c r="I1183" s="5" t="s">
        <v>39</v>
      </c>
      <c r="J1183" s="5">
        <v>89.107200000000006</v>
      </c>
      <c r="K1183" s="5">
        <f t="shared" si="54"/>
        <v>0.31824000000000002</v>
      </c>
      <c r="L1183" s="5">
        <f t="shared" si="55"/>
        <v>9.3600000000000012</v>
      </c>
      <c r="M1183" s="5" t="s">
        <v>39</v>
      </c>
      <c r="N1183" s="5">
        <v>89.107200000000006</v>
      </c>
      <c r="O1183" s="5" t="s">
        <v>39</v>
      </c>
      <c r="P1183" t="s">
        <v>63</v>
      </c>
      <c r="Q1183" t="s">
        <v>1202</v>
      </c>
      <c r="R1183" t="s">
        <v>37</v>
      </c>
      <c r="S1183" t="s">
        <v>1203</v>
      </c>
      <c r="T1183" t="s">
        <v>43</v>
      </c>
      <c r="U1183" t="s">
        <v>44</v>
      </c>
      <c r="V1183">
        <v>147</v>
      </c>
      <c r="W1183" t="s">
        <v>45</v>
      </c>
      <c r="X1183" t="s">
        <v>53</v>
      </c>
      <c r="Y1183" t="s">
        <v>1204</v>
      </c>
      <c r="Z1183" t="s">
        <v>37</v>
      </c>
      <c r="AA1183" t="s">
        <v>48</v>
      </c>
      <c r="AB1183" t="s">
        <v>37</v>
      </c>
      <c r="AC1183" s="6" t="s">
        <v>37</v>
      </c>
      <c r="AD1183" s="6" t="s">
        <v>37</v>
      </c>
      <c r="AE1183" t="s">
        <v>37</v>
      </c>
      <c r="AF1183" t="s">
        <v>37</v>
      </c>
      <c r="AG1183" s="6" t="s">
        <v>37</v>
      </c>
      <c r="AH1183" t="s">
        <v>37</v>
      </c>
      <c r="AI1183" t="s">
        <v>37</v>
      </c>
      <c r="AJ1183" t="str">
        <f t="shared" si="56"/>
        <v>7H9X1Z6SB019RPQML4</v>
      </c>
    </row>
    <row r="1184" spans="1:36" ht="15" customHeight="1" x14ac:dyDescent="0.25">
      <c r="A1184" t="s">
        <v>101</v>
      </c>
      <c r="B1184" t="s">
        <v>37</v>
      </c>
      <c r="C1184" t="s">
        <v>37</v>
      </c>
      <c r="D1184" t="s">
        <v>38</v>
      </c>
      <c r="E1184" s="4">
        <v>10</v>
      </c>
      <c r="F1184" s="5">
        <v>812.1</v>
      </c>
      <c r="G1184" s="5" t="s">
        <v>39</v>
      </c>
      <c r="H1184" s="5">
        <v>1147.5</v>
      </c>
      <c r="I1184" s="5" t="s">
        <v>39</v>
      </c>
      <c r="J1184" s="5">
        <v>27.6114</v>
      </c>
      <c r="K1184" s="5">
        <f t="shared" si="54"/>
        <v>2.7611400000000001</v>
      </c>
      <c r="L1184" s="5">
        <f t="shared" si="55"/>
        <v>81.210000000000008</v>
      </c>
      <c r="M1184" s="5" t="s">
        <v>39</v>
      </c>
      <c r="N1184" s="5">
        <v>27.6114</v>
      </c>
      <c r="O1184" s="5" t="s">
        <v>39</v>
      </c>
      <c r="P1184" t="s">
        <v>102</v>
      </c>
      <c r="Q1184" t="s">
        <v>1769</v>
      </c>
      <c r="R1184" t="s">
        <v>37</v>
      </c>
      <c r="S1184" t="s">
        <v>1770</v>
      </c>
      <c r="T1184" t="s">
        <v>43</v>
      </c>
      <c r="U1184" t="s">
        <v>44</v>
      </c>
      <c r="V1184">
        <v>147</v>
      </c>
      <c r="W1184" t="s">
        <v>45</v>
      </c>
      <c r="X1184" t="s">
        <v>60</v>
      </c>
      <c r="Y1184" t="s">
        <v>1771</v>
      </c>
      <c r="Z1184" t="s">
        <v>37</v>
      </c>
      <c r="AA1184" t="s">
        <v>95</v>
      </c>
      <c r="AB1184" t="s">
        <v>37</v>
      </c>
      <c r="AC1184" s="6" t="s">
        <v>37</v>
      </c>
      <c r="AD1184" s="6" t="s">
        <v>37</v>
      </c>
      <c r="AE1184" t="s">
        <v>37</v>
      </c>
      <c r="AF1184" t="s">
        <v>37</v>
      </c>
      <c r="AG1184" s="6" t="s">
        <v>37</v>
      </c>
      <c r="AH1184" t="s">
        <v>37</v>
      </c>
      <c r="AI1184" t="s">
        <v>37</v>
      </c>
      <c r="AJ1184" t="str">
        <f t="shared" si="56"/>
        <v>2M7QFTCOB07W6HJ5L5</v>
      </c>
    </row>
    <row r="1185" spans="1:36" ht="15" customHeight="1" x14ac:dyDescent="0.25">
      <c r="A1185" t="s">
        <v>118</v>
      </c>
      <c r="B1185" t="s">
        <v>37</v>
      </c>
      <c r="C1185" t="s">
        <v>37</v>
      </c>
      <c r="D1185" t="s">
        <v>38</v>
      </c>
      <c r="E1185" s="4">
        <v>152</v>
      </c>
      <c r="F1185" s="5">
        <v>3116</v>
      </c>
      <c r="G1185" s="5" t="s">
        <v>39</v>
      </c>
      <c r="H1185" s="5">
        <v>4733.28</v>
      </c>
      <c r="I1185" s="5" t="s">
        <v>39</v>
      </c>
      <c r="J1185" s="5">
        <v>105.944</v>
      </c>
      <c r="K1185" s="5">
        <f t="shared" si="54"/>
        <v>0.69700000000000006</v>
      </c>
      <c r="L1185" s="5">
        <f t="shared" si="55"/>
        <v>20.5</v>
      </c>
      <c r="M1185" s="5" t="s">
        <v>39</v>
      </c>
      <c r="N1185" s="5">
        <v>105.944</v>
      </c>
      <c r="O1185" s="5" t="s">
        <v>39</v>
      </c>
      <c r="P1185" t="s">
        <v>270</v>
      </c>
      <c r="Q1185" t="s">
        <v>567</v>
      </c>
      <c r="R1185" t="s">
        <v>37</v>
      </c>
      <c r="S1185" t="s">
        <v>568</v>
      </c>
      <c r="T1185" t="s">
        <v>43</v>
      </c>
      <c r="U1185" t="s">
        <v>44</v>
      </c>
      <c r="V1185">
        <v>147</v>
      </c>
      <c r="W1185" t="s">
        <v>45</v>
      </c>
      <c r="X1185" t="s">
        <v>60</v>
      </c>
      <c r="Y1185" t="s">
        <v>569</v>
      </c>
      <c r="Z1185" t="s">
        <v>37</v>
      </c>
      <c r="AA1185" t="s">
        <v>95</v>
      </c>
      <c r="AB1185" t="s">
        <v>37</v>
      </c>
      <c r="AC1185" s="6" t="s">
        <v>37</v>
      </c>
      <c r="AD1185" s="6" t="s">
        <v>37</v>
      </c>
      <c r="AE1185" t="s">
        <v>37</v>
      </c>
      <c r="AF1185" t="s">
        <v>37</v>
      </c>
      <c r="AG1185" s="6" t="s">
        <v>37</v>
      </c>
      <c r="AH1185" t="s">
        <v>37</v>
      </c>
      <c r="AI1185" t="s">
        <v>37</v>
      </c>
      <c r="AJ1185" t="str">
        <f t="shared" si="56"/>
        <v>1X4DXX4TB006ZLK9SQ</v>
      </c>
    </row>
    <row r="1186" spans="1:36" ht="15" customHeight="1" x14ac:dyDescent="0.25">
      <c r="A1186" t="s">
        <v>96</v>
      </c>
      <c r="B1186" t="s">
        <v>37</v>
      </c>
      <c r="C1186" t="s">
        <v>37</v>
      </c>
      <c r="D1186" t="s">
        <v>38</v>
      </c>
      <c r="E1186" s="4">
        <v>6</v>
      </c>
      <c r="F1186" s="5">
        <v>158.1</v>
      </c>
      <c r="G1186" s="5" t="s">
        <v>39</v>
      </c>
      <c r="H1186" s="5">
        <v>236.04</v>
      </c>
      <c r="I1186" s="5" t="s">
        <v>39</v>
      </c>
      <c r="J1186" s="5">
        <v>5.3754</v>
      </c>
      <c r="K1186" s="5">
        <f t="shared" si="54"/>
        <v>0.89590000000000003</v>
      </c>
      <c r="L1186" s="5">
        <f t="shared" si="55"/>
        <v>26.349999999999998</v>
      </c>
      <c r="M1186" s="5" t="s">
        <v>39</v>
      </c>
      <c r="N1186" s="5">
        <v>5.3754</v>
      </c>
      <c r="O1186" s="5" t="s">
        <v>39</v>
      </c>
      <c r="P1186" t="s">
        <v>1772</v>
      </c>
      <c r="Q1186" t="s">
        <v>1021</v>
      </c>
      <c r="R1186" t="s">
        <v>37</v>
      </c>
      <c r="S1186" t="s">
        <v>1022</v>
      </c>
      <c r="T1186" t="s">
        <v>43</v>
      </c>
      <c r="U1186" t="s">
        <v>44</v>
      </c>
      <c r="V1186">
        <v>147</v>
      </c>
      <c r="W1186" t="s">
        <v>45</v>
      </c>
      <c r="X1186" t="s">
        <v>60</v>
      </c>
      <c r="Y1186" t="s">
        <v>1023</v>
      </c>
      <c r="Z1186" t="s">
        <v>37</v>
      </c>
      <c r="AA1186" t="s">
        <v>55</v>
      </c>
      <c r="AB1186" t="s">
        <v>37</v>
      </c>
      <c r="AC1186" s="6" t="s">
        <v>37</v>
      </c>
      <c r="AD1186" s="6" t="s">
        <v>37</v>
      </c>
      <c r="AE1186" t="s">
        <v>37</v>
      </c>
      <c r="AF1186" t="s">
        <v>37</v>
      </c>
      <c r="AG1186" s="6" t="s">
        <v>37</v>
      </c>
      <c r="AH1186" t="s">
        <v>37</v>
      </c>
      <c r="AI1186" t="s">
        <v>37</v>
      </c>
      <c r="AJ1186" t="str">
        <f t="shared" si="56"/>
        <v>26N6PTLNB00NP797AE</v>
      </c>
    </row>
    <row r="1187" spans="1:36" ht="15" customHeight="1" x14ac:dyDescent="0.25">
      <c r="A1187" t="s">
        <v>96</v>
      </c>
      <c r="B1187" t="s">
        <v>37</v>
      </c>
      <c r="C1187" t="s">
        <v>37</v>
      </c>
      <c r="D1187" t="s">
        <v>38</v>
      </c>
      <c r="E1187" s="4">
        <v>50</v>
      </c>
      <c r="F1187" s="5">
        <v>263</v>
      </c>
      <c r="G1187" s="5" t="s">
        <v>39</v>
      </c>
      <c r="H1187" s="5">
        <v>573.5</v>
      </c>
      <c r="I1187" s="5" t="s">
        <v>39</v>
      </c>
      <c r="J1187" s="5">
        <v>8.9420000000000002</v>
      </c>
      <c r="K1187" s="5">
        <f t="shared" si="54"/>
        <v>0.17884</v>
      </c>
      <c r="L1187" s="5">
        <f t="shared" si="55"/>
        <v>5.26</v>
      </c>
      <c r="M1187" s="5" t="s">
        <v>39</v>
      </c>
      <c r="N1187" s="5">
        <v>8.9420000000000002</v>
      </c>
      <c r="O1187" s="5" t="s">
        <v>39</v>
      </c>
      <c r="P1187" t="s">
        <v>1773</v>
      </c>
      <c r="Q1187" t="s">
        <v>1774</v>
      </c>
      <c r="R1187" t="s">
        <v>37</v>
      </c>
      <c r="S1187" t="s">
        <v>1775</v>
      </c>
      <c r="T1187" t="s">
        <v>43</v>
      </c>
      <c r="U1187" t="s">
        <v>44</v>
      </c>
      <c r="V1187">
        <v>147</v>
      </c>
      <c r="W1187" t="s">
        <v>45</v>
      </c>
      <c r="X1187" t="s">
        <v>46</v>
      </c>
      <c r="Y1187" t="s">
        <v>1776</v>
      </c>
      <c r="Z1187" t="s">
        <v>37</v>
      </c>
      <c r="AA1187" t="s">
        <v>55</v>
      </c>
      <c r="AB1187" t="s">
        <v>37</v>
      </c>
      <c r="AC1187" s="6" t="s">
        <v>37</v>
      </c>
      <c r="AD1187" s="6" t="s">
        <v>37</v>
      </c>
      <c r="AE1187" t="s">
        <v>37</v>
      </c>
      <c r="AF1187" t="s">
        <v>37</v>
      </c>
      <c r="AG1187" s="6" t="s">
        <v>37</v>
      </c>
      <c r="AH1187" t="s">
        <v>37</v>
      </c>
      <c r="AI1187" t="s">
        <v>37</v>
      </c>
      <c r="AJ1187" t="str">
        <f t="shared" si="56"/>
        <v>3J421ZZBB07W7LTQ4B</v>
      </c>
    </row>
    <row r="1188" spans="1:36" ht="15" customHeight="1" x14ac:dyDescent="0.25">
      <c r="A1188" t="s">
        <v>36</v>
      </c>
      <c r="B1188" t="s">
        <v>37</v>
      </c>
      <c r="C1188" t="s">
        <v>37</v>
      </c>
      <c r="D1188" t="s">
        <v>38</v>
      </c>
      <c r="E1188" s="4">
        <v>4</v>
      </c>
      <c r="F1188" s="5">
        <v>377.76</v>
      </c>
      <c r="G1188" s="5" t="s">
        <v>39</v>
      </c>
      <c r="H1188" s="5">
        <v>606.52</v>
      </c>
      <c r="I1188" s="5" t="s">
        <v>39</v>
      </c>
      <c r="J1188" s="5">
        <v>12.84384</v>
      </c>
      <c r="K1188" s="5">
        <f t="shared" si="54"/>
        <v>3.21096</v>
      </c>
      <c r="L1188" s="5">
        <f t="shared" si="55"/>
        <v>94.44</v>
      </c>
      <c r="M1188" s="5" t="s">
        <v>39</v>
      </c>
      <c r="N1188" s="5">
        <v>12.84384</v>
      </c>
      <c r="O1188" s="5" t="s">
        <v>39</v>
      </c>
      <c r="P1188" t="s">
        <v>270</v>
      </c>
      <c r="Q1188" t="s">
        <v>663</v>
      </c>
      <c r="R1188" t="s">
        <v>37</v>
      </c>
      <c r="S1188" t="s">
        <v>664</v>
      </c>
      <c r="T1188" t="s">
        <v>43</v>
      </c>
      <c r="U1188" t="s">
        <v>44</v>
      </c>
      <c r="V1188">
        <v>147</v>
      </c>
      <c r="W1188" t="s">
        <v>45</v>
      </c>
      <c r="X1188" t="s">
        <v>46</v>
      </c>
      <c r="Y1188" t="s">
        <v>665</v>
      </c>
      <c r="Z1188" t="s">
        <v>37</v>
      </c>
      <c r="AA1188" t="s">
        <v>48</v>
      </c>
      <c r="AB1188" t="s">
        <v>37</v>
      </c>
      <c r="AC1188" s="6" t="s">
        <v>37</v>
      </c>
      <c r="AD1188" s="6" t="s">
        <v>37</v>
      </c>
      <c r="AE1188" t="s">
        <v>37</v>
      </c>
      <c r="AF1188" t="s">
        <v>37</v>
      </c>
      <c r="AG1188" s="6" t="s">
        <v>37</v>
      </c>
      <c r="AH1188" t="s">
        <v>37</v>
      </c>
      <c r="AI1188" t="s">
        <v>37</v>
      </c>
      <c r="AJ1188" t="str">
        <f t="shared" si="56"/>
        <v>1X4DXX4TB01M9EWQ2W</v>
      </c>
    </row>
    <row r="1189" spans="1:36" ht="15" customHeight="1" x14ac:dyDescent="0.25">
      <c r="A1189" t="s">
        <v>49</v>
      </c>
      <c r="B1189" t="s">
        <v>37</v>
      </c>
      <c r="C1189" t="s">
        <v>37</v>
      </c>
      <c r="D1189" t="s">
        <v>38</v>
      </c>
      <c r="E1189" s="4">
        <v>6</v>
      </c>
      <c r="F1189" s="5">
        <v>399.96</v>
      </c>
      <c r="G1189" s="5" t="s">
        <v>39</v>
      </c>
      <c r="H1189" s="5">
        <v>511.44</v>
      </c>
      <c r="I1189" s="5" t="s">
        <v>39</v>
      </c>
      <c r="J1189" s="5">
        <v>13.59864</v>
      </c>
      <c r="K1189" s="5">
        <f t="shared" si="54"/>
        <v>2.2664399999999998</v>
      </c>
      <c r="L1189" s="5">
        <f t="shared" si="55"/>
        <v>66.66</v>
      </c>
      <c r="M1189" s="5" t="s">
        <v>39</v>
      </c>
      <c r="N1189" s="5">
        <v>13.59864</v>
      </c>
      <c r="O1189" s="5" t="s">
        <v>39</v>
      </c>
      <c r="P1189" t="s">
        <v>106</v>
      </c>
      <c r="Q1189" t="s">
        <v>1027</v>
      </c>
      <c r="R1189" t="s">
        <v>1028</v>
      </c>
      <c r="S1189" t="s">
        <v>1029</v>
      </c>
      <c r="T1189" t="s">
        <v>43</v>
      </c>
      <c r="U1189" t="s">
        <v>44</v>
      </c>
      <c r="V1189">
        <v>147</v>
      </c>
      <c r="W1189" t="s">
        <v>45</v>
      </c>
      <c r="X1189" t="s">
        <v>53</v>
      </c>
      <c r="Y1189" t="s">
        <v>1030</v>
      </c>
      <c r="Z1189" t="s">
        <v>37</v>
      </c>
      <c r="AA1189" t="s">
        <v>55</v>
      </c>
      <c r="AB1189" t="s">
        <v>37</v>
      </c>
      <c r="AC1189" s="6" t="s">
        <v>37</v>
      </c>
      <c r="AD1189" s="6" t="s">
        <v>37</v>
      </c>
      <c r="AE1189" t="s">
        <v>37</v>
      </c>
      <c r="AF1189" t="s">
        <v>37</v>
      </c>
      <c r="AG1189" s="6" t="s">
        <v>37</v>
      </c>
      <c r="AH1189" t="s">
        <v>37</v>
      </c>
      <c r="AI1189" t="s">
        <v>37</v>
      </c>
      <c r="AJ1189" t="str">
        <f t="shared" si="56"/>
        <v>2CLMXQWQB071ZFMC9Q</v>
      </c>
    </row>
    <row r="1190" spans="1:36" ht="15" customHeight="1" x14ac:dyDescent="0.25">
      <c r="A1190" t="s">
        <v>101</v>
      </c>
      <c r="B1190" t="s">
        <v>37</v>
      </c>
      <c r="C1190" t="s">
        <v>37</v>
      </c>
      <c r="D1190" t="s">
        <v>38</v>
      </c>
      <c r="E1190" s="4">
        <v>296</v>
      </c>
      <c r="F1190" s="5">
        <v>51110.32</v>
      </c>
      <c r="G1190" s="5" t="s">
        <v>39</v>
      </c>
      <c r="H1190" s="5">
        <v>67692.240000000005</v>
      </c>
      <c r="I1190" s="5" t="s">
        <v>39</v>
      </c>
      <c r="J1190" s="5">
        <v>1737.7508800000001</v>
      </c>
      <c r="K1190" s="5">
        <f t="shared" si="54"/>
        <v>5.8707799999999999</v>
      </c>
      <c r="L1190" s="5">
        <f t="shared" si="55"/>
        <v>172.67</v>
      </c>
      <c r="M1190" s="5" t="s">
        <v>39</v>
      </c>
      <c r="N1190" s="5">
        <v>1737.7508800000001</v>
      </c>
      <c r="O1190" s="5" t="s">
        <v>39</v>
      </c>
      <c r="P1190" t="s">
        <v>72</v>
      </c>
      <c r="Q1190" t="s">
        <v>1777</v>
      </c>
      <c r="R1190" t="s">
        <v>37</v>
      </c>
      <c r="S1190" t="s">
        <v>1778</v>
      </c>
      <c r="T1190" t="s">
        <v>43</v>
      </c>
      <c r="U1190" t="s">
        <v>44</v>
      </c>
      <c r="V1190">
        <v>147</v>
      </c>
      <c r="W1190" t="s">
        <v>45</v>
      </c>
      <c r="X1190" t="s">
        <v>239</v>
      </c>
      <c r="Y1190" t="s">
        <v>1779</v>
      </c>
      <c r="Z1190" t="s">
        <v>37</v>
      </c>
      <c r="AA1190" t="s">
        <v>55</v>
      </c>
      <c r="AB1190" t="s">
        <v>37</v>
      </c>
      <c r="AC1190" s="6" t="s">
        <v>37</v>
      </c>
      <c r="AD1190" s="6" t="s">
        <v>37</v>
      </c>
      <c r="AE1190" t="s">
        <v>37</v>
      </c>
      <c r="AF1190" t="s">
        <v>37</v>
      </c>
      <c r="AG1190" s="6" t="s">
        <v>37</v>
      </c>
      <c r="AH1190" t="s">
        <v>37</v>
      </c>
      <c r="AI1190" t="s">
        <v>37</v>
      </c>
      <c r="AJ1190" t="str">
        <f t="shared" si="56"/>
        <v>4GF112AEB01N5NYRES</v>
      </c>
    </row>
    <row r="1191" spans="1:36" ht="15" customHeight="1" x14ac:dyDescent="0.25">
      <c r="A1191" t="s">
        <v>96</v>
      </c>
      <c r="B1191" t="s">
        <v>37</v>
      </c>
      <c r="C1191" t="s">
        <v>37</v>
      </c>
      <c r="D1191" t="s">
        <v>38</v>
      </c>
      <c r="E1191" s="4">
        <v>16</v>
      </c>
      <c r="F1191" s="5">
        <v>1703.84</v>
      </c>
      <c r="G1191" s="5" t="s">
        <v>39</v>
      </c>
      <c r="H1191" s="5">
        <v>2294.88</v>
      </c>
      <c r="I1191" s="5" t="s">
        <v>39</v>
      </c>
      <c r="J1191" s="5">
        <v>57.93056</v>
      </c>
      <c r="K1191" s="5">
        <f t="shared" si="54"/>
        <v>3.62066</v>
      </c>
      <c r="L1191" s="5">
        <f t="shared" si="55"/>
        <v>106.49</v>
      </c>
      <c r="M1191" s="5" t="s">
        <v>39</v>
      </c>
      <c r="N1191" s="5">
        <v>57.93056</v>
      </c>
      <c r="O1191" s="5" t="s">
        <v>39</v>
      </c>
      <c r="P1191" t="s">
        <v>1780</v>
      </c>
      <c r="Q1191" t="s">
        <v>1151</v>
      </c>
      <c r="R1191" t="s">
        <v>37</v>
      </c>
      <c r="S1191" t="s">
        <v>1152</v>
      </c>
      <c r="T1191" t="s">
        <v>43</v>
      </c>
      <c r="U1191" t="s">
        <v>44</v>
      </c>
      <c r="V1191">
        <v>23</v>
      </c>
      <c r="W1191" t="s">
        <v>281</v>
      </c>
      <c r="X1191" t="s">
        <v>282</v>
      </c>
      <c r="Y1191" t="s">
        <v>1153</v>
      </c>
      <c r="Z1191" t="s">
        <v>37</v>
      </c>
      <c r="AA1191" t="s">
        <v>95</v>
      </c>
      <c r="AB1191" t="s">
        <v>37</v>
      </c>
      <c r="AC1191" s="6" t="s">
        <v>37</v>
      </c>
      <c r="AD1191" s="6" t="s">
        <v>37</v>
      </c>
      <c r="AE1191" t="s">
        <v>37</v>
      </c>
      <c r="AF1191" t="s">
        <v>37</v>
      </c>
      <c r="AG1191" s="6" t="s">
        <v>37</v>
      </c>
      <c r="AH1191" t="s">
        <v>37</v>
      </c>
      <c r="AI1191" t="s">
        <v>37</v>
      </c>
      <c r="AJ1191" t="str">
        <f t="shared" si="56"/>
        <v>5MU5OCUSB07G6LWTG6</v>
      </c>
    </row>
    <row r="1192" spans="1:36" ht="15" customHeight="1" x14ac:dyDescent="0.25">
      <c r="A1192" t="s">
        <v>118</v>
      </c>
      <c r="B1192" t="s">
        <v>37</v>
      </c>
      <c r="C1192" t="s">
        <v>37</v>
      </c>
      <c r="D1192" t="s">
        <v>38</v>
      </c>
      <c r="E1192" s="4">
        <v>8</v>
      </c>
      <c r="F1192" s="5">
        <v>603.28</v>
      </c>
      <c r="G1192" s="5" t="s">
        <v>39</v>
      </c>
      <c r="H1192" s="5">
        <v>885.2</v>
      </c>
      <c r="I1192" s="5" t="s">
        <v>39</v>
      </c>
      <c r="J1192" s="5">
        <v>20.511520000000001</v>
      </c>
      <c r="K1192" s="5">
        <f t="shared" si="54"/>
        <v>2.5639400000000001</v>
      </c>
      <c r="L1192" s="5">
        <f t="shared" si="55"/>
        <v>75.41</v>
      </c>
      <c r="M1192" s="5" t="s">
        <v>39</v>
      </c>
      <c r="N1192" s="5">
        <v>20.511520000000001</v>
      </c>
      <c r="O1192" s="5" t="s">
        <v>39</v>
      </c>
      <c r="P1192" t="s">
        <v>462</v>
      </c>
      <c r="Q1192" t="s">
        <v>1002</v>
      </c>
      <c r="R1192" t="s">
        <v>37</v>
      </c>
      <c r="S1192" t="s">
        <v>1003</v>
      </c>
      <c r="T1192" t="s">
        <v>43</v>
      </c>
      <c r="U1192" t="s">
        <v>44</v>
      </c>
      <c r="V1192">
        <v>147</v>
      </c>
      <c r="W1192" t="s">
        <v>45</v>
      </c>
      <c r="X1192" t="s">
        <v>60</v>
      </c>
      <c r="Y1192" t="s">
        <v>1004</v>
      </c>
      <c r="Z1192" t="s">
        <v>37</v>
      </c>
      <c r="AA1192" t="s">
        <v>48</v>
      </c>
      <c r="AB1192" t="s">
        <v>37</v>
      </c>
      <c r="AC1192" s="6" t="s">
        <v>37</v>
      </c>
      <c r="AD1192" s="6" t="s">
        <v>37</v>
      </c>
      <c r="AE1192" t="s">
        <v>37</v>
      </c>
      <c r="AF1192" t="s">
        <v>37</v>
      </c>
      <c r="AG1192" s="6" t="s">
        <v>37</v>
      </c>
      <c r="AH1192" t="s">
        <v>37</v>
      </c>
      <c r="AI1192" t="s">
        <v>37</v>
      </c>
      <c r="AJ1192" t="str">
        <f t="shared" si="56"/>
        <v>17D6YHERB01MT5WLHY</v>
      </c>
    </row>
    <row r="1193" spans="1:36" ht="15" customHeight="1" x14ac:dyDescent="0.25">
      <c r="A1193" t="s">
        <v>127</v>
      </c>
      <c r="B1193" t="s">
        <v>37</v>
      </c>
      <c r="C1193" t="s">
        <v>37</v>
      </c>
      <c r="D1193" t="s">
        <v>38</v>
      </c>
      <c r="E1193" s="4">
        <v>0</v>
      </c>
      <c r="F1193" s="5">
        <v>0</v>
      </c>
      <c r="G1193" s="5" t="s">
        <v>39</v>
      </c>
      <c r="H1193" s="5">
        <v>0</v>
      </c>
      <c r="I1193" s="5" t="s">
        <v>39</v>
      </c>
      <c r="J1193" s="5">
        <v>0</v>
      </c>
      <c r="K1193" s="5" t="e">
        <f t="shared" si="54"/>
        <v>#DIV/0!</v>
      </c>
      <c r="L1193" s="5" t="e">
        <f t="shared" si="55"/>
        <v>#DIV/0!</v>
      </c>
      <c r="M1193" s="5" t="s">
        <v>39</v>
      </c>
      <c r="N1193" s="5">
        <v>0</v>
      </c>
      <c r="O1193" s="5" t="s">
        <v>39</v>
      </c>
      <c r="P1193" t="s">
        <v>202</v>
      </c>
      <c r="Q1193" t="s">
        <v>1307</v>
      </c>
      <c r="R1193" t="s">
        <v>37</v>
      </c>
      <c r="S1193" t="s">
        <v>1308</v>
      </c>
      <c r="T1193" t="s">
        <v>43</v>
      </c>
      <c r="U1193" t="s">
        <v>44</v>
      </c>
      <c r="V1193">
        <v>147</v>
      </c>
      <c r="W1193" t="s">
        <v>45</v>
      </c>
      <c r="X1193" t="s">
        <v>46</v>
      </c>
      <c r="Y1193" t="s">
        <v>1309</v>
      </c>
      <c r="Z1193" t="s">
        <v>37</v>
      </c>
      <c r="AA1193" t="s">
        <v>55</v>
      </c>
      <c r="AB1193" t="s">
        <v>37</v>
      </c>
      <c r="AC1193" s="6" t="s">
        <v>37</v>
      </c>
      <c r="AD1193" s="6" t="s">
        <v>37</v>
      </c>
      <c r="AE1193" t="s">
        <v>37</v>
      </c>
      <c r="AF1193" t="s">
        <v>37</v>
      </c>
      <c r="AG1193" s="6" t="s">
        <v>37</v>
      </c>
      <c r="AH1193" t="s">
        <v>37</v>
      </c>
      <c r="AI1193" t="s">
        <v>37</v>
      </c>
      <c r="AJ1193" t="str">
        <f t="shared" si="56"/>
        <v>39TAD6PCB00ZWOUH4S</v>
      </c>
    </row>
    <row r="1194" spans="1:36" ht="15" customHeight="1" x14ac:dyDescent="0.25">
      <c r="A1194" t="s">
        <v>162</v>
      </c>
      <c r="B1194" t="s">
        <v>37</v>
      </c>
      <c r="C1194" t="s">
        <v>37</v>
      </c>
      <c r="D1194" t="s">
        <v>38</v>
      </c>
      <c r="E1194" s="4">
        <v>12</v>
      </c>
      <c r="F1194" s="5">
        <v>421.56</v>
      </c>
      <c r="G1194" s="5" t="s">
        <v>39</v>
      </c>
      <c r="H1194" s="5">
        <v>609.72</v>
      </c>
      <c r="I1194" s="5" t="s">
        <v>39</v>
      </c>
      <c r="J1194" s="5">
        <v>14.33304</v>
      </c>
      <c r="K1194" s="5">
        <f t="shared" si="54"/>
        <v>1.19442</v>
      </c>
      <c r="L1194" s="5">
        <f t="shared" si="55"/>
        <v>35.130000000000003</v>
      </c>
      <c r="M1194" s="5" t="s">
        <v>39</v>
      </c>
      <c r="N1194" s="5">
        <v>14.33304</v>
      </c>
      <c r="O1194" s="5" t="s">
        <v>39</v>
      </c>
      <c r="P1194" t="s">
        <v>67</v>
      </c>
      <c r="Q1194" t="s">
        <v>423</v>
      </c>
      <c r="R1194" t="s">
        <v>37</v>
      </c>
      <c r="S1194" t="s">
        <v>424</v>
      </c>
      <c r="T1194" t="s">
        <v>43</v>
      </c>
      <c r="U1194" t="s">
        <v>44</v>
      </c>
      <c r="V1194">
        <v>147</v>
      </c>
      <c r="W1194" t="s">
        <v>45</v>
      </c>
      <c r="X1194" t="s">
        <v>60</v>
      </c>
      <c r="Y1194" t="s">
        <v>425</v>
      </c>
      <c r="Z1194" t="s">
        <v>37</v>
      </c>
      <c r="AA1194" t="s">
        <v>55</v>
      </c>
      <c r="AB1194" t="s">
        <v>37</v>
      </c>
      <c r="AC1194" s="6" t="s">
        <v>37</v>
      </c>
      <c r="AD1194" s="6" t="s">
        <v>37</v>
      </c>
      <c r="AE1194" t="s">
        <v>37</v>
      </c>
      <c r="AF1194" t="s">
        <v>37</v>
      </c>
      <c r="AG1194" s="6" t="s">
        <v>37</v>
      </c>
      <c r="AH1194" t="s">
        <v>37</v>
      </c>
      <c r="AI1194" t="s">
        <v>37</v>
      </c>
      <c r="AJ1194" t="str">
        <f t="shared" si="56"/>
        <v>2TMBDXBKB07VL9YHC9</v>
      </c>
    </row>
    <row r="1195" spans="1:36" ht="15" customHeight="1" x14ac:dyDescent="0.25">
      <c r="A1195" t="s">
        <v>96</v>
      </c>
      <c r="B1195" t="s">
        <v>37</v>
      </c>
      <c r="C1195" t="s">
        <v>37</v>
      </c>
      <c r="D1195" t="s">
        <v>38</v>
      </c>
      <c r="E1195" s="4">
        <v>6</v>
      </c>
      <c r="F1195" s="5">
        <v>399.96</v>
      </c>
      <c r="G1195" s="5" t="s">
        <v>39</v>
      </c>
      <c r="H1195" s="5">
        <v>511.44</v>
      </c>
      <c r="I1195" s="5" t="s">
        <v>39</v>
      </c>
      <c r="J1195" s="5">
        <v>13.59864</v>
      </c>
      <c r="K1195" s="5">
        <f t="shared" si="54"/>
        <v>2.2664399999999998</v>
      </c>
      <c r="L1195" s="5">
        <f t="shared" si="55"/>
        <v>66.66</v>
      </c>
      <c r="M1195" s="5" t="s">
        <v>39</v>
      </c>
      <c r="N1195" s="5">
        <v>13.59864</v>
      </c>
      <c r="O1195" s="5" t="s">
        <v>39</v>
      </c>
      <c r="P1195" t="s">
        <v>106</v>
      </c>
      <c r="Q1195" t="s">
        <v>1027</v>
      </c>
      <c r="R1195" t="s">
        <v>1028</v>
      </c>
      <c r="S1195" t="s">
        <v>1029</v>
      </c>
      <c r="T1195" t="s">
        <v>43</v>
      </c>
      <c r="U1195" t="s">
        <v>44</v>
      </c>
      <c r="V1195">
        <v>147</v>
      </c>
      <c r="W1195" t="s">
        <v>45</v>
      </c>
      <c r="X1195" t="s">
        <v>53</v>
      </c>
      <c r="Y1195" t="s">
        <v>1030</v>
      </c>
      <c r="Z1195" t="s">
        <v>37</v>
      </c>
      <c r="AA1195" t="s">
        <v>55</v>
      </c>
      <c r="AB1195" t="s">
        <v>37</v>
      </c>
      <c r="AC1195" s="6" t="s">
        <v>37</v>
      </c>
      <c r="AD1195" s="6" t="s">
        <v>37</v>
      </c>
      <c r="AE1195" t="s">
        <v>37</v>
      </c>
      <c r="AF1195" t="s">
        <v>37</v>
      </c>
      <c r="AG1195" s="6" t="s">
        <v>37</v>
      </c>
      <c r="AH1195" t="s">
        <v>37</v>
      </c>
      <c r="AI1195" t="s">
        <v>37</v>
      </c>
      <c r="AJ1195" t="str">
        <f t="shared" si="56"/>
        <v>2CLMXQWQB071ZFMC9Q</v>
      </c>
    </row>
    <row r="1196" spans="1:36" ht="15" customHeight="1" x14ac:dyDescent="0.25">
      <c r="A1196" t="s">
        <v>110</v>
      </c>
      <c r="B1196" t="s">
        <v>37</v>
      </c>
      <c r="C1196" t="s">
        <v>37</v>
      </c>
      <c r="D1196" t="s">
        <v>38</v>
      </c>
      <c r="E1196" s="4">
        <v>4</v>
      </c>
      <c r="F1196" s="5">
        <v>690.68</v>
      </c>
      <c r="G1196" s="5" t="s">
        <v>39</v>
      </c>
      <c r="H1196" s="5">
        <v>914.76</v>
      </c>
      <c r="I1196" s="5" t="s">
        <v>39</v>
      </c>
      <c r="J1196" s="5">
        <v>23.48312</v>
      </c>
      <c r="K1196" s="5">
        <f t="shared" si="54"/>
        <v>5.8707799999999999</v>
      </c>
      <c r="L1196" s="5">
        <f t="shared" si="55"/>
        <v>172.67</v>
      </c>
      <c r="M1196" s="5" t="s">
        <v>39</v>
      </c>
      <c r="N1196" s="5">
        <v>23.48312</v>
      </c>
      <c r="O1196" s="5" t="s">
        <v>39</v>
      </c>
      <c r="P1196" t="s">
        <v>72</v>
      </c>
      <c r="Q1196" t="s">
        <v>1777</v>
      </c>
      <c r="R1196" t="s">
        <v>37</v>
      </c>
      <c r="S1196" t="s">
        <v>1778</v>
      </c>
      <c r="T1196" t="s">
        <v>43</v>
      </c>
      <c r="U1196" t="s">
        <v>44</v>
      </c>
      <c r="V1196">
        <v>147</v>
      </c>
      <c r="W1196" t="s">
        <v>45</v>
      </c>
      <c r="X1196" t="s">
        <v>239</v>
      </c>
      <c r="Y1196" t="s">
        <v>1779</v>
      </c>
      <c r="Z1196" t="s">
        <v>37</v>
      </c>
      <c r="AA1196" t="s">
        <v>55</v>
      </c>
      <c r="AB1196" t="s">
        <v>37</v>
      </c>
      <c r="AC1196" s="6" t="s">
        <v>37</v>
      </c>
      <c r="AD1196" s="6" t="s">
        <v>37</v>
      </c>
      <c r="AE1196" t="s">
        <v>37</v>
      </c>
      <c r="AF1196" t="s">
        <v>37</v>
      </c>
      <c r="AG1196" s="6" t="s">
        <v>37</v>
      </c>
      <c r="AH1196" t="s">
        <v>37</v>
      </c>
      <c r="AI1196" t="s">
        <v>37</v>
      </c>
      <c r="AJ1196" t="str">
        <f t="shared" si="56"/>
        <v>4GF112AEB01N5NYRES</v>
      </c>
    </row>
    <row r="1197" spans="1:36" ht="15" customHeight="1" x14ac:dyDescent="0.25">
      <c r="A1197" t="s">
        <v>955</v>
      </c>
      <c r="B1197" t="s">
        <v>37</v>
      </c>
      <c r="C1197" t="s">
        <v>37</v>
      </c>
      <c r="D1197" t="s">
        <v>38</v>
      </c>
      <c r="E1197" s="4">
        <v>0</v>
      </c>
      <c r="F1197" s="5">
        <v>0</v>
      </c>
      <c r="G1197" s="5" t="s">
        <v>39</v>
      </c>
      <c r="H1197" s="5">
        <v>0</v>
      </c>
      <c r="I1197" s="5" t="s">
        <v>39</v>
      </c>
      <c r="J1197" s="5">
        <v>0</v>
      </c>
      <c r="K1197" s="5" t="e">
        <f t="shared" si="54"/>
        <v>#DIV/0!</v>
      </c>
      <c r="L1197" s="5" t="e">
        <f t="shared" si="55"/>
        <v>#DIV/0!</v>
      </c>
      <c r="M1197" s="5" t="s">
        <v>39</v>
      </c>
      <c r="N1197" s="5">
        <v>0</v>
      </c>
      <c r="O1197" s="5" t="s">
        <v>39</v>
      </c>
      <c r="P1197" t="s">
        <v>202</v>
      </c>
      <c r="Q1197" t="s">
        <v>1307</v>
      </c>
      <c r="R1197" t="s">
        <v>37</v>
      </c>
      <c r="S1197" t="s">
        <v>1308</v>
      </c>
      <c r="T1197" t="s">
        <v>43</v>
      </c>
      <c r="U1197" t="s">
        <v>44</v>
      </c>
      <c r="V1197">
        <v>147</v>
      </c>
      <c r="W1197" t="s">
        <v>45</v>
      </c>
      <c r="X1197" t="s">
        <v>46</v>
      </c>
      <c r="Y1197" t="s">
        <v>1309</v>
      </c>
      <c r="Z1197" t="s">
        <v>37</v>
      </c>
      <c r="AA1197" t="s">
        <v>55</v>
      </c>
      <c r="AB1197" t="s">
        <v>37</v>
      </c>
      <c r="AC1197" s="6" t="s">
        <v>37</v>
      </c>
      <c r="AD1197" s="6" t="s">
        <v>37</v>
      </c>
      <c r="AE1197" t="s">
        <v>37</v>
      </c>
      <c r="AF1197" t="s">
        <v>37</v>
      </c>
      <c r="AG1197" s="6" t="s">
        <v>37</v>
      </c>
      <c r="AH1197" t="s">
        <v>37</v>
      </c>
      <c r="AI1197" t="s">
        <v>37</v>
      </c>
      <c r="AJ1197" t="str">
        <f t="shared" si="56"/>
        <v>39TAD6PCB00ZWOUH4S</v>
      </c>
    </row>
    <row r="1198" spans="1:36" ht="15" customHeight="1" x14ac:dyDescent="0.25">
      <c r="A1198" t="s">
        <v>62</v>
      </c>
      <c r="B1198" t="s">
        <v>37</v>
      </c>
      <c r="C1198" t="s">
        <v>37</v>
      </c>
      <c r="D1198" t="s">
        <v>38</v>
      </c>
      <c r="E1198" s="4">
        <v>4</v>
      </c>
      <c r="F1198" s="5">
        <v>126.6</v>
      </c>
      <c r="G1198" s="5" t="s">
        <v>39</v>
      </c>
      <c r="H1198" s="5">
        <v>203.24</v>
      </c>
      <c r="I1198" s="5" t="s">
        <v>39</v>
      </c>
      <c r="J1198" s="5">
        <v>4.3044000000000002</v>
      </c>
      <c r="K1198" s="5">
        <f t="shared" si="54"/>
        <v>1.0761000000000001</v>
      </c>
      <c r="L1198" s="5">
        <f t="shared" si="55"/>
        <v>31.65</v>
      </c>
      <c r="M1198" s="5" t="s">
        <v>39</v>
      </c>
      <c r="N1198" s="5">
        <v>4.3044000000000002</v>
      </c>
      <c r="O1198" s="5" t="s">
        <v>39</v>
      </c>
      <c r="P1198" t="s">
        <v>63</v>
      </c>
      <c r="Q1198" t="s">
        <v>1763</v>
      </c>
      <c r="R1198" t="s">
        <v>37</v>
      </c>
      <c r="S1198" t="s">
        <v>1764</v>
      </c>
      <c r="T1198" t="s">
        <v>43</v>
      </c>
      <c r="U1198" t="s">
        <v>44</v>
      </c>
      <c r="V1198">
        <v>147</v>
      </c>
      <c r="W1198" t="s">
        <v>45</v>
      </c>
      <c r="X1198" t="s">
        <v>53</v>
      </c>
      <c r="Y1198" t="s">
        <v>604</v>
      </c>
      <c r="Z1198" t="s">
        <v>37</v>
      </c>
      <c r="AA1198" t="s">
        <v>55</v>
      </c>
      <c r="AB1198" t="s">
        <v>37</v>
      </c>
      <c r="AC1198" s="6" t="s">
        <v>37</v>
      </c>
      <c r="AD1198" s="6" t="s">
        <v>37</v>
      </c>
      <c r="AE1198" t="s">
        <v>37</v>
      </c>
      <c r="AF1198" t="s">
        <v>37</v>
      </c>
      <c r="AG1198" s="6" t="s">
        <v>37</v>
      </c>
      <c r="AH1198" t="s">
        <v>37</v>
      </c>
      <c r="AI1198" t="s">
        <v>37</v>
      </c>
      <c r="AJ1198" t="str">
        <f t="shared" si="56"/>
        <v>7H9X1Z6SB07W5JHZKS</v>
      </c>
    </row>
    <row r="1199" spans="1:36" ht="15" customHeight="1" x14ac:dyDescent="0.25">
      <c r="A1199" t="s">
        <v>101</v>
      </c>
      <c r="B1199" t="s">
        <v>37</v>
      </c>
      <c r="C1199" t="s">
        <v>37</v>
      </c>
      <c r="D1199" t="s">
        <v>38</v>
      </c>
      <c r="E1199" s="4">
        <v>8</v>
      </c>
      <c r="F1199" s="5">
        <v>257.68</v>
      </c>
      <c r="G1199" s="5" t="s">
        <v>39</v>
      </c>
      <c r="H1199" s="5">
        <v>386.8</v>
      </c>
      <c r="I1199" s="5" t="s">
        <v>39</v>
      </c>
      <c r="J1199" s="5">
        <v>8.76112</v>
      </c>
      <c r="K1199" s="5">
        <f t="shared" si="54"/>
        <v>1.09514</v>
      </c>
      <c r="L1199" s="5">
        <f t="shared" si="55"/>
        <v>32.21</v>
      </c>
      <c r="M1199" s="5" t="s">
        <v>39</v>
      </c>
      <c r="N1199" s="5">
        <v>8.76112</v>
      </c>
      <c r="O1199" s="5" t="s">
        <v>39</v>
      </c>
      <c r="P1199" t="s">
        <v>72</v>
      </c>
      <c r="Q1199" t="s">
        <v>1781</v>
      </c>
      <c r="R1199" t="s">
        <v>37</v>
      </c>
      <c r="S1199" t="s">
        <v>1782</v>
      </c>
      <c r="T1199" t="s">
        <v>1783</v>
      </c>
      <c r="U1199" t="s">
        <v>44</v>
      </c>
      <c r="V1199">
        <v>147</v>
      </c>
      <c r="W1199" t="s">
        <v>45</v>
      </c>
      <c r="X1199" t="s">
        <v>60</v>
      </c>
      <c r="Y1199" t="s">
        <v>1784</v>
      </c>
      <c r="Z1199" t="s">
        <v>37</v>
      </c>
      <c r="AA1199" t="s">
        <v>55</v>
      </c>
      <c r="AB1199" t="s">
        <v>37</v>
      </c>
      <c r="AC1199" s="6" t="s">
        <v>37</v>
      </c>
      <c r="AD1199" s="6" t="s">
        <v>37</v>
      </c>
      <c r="AE1199" t="s">
        <v>37</v>
      </c>
      <c r="AF1199" t="s">
        <v>37</v>
      </c>
      <c r="AG1199" s="6" t="s">
        <v>37</v>
      </c>
      <c r="AH1199" t="s">
        <v>37</v>
      </c>
      <c r="AI1199" t="s">
        <v>37</v>
      </c>
      <c r="AJ1199" t="str">
        <f t="shared" si="56"/>
        <v>4GF112AEB07W7KV7TQ</v>
      </c>
    </row>
    <row r="1200" spans="1:36" ht="15" customHeight="1" x14ac:dyDescent="0.25">
      <c r="A1200" t="s">
        <v>210</v>
      </c>
      <c r="B1200" t="s">
        <v>37</v>
      </c>
      <c r="C1200" t="s">
        <v>37</v>
      </c>
      <c r="D1200" t="s">
        <v>38</v>
      </c>
      <c r="E1200" s="4">
        <v>10</v>
      </c>
      <c r="F1200" s="5">
        <v>292.8</v>
      </c>
      <c r="G1200" s="5" t="s">
        <v>39</v>
      </c>
      <c r="H1200" s="5">
        <v>442.5</v>
      </c>
      <c r="I1200" s="5" t="s">
        <v>39</v>
      </c>
      <c r="J1200" s="5">
        <v>9.9551999999999996</v>
      </c>
      <c r="K1200" s="5">
        <f t="shared" si="54"/>
        <v>0.99551999999999996</v>
      </c>
      <c r="L1200" s="5">
        <f t="shared" si="55"/>
        <v>29.28</v>
      </c>
      <c r="M1200" s="5" t="s">
        <v>39</v>
      </c>
      <c r="N1200" s="5">
        <v>9.9551999999999996</v>
      </c>
      <c r="O1200" s="5" t="s">
        <v>39</v>
      </c>
      <c r="P1200" t="s">
        <v>195</v>
      </c>
      <c r="Q1200" t="s">
        <v>884</v>
      </c>
      <c r="R1200" t="s">
        <v>37</v>
      </c>
      <c r="S1200" t="s">
        <v>885</v>
      </c>
      <c r="T1200" t="s">
        <v>43</v>
      </c>
      <c r="U1200" t="s">
        <v>44</v>
      </c>
      <c r="V1200">
        <v>147</v>
      </c>
      <c r="W1200" t="s">
        <v>45</v>
      </c>
      <c r="X1200" t="s">
        <v>53</v>
      </c>
      <c r="Y1200" t="s">
        <v>886</v>
      </c>
      <c r="Z1200" t="s">
        <v>37</v>
      </c>
      <c r="AA1200" t="s">
        <v>55</v>
      </c>
      <c r="AB1200" t="s">
        <v>37</v>
      </c>
      <c r="AC1200" s="6" t="s">
        <v>37</v>
      </c>
      <c r="AD1200" s="6" t="s">
        <v>37</v>
      </c>
      <c r="AE1200" t="s">
        <v>37</v>
      </c>
      <c r="AF1200" t="s">
        <v>37</v>
      </c>
      <c r="AG1200" s="6" t="s">
        <v>37</v>
      </c>
      <c r="AH1200" t="s">
        <v>37</v>
      </c>
      <c r="AI1200" t="s">
        <v>37</v>
      </c>
      <c r="AJ1200" t="str">
        <f t="shared" si="56"/>
        <v>5X1OU9ZGB07W6JHB2P</v>
      </c>
    </row>
    <row r="1201" spans="1:36" ht="15" customHeight="1" x14ac:dyDescent="0.25">
      <c r="A1201" t="s">
        <v>647</v>
      </c>
      <c r="B1201" t="s">
        <v>37</v>
      </c>
      <c r="C1201" t="s">
        <v>37</v>
      </c>
      <c r="D1201" t="s">
        <v>38</v>
      </c>
      <c r="E1201" s="4">
        <v>0</v>
      </c>
      <c r="F1201" s="5">
        <v>0</v>
      </c>
      <c r="G1201" s="5" t="s">
        <v>39</v>
      </c>
      <c r="H1201" s="5">
        <v>0</v>
      </c>
      <c r="I1201" s="5" t="s">
        <v>39</v>
      </c>
      <c r="J1201" s="5">
        <v>0</v>
      </c>
      <c r="K1201" s="5" t="e">
        <f t="shared" si="54"/>
        <v>#DIV/0!</v>
      </c>
      <c r="L1201" s="5" t="e">
        <f t="shared" si="55"/>
        <v>#DIV/0!</v>
      </c>
      <c r="M1201" s="5" t="s">
        <v>39</v>
      </c>
      <c r="N1201" s="5">
        <v>0</v>
      </c>
      <c r="O1201" s="5" t="s">
        <v>39</v>
      </c>
      <c r="P1201" t="s">
        <v>202</v>
      </c>
      <c r="Q1201" t="s">
        <v>657</v>
      </c>
      <c r="R1201" t="s">
        <v>37</v>
      </c>
      <c r="S1201" t="s">
        <v>658</v>
      </c>
      <c r="T1201" t="s">
        <v>43</v>
      </c>
      <c r="U1201" t="s">
        <v>44</v>
      </c>
      <c r="V1201">
        <v>147</v>
      </c>
      <c r="W1201" t="s">
        <v>45</v>
      </c>
      <c r="X1201" t="s">
        <v>53</v>
      </c>
      <c r="Y1201" t="s">
        <v>659</v>
      </c>
      <c r="Z1201" t="s">
        <v>37</v>
      </c>
      <c r="AA1201" t="s">
        <v>55</v>
      </c>
      <c r="AB1201" t="s">
        <v>37</v>
      </c>
      <c r="AC1201" s="6" t="s">
        <v>37</v>
      </c>
      <c r="AD1201" s="6" t="s">
        <v>37</v>
      </c>
      <c r="AE1201" t="s">
        <v>37</v>
      </c>
      <c r="AF1201" t="s">
        <v>37</v>
      </c>
      <c r="AG1201" s="6" t="s">
        <v>37</v>
      </c>
      <c r="AH1201" t="s">
        <v>37</v>
      </c>
      <c r="AI1201" t="s">
        <v>37</v>
      </c>
      <c r="AJ1201" t="str">
        <f t="shared" si="56"/>
        <v>39TAD6PCB07W5JKFQC</v>
      </c>
    </row>
    <row r="1202" spans="1:36" ht="15" customHeight="1" x14ac:dyDescent="0.25">
      <c r="A1202" t="s">
        <v>118</v>
      </c>
      <c r="B1202" t="s">
        <v>37</v>
      </c>
      <c r="C1202" t="s">
        <v>37</v>
      </c>
      <c r="D1202" t="s">
        <v>38</v>
      </c>
      <c r="E1202" s="4">
        <v>40</v>
      </c>
      <c r="F1202" s="5">
        <v>374.4</v>
      </c>
      <c r="G1202" s="5" t="s">
        <v>39</v>
      </c>
      <c r="H1202" s="5">
        <v>557.20000000000005</v>
      </c>
      <c r="I1202" s="5" t="s">
        <v>39</v>
      </c>
      <c r="J1202" s="5">
        <v>12.7296</v>
      </c>
      <c r="K1202" s="5">
        <f t="shared" si="54"/>
        <v>0.31823999999999997</v>
      </c>
      <c r="L1202" s="5">
        <f t="shared" si="55"/>
        <v>9.36</v>
      </c>
      <c r="M1202" s="5" t="s">
        <v>39</v>
      </c>
      <c r="N1202" s="5">
        <v>12.7296</v>
      </c>
      <c r="O1202" s="5" t="s">
        <v>39</v>
      </c>
      <c r="P1202" t="s">
        <v>154</v>
      </c>
      <c r="Q1202" t="s">
        <v>1785</v>
      </c>
      <c r="R1202" t="s">
        <v>37</v>
      </c>
      <c r="S1202" t="s">
        <v>1786</v>
      </c>
      <c r="T1202" t="s">
        <v>43</v>
      </c>
      <c r="U1202" t="s">
        <v>44</v>
      </c>
      <c r="V1202">
        <v>147</v>
      </c>
      <c r="W1202" t="s">
        <v>45</v>
      </c>
      <c r="X1202" t="s">
        <v>60</v>
      </c>
      <c r="Y1202" t="s">
        <v>1787</v>
      </c>
      <c r="Z1202" t="s">
        <v>37</v>
      </c>
      <c r="AA1202" t="s">
        <v>634</v>
      </c>
      <c r="AB1202" t="s">
        <v>37</v>
      </c>
      <c r="AC1202" s="6" t="s">
        <v>37</v>
      </c>
      <c r="AD1202" s="6" t="s">
        <v>37</v>
      </c>
      <c r="AE1202" t="s">
        <v>37</v>
      </c>
      <c r="AF1202" t="s">
        <v>37</v>
      </c>
      <c r="AG1202" s="6" t="s">
        <v>37</v>
      </c>
      <c r="AH1202" t="s">
        <v>37</v>
      </c>
      <c r="AI1202" t="s">
        <v>37</v>
      </c>
      <c r="AJ1202" t="str">
        <f t="shared" si="56"/>
        <v>1KW92RHQB0094QSF8U</v>
      </c>
    </row>
    <row r="1203" spans="1:36" ht="15" customHeight="1" x14ac:dyDescent="0.25">
      <c r="A1203" t="s">
        <v>36</v>
      </c>
      <c r="B1203" t="s">
        <v>37</v>
      </c>
      <c r="C1203" t="s">
        <v>37</v>
      </c>
      <c r="D1203" t="s">
        <v>38</v>
      </c>
      <c r="E1203" s="4">
        <v>8</v>
      </c>
      <c r="F1203" s="5">
        <v>603.28</v>
      </c>
      <c r="G1203" s="5" t="s">
        <v>39</v>
      </c>
      <c r="H1203" s="5">
        <v>885.2</v>
      </c>
      <c r="I1203" s="5" t="s">
        <v>39</v>
      </c>
      <c r="J1203" s="5">
        <v>20.511520000000001</v>
      </c>
      <c r="K1203" s="5">
        <f t="shared" si="54"/>
        <v>2.5639400000000001</v>
      </c>
      <c r="L1203" s="5">
        <f t="shared" si="55"/>
        <v>75.41</v>
      </c>
      <c r="M1203" s="5" t="s">
        <v>39</v>
      </c>
      <c r="N1203" s="5">
        <v>20.511520000000001</v>
      </c>
      <c r="O1203" s="5" t="s">
        <v>39</v>
      </c>
      <c r="P1203" t="s">
        <v>119</v>
      </c>
      <c r="Q1203" t="s">
        <v>1263</v>
      </c>
      <c r="R1203" t="s">
        <v>37</v>
      </c>
      <c r="S1203" t="s">
        <v>1264</v>
      </c>
      <c r="T1203" t="s">
        <v>43</v>
      </c>
      <c r="U1203" t="s">
        <v>44</v>
      </c>
      <c r="V1203">
        <v>147</v>
      </c>
      <c r="W1203" t="s">
        <v>45</v>
      </c>
      <c r="X1203" t="s">
        <v>60</v>
      </c>
      <c r="Y1203" t="s">
        <v>1265</v>
      </c>
      <c r="Z1203" t="s">
        <v>37</v>
      </c>
      <c r="AA1203" t="s">
        <v>55</v>
      </c>
      <c r="AB1203" t="s">
        <v>37</v>
      </c>
      <c r="AC1203" s="6" t="s">
        <v>37</v>
      </c>
      <c r="AD1203" s="6" t="s">
        <v>37</v>
      </c>
      <c r="AE1203" t="s">
        <v>37</v>
      </c>
      <c r="AF1203" t="s">
        <v>37</v>
      </c>
      <c r="AG1203" s="6" t="s">
        <v>37</v>
      </c>
      <c r="AH1203" t="s">
        <v>37</v>
      </c>
      <c r="AI1203" t="s">
        <v>37</v>
      </c>
      <c r="AJ1203" t="str">
        <f t="shared" si="56"/>
        <v>31DJDC7QB07W5JJ1WH</v>
      </c>
    </row>
    <row r="1204" spans="1:36" ht="15" customHeight="1" x14ac:dyDescent="0.25">
      <c r="A1204" t="s">
        <v>96</v>
      </c>
      <c r="B1204" t="s">
        <v>37</v>
      </c>
      <c r="C1204" t="s">
        <v>37</v>
      </c>
      <c r="D1204" t="s">
        <v>38</v>
      </c>
      <c r="E1204" s="4">
        <v>32</v>
      </c>
      <c r="F1204" s="5">
        <v>412.16</v>
      </c>
      <c r="G1204" s="5" t="s">
        <v>39</v>
      </c>
      <c r="H1204" s="5">
        <v>629.12</v>
      </c>
      <c r="I1204" s="5" t="s">
        <v>39</v>
      </c>
      <c r="J1204" s="5">
        <v>14.013439999999999</v>
      </c>
      <c r="K1204" s="5">
        <f t="shared" si="54"/>
        <v>0.43791999999999998</v>
      </c>
      <c r="L1204" s="5">
        <f t="shared" si="55"/>
        <v>12.88</v>
      </c>
      <c r="M1204" s="5" t="s">
        <v>39</v>
      </c>
      <c r="N1204" s="5">
        <v>14.013439999999999</v>
      </c>
      <c r="O1204" s="5" t="s">
        <v>39</v>
      </c>
      <c r="P1204" t="s">
        <v>195</v>
      </c>
      <c r="Q1204" t="s">
        <v>358</v>
      </c>
      <c r="R1204" t="s">
        <v>359</v>
      </c>
      <c r="S1204" t="s">
        <v>360</v>
      </c>
      <c r="T1204" t="s">
        <v>43</v>
      </c>
      <c r="U1204" t="s">
        <v>44</v>
      </c>
      <c r="V1204">
        <v>147</v>
      </c>
      <c r="W1204" t="s">
        <v>45</v>
      </c>
      <c r="X1204" t="s">
        <v>53</v>
      </c>
      <c r="Y1204" t="s">
        <v>361</v>
      </c>
      <c r="Z1204" t="s">
        <v>37</v>
      </c>
      <c r="AA1204" t="s">
        <v>48</v>
      </c>
      <c r="AB1204" t="s">
        <v>37</v>
      </c>
      <c r="AC1204" s="6" t="s">
        <v>37</v>
      </c>
      <c r="AD1204" s="6" t="s">
        <v>37</v>
      </c>
      <c r="AE1204" t="s">
        <v>37</v>
      </c>
      <c r="AF1204" t="s">
        <v>37</v>
      </c>
      <c r="AG1204" s="6" t="s">
        <v>37</v>
      </c>
      <c r="AH1204" t="s">
        <v>37</v>
      </c>
      <c r="AI1204" t="s">
        <v>37</v>
      </c>
      <c r="AJ1204" t="str">
        <f t="shared" si="56"/>
        <v>5X1OU9ZGB00745IE1Q</v>
      </c>
    </row>
    <row r="1205" spans="1:36" ht="15" customHeight="1" x14ac:dyDescent="0.25">
      <c r="A1205" t="s">
        <v>118</v>
      </c>
      <c r="B1205" t="s">
        <v>37</v>
      </c>
      <c r="C1205" t="s">
        <v>37</v>
      </c>
      <c r="D1205" t="s">
        <v>38</v>
      </c>
      <c r="E1205" s="4">
        <v>12</v>
      </c>
      <c r="F1205" s="5">
        <v>898.08</v>
      </c>
      <c r="G1205" s="5" t="s">
        <v>39</v>
      </c>
      <c r="H1205" s="5">
        <v>1367.16</v>
      </c>
      <c r="I1205" s="5" t="s">
        <v>39</v>
      </c>
      <c r="J1205" s="5">
        <v>30.53472</v>
      </c>
      <c r="K1205" s="5">
        <f t="shared" si="54"/>
        <v>2.5445600000000002</v>
      </c>
      <c r="L1205" s="5">
        <f t="shared" si="55"/>
        <v>74.84</v>
      </c>
      <c r="M1205" s="5" t="s">
        <v>39</v>
      </c>
      <c r="N1205" s="5">
        <v>30.53472</v>
      </c>
      <c r="O1205" s="5" t="s">
        <v>39</v>
      </c>
      <c r="P1205" t="s">
        <v>1014</v>
      </c>
      <c r="Q1205" t="s">
        <v>1788</v>
      </c>
      <c r="R1205" t="s">
        <v>37</v>
      </c>
      <c r="S1205" t="s">
        <v>1789</v>
      </c>
      <c r="T1205" t="s">
        <v>43</v>
      </c>
      <c r="U1205" t="s">
        <v>44</v>
      </c>
      <c r="V1205">
        <v>147</v>
      </c>
      <c r="W1205" t="s">
        <v>45</v>
      </c>
      <c r="X1205" t="s">
        <v>46</v>
      </c>
      <c r="Y1205" t="s">
        <v>1790</v>
      </c>
      <c r="Z1205" t="s">
        <v>37</v>
      </c>
      <c r="AA1205" t="s">
        <v>55</v>
      </c>
      <c r="AB1205" t="s">
        <v>37</v>
      </c>
      <c r="AC1205" s="6" t="s">
        <v>37</v>
      </c>
      <c r="AD1205" s="6" t="s">
        <v>37</v>
      </c>
      <c r="AE1205" t="s">
        <v>37</v>
      </c>
      <c r="AF1205" t="s">
        <v>37</v>
      </c>
      <c r="AG1205" s="6" t="s">
        <v>37</v>
      </c>
      <c r="AH1205" t="s">
        <v>37</v>
      </c>
      <c r="AI1205" t="s">
        <v>37</v>
      </c>
      <c r="AJ1205" t="str">
        <f t="shared" si="56"/>
        <v>4QG6L28MB07W7LB4T7</v>
      </c>
    </row>
    <row r="1206" spans="1:36" ht="15" customHeight="1" x14ac:dyDescent="0.25">
      <c r="A1206" t="s">
        <v>36</v>
      </c>
      <c r="B1206" t="s">
        <v>37</v>
      </c>
      <c r="C1206" t="s">
        <v>37</v>
      </c>
      <c r="D1206" t="s">
        <v>38</v>
      </c>
      <c r="E1206" s="4">
        <v>32</v>
      </c>
      <c r="F1206" s="5">
        <v>2551.36</v>
      </c>
      <c r="G1206" s="5" t="s">
        <v>39</v>
      </c>
      <c r="H1206" s="5">
        <v>3931.84</v>
      </c>
      <c r="I1206" s="5" t="s">
        <v>39</v>
      </c>
      <c r="J1206" s="5">
        <v>86.74624</v>
      </c>
      <c r="K1206" s="5">
        <f t="shared" si="54"/>
        <v>2.71082</v>
      </c>
      <c r="L1206" s="5">
        <f t="shared" si="55"/>
        <v>79.73</v>
      </c>
      <c r="M1206" s="5" t="s">
        <v>39</v>
      </c>
      <c r="N1206" s="5">
        <v>86.74624</v>
      </c>
      <c r="O1206" s="5" t="s">
        <v>39</v>
      </c>
      <c r="P1206" t="s">
        <v>1791</v>
      </c>
      <c r="Q1206" t="s">
        <v>1428</v>
      </c>
      <c r="R1206" t="s">
        <v>37</v>
      </c>
      <c r="S1206" t="s">
        <v>1429</v>
      </c>
      <c r="T1206" t="s">
        <v>43</v>
      </c>
      <c r="U1206" t="s">
        <v>44</v>
      </c>
      <c r="V1206">
        <v>23</v>
      </c>
      <c r="W1206" t="s">
        <v>281</v>
      </c>
      <c r="X1206" t="s">
        <v>282</v>
      </c>
      <c r="Y1206" t="s">
        <v>1430</v>
      </c>
      <c r="Z1206" t="s">
        <v>37</v>
      </c>
      <c r="AA1206" t="s">
        <v>95</v>
      </c>
      <c r="AB1206" t="s">
        <v>37</v>
      </c>
      <c r="AC1206" s="6" t="s">
        <v>37</v>
      </c>
      <c r="AD1206" s="6" t="s">
        <v>37</v>
      </c>
      <c r="AE1206" t="s">
        <v>37</v>
      </c>
      <c r="AF1206" t="s">
        <v>37</v>
      </c>
      <c r="AG1206" s="6" t="s">
        <v>37</v>
      </c>
      <c r="AH1206" t="s">
        <v>37</v>
      </c>
      <c r="AI1206" t="s">
        <v>37</v>
      </c>
      <c r="AJ1206" t="str">
        <f t="shared" si="56"/>
        <v>6MCHCTQEB07G6MBCG3</v>
      </c>
    </row>
    <row r="1207" spans="1:36" ht="15" customHeight="1" x14ac:dyDescent="0.25">
      <c r="A1207" t="s">
        <v>62</v>
      </c>
      <c r="B1207" t="s">
        <v>37</v>
      </c>
      <c r="C1207" t="s">
        <v>37</v>
      </c>
      <c r="D1207" t="s">
        <v>38</v>
      </c>
      <c r="E1207" s="4">
        <v>8</v>
      </c>
      <c r="F1207" s="5">
        <v>552.24</v>
      </c>
      <c r="G1207" s="5" t="s">
        <v>39</v>
      </c>
      <c r="H1207" s="5">
        <v>845.92</v>
      </c>
      <c r="I1207" s="5" t="s">
        <v>39</v>
      </c>
      <c r="J1207" s="5">
        <v>18.776160000000001</v>
      </c>
      <c r="K1207" s="5">
        <f t="shared" si="54"/>
        <v>2.3470200000000001</v>
      </c>
      <c r="L1207" s="5">
        <f t="shared" si="55"/>
        <v>69.03</v>
      </c>
      <c r="M1207" s="5" t="s">
        <v>39</v>
      </c>
      <c r="N1207" s="5">
        <v>18.776160000000001</v>
      </c>
      <c r="O1207" s="5" t="s">
        <v>39</v>
      </c>
      <c r="P1207" t="s">
        <v>63</v>
      </c>
      <c r="Q1207" t="s">
        <v>1408</v>
      </c>
      <c r="R1207" t="s">
        <v>37</v>
      </c>
      <c r="S1207" t="s">
        <v>1409</v>
      </c>
      <c r="T1207" t="s">
        <v>43</v>
      </c>
      <c r="U1207" t="s">
        <v>44</v>
      </c>
      <c r="V1207">
        <v>147</v>
      </c>
      <c r="W1207" t="s">
        <v>45</v>
      </c>
      <c r="X1207" t="s">
        <v>60</v>
      </c>
      <c r="Y1207" t="s">
        <v>1410</v>
      </c>
      <c r="Z1207" t="s">
        <v>37</v>
      </c>
      <c r="AA1207" t="s">
        <v>55</v>
      </c>
      <c r="AB1207" t="s">
        <v>37</v>
      </c>
      <c r="AC1207" s="6" t="s">
        <v>37</v>
      </c>
      <c r="AD1207" s="6" t="s">
        <v>37</v>
      </c>
      <c r="AE1207" t="s">
        <v>37</v>
      </c>
      <c r="AF1207" t="s">
        <v>37</v>
      </c>
      <c r="AG1207" s="6" t="s">
        <v>37</v>
      </c>
      <c r="AH1207" t="s">
        <v>37</v>
      </c>
      <c r="AI1207" t="s">
        <v>37</v>
      </c>
      <c r="AJ1207" t="str">
        <f t="shared" si="56"/>
        <v>7H9X1Z6SB07W7L9JXH</v>
      </c>
    </row>
    <row r="1208" spans="1:36" ht="15" customHeight="1" x14ac:dyDescent="0.25">
      <c r="A1208" t="s">
        <v>101</v>
      </c>
      <c r="B1208" t="s">
        <v>37</v>
      </c>
      <c r="C1208" t="s">
        <v>37</v>
      </c>
      <c r="D1208" t="s">
        <v>38</v>
      </c>
      <c r="E1208" s="4">
        <v>32</v>
      </c>
      <c r="F1208" s="5">
        <v>1840.32</v>
      </c>
      <c r="G1208" s="5" t="s">
        <v>39</v>
      </c>
      <c r="H1208" s="5">
        <v>3121.28</v>
      </c>
      <c r="I1208" s="5" t="s">
        <v>39</v>
      </c>
      <c r="J1208" s="5">
        <v>62.570880000000002</v>
      </c>
      <c r="K1208" s="5">
        <f t="shared" si="54"/>
        <v>1.9553400000000001</v>
      </c>
      <c r="L1208" s="5">
        <f t="shared" si="55"/>
        <v>57.51</v>
      </c>
      <c r="M1208" s="5" t="s">
        <v>39</v>
      </c>
      <c r="N1208" s="5">
        <v>62.570880000000002</v>
      </c>
      <c r="O1208" s="5" t="s">
        <v>39</v>
      </c>
      <c r="P1208" t="s">
        <v>725</v>
      </c>
      <c r="Q1208" t="s">
        <v>1057</v>
      </c>
      <c r="R1208" t="s">
        <v>37</v>
      </c>
      <c r="S1208" t="s">
        <v>1058</v>
      </c>
      <c r="T1208" t="s">
        <v>43</v>
      </c>
      <c r="U1208" t="s">
        <v>44</v>
      </c>
      <c r="V1208">
        <v>147</v>
      </c>
      <c r="W1208" t="s">
        <v>45</v>
      </c>
      <c r="X1208" t="s">
        <v>53</v>
      </c>
      <c r="Y1208" t="s">
        <v>1059</v>
      </c>
      <c r="Z1208" t="s">
        <v>37</v>
      </c>
      <c r="AA1208" t="s">
        <v>55</v>
      </c>
      <c r="AB1208" t="s">
        <v>37</v>
      </c>
      <c r="AC1208" s="6" t="s">
        <v>37</v>
      </c>
      <c r="AD1208" s="6" t="s">
        <v>37</v>
      </c>
      <c r="AE1208" t="s">
        <v>37</v>
      </c>
      <c r="AF1208" t="s">
        <v>37</v>
      </c>
      <c r="AG1208" s="6" t="s">
        <v>37</v>
      </c>
      <c r="AH1208" t="s">
        <v>37</v>
      </c>
      <c r="AI1208" t="s">
        <v>37</v>
      </c>
      <c r="AJ1208" t="str">
        <f t="shared" si="56"/>
        <v>4O4TKA6PB07S7CKTBR</v>
      </c>
    </row>
    <row r="1209" spans="1:36" ht="15" customHeight="1" x14ac:dyDescent="0.25">
      <c r="A1209" t="s">
        <v>118</v>
      </c>
      <c r="B1209" t="s">
        <v>37</v>
      </c>
      <c r="C1209" t="s">
        <v>37</v>
      </c>
      <c r="D1209" t="s">
        <v>38</v>
      </c>
      <c r="E1209" s="4">
        <v>30</v>
      </c>
      <c r="F1209" s="5">
        <v>315.89999999999998</v>
      </c>
      <c r="G1209" s="5" t="s">
        <v>39</v>
      </c>
      <c r="H1209" s="5">
        <v>315.89999999999998</v>
      </c>
      <c r="I1209" s="5" t="s">
        <v>39</v>
      </c>
      <c r="J1209" s="5">
        <v>10.740600000000001</v>
      </c>
      <c r="K1209" s="5">
        <f t="shared" si="54"/>
        <v>0.35802</v>
      </c>
      <c r="L1209" s="5">
        <f t="shared" si="55"/>
        <v>10.53</v>
      </c>
      <c r="M1209" s="5" t="s">
        <v>39</v>
      </c>
      <c r="N1209" s="5">
        <v>10.740600000000001</v>
      </c>
      <c r="O1209" s="5" t="s">
        <v>39</v>
      </c>
      <c r="P1209" t="s">
        <v>270</v>
      </c>
      <c r="Q1209" t="s">
        <v>324</v>
      </c>
      <c r="R1209" t="s">
        <v>325</v>
      </c>
      <c r="S1209" t="s">
        <v>326</v>
      </c>
      <c r="T1209" t="s">
        <v>43</v>
      </c>
      <c r="U1209" t="s">
        <v>44</v>
      </c>
      <c r="V1209">
        <v>147</v>
      </c>
      <c r="W1209" t="s">
        <v>45</v>
      </c>
      <c r="X1209" t="s">
        <v>53</v>
      </c>
      <c r="Y1209" t="s">
        <v>327</v>
      </c>
      <c r="Z1209" t="s">
        <v>37</v>
      </c>
      <c r="AA1209" t="s">
        <v>48</v>
      </c>
      <c r="AB1209" t="s">
        <v>37</v>
      </c>
      <c r="AC1209" s="6" t="s">
        <v>37</v>
      </c>
      <c r="AD1209" s="6" t="s">
        <v>37</v>
      </c>
      <c r="AE1209" t="s">
        <v>37</v>
      </c>
      <c r="AF1209" t="s">
        <v>37</v>
      </c>
      <c r="AG1209" s="6" t="s">
        <v>37</v>
      </c>
      <c r="AH1209" t="s">
        <v>37</v>
      </c>
      <c r="AI1209" t="s">
        <v>37</v>
      </c>
      <c r="AJ1209" t="str">
        <f t="shared" si="56"/>
        <v>1X4DXX4TB00544XFHC</v>
      </c>
    </row>
    <row r="1210" spans="1:36" ht="15" customHeight="1" x14ac:dyDescent="0.25">
      <c r="A1210" t="s">
        <v>36</v>
      </c>
      <c r="B1210" t="s">
        <v>37</v>
      </c>
      <c r="C1210" t="s">
        <v>37</v>
      </c>
      <c r="D1210" t="s">
        <v>38</v>
      </c>
      <c r="E1210" s="4">
        <v>72</v>
      </c>
      <c r="F1210" s="5">
        <v>834.48</v>
      </c>
      <c r="G1210" s="5" t="s">
        <v>39</v>
      </c>
      <c r="H1210" s="5">
        <v>1297.44</v>
      </c>
      <c r="I1210" s="5" t="s">
        <v>39</v>
      </c>
      <c r="J1210" s="5">
        <v>28.372319999999998</v>
      </c>
      <c r="K1210" s="5">
        <f t="shared" si="54"/>
        <v>0.39405999999999997</v>
      </c>
      <c r="L1210" s="5">
        <f t="shared" si="55"/>
        <v>11.59</v>
      </c>
      <c r="M1210" s="5" t="s">
        <v>39</v>
      </c>
      <c r="N1210" s="5">
        <v>28.372319999999998</v>
      </c>
      <c r="O1210" s="5" t="s">
        <v>39</v>
      </c>
      <c r="P1210" t="s">
        <v>89</v>
      </c>
      <c r="Q1210" t="s">
        <v>563</v>
      </c>
      <c r="R1210" t="s">
        <v>37</v>
      </c>
      <c r="S1210" t="s">
        <v>564</v>
      </c>
      <c r="T1210" t="s">
        <v>43</v>
      </c>
      <c r="U1210" t="s">
        <v>44</v>
      </c>
      <c r="V1210">
        <v>147</v>
      </c>
      <c r="W1210" t="s">
        <v>45</v>
      </c>
      <c r="X1210" t="s">
        <v>60</v>
      </c>
      <c r="Y1210" t="s">
        <v>565</v>
      </c>
      <c r="Z1210" t="s">
        <v>37</v>
      </c>
      <c r="AA1210" t="s">
        <v>55</v>
      </c>
      <c r="AB1210" t="s">
        <v>37</v>
      </c>
      <c r="AC1210" s="6" t="s">
        <v>37</v>
      </c>
      <c r="AD1210" s="6" t="s">
        <v>37</v>
      </c>
      <c r="AE1210" t="s">
        <v>37</v>
      </c>
      <c r="AF1210" t="s">
        <v>37</v>
      </c>
      <c r="AG1210" s="6" t="s">
        <v>37</v>
      </c>
      <c r="AH1210" t="s">
        <v>37</v>
      </c>
      <c r="AI1210" t="s">
        <v>37</v>
      </c>
      <c r="AJ1210" t="str">
        <f t="shared" si="56"/>
        <v>2W68T8TOB07VWZHCNX</v>
      </c>
    </row>
    <row r="1211" spans="1:36" ht="15" customHeight="1" x14ac:dyDescent="0.25">
      <c r="A1211" t="s">
        <v>118</v>
      </c>
      <c r="B1211" t="s">
        <v>37</v>
      </c>
      <c r="C1211" t="s">
        <v>37</v>
      </c>
      <c r="D1211" t="s">
        <v>38</v>
      </c>
      <c r="E1211" s="4">
        <v>24</v>
      </c>
      <c r="F1211" s="5">
        <v>562.08000000000004</v>
      </c>
      <c r="G1211" s="5" t="s">
        <v>39</v>
      </c>
      <c r="H1211" s="5">
        <v>865.44</v>
      </c>
      <c r="I1211" s="5" t="s">
        <v>39</v>
      </c>
      <c r="J1211" s="5">
        <v>19.110720000000001</v>
      </c>
      <c r="K1211" s="5">
        <f t="shared" si="54"/>
        <v>0.79627999999999999</v>
      </c>
      <c r="L1211" s="5">
        <f t="shared" si="55"/>
        <v>23.42</v>
      </c>
      <c r="M1211" s="5" t="s">
        <v>39</v>
      </c>
      <c r="N1211" s="5">
        <v>19.110720000000001</v>
      </c>
      <c r="O1211" s="5" t="s">
        <v>39</v>
      </c>
      <c r="P1211" t="s">
        <v>154</v>
      </c>
      <c r="Q1211" t="s">
        <v>1792</v>
      </c>
      <c r="R1211" t="s">
        <v>37</v>
      </c>
      <c r="S1211" t="s">
        <v>1793</v>
      </c>
      <c r="T1211" t="s">
        <v>43</v>
      </c>
      <c r="U1211" t="s">
        <v>44</v>
      </c>
      <c r="V1211">
        <v>201</v>
      </c>
      <c r="W1211" t="s">
        <v>1794</v>
      </c>
      <c r="X1211" t="s">
        <v>1795</v>
      </c>
      <c r="Y1211" t="s">
        <v>1796</v>
      </c>
      <c r="Z1211" t="s">
        <v>37</v>
      </c>
      <c r="AA1211" t="s">
        <v>55</v>
      </c>
      <c r="AB1211" t="s">
        <v>37</v>
      </c>
      <c r="AC1211" s="6" t="s">
        <v>37</v>
      </c>
      <c r="AD1211" s="6" t="s">
        <v>37</v>
      </c>
      <c r="AE1211" t="s">
        <v>37</v>
      </c>
      <c r="AF1211" t="s">
        <v>37</v>
      </c>
      <c r="AG1211" s="6" t="s">
        <v>37</v>
      </c>
      <c r="AH1211" t="s">
        <v>37</v>
      </c>
      <c r="AI1211" t="s">
        <v>37</v>
      </c>
      <c r="AJ1211" t="str">
        <f t="shared" si="56"/>
        <v>1KW92RHQB01D1Z00UK</v>
      </c>
    </row>
    <row r="1212" spans="1:36" ht="15" customHeight="1" x14ac:dyDescent="0.25">
      <c r="A1212" t="s">
        <v>613</v>
      </c>
      <c r="B1212" t="s">
        <v>37</v>
      </c>
      <c r="C1212" t="s">
        <v>37</v>
      </c>
      <c r="D1212" t="s">
        <v>38</v>
      </c>
      <c r="E1212" s="4">
        <v>0</v>
      </c>
      <c r="F1212" s="5">
        <v>0</v>
      </c>
      <c r="G1212" s="5" t="s">
        <v>39</v>
      </c>
      <c r="H1212" s="5">
        <v>0</v>
      </c>
      <c r="I1212" s="5" t="s">
        <v>39</v>
      </c>
      <c r="J1212" s="5">
        <v>0</v>
      </c>
      <c r="K1212" s="5" t="e">
        <f t="shared" si="54"/>
        <v>#DIV/0!</v>
      </c>
      <c r="L1212" s="5" t="e">
        <f t="shared" si="55"/>
        <v>#DIV/0!</v>
      </c>
      <c r="M1212" s="5" t="s">
        <v>39</v>
      </c>
      <c r="N1212" s="5">
        <v>0</v>
      </c>
      <c r="O1212" s="5" t="s">
        <v>39</v>
      </c>
      <c r="P1212" t="s">
        <v>202</v>
      </c>
      <c r="Q1212" t="s">
        <v>1307</v>
      </c>
      <c r="R1212" t="s">
        <v>37</v>
      </c>
      <c r="S1212" t="s">
        <v>1308</v>
      </c>
      <c r="T1212" t="s">
        <v>43</v>
      </c>
      <c r="U1212" t="s">
        <v>44</v>
      </c>
      <c r="V1212">
        <v>147</v>
      </c>
      <c r="W1212" t="s">
        <v>45</v>
      </c>
      <c r="X1212" t="s">
        <v>46</v>
      </c>
      <c r="Y1212" t="s">
        <v>1309</v>
      </c>
      <c r="Z1212" t="s">
        <v>37</v>
      </c>
      <c r="AA1212" t="s">
        <v>55</v>
      </c>
      <c r="AB1212" t="s">
        <v>37</v>
      </c>
      <c r="AC1212" s="6" t="s">
        <v>37</v>
      </c>
      <c r="AD1212" s="6" t="s">
        <v>37</v>
      </c>
      <c r="AE1212" t="s">
        <v>37</v>
      </c>
      <c r="AF1212" t="s">
        <v>37</v>
      </c>
      <c r="AG1212" s="6" t="s">
        <v>37</v>
      </c>
      <c r="AH1212" t="s">
        <v>37</v>
      </c>
      <c r="AI1212" t="s">
        <v>37</v>
      </c>
      <c r="AJ1212" t="str">
        <f t="shared" si="56"/>
        <v>39TAD6PCB00ZWOUH4S</v>
      </c>
    </row>
    <row r="1213" spans="1:36" ht="15" customHeight="1" x14ac:dyDescent="0.25">
      <c r="A1213" t="s">
        <v>96</v>
      </c>
      <c r="B1213" t="s">
        <v>37</v>
      </c>
      <c r="C1213" t="s">
        <v>37</v>
      </c>
      <c r="D1213" t="s">
        <v>38</v>
      </c>
      <c r="E1213" s="4">
        <v>30</v>
      </c>
      <c r="F1213" s="5">
        <v>315.89999999999998</v>
      </c>
      <c r="G1213" s="5" t="s">
        <v>39</v>
      </c>
      <c r="H1213" s="5">
        <v>491.7</v>
      </c>
      <c r="I1213" s="5" t="s">
        <v>39</v>
      </c>
      <c r="J1213" s="5">
        <v>10.740600000000001</v>
      </c>
      <c r="K1213" s="5">
        <f t="shared" si="54"/>
        <v>0.35802</v>
      </c>
      <c r="L1213" s="5">
        <f t="shared" si="55"/>
        <v>10.53</v>
      </c>
      <c r="M1213" s="5" t="s">
        <v>39</v>
      </c>
      <c r="N1213" s="5">
        <v>10.740600000000001</v>
      </c>
      <c r="O1213" s="5" t="s">
        <v>39</v>
      </c>
      <c r="P1213" t="s">
        <v>50</v>
      </c>
      <c r="Q1213" t="s">
        <v>1797</v>
      </c>
      <c r="R1213" t="s">
        <v>1798</v>
      </c>
      <c r="S1213" t="s">
        <v>1799</v>
      </c>
      <c r="T1213" t="s">
        <v>43</v>
      </c>
      <c r="U1213" t="s">
        <v>44</v>
      </c>
      <c r="V1213">
        <v>147</v>
      </c>
      <c r="W1213" t="s">
        <v>45</v>
      </c>
      <c r="X1213" t="s">
        <v>53</v>
      </c>
      <c r="Y1213" t="s">
        <v>1800</v>
      </c>
      <c r="Z1213" t="s">
        <v>37</v>
      </c>
      <c r="AA1213" t="s">
        <v>55</v>
      </c>
      <c r="AB1213" t="s">
        <v>37</v>
      </c>
      <c r="AC1213" s="6" t="s">
        <v>37</v>
      </c>
      <c r="AD1213" s="6" t="s">
        <v>37</v>
      </c>
      <c r="AE1213" t="s">
        <v>37</v>
      </c>
      <c r="AF1213" t="s">
        <v>37</v>
      </c>
      <c r="AG1213" s="6" t="s">
        <v>37</v>
      </c>
      <c r="AH1213" t="s">
        <v>37</v>
      </c>
      <c r="AI1213" t="s">
        <v>37</v>
      </c>
      <c r="AJ1213" t="str">
        <f t="shared" si="56"/>
        <v>3A946EXYB0118K7K4O</v>
      </c>
    </row>
    <row r="1214" spans="1:36" ht="15" customHeight="1" x14ac:dyDescent="0.25">
      <c r="A1214" t="s">
        <v>96</v>
      </c>
      <c r="B1214" t="s">
        <v>37</v>
      </c>
      <c r="C1214" t="s">
        <v>37</v>
      </c>
      <c r="D1214" t="s">
        <v>38</v>
      </c>
      <c r="E1214" s="4">
        <v>2</v>
      </c>
      <c r="F1214" s="5">
        <v>212.98</v>
      </c>
      <c r="G1214" s="5" t="s">
        <v>39</v>
      </c>
      <c r="H1214" s="5">
        <v>286.86</v>
      </c>
      <c r="I1214" s="5" t="s">
        <v>39</v>
      </c>
      <c r="J1214" s="5">
        <v>7.24132</v>
      </c>
      <c r="K1214" s="5">
        <f t="shared" si="54"/>
        <v>3.62066</v>
      </c>
      <c r="L1214" s="5">
        <f t="shared" si="55"/>
        <v>106.49</v>
      </c>
      <c r="M1214" s="5" t="s">
        <v>39</v>
      </c>
      <c r="N1214" s="5">
        <v>7.24132</v>
      </c>
      <c r="O1214" s="5" t="s">
        <v>39</v>
      </c>
      <c r="P1214" t="s">
        <v>195</v>
      </c>
      <c r="Q1214" t="s">
        <v>1151</v>
      </c>
      <c r="R1214" t="s">
        <v>37</v>
      </c>
      <c r="S1214" t="s">
        <v>1152</v>
      </c>
      <c r="T1214" t="s">
        <v>43</v>
      </c>
      <c r="U1214" t="s">
        <v>44</v>
      </c>
      <c r="V1214">
        <v>23</v>
      </c>
      <c r="W1214" t="s">
        <v>281</v>
      </c>
      <c r="X1214" t="s">
        <v>282</v>
      </c>
      <c r="Y1214" t="s">
        <v>1153</v>
      </c>
      <c r="Z1214" t="s">
        <v>37</v>
      </c>
      <c r="AA1214" t="s">
        <v>95</v>
      </c>
      <c r="AB1214" t="s">
        <v>37</v>
      </c>
      <c r="AC1214" s="6" t="s">
        <v>37</v>
      </c>
      <c r="AD1214" s="6" t="s">
        <v>37</v>
      </c>
      <c r="AE1214" t="s">
        <v>37</v>
      </c>
      <c r="AF1214" t="s">
        <v>37</v>
      </c>
      <c r="AG1214" s="6" t="s">
        <v>37</v>
      </c>
      <c r="AH1214" t="s">
        <v>37</v>
      </c>
      <c r="AI1214" t="s">
        <v>37</v>
      </c>
      <c r="AJ1214" t="str">
        <f t="shared" si="56"/>
        <v>5X1OU9ZGB07G6LWTG6</v>
      </c>
    </row>
    <row r="1215" spans="1:36" ht="15" customHeight="1" x14ac:dyDescent="0.25">
      <c r="A1215" t="s">
        <v>36</v>
      </c>
      <c r="B1215" t="s">
        <v>37</v>
      </c>
      <c r="C1215" t="s">
        <v>37</v>
      </c>
      <c r="D1215" t="s">
        <v>38</v>
      </c>
      <c r="E1215" s="4">
        <v>184</v>
      </c>
      <c r="F1215" s="5">
        <v>16972.16</v>
      </c>
      <c r="G1215" s="5" t="s">
        <v>39</v>
      </c>
      <c r="H1215" s="5">
        <v>23980.720000000001</v>
      </c>
      <c r="I1215" s="5" t="s">
        <v>39</v>
      </c>
      <c r="J1215" s="5">
        <v>577.05344000000002</v>
      </c>
      <c r="K1215" s="5">
        <f t="shared" si="54"/>
        <v>3.1361600000000003</v>
      </c>
      <c r="L1215" s="5">
        <f t="shared" si="55"/>
        <v>92.24</v>
      </c>
      <c r="M1215" s="5" t="s">
        <v>39</v>
      </c>
      <c r="N1215" s="5">
        <v>577.05344000000002</v>
      </c>
      <c r="O1215" s="5" t="s">
        <v>39</v>
      </c>
      <c r="P1215" t="s">
        <v>67</v>
      </c>
      <c r="Q1215" t="s">
        <v>920</v>
      </c>
      <c r="R1215" t="s">
        <v>37</v>
      </c>
      <c r="S1215" t="s">
        <v>921</v>
      </c>
      <c r="T1215" t="s">
        <v>43</v>
      </c>
      <c r="U1215" t="s">
        <v>44</v>
      </c>
      <c r="V1215">
        <v>147</v>
      </c>
      <c r="W1215" t="s">
        <v>45</v>
      </c>
      <c r="X1215" t="s">
        <v>60</v>
      </c>
      <c r="Y1215" t="s">
        <v>922</v>
      </c>
      <c r="Z1215" t="s">
        <v>37</v>
      </c>
      <c r="AA1215" t="s">
        <v>55</v>
      </c>
      <c r="AB1215" t="s">
        <v>37</v>
      </c>
      <c r="AC1215" s="6" t="s">
        <v>37</v>
      </c>
      <c r="AD1215" s="6" t="s">
        <v>37</v>
      </c>
      <c r="AE1215" t="s">
        <v>37</v>
      </c>
      <c r="AF1215" t="s">
        <v>37</v>
      </c>
      <c r="AG1215" s="6" t="s">
        <v>37</v>
      </c>
      <c r="AH1215" t="s">
        <v>37</v>
      </c>
      <c r="AI1215" t="s">
        <v>37</v>
      </c>
      <c r="AJ1215" t="str">
        <f t="shared" si="56"/>
        <v>2TMBDXBKB07W6H4R4D</v>
      </c>
    </row>
    <row r="1216" spans="1:36" ht="15" customHeight="1" x14ac:dyDescent="0.25">
      <c r="A1216" t="s">
        <v>49</v>
      </c>
      <c r="B1216" t="s">
        <v>37</v>
      </c>
      <c r="C1216" t="s">
        <v>37</v>
      </c>
      <c r="D1216" t="s">
        <v>38</v>
      </c>
      <c r="E1216" s="4">
        <v>30</v>
      </c>
      <c r="F1216" s="5">
        <v>280.8</v>
      </c>
      <c r="G1216" s="5" t="s">
        <v>39</v>
      </c>
      <c r="H1216" s="5">
        <v>417.9</v>
      </c>
      <c r="I1216" s="5" t="s">
        <v>39</v>
      </c>
      <c r="J1216" s="5">
        <v>9.5472000000000001</v>
      </c>
      <c r="K1216" s="5">
        <f t="shared" si="54"/>
        <v>0.31824000000000002</v>
      </c>
      <c r="L1216" s="5">
        <f t="shared" si="55"/>
        <v>9.3600000000000012</v>
      </c>
      <c r="M1216" s="5" t="s">
        <v>39</v>
      </c>
      <c r="N1216" s="5">
        <v>9.5472000000000001</v>
      </c>
      <c r="O1216" s="5" t="s">
        <v>39</v>
      </c>
      <c r="P1216" t="s">
        <v>195</v>
      </c>
      <c r="Q1216" t="s">
        <v>1751</v>
      </c>
      <c r="R1216" t="s">
        <v>1752</v>
      </c>
      <c r="S1216" t="s">
        <v>1753</v>
      </c>
      <c r="T1216" t="s">
        <v>43</v>
      </c>
      <c r="U1216" t="s">
        <v>44</v>
      </c>
      <c r="V1216">
        <v>147</v>
      </c>
      <c r="W1216" t="s">
        <v>45</v>
      </c>
      <c r="X1216" t="s">
        <v>53</v>
      </c>
      <c r="Y1216" t="s">
        <v>1754</v>
      </c>
      <c r="Z1216" t="s">
        <v>37</v>
      </c>
      <c r="AA1216" t="s">
        <v>48</v>
      </c>
      <c r="AB1216" t="s">
        <v>37</v>
      </c>
      <c r="AC1216" s="6" t="s">
        <v>37</v>
      </c>
      <c r="AD1216" s="6" t="s">
        <v>37</v>
      </c>
      <c r="AE1216" t="s">
        <v>37</v>
      </c>
      <c r="AF1216" t="s">
        <v>37</v>
      </c>
      <c r="AG1216" s="6" t="s">
        <v>37</v>
      </c>
      <c r="AH1216" t="s">
        <v>37</v>
      </c>
      <c r="AI1216" t="s">
        <v>37</v>
      </c>
      <c r="AJ1216" t="str">
        <f t="shared" si="56"/>
        <v>5X1OU9ZGB01A9GXMW2</v>
      </c>
    </row>
    <row r="1217" spans="1:36" ht="15" customHeight="1" x14ac:dyDescent="0.25">
      <c r="A1217" t="s">
        <v>210</v>
      </c>
      <c r="B1217" t="s">
        <v>37</v>
      </c>
      <c r="C1217" t="s">
        <v>37</v>
      </c>
      <c r="D1217" t="s">
        <v>38</v>
      </c>
      <c r="E1217" s="4">
        <v>2</v>
      </c>
      <c r="F1217" s="5">
        <v>212.98</v>
      </c>
      <c r="G1217" s="5" t="s">
        <v>39</v>
      </c>
      <c r="H1217" s="5">
        <v>286.86</v>
      </c>
      <c r="I1217" s="5" t="s">
        <v>39</v>
      </c>
      <c r="J1217" s="5">
        <v>7.24132</v>
      </c>
      <c r="K1217" s="5">
        <f t="shared" si="54"/>
        <v>3.62066</v>
      </c>
      <c r="L1217" s="5">
        <f t="shared" si="55"/>
        <v>106.49</v>
      </c>
      <c r="M1217" s="5" t="s">
        <v>39</v>
      </c>
      <c r="N1217" s="5">
        <v>7.24132</v>
      </c>
      <c r="O1217" s="5" t="s">
        <v>39</v>
      </c>
      <c r="P1217" t="s">
        <v>195</v>
      </c>
      <c r="Q1217" t="s">
        <v>1151</v>
      </c>
      <c r="R1217" t="s">
        <v>37</v>
      </c>
      <c r="S1217" t="s">
        <v>1152</v>
      </c>
      <c r="T1217" t="s">
        <v>43</v>
      </c>
      <c r="U1217" t="s">
        <v>44</v>
      </c>
      <c r="V1217">
        <v>23</v>
      </c>
      <c r="W1217" t="s">
        <v>281</v>
      </c>
      <c r="X1217" t="s">
        <v>282</v>
      </c>
      <c r="Y1217" t="s">
        <v>1153</v>
      </c>
      <c r="Z1217" t="s">
        <v>37</v>
      </c>
      <c r="AA1217" t="s">
        <v>95</v>
      </c>
      <c r="AB1217" t="s">
        <v>37</v>
      </c>
      <c r="AC1217" s="6" t="s">
        <v>37</v>
      </c>
      <c r="AD1217" s="6" t="s">
        <v>37</v>
      </c>
      <c r="AE1217" t="s">
        <v>37</v>
      </c>
      <c r="AF1217" t="s">
        <v>37</v>
      </c>
      <c r="AG1217" s="6" t="s">
        <v>37</v>
      </c>
      <c r="AH1217" t="s">
        <v>37</v>
      </c>
      <c r="AI1217" t="s">
        <v>37</v>
      </c>
      <c r="AJ1217" t="str">
        <f t="shared" si="56"/>
        <v>5X1OU9ZGB07G6LWTG6</v>
      </c>
    </row>
    <row r="1218" spans="1:36" ht="15" customHeight="1" x14ac:dyDescent="0.25">
      <c r="A1218" t="s">
        <v>96</v>
      </c>
      <c r="B1218" t="s">
        <v>37</v>
      </c>
      <c r="C1218" t="s">
        <v>37</v>
      </c>
      <c r="D1218" t="s">
        <v>38</v>
      </c>
      <c r="E1218" s="4">
        <v>24</v>
      </c>
      <c r="F1218" s="5">
        <v>2013.36</v>
      </c>
      <c r="G1218" s="5" t="s">
        <v>39</v>
      </c>
      <c r="H1218" s="5">
        <v>3245.76</v>
      </c>
      <c r="I1218" s="5" t="s">
        <v>39</v>
      </c>
      <c r="J1218" s="5">
        <v>68.454239999999999</v>
      </c>
      <c r="K1218" s="5">
        <f t="shared" si="54"/>
        <v>2.8522599999999998</v>
      </c>
      <c r="L1218" s="5">
        <f t="shared" si="55"/>
        <v>83.89</v>
      </c>
      <c r="M1218" s="5" t="s">
        <v>39</v>
      </c>
      <c r="N1218" s="5">
        <v>68.454239999999999</v>
      </c>
      <c r="O1218" s="5" t="s">
        <v>39</v>
      </c>
      <c r="P1218" t="s">
        <v>222</v>
      </c>
      <c r="Q1218" t="s">
        <v>1801</v>
      </c>
      <c r="R1218" t="s">
        <v>37</v>
      </c>
      <c r="S1218" t="s">
        <v>1802</v>
      </c>
      <c r="T1218" t="s">
        <v>43</v>
      </c>
      <c r="U1218" t="s">
        <v>44</v>
      </c>
      <c r="V1218">
        <v>147</v>
      </c>
      <c r="W1218" t="s">
        <v>45</v>
      </c>
      <c r="X1218" t="s">
        <v>53</v>
      </c>
      <c r="Y1218" t="s">
        <v>54</v>
      </c>
      <c r="Z1218" t="s">
        <v>37</v>
      </c>
      <c r="AA1218" t="s">
        <v>55</v>
      </c>
      <c r="AB1218" t="s">
        <v>37</v>
      </c>
      <c r="AC1218" s="6" t="s">
        <v>37</v>
      </c>
      <c r="AD1218" s="6" t="s">
        <v>37</v>
      </c>
      <c r="AE1218" t="s">
        <v>37</v>
      </c>
      <c r="AF1218" t="s">
        <v>37</v>
      </c>
      <c r="AG1218" s="6" t="s">
        <v>37</v>
      </c>
      <c r="AH1218" t="s">
        <v>37</v>
      </c>
      <c r="AI1218" t="s">
        <v>37</v>
      </c>
      <c r="AJ1218" t="str">
        <f t="shared" si="56"/>
        <v>2F7Y5WIXB07W7JYP9B</v>
      </c>
    </row>
    <row r="1219" spans="1:36" ht="15" customHeight="1" x14ac:dyDescent="0.25">
      <c r="A1219" t="s">
        <v>383</v>
      </c>
      <c r="B1219" t="s">
        <v>37</v>
      </c>
      <c r="C1219" t="s">
        <v>37</v>
      </c>
      <c r="D1219" t="s">
        <v>38</v>
      </c>
      <c r="E1219" s="4">
        <v>10</v>
      </c>
      <c r="F1219" s="5">
        <v>93.6</v>
      </c>
      <c r="G1219" s="5" t="s">
        <v>39</v>
      </c>
      <c r="H1219" s="5">
        <v>139.30000000000001</v>
      </c>
      <c r="I1219" s="5" t="s">
        <v>39</v>
      </c>
      <c r="J1219" s="5">
        <v>3.1823999999999999</v>
      </c>
      <c r="K1219" s="5">
        <f t="shared" ref="K1219:K1282" si="57">J1219/E1219</f>
        <v>0.31823999999999997</v>
      </c>
      <c r="L1219" s="5">
        <f t="shared" ref="L1219:L1282" si="58">F1219/E1219</f>
        <v>9.36</v>
      </c>
      <c r="M1219" s="5" t="s">
        <v>39</v>
      </c>
      <c r="N1219" s="5">
        <v>3.1823999999999999</v>
      </c>
      <c r="O1219" s="5" t="s">
        <v>39</v>
      </c>
      <c r="P1219" t="s">
        <v>195</v>
      </c>
      <c r="Q1219" t="s">
        <v>1751</v>
      </c>
      <c r="R1219" t="s">
        <v>1752</v>
      </c>
      <c r="S1219" t="s">
        <v>1753</v>
      </c>
      <c r="T1219" t="s">
        <v>43</v>
      </c>
      <c r="U1219" t="s">
        <v>44</v>
      </c>
      <c r="V1219">
        <v>147</v>
      </c>
      <c r="W1219" t="s">
        <v>45</v>
      </c>
      <c r="X1219" t="s">
        <v>53</v>
      </c>
      <c r="Y1219" t="s">
        <v>1754</v>
      </c>
      <c r="Z1219" t="s">
        <v>37</v>
      </c>
      <c r="AA1219" t="s">
        <v>48</v>
      </c>
      <c r="AB1219" t="s">
        <v>37</v>
      </c>
      <c r="AC1219" s="6" t="s">
        <v>37</v>
      </c>
      <c r="AD1219" s="6" t="s">
        <v>37</v>
      </c>
      <c r="AE1219" t="s">
        <v>37</v>
      </c>
      <c r="AF1219" t="s">
        <v>37</v>
      </c>
      <c r="AG1219" s="6" t="s">
        <v>37</v>
      </c>
      <c r="AH1219" t="s">
        <v>37</v>
      </c>
      <c r="AI1219" t="s">
        <v>37</v>
      </c>
      <c r="AJ1219" t="str">
        <f t="shared" ref="AJ1219:AJ1282" si="59">P1219&amp;Q1219</f>
        <v>5X1OU9ZGB01A9GXMW2</v>
      </c>
    </row>
    <row r="1220" spans="1:36" ht="15" customHeight="1" x14ac:dyDescent="0.25">
      <c r="A1220" t="s">
        <v>101</v>
      </c>
      <c r="B1220" t="s">
        <v>37</v>
      </c>
      <c r="C1220" t="s">
        <v>37</v>
      </c>
      <c r="D1220" t="s">
        <v>38</v>
      </c>
      <c r="E1220" s="4">
        <v>20</v>
      </c>
      <c r="F1220" s="5">
        <v>949.6</v>
      </c>
      <c r="G1220" s="5" t="s">
        <v>39</v>
      </c>
      <c r="H1220" s="5">
        <v>1557.2</v>
      </c>
      <c r="I1220" s="5" t="s">
        <v>39</v>
      </c>
      <c r="J1220" s="5">
        <v>32.2864</v>
      </c>
      <c r="K1220" s="5">
        <f t="shared" si="57"/>
        <v>1.61432</v>
      </c>
      <c r="L1220" s="5">
        <f t="shared" si="58"/>
        <v>47.480000000000004</v>
      </c>
      <c r="M1220" s="5" t="s">
        <v>39</v>
      </c>
      <c r="N1220" s="5">
        <v>32.2864</v>
      </c>
      <c r="O1220" s="5" t="s">
        <v>39</v>
      </c>
      <c r="P1220" t="s">
        <v>320</v>
      </c>
      <c r="Q1220" t="s">
        <v>1594</v>
      </c>
      <c r="R1220" t="s">
        <v>37</v>
      </c>
      <c r="S1220" t="s">
        <v>1595</v>
      </c>
      <c r="T1220" t="s">
        <v>43</v>
      </c>
      <c r="U1220" t="s">
        <v>44</v>
      </c>
      <c r="V1220">
        <v>147</v>
      </c>
      <c r="W1220" t="s">
        <v>45</v>
      </c>
      <c r="X1220" t="s">
        <v>53</v>
      </c>
      <c r="Y1220" t="s">
        <v>1596</v>
      </c>
      <c r="Z1220" t="s">
        <v>37</v>
      </c>
      <c r="AA1220" t="s">
        <v>55</v>
      </c>
      <c r="AB1220" t="s">
        <v>37</v>
      </c>
      <c r="AC1220" s="6" t="s">
        <v>37</v>
      </c>
      <c r="AD1220" s="6" t="s">
        <v>37</v>
      </c>
      <c r="AE1220" t="s">
        <v>37</v>
      </c>
      <c r="AF1220" t="s">
        <v>37</v>
      </c>
      <c r="AG1220" s="6" t="s">
        <v>37</v>
      </c>
      <c r="AH1220" t="s">
        <v>37</v>
      </c>
      <c r="AI1220" t="s">
        <v>37</v>
      </c>
      <c r="AJ1220" t="str">
        <f t="shared" si="59"/>
        <v>8BG295LIB07W7MQMD9</v>
      </c>
    </row>
    <row r="1221" spans="1:36" ht="15" customHeight="1" x14ac:dyDescent="0.25">
      <c r="A1221" t="s">
        <v>96</v>
      </c>
      <c r="B1221" t="s">
        <v>37</v>
      </c>
      <c r="C1221" t="s">
        <v>37</v>
      </c>
      <c r="D1221" t="s">
        <v>38</v>
      </c>
      <c r="E1221" s="4">
        <v>230</v>
      </c>
      <c r="F1221" s="5">
        <v>2152.8000000000002</v>
      </c>
      <c r="G1221" s="5" t="s">
        <v>39</v>
      </c>
      <c r="H1221" s="5">
        <v>3203.9</v>
      </c>
      <c r="I1221" s="5" t="s">
        <v>39</v>
      </c>
      <c r="J1221" s="5">
        <v>73.1952</v>
      </c>
      <c r="K1221" s="5">
        <f t="shared" si="57"/>
        <v>0.31824000000000002</v>
      </c>
      <c r="L1221" s="5">
        <f t="shared" si="58"/>
        <v>9.3600000000000012</v>
      </c>
      <c r="M1221" s="5" t="s">
        <v>39</v>
      </c>
      <c r="N1221" s="5">
        <v>73.1952</v>
      </c>
      <c r="O1221" s="5" t="s">
        <v>39</v>
      </c>
      <c r="P1221" t="s">
        <v>195</v>
      </c>
      <c r="Q1221" t="s">
        <v>1751</v>
      </c>
      <c r="R1221" t="s">
        <v>1752</v>
      </c>
      <c r="S1221" t="s">
        <v>1753</v>
      </c>
      <c r="T1221" t="s">
        <v>43</v>
      </c>
      <c r="U1221" t="s">
        <v>44</v>
      </c>
      <c r="V1221">
        <v>147</v>
      </c>
      <c r="W1221" t="s">
        <v>45</v>
      </c>
      <c r="X1221" t="s">
        <v>53</v>
      </c>
      <c r="Y1221" t="s">
        <v>1754</v>
      </c>
      <c r="Z1221" t="s">
        <v>37</v>
      </c>
      <c r="AA1221" t="s">
        <v>48</v>
      </c>
      <c r="AB1221" t="s">
        <v>37</v>
      </c>
      <c r="AC1221" s="6" t="s">
        <v>37</v>
      </c>
      <c r="AD1221" s="6" t="s">
        <v>37</v>
      </c>
      <c r="AE1221" t="s">
        <v>37</v>
      </c>
      <c r="AF1221" t="s">
        <v>37</v>
      </c>
      <c r="AG1221" s="6" t="s">
        <v>37</v>
      </c>
      <c r="AH1221" t="s">
        <v>37</v>
      </c>
      <c r="AI1221" t="s">
        <v>37</v>
      </c>
      <c r="AJ1221" t="str">
        <f t="shared" si="59"/>
        <v>5X1OU9ZGB01A9GXMW2</v>
      </c>
    </row>
    <row r="1222" spans="1:36" ht="15" customHeight="1" x14ac:dyDescent="0.25">
      <c r="A1222" t="s">
        <v>118</v>
      </c>
      <c r="B1222" t="s">
        <v>37</v>
      </c>
      <c r="C1222" t="s">
        <v>37</v>
      </c>
      <c r="D1222" t="s">
        <v>38</v>
      </c>
      <c r="E1222" s="4">
        <v>24</v>
      </c>
      <c r="F1222" s="5">
        <v>886.32</v>
      </c>
      <c r="G1222" s="5" t="s">
        <v>39</v>
      </c>
      <c r="H1222" s="5">
        <v>1475.28</v>
      </c>
      <c r="I1222" s="5" t="s">
        <v>39</v>
      </c>
      <c r="J1222" s="5">
        <v>30.134879999999999</v>
      </c>
      <c r="K1222" s="5">
        <f t="shared" si="57"/>
        <v>1.25562</v>
      </c>
      <c r="L1222" s="5">
        <f t="shared" si="58"/>
        <v>36.93</v>
      </c>
      <c r="M1222" s="5" t="s">
        <v>39</v>
      </c>
      <c r="N1222" s="5">
        <v>30.134879999999999</v>
      </c>
      <c r="O1222" s="5" t="s">
        <v>39</v>
      </c>
      <c r="P1222" t="s">
        <v>537</v>
      </c>
      <c r="Q1222" t="s">
        <v>516</v>
      </c>
      <c r="R1222" t="s">
        <v>37</v>
      </c>
      <c r="S1222" t="s">
        <v>517</v>
      </c>
      <c r="T1222" t="s">
        <v>43</v>
      </c>
      <c r="U1222" t="s">
        <v>44</v>
      </c>
      <c r="V1222">
        <v>147</v>
      </c>
      <c r="W1222" t="s">
        <v>45</v>
      </c>
      <c r="X1222" t="s">
        <v>53</v>
      </c>
      <c r="Y1222" t="s">
        <v>518</v>
      </c>
      <c r="Z1222" t="s">
        <v>37</v>
      </c>
      <c r="AA1222" t="s">
        <v>55</v>
      </c>
      <c r="AB1222" t="s">
        <v>37</v>
      </c>
      <c r="AC1222" s="6" t="s">
        <v>37</v>
      </c>
      <c r="AD1222" s="6" t="s">
        <v>37</v>
      </c>
      <c r="AE1222" t="s">
        <v>37</v>
      </c>
      <c r="AF1222" t="s">
        <v>37</v>
      </c>
      <c r="AG1222" s="6" t="s">
        <v>37</v>
      </c>
      <c r="AH1222" t="s">
        <v>37</v>
      </c>
      <c r="AI1222" t="s">
        <v>37</v>
      </c>
      <c r="AJ1222" t="str">
        <f t="shared" si="59"/>
        <v>1LQM129ZB07CGNP3RH</v>
      </c>
    </row>
    <row r="1223" spans="1:36" ht="15" customHeight="1" x14ac:dyDescent="0.25">
      <c r="A1223" t="s">
        <v>127</v>
      </c>
      <c r="B1223" t="s">
        <v>37</v>
      </c>
      <c r="C1223" t="s">
        <v>37</v>
      </c>
      <c r="D1223" t="s">
        <v>38</v>
      </c>
      <c r="E1223" s="4">
        <v>4</v>
      </c>
      <c r="F1223" s="5">
        <v>147.72</v>
      </c>
      <c r="G1223" s="5" t="s">
        <v>39</v>
      </c>
      <c r="H1223" s="5">
        <v>245.88</v>
      </c>
      <c r="I1223" s="5" t="s">
        <v>39</v>
      </c>
      <c r="J1223" s="5">
        <v>5.0224799999999998</v>
      </c>
      <c r="K1223" s="5">
        <f t="shared" si="57"/>
        <v>1.25562</v>
      </c>
      <c r="L1223" s="5">
        <f t="shared" si="58"/>
        <v>36.93</v>
      </c>
      <c r="M1223" s="5" t="s">
        <v>39</v>
      </c>
      <c r="N1223" s="5">
        <v>5.0224799999999998</v>
      </c>
      <c r="O1223" s="5" t="s">
        <v>39</v>
      </c>
      <c r="P1223" t="s">
        <v>1803</v>
      </c>
      <c r="Q1223" t="s">
        <v>908</v>
      </c>
      <c r="R1223" t="s">
        <v>909</v>
      </c>
      <c r="S1223" t="s">
        <v>910</v>
      </c>
      <c r="T1223" t="s">
        <v>43</v>
      </c>
      <c r="U1223" t="s">
        <v>44</v>
      </c>
      <c r="V1223">
        <v>147</v>
      </c>
      <c r="W1223" t="s">
        <v>45</v>
      </c>
      <c r="X1223" t="s">
        <v>46</v>
      </c>
      <c r="Y1223" t="s">
        <v>268</v>
      </c>
      <c r="Z1223" t="s">
        <v>37</v>
      </c>
      <c r="AA1223" t="s">
        <v>55</v>
      </c>
      <c r="AB1223" t="s">
        <v>37</v>
      </c>
      <c r="AC1223" s="6" t="s">
        <v>37</v>
      </c>
      <c r="AD1223" s="6" t="s">
        <v>37</v>
      </c>
      <c r="AE1223" t="s">
        <v>37</v>
      </c>
      <c r="AF1223" t="s">
        <v>37</v>
      </c>
      <c r="AG1223" s="6" t="s">
        <v>37</v>
      </c>
      <c r="AH1223" t="s">
        <v>37</v>
      </c>
      <c r="AI1223" t="s">
        <v>37</v>
      </c>
      <c r="AJ1223" t="str">
        <f t="shared" si="59"/>
        <v>5IOQE4AWB07CGPZ3ZQ</v>
      </c>
    </row>
    <row r="1224" spans="1:36" ht="15" customHeight="1" x14ac:dyDescent="0.25">
      <c r="A1224" t="s">
        <v>36</v>
      </c>
      <c r="B1224" t="s">
        <v>37</v>
      </c>
      <c r="C1224" t="s">
        <v>37</v>
      </c>
      <c r="D1224" t="s">
        <v>38</v>
      </c>
      <c r="E1224" s="4">
        <v>20</v>
      </c>
      <c r="F1224" s="5">
        <v>468.4</v>
      </c>
      <c r="G1224" s="5" t="s">
        <v>39</v>
      </c>
      <c r="H1224" s="5">
        <v>721.2</v>
      </c>
      <c r="I1224" s="5" t="s">
        <v>39</v>
      </c>
      <c r="J1224" s="5">
        <v>15.925599999999999</v>
      </c>
      <c r="K1224" s="5">
        <f t="shared" si="57"/>
        <v>0.79627999999999999</v>
      </c>
      <c r="L1224" s="5">
        <f t="shared" si="58"/>
        <v>23.419999999999998</v>
      </c>
      <c r="M1224" s="5" t="s">
        <v>39</v>
      </c>
      <c r="N1224" s="5">
        <v>15.925599999999999</v>
      </c>
      <c r="O1224" s="5" t="s">
        <v>39</v>
      </c>
      <c r="P1224" t="s">
        <v>297</v>
      </c>
      <c r="Q1224" t="s">
        <v>1469</v>
      </c>
      <c r="R1224" t="s">
        <v>37</v>
      </c>
      <c r="S1224" t="s">
        <v>1470</v>
      </c>
      <c r="T1224" t="s">
        <v>43</v>
      </c>
      <c r="U1224" t="s">
        <v>44</v>
      </c>
      <c r="V1224">
        <v>147</v>
      </c>
      <c r="W1224" t="s">
        <v>45</v>
      </c>
      <c r="X1224" t="s">
        <v>60</v>
      </c>
      <c r="Y1224" t="s">
        <v>1471</v>
      </c>
      <c r="Z1224" t="s">
        <v>37</v>
      </c>
      <c r="AA1224" t="s">
        <v>55</v>
      </c>
      <c r="AB1224" t="s">
        <v>37</v>
      </c>
      <c r="AC1224" s="6" t="s">
        <v>37</v>
      </c>
      <c r="AD1224" s="6" t="s">
        <v>37</v>
      </c>
      <c r="AE1224" t="s">
        <v>37</v>
      </c>
      <c r="AF1224" t="s">
        <v>37</v>
      </c>
      <c r="AG1224" s="6" t="s">
        <v>37</v>
      </c>
      <c r="AH1224" t="s">
        <v>37</v>
      </c>
      <c r="AI1224" t="s">
        <v>37</v>
      </c>
      <c r="AJ1224" t="str">
        <f t="shared" si="59"/>
        <v>5KUAVFPZB007BNE3QQ</v>
      </c>
    </row>
    <row r="1225" spans="1:36" ht="15" customHeight="1" x14ac:dyDescent="0.25">
      <c r="A1225" t="s">
        <v>411</v>
      </c>
      <c r="B1225" t="s">
        <v>37</v>
      </c>
      <c r="C1225" t="s">
        <v>37</v>
      </c>
      <c r="D1225" t="s">
        <v>38</v>
      </c>
      <c r="E1225" s="4">
        <v>52</v>
      </c>
      <c r="F1225" s="5">
        <v>3921.32</v>
      </c>
      <c r="G1225" s="5" t="s">
        <v>39</v>
      </c>
      <c r="H1225" s="5">
        <v>5753.8</v>
      </c>
      <c r="I1225" s="5" t="s">
        <v>39</v>
      </c>
      <c r="J1225" s="5">
        <v>133.32488000000001</v>
      </c>
      <c r="K1225" s="5">
        <f t="shared" si="57"/>
        <v>2.5639400000000001</v>
      </c>
      <c r="L1225" s="5">
        <f t="shared" si="58"/>
        <v>75.41</v>
      </c>
      <c r="M1225" s="5" t="s">
        <v>39</v>
      </c>
      <c r="N1225" s="5">
        <v>133.32488000000001</v>
      </c>
      <c r="O1225" s="5" t="s">
        <v>39</v>
      </c>
      <c r="P1225" t="s">
        <v>412</v>
      </c>
      <c r="Q1225" t="s">
        <v>703</v>
      </c>
      <c r="R1225" t="s">
        <v>704</v>
      </c>
      <c r="S1225" t="s">
        <v>705</v>
      </c>
      <c r="T1225" t="s">
        <v>43</v>
      </c>
      <c r="U1225" t="s">
        <v>44</v>
      </c>
      <c r="V1225">
        <v>147</v>
      </c>
      <c r="W1225" t="s">
        <v>45</v>
      </c>
      <c r="X1225" t="s">
        <v>590</v>
      </c>
      <c r="Y1225" t="s">
        <v>706</v>
      </c>
      <c r="Z1225" t="s">
        <v>37</v>
      </c>
      <c r="AA1225" t="s">
        <v>48</v>
      </c>
      <c r="AB1225" t="s">
        <v>37</v>
      </c>
      <c r="AC1225" s="6" t="s">
        <v>37</v>
      </c>
      <c r="AD1225" s="6" t="s">
        <v>37</v>
      </c>
      <c r="AE1225" t="s">
        <v>37</v>
      </c>
      <c r="AF1225" t="s">
        <v>37</v>
      </c>
      <c r="AG1225" s="6" t="s">
        <v>37</v>
      </c>
      <c r="AH1225" t="s">
        <v>37</v>
      </c>
      <c r="AI1225" t="s">
        <v>37</v>
      </c>
      <c r="AJ1225" t="str">
        <f t="shared" si="59"/>
        <v>6JWFV3WKB01MT5WMMG</v>
      </c>
    </row>
    <row r="1226" spans="1:36" ht="15" customHeight="1" x14ac:dyDescent="0.25">
      <c r="A1226" t="s">
        <v>127</v>
      </c>
      <c r="B1226" t="s">
        <v>37</v>
      </c>
      <c r="C1226" t="s">
        <v>37</v>
      </c>
      <c r="D1226" t="s">
        <v>38</v>
      </c>
      <c r="E1226" s="4">
        <v>8</v>
      </c>
      <c r="F1226" s="5">
        <v>737.92</v>
      </c>
      <c r="G1226" s="5" t="s">
        <v>39</v>
      </c>
      <c r="H1226" s="5">
        <v>1042.6400000000001</v>
      </c>
      <c r="I1226" s="5" t="s">
        <v>39</v>
      </c>
      <c r="J1226" s="5">
        <v>25.089279999999999</v>
      </c>
      <c r="K1226" s="5">
        <f t="shared" si="57"/>
        <v>3.1361599999999998</v>
      </c>
      <c r="L1226" s="5">
        <f t="shared" si="58"/>
        <v>92.24</v>
      </c>
      <c r="M1226" s="5" t="s">
        <v>39</v>
      </c>
      <c r="N1226" s="5">
        <v>25.089279999999999</v>
      </c>
      <c r="O1226" s="5" t="s">
        <v>39</v>
      </c>
      <c r="P1226" t="s">
        <v>67</v>
      </c>
      <c r="Q1226" t="s">
        <v>920</v>
      </c>
      <c r="R1226" t="s">
        <v>37</v>
      </c>
      <c r="S1226" t="s">
        <v>921</v>
      </c>
      <c r="T1226" t="s">
        <v>43</v>
      </c>
      <c r="U1226" t="s">
        <v>44</v>
      </c>
      <c r="V1226">
        <v>147</v>
      </c>
      <c r="W1226" t="s">
        <v>45</v>
      </c>
      <c r="X1226" t="s">
        <v>60</v>
      </c>
      <c r="Y1226" t="s">
        <v>922</v>
      </c>
      <c r="Z1226" t="s">
        <v>37</v>
      </c>
      <c r="AA1226" t="s">
        <v>55</v>
      </c>
      <c r="AB1226" t="s">
        <v>37</v>
      </c>
      <c r="AC1226" s="6" t="s">
        <v>37</v>
      </c>
      <c r="AD1226" s="6" t="s">
        <v>37</v>
      </c>
      <c r="AE1226" t="s">
        <v>37</v>
      </c>
      <c r="AF1226" t="s">
        <v>37</v>
      </c>
      <c r="AG1226" s="6" t="s">
        <v>37</v>
      </c>
      <c r="AH1226" t="s">
        <v>37</v>
      </c>
      <c r="AI1226" t="s">
        <v>37</v>
      </c>
      <c r="AJ1226" t="str">
        <f t="shared" si="59"/>
        <v>2TMBDXBKB07W6H4R4D</v>
      </c>
    </row>
    <row r="1227" spans="1:36" ht="15" customHeight="1" x14ac:dyDescent="0.25">
      <c r="A1227" t="s">
        <v>118</v>
      </c>
      <c r="B1227" t="s">
        <v>37</v>
      </c>
      <c r="C1227" t="s">
        <v>37</v>
      </c>
      <c r="D1227" t="s">
        <v>38</v>
      </c>
      <c r="E1227" s="4">
        <v>144</v>
      </c>
      <c r="F1227" s="5">
        <v>3794.4</v>
      </c>
      <c r="G1227" s="5" t="s">
        <v>39</v>
      </c>
      <c r="H1227" s="5">
        <v>5664.96</v>
      </c>
      <c r="I1227" s="5" t="s">
        <v>39</v>
      </c>
      <c r="J1227" s="5">
        <v>129.00960000000001</v>
      </c>
      <c r="K1227" s="5">
        <f t="shared" si="57"/>
        <v>0.89590000000000003</v>
      </c>
      <c r="L1227" s="5">
        <f t="shared" si="58"/>
        <v>26.35</v>
      </c>
      <c r="M1227" s="5" t="s">
        <v>39</v>
      </c>
      <c r="N1227" s="5">
        <v>129.00960000000001</v>
      </c>
      <c r="O1227" s="5" t="s">
        <v>39</v>
      </c>
      <c r="P1227" t="s">
        <v>1804</v>
      </c>
      <c r="Q1227" t="s">
        <v>495</v>
      </c>
      <c r="R1227" t="s">
        <v>37</v>
      </c>
      <c r="S1227" t="s">
        <v>496</v>
      </c>
      <c r="T1227" t="s">
        <v>43</v>
      </c>
      <c r="U1227" t="s">
        <v>44</v>
      </c>
      <c r="V1227">
        <v>147</v>
      </c>
      <c r="W1227" t="s">
        <v>45</v>
      </c>
      <c r="X1227" t="s">
        <v>60</v>
      </c>
      <c r="Y1227" t="s">
        <v>497</v>
      </c>
      <c r="Z1227" t="s">
        <v>37</v>
      </c>
      <c r="AA1227" t="s">
        <v>55</v>
      </c>
      <c r="AB1227" t="s">
        <v>37</v>
      </c>
      <c r="AC1227" s="6" t="s">
        <v>37</v>
      </c>
      <c r="AD1227" s="6" t="s">
        <v>37</v>
      </c>
      <c r="AE1227" t="s">
        <v>37</v>
      </c>
      <c r="AF1227" t="s">
        <v>37</v>
      </c>
      <c r="AG1227" s="6" t="s">
        <v>37</v>
      </c>
      <c r="AH1227" t="s">
        <v>37</v>
      </c>
      <c r="AI1227" t="s">
        <v>37</v>
      </c>
      <c r="AJ1227" t="str">
        <f t="shared" si="59"/>
        <v>6U12NWLGB00BCE30RS</v>
      </c>
    </row>
    <row r="1228" spans="1:36" ht="15" customHeight="1" x14ac:dyDescent="0.25">
      <c r="A1228" t="s">
        <v>118</v>
      </c>
      <c r="B1228" t="s">
        <v>37</v>
      </c>
      <c r="C1228" t="s">
        <v>37</v>
      </c>
      <c r="D1228" t="s">
        <v>38</v>
      </c>
      <c r="E1228" s="4">
        <v>0</v>
      </c>
      <c r="F1228" s="5">
        <v>0</v>
      </c>
      <c r="G1228" s="5" t="s">
        <v>39</v>
      </c>
      <c r="H1228" s="5">
        <v>0</v>
      </c>
      <c r="I1228" s="5" t="s">
        <v>39</v>
      </c>
      <c r="J1228" s="5">
        <v>0</v>
      </c>
      <c r="K1228" s="5" t="e">
        <f t="shared" si="57"/>
        <v>#DIV/0!</v>
      </c>
      <c r="L1228" s="5" t="e">
        <f t="shared" si="58"/>
        <v>#DIV/0!</v>
      </c>
      <c r="M1228" s="5" t="s">
        <v>39</v>
      </c>
      <c r="N1228" s="5">
        <v>0</v>
      </c>
      <c r="O1228" s="5" t="s">
        <v>39</v>
      </c>
      <c r="P1228" t="s">
        <v>202</v>
      </c>
      <c r="Q1228" t="s">
        <v>1307</v>
      </c>
      <c r="R1228" t="s">
        <v>37</v>
      </c>
      <c r="S1228" t="s">
        <v>1308</v>
      </c>
      <c r="T1228" t="s">
        <v>43</v>
      </c>
      <c r="U1228" t="s">
        <v>44</v>
      </c>
      <c r="V1228">
        <v>147</v>
      </c>
      <c r="W1228" t="s">
        <v>45</v>
      </c>
      <c r="X1228" t="s">
        <v>46</v>
      </c>
      <c r="Y1228" t="s">
        <v>1309</v>
      </c>
      <c r="Z1228" t="s">
        <v>37</v>
      </c>
      <c r="AA1228" t="s">
        <v>55</v>
      </c>
      <c r="AB1228" t="s">
        <v>37</v>
      </c>
      <c r="AC1228" s="6" t="s">
        <v>37</v>
      </c>
      <c r="AD1228" s="6" t="s">
        <v>37</v>
      </c>
      <c r="AE1228" t="s">
        <v>37</v>
      </c>
      <c r="AF1228" t="s">
        <v>37</v>
      </c>
      <c r="AG1228" s="6" t="s">
        <v>37</v>
      </c>
      <c r="AH1228" t="s">
        <v>37</v>
      </c>
      <c r="AI1228" t="s">
        <v>37</v>
      </c>
      <c r="AJ1228" t="str">
        <f t="shared" si="59"/>
        <v>39TAD6PCB00ZWOUH4S</v>
      </c>
    </row>
    <row r="1229" spans="1:36" ht="15" customHeight="1" x14ac:dyDescent="0.25">
      <c r="A1229" t="s">
        <v>101</v>
      </c>
      <c r="B1229" t="s">
        <v>37</v>
      </c>
      <c r="C1229" t="s">
        <v>37</v>
      </c>
      <c r="D1229" t="s">
        <v>38</v>
      </c>
      <c r="E1229" s="4">
        <v>64</v>
      </c>
      <c r="F1229" s="5">
        <v>8538.8799999999992</v>
      </c>
      <c r="G1229" s="5" t="s">
        <v>39</v>
      </c>
      <c r="H1229" s="5">
        <v>12065.28</v>
      </c>
      <c r="I1229" s="5" t="s">
        <v>39</v>
      </c>
      <c r="J1229" s="5">
        <v>290.32191999999998</v>
      </c>
      <c r="K1229" s="5">
        <f t="shared" si="57"/>
        <v>4.5362799999999996</v>
      </c>
      <c r="L1229" s="5">
        <f t="shared" si="58"/>
        <v>133.41999999999999</v>
      </c>
      <c r="M1229" s="5" t="s">
        <v>39</v>
      </c>
      <c r="N1229" s="5">
        <v>290.32191999999998</v>
      </c>
      <c r="O1229" s="5" t="s">
        <v>39</v>
      </c>
      <c r="P1229" t="s">
        <v>274</v>
      </c>
      <c r="Q1229" t="s">
        <v>1805</v>
      </c>
      <c r="R1229" t="s">
        <v>37</v>
      </c>
      <c r="S1229" t="s">
        <v>1806</v>
      </c>
      <c r="T1229" t="s">
        <v>43</v>
      </c>
      <c r="U1229" t="s">
        <v>44</v>
      </c>
      <c r="V1229">
        <v>147</v>
      </c>
      <c r="W1229" t="s">
        <v>45</v>
      </c>
      <c r="X1229" t="s">
        <v>60</v>
      </c>
      <c r="Y1229" t="s">
        <v>1807</v>
      </c>
      <c r="Z1229" t="s">
        <v>37</v>
      </c>
      <c r="AA1229" t="s">
        <v>95</v>
      </c>
      <c r="AB1229" t="s">
        <v>37</v>
      </c>
      <c r="AC1229" s="6" t="s">
        <v>37</v>
      </c>
      <c r="AD1229" s="6" t="s">
        <v>37</v>
      </c>
      <c r="AE1229" t="s">
        <v>37</v>
      </c>
      <c r="AF1229" t="s">
        <v>37</v>
      </c>
      <c r="AG1229" s="6" t="s">
        <v>37</v>
      </c>
      <c r="AH1229" t="s">
        <v>37</v>
      </c>
      <c r="AI1229" t="s">
        <v>37</v>
      </c>
      <c r="AJ1229" t="str">
        <f t="shared" si="59"/>
        <v>4LYATDUXB07W7L62FX</v>
      </c>
    </row>
    <row r="1230" spans="1:36" ht="15" customHeight="1" x14ac:dyDescent="0.25">
      <c r="A1230" t="s">
        <v>101</v>
      </c>
      <c r="B1230" t="s">
        <v>37</v>
      </c>
      <c r="C1230" t="s">
        <v>37</v>
      </c>
      <c r="D1230" t="s">
        <v>38</v>
      </c>
      <c r="E1230" s="4">
        <v>20</v>
      </c>
      <c r="F1230" s="5">
        <v>177.8</v>
      </c>
      <c r="G1230" s="5" t="s">
        <v>39</v>
      </c>
      <c r="H1230" s="5">
        <v>393.2</v>
      </c>
      <c r="I1230" s="5" t="s">
        <v>39</v>
      </c>
      <c r="J1230" s="5">
        <v>6.0452000000000004</v>
      </c>
      <c r="K1230" s="5">
        <f t="shared" si="57"/>
        <v>0.30226000000000003</v>
      </c>
      <c r="L1230" s="5">
        <f t="shared" si="58"/>
        <v>8.89</v>
      </c>
      <c r="M1230" s="5" t="s">
        <v>39</v>
      </c>
      <c r="N1230" s="5">
        <v>6.0452000000000004</v>
      </c>
      <c r="O1230" s="5" t="s">
        <v>39</v>
      </c>
      <c r="P1230" t="s">
        <v>320</v>
      </c>
      <c r="Q1230" t="s">
        <v>690</v>
      </c>
      <c r="R1230" t="s">
        <v>37</v>
      </c>
      <c r="S1230" t="s">
        <v>691</v>
      </c>
      <c r="T1230" t="s">
        <v>43</v>
      </c>
      <c r="U1230" t="s">
        <v>44</v>
      </c>
      <c r="V1230">
        <v>147</v>
      </c>
      <c r="W1230" t="s">
        <v>45</v>
      </c>
      <c r="X1230" t="s">
        <v>46</v>
      </c>
      <c r="Y1230" t="s">
        <v>692</v>
      </c>
      <c r="Z1230" t="s">
        <v>37</v>
      </c>
      <c r="AA1230" t="s">
        <v>95</v>
      </c>
      <c r="AB1230" t="s">
        <v>37</v>
      </c>
      <c r="AC1230" s="6" t="s">
        <v>37</v>
      </c>
      <c r="AD1230" s="6" t="s">
        <v>37</v>
      </c>
      <c r="AE1230" t="s">
        <v>37</v>
      </c>
      <c r="AF1230" t="s">
        <v>37</v>
      </c>
      <c r="AG1230" s="6" t="s">
        <v>37</v>
      </c>
      <c r="AH1230" t="s">
        <v>37</v>
      </c>
      <c r="AI1230" t="s">
        <v>37</v>
      </c>
      <c r="AJ1230" t="str">
        <f t="shared" si="59"/>
        <v>8BG295LIB07W5JJVFM</v>
      </c>
    </row>
    <row r="1231" spans="1:36" ht="15" customHeight="1" x14ac:dyDescent="0.25">
      <c r="A1231" t="s">
        <v>176</v>
      </c>
      <c r="B1231" t="s">
        <v>37</v>
      </c>
      <c r="C1231" t="s">
        <v>37</v>
      </c>
      <c r="D1231" t="s">
        <v>38</v>
      </c>
      <c r="E1231" s="4">
        <v>8</v>
      </c>
      <c r="F1231" s="5">
        <v>556.88</v>
      </c>
      <c r="G1231" s="5" t="s">
        <v>39</v>
      </c>
      <c r="H1231" s="5">
        <v>845.92</v>
      </c>
      <c r="I1231" s="5" t="s">
        <v>39</v>
      </c>
      <c r="J1231" s="5">
        <v>18.933920000000001</v>
      </c>
      <c r="K1231" s="5">
        <f t="shared" si="57"/>
        <v>2.3667400000000001</v>
      </c>
      <c r="L1231" s="5">
        <f t="shared" si="58"/>
        <v>69.61</v>
      </c>
      <c r="M1231" s="5" t="s">
        <v>39</v>
      </c>
      <c r="N1231" s="5">
        <v>18.933920000000001</v>
      </c>
      <c r="O1231" s="5" t="s">
        <v>39</v>
      </c>
      <c r="P1231" t="s">
        <v>320</v>
      </c>
      <c r="Q1231" t="s">
        <v>1266</v>
      </c>
      <c r="R1231" t="s">
        <v>37</v>
      </c>
      <c r="S1231" t="s">
        <v>1267</v>
      </c>
      <c r="T1231" t="s">
        <v>43</v>
      </c>
      <c r="U1231" t="s">
        <v>44</v>
      </c>
      <c r="V1231">
        <v>147</v>
      </c>
      <c r="W1231" t="s">
        <v>45</v>
      </c>
      <c r="X1231" t="s">
        <v>60</v>
      </c>
      <c r="Y1231" t="s">
        <v>1268</v>
      </c>
      <c r="Z1231" t="s">
        <v>37</v>
      </c>
      <c r="AA1231" t="s">
        <v>55</v>
      </c>
      <c r="AB1231" t="s">
        <v>37</v>
      </c>
      <c r="AC1231" s="6" t="s">
        <v>37</v>
      </c>
      <c r="AD1231" s="6" t="s">
        <v>37</v>
      </c>
      <c r="AE1231" t="s">
        <v>37</v>
      </c>
      <c r="AF1231" t="s">
        <v>37</v>
      </c>
      <c r="AG1231" s="6" t="s">
        <v>37</v>
      </c>
      <c r="AH1231" t="s">
        <v>37</v>
      </c>
      <c r="AI1231" t="s">
        <v>37</v>
      </c>
      <c r="AJ1231" t="str">
        <f t="shared" si="59"/>
        <v>8BG295LIB07W7L32NJ</v>
      </c>
    </row>
    <row r="1232" spans="1:36" ht="15" customHeight="1" x14ac:dyDescent="0.25">
      <c r="A1232" t="s">
        <v>118</v>
      </c>
      <c r="B1232" t="s">
        <v>37</v>
      </c>
      <c r="C1232" t="s">
        <v>37</v>
      </c>
      <c r="D1232" t="s">
        <v>38</v>
      </c>
      <c r="E1232" s="4">
        <v>4772</v>
      </c>
      <c r="F1232" s="5">
        <v>301733.56</v>
      </c>
      <c r="G1232" s="5" t="s">
        <v>39</v>
      </c>
      <c r="H1232" s="5">
        <v>465460.88</v>
      </c>
      <c r="I1232" s="5" t="s">
        <v>39</v>
      </c>
      <c r="J1232" s="5">
        <v>10258.94104</v>
      </c>
      <c r="K1232" s="5">
        <f t="shared" si="57"/>
        <v>2.1498200000000001</v>
      </c>
      <c r="L1232" s="5">
        <f t="shared" si="58"/>
        <v>63.23</v>
      </c>
      <c r="M1232" s="5" t="s">
        <v>39</v>
      </c>
      <c r="N1232" s="5">
        <v>10258.94104</v>
      </c>
      <c r="O1232" s="5" t="s">
        <v>39</v>
      </c>
      <c r="P1232" t="s">
        <v>365</v>
      </c>
      <c r="Q1232" t="s">
        <v>1808</v>
      </c>
      <c r="R1232" t="s">
        <v>37</v>
      </c>
      <c r="S1232" t="s">
        <v>1809</v>
      </c>
      <c r="T1232" t="s">
        <v>43</v>
      </c>
      <c r="U1232" t="s">
        <v>44</v>
      </c>
      <c r="V1232">
        <v>147</v>
      </c>
      <c r="W1232" t="s">
        <v>45</v>
      </c>
      <c r="X1232" t="s">
        <v>53</v>
      </c>
      <c r="Y1232" t="s">
        <v>1810</v>
      </c>
      <c r="Z1232" t="s">
        <v>37</v>
      </c>
      <c r="AA1232" t="s">
        <v>55</v>
      </c>
      <c r="AB1232" t="s">
        <v>37</v>
      </c>
      <c r="AC1232" s="6" t="s">
        <v>37</v>
      </c>
      <c r="AD1232" s="6" t="s">
        <v>37</v>
      </c>
      <c r="AE1232" t="s">
        <v>37</v>
      </c>
      <c r="AF1232" t="s">
        <v>37</v>
      </c>
      <c r="AG1232" s="6" t="s">
        <v>37</v>
      </c>
      <c r="AH1232" t="s">
        <v>37</v>
      </c>
      <c r="AI1232" t="s">
        <v>37</v>
      </c>
      <c r="AJ1232" t="str">
        <f t="shared" si="59"/>
        <v>3KYCEHVHB07W4DGVQF</v>
      </c>
    </row>
    <row r="1233" spans="1:36" ht="15" customHeight="1" x14ac:dyDescent="0.25">
      <c r="A1233" t="s">
        <v>62</v>
      </c>
      <c r="B1233" t="s">
        <v>37</v>
      </c>
      <c r="C1233" t="s">
        <v>37</v>
      </c>
      <c r="D1233" t="s">
        <v>38</v>
      </c>
      <c r="E1233" s="4">
        <v>50</v>
      </c>
      <c r="F1233" s="5">
        <v>1595</v>
      </c>
      <c r="G1233" s="5" t="s">
        <v>39</v>
      </c>
      <c r="H1233" s="5">
        <v>2417.5</v>
      </c>
      <c r="I1233" s="5" t="s">
        <v>39</v>
      </c>
      <c r="J1233" s="5">
        <v>54.23</v>
      </c>
      <c r="K1233" s="5">
        <f t="shared" si="57"/>
        <v>1.0846</v>
      </c>
      <c r="L1233" s="5">
        <f t="shared" si="58"/>
        <v>31.9</v>
      </c>
      <c r="M1233" s="5" t="s">
        <v>39</v>
      </c>
      <c r="N1233" s="5">
        <v>54.23</v>
      </c>
      <c r="O1233" s="5" t="s">
        <v>39</v>
      </c>
      <c r="P1233" t="s">
        <v>426</v>
      </c>
      <c r="Q1233" t="s">
        <v>1412</v>
      </c>
      <c r="R1233" t="s">
        <v>37</v>
      </c>
      <c r="S1233" t="s">
        <v>1413</v>
      </c>
      <c r="T1233" t="s">
        <v>43</v>
      </c>
      <c r="U1233" t="s">
        <v>44</v>
      </c>
      <c r="V1233">
        <v>147</v>
      </c>
      <c r="W1233" t="s">
        <v>45</v>
      </c>
      <c r="X1233" t="s">
        <v>53</v>
      </c>
      <c r="Y1233" t="s">
        <v>1414</v>
      </c>
      <c r="Z1233" t="s">
        <v>37</v>
      </c>
      <c r="AA1233" t="s">
        <v>55</v>
      </c>
      <c r="AB1233" t="s">
        <v>37</v>
      </c>
      <c r="AC1233" s="6" t="s">
        <v>37</v>
      </c>
      <c r="AD1233" s="6" t="s">
        <v>37</v>
      </c>
      <c r="AE1233" t="s">
        <v>37</v>
      </c>
      <c r="AF1233" t="s">
        <v>37</v>
      </c>
      <c r="AG1233" s="6" t="s">
        <v>37</v>
      </c>
      <c r="AH1233" t="s">
        <v>37</v>
      </c>
      <c r="AI1233" t="s">
        <v>37</v>
      </c>
      <c r="AJ1233" t="str">
        <f t="shared" si="59"/>
        <v>3IQS66UGB07W4DHQJ9</v>
      </c>
    </row>
    <row r="1234" spans="1:36" ht="15" customHeight="1" x14ac:dyDescent="0.25">
      <c r="A1234" t="s">
        <v>36</v>
      </c>
      <c r="B1234" t="s">
        <v>37</v>
      </c>
      <c r="C1234" t="s">
        <v>37</v>
      </c>
      <c r="D1234" t="s">
        <v>38</v>
      </c>
      <c r="E1234" s="4">
        <v>48</v>
      </c>
      <c r="F1234" s="5">
        <v>3520.32</v>
      </c>
      <c r="G1234" s="5" t="s">
        <v>39</v>
      </c>
      <c r="H1234" s="5">
        <v>5311.2</v>
      </c>
      <c r="I1234" s="5" t="s">
        <v>39</v>
      </c>
      <c r="J1234" s="5">
        <v>119.69088000000001</v>
      </c>
      <c r="K1234" s="5">
        <f t="shared" si="57"/>
        <v>2.49356</v>
      </c>
      <c r="L1234" s="5">
        <f t="shared" si="58"/>
        <v>73.34</v>
      </c>
      <c r="M1234" s="5" t="s">
        <v>39</v>
      </c>
      <c r="N1234" s="5">
        <v>119.69088000000001</v>
      </c>
      <c r="O1234" s="5" t="s">
        <v>39</v>
      </c>
      <c r="P1234" t="s">
        <v>133</v>
      </c>
      <c r="Q1234" t="s">
        <v>260</v>
      </c>
      <c r="R1234" t="s">
        <v>37</v>
      </c>
      <c r="S1234" t="s">
        <v>261</v>
      </c>
      <c r="T1234" t="s">
        <v>43</v>
      </c>
      <c r="U1234" t="s">
        <v>44</v>
      </c>
      <c r="V1234">
        <v>147</v>
      </c>
      <c r="W1234" t="s">
        <v>45</v>
      </c>
      <c r="X1234" t="s">
        <v>46</v>
      </c>
      <c r="Y1234" t="s">
        <v>262</v>
      </c>
      <c r="Z1234" t="s">
        <v>37</v>
      </c>
      <c r="AA1234" t="s">
        <v>55</v>
      </c>
      <c r="AB1234" t="s">
        <v>37</v>
      </c>
      <c r="AC1234" s="6" t="s">
        <v>37</v>
      </c>
      <c r="AD1234" s="6" t="s">
        <v>37</v>
      </c>
      <c r="AE1234" t="s">
        <v>37</v>
      </c>
      <c r="AF1234" t="s">
        <v>37</v>
      </c>
      <c r="AG1234" s="6" t="s">
        <v>37</v>
      </c>
      <c r="AH1234" t="s">
        <v>37</v>
      </c>
      <c r="AI1234" t="s">
        <v>37</v>
      </c>
      <c r="AJ1234" t="str">
        <f t="shared" si="59"/>
        <v>36BT7GGLB07TLX61W7</v>
      </c>
    </row>
    <row r="1235" spans="1:36" ht="15" customHeight="1" x14ac:dyDescent="0.25">
      <c r="A1235" t="s">
        <v>210</v>
      </c>
      <c r="B1235" t="s">
        <v>37</v>
      </c>
      <c r="C1235" t="s">
        <v>37</v>
      </c>
      <c r="D1235" t="s">
        <v>38</v>
      </c>
      <c r="E1235" s="4">
        <v>2</v>
      </c>
      <c r="F1235" s="5">
        <v>68.58</v>
      </c>
      <c r="G1235" s="5" t="s">
        <v>39</v>
      </c>
      <c r="H1235" s="5">
        <v>101.62</v>
      </c>
      <c r="I1235" s="5" t="s">
        <v>39</v>
      </c>
      <c r="J1235" s="5">
        <v>2.3317199999999998</v>
      </c>
      <c r="K1235" s="5">
        <f t="shared" si="57"/>
        <v>1.1658599999999999</v>
      </c>
      <c r="L1235" s="5">
        <f t="shared" si="58"/>
        <v>34.29</v>
      </c>
      <c r="M1235" s="5" t="s">
        <v>39</v>
      </c>
      <c r="N1235" s="5">
        <v>2.3317199999999998</v>
      </c>
      <c r="O1235" s="5" t="s">
        <v>39</v>
      </c>
      <c r="P1235" t="s">
        <v>202</v>
      </c>
      <c r="Q1235" t="s">
        <v>1307</v>
      </c>
      <c r="R1235" t="s">
        <v>37</v>
      </c>
      <c r="S1235" t="s">
        <v>1308</v>
      </c>
      <c r="T1235" t="s">
        <v>43</v>
      </c>
      <c r="U1235" t="s">
        <v>44</v>
      </c>
      <c r="V1235">
        <v>147</v>
      </c>
      <c r="W1235" t="s">
        <v>45</v>
      </c>
      <c r="X1235" t="s">
        <v>46</v>
      </c>
      <c r="Y1235" t="s">
        <v>1309</v>
      </c>
      <c r="Z1235" t="s">
        <v>37</v>
      </c>
      <c r="AA1235" t="s">
        <v>55</v>
      </c>
      <c r="AB1235" t="s">
        <v>37</v>
      </c>
      <c r="AC1235" s="6" t="s">
        <v>37</v>
      </c>
      <c r="AD1235" s="6" t="s">
        <v>37</v>
      </c>
      <c r="AE1235" t="s">
        <v>37</v>
      </c>
      <c r="AF1235" t="s">
        <v>37</v>
      </c>
      <c r="AG1235" s="6" t="s">
        <v>37</v>
      </c>
      <c r="AH1235" t="s">
        <v>37</v>
      </c>
      <c r="AI1235" t="s">
        <v>37</v>
      </c>
      <c r="AJ1235" t="str">
        <f t="shared" si="59"/>
        <v>39TAD6PCB00ZWOUH4S</v>
      </c>
    </row>
    <row r="1236" spans="1:36" ht="15" customHeight="1" x14ac:dyDescent="0.25">
      <c r="A1236" t="s">
        <v>49</v>
      </c>
      <c r="B1236" t="s">
        <v>37</v>
      </c>
      <c r="C1236" t="s">
        <v>37</v>
      </c>
      <c r="D1236" t="s">
        <v>38</v>
      </c>
      <c r="E1236" s="4">
        <v>4299</v>
      </c>
      <c r="F1236" s="5">
        <v>147412.71</v>
      </c>
      <c r="G1236" s="5" t="s">
        <v>39</v>
      </c>
      <c r="H1236" s="5">
        <v>218432.19</v>
      </c>
      <c r="I1236" s="5" t="s">
        <v>39</v>
      </c>
      <c r="J1236" s="5">
        <v>5012.0321400000003</v>
      </c>
      <c r="K1236" s="5">
        <f t="shared" si="57"/>
        <v>1.1658600000000001</v>
      </c>
      <c r="L1236" s="5">
        <f t="shared" si="58"/>
        <v>34.29</v>
      </c>
      <c r="M1236" s="5" t="s">
        <v>39</v>
      </c>
      <c r="N1236" s="5">
        <v>5012.0321400000003</v>
      </c>
      <c r="O1236" s="5" t="s">
        <v>39</v>
      </c>
      <c r="P1236" t="s">
        <v>202</v>
      </c>
      <c r="Q1236" t="s">
        <v>1307</v>
      </c>
      <c r="R1236" t="s">
        <v>37</v>
      </c>
      <c r="S1236" t="s">
        <v>1308</v>
      </c>
      <c r="T1236" t="s">
        <v>43</v>
      </c>
      <c r="U1236" t="s">
        <v>44</v>
      </c>
      <c r="V1236">
        <v>147</v>
      </c>
      <c r="W1236" t="s">
        <v>45</v>
      </c>
      <c r="X1236" t="s">
        <v>46</v>
      </c>
      <c r="Y1236" t="s">
        <v>1309</v>
      </c>
      <c r="Z1236" t="s">
        <v>37</v>
      </c>
      <c r="AA1236" t="s">
        <v>55</v>
      </c>
      <c r="AB1236" t="s">
        <v>37</v>
      </c>
      <c r="AC1236" s="6" t="s">
        <v>37</v>
      </c>
      <c r="AD1236" s="6" t="s">
        <v>37</v>
      </c>
      <c r="AE1236" t="s">
        <v>37</v>
      </c>
      <c r="AF1236" t="s">
        <v>37</v>
      </c>
      <c r="AG1236" s="6" t="s">
        <v>37</v>
      </c>
      <c r="AH1236" t="s">
        <v>37</v>
      </c>
      <c r="AI1236" t="s">
        <v>37</v>
      </c>
      <c r="AJ1236" t="str">
        <f t="shared" si="59"/>
        <v>39TAD6PCB00ZWOUH4S</v>
      </c>
    </row>
    <row r="1237" spans="1:36" ht="15" customHeight="1" x14ac:dyDescent="0.25">
      <c r="A1237" t="s">
        <v>383</v>
      </c>
      <c r="B1237" t="s">
        <v>37</v>
      </c>
      <c r="C1237" t="s">
        <v>37</v>
      </c>
      <c r="D1237" t="s">
        <v>38</v>
      </c>
      <c r="E1237" s="4">
        <v>0</v>
      </c>
      <c r="F1237" s="5">
        <v>0</v>
      </c>
      <c r="G1237" s="5" t="s">
        <v>39</v>
      </c>
      <c r="H1237" s="5">
        <v>0</v>
      </c>
      <c r="I1237" s="5" t="s">
        <v>39</v>
      </c>
      <c r="J1237" s="5">
        <v>0</v>
      </c>
      <c r="K1237" s="5" t="e">
        <f t="shared" si="57"/>
        <v>#DIV/0!</v>
      </c>
      <c r="L1237" s="5" t="e">
        <f t="shared" si="58"/>
        <v>#DIV/0!</v>
      </c>
      <c r="M1237" s="5" t="s">
        <v>39</v>
      </c>
      <c r="N1237" s="5">
        <v>0</v>
      </c>
      <c r="O1237" s="5" t="s">
        <v>39</v>
      </c>
      <c r="P1237" t="s">
        <v>202</v>
      </c>
      <c r="Q1237" t="s">
        <v>1307</v>
      </c>
      <c r="R1237" t="s">
        <v>37</v>
      </c>
      <c r="S1237" t="s">
        <v>1308</v>
      </c>
      <c r="T1237" t="s">
        <v>43</v>
      </c>
      <c r="U1237" t="s">
        <v>44</v>
      </c>
      <c r="V1237">
        <v>147</v>
      </c>
      <c r="W1237" t="s">
        <v>45</v>
      </c>
      <c r="X1237" t="s">
        <v>46</v>
      </c>
      <c r="Y1237" t="s">
        <v>1309</v>
      </c>
      <c r="Z1237" t="s">
        <v>37</v>
      </c>
      <c r="AA1237" t="s">
        <v>55</v>
      </c>
      <c r="AB1237" t="s">
        <v>37</v>
      </c>
      <c r="AC1237" s="6" t="s">
        <v>37</v>
      </c>
      <c r="AD1237" s="6" t="s">
        <v>37</v>
      </c>
      <c r="AE1237" t="s">
        <v>37</v>
      </c>
      <c r="AF1237" t="s">
        <v>37</v>
      </c>
      <c r="AG1237" s="6" t="s">
        <v>37</v>
      </c>
      <c r="AH1237" t="s">
        <v>37</v>
      </c>
      <c r="AI1237" t="s">
        <v>37</v>
      </c>
      <c r="AJ1237" t="str">
        <f t="shared" si="59"/>
        <v>39TAD6PCB00ZWOUH4S</v>
      </c>
    </row>
    <row r="1238" spans="1:36" ht="15" customHeight="1" x14ac:dyDescent="0.25">
      <c r="A1238" t="s">
        <v>49</v>
      </c>
      <c r="B1238" t="s">
        <v>37</v>
      </c>
      <c r="C1238" t="s">
        <v>37</v>
      </c>
      <c r="D1238" t="s">
        <v>38</v>
      </c>
      <c r="E1238" s="4">
        <v>4</v>
      </c>
      <c r="F1238" s="5">
        <v>301.64</v>
      </c>
      <c r="G1238" s="5" t="s">
        <v>39</v>
      </c>
      <c r="H1238" s="5">
        <v>442.6</v>
      </c>
      <c r="I1238" s="5" t="s">
        <v>39</v>
      </c>
      <c r="J1238" s="5">
        <v>10.25576</v>
      </c>
      <c r="K1238" s="5">
        <f t="shared" si="57"/>
        <v>2.5639400000000001</v>
      </c>
      <c r="L1238" s="5">
        <f t="shared" si="58"/>
        <v>75.41</v>
      </c>
      <c r="M1238" s="5" t="s">
        <v>39</v>
      </c>
      <c r="N1238" s="5">
        <v>10.25576</v>
      </c>
      <c r="O1238" s="5" t="s">
        <v>39</v>
      </c>
      <c r="P1238" t="s">
        <v>195</v>
      </c>
      <c r="Q1238" t="s">
        <v>1724</v>
      </c>
      <c r="R1238" t="s">
        <v>37</v>
      </c>
      <c r="S1238" t="s">
        <v>1725</v>
      </c>
      <c r="T1238" t="s">
        <v>43</v>
      </c>
      <c r="U1238" t="s">
        <v>44</v>
      </c>
      <c r="V1238">
        <v>147</v>
      </c>
      <c r="W1238" t="s">
        <v>45</v>
      </c>
      <c r="X1238" t="s">
        <v>53</v>
      </c>
      <c r="Y1238" t="s">
        <v>1726</v>
      </c>
      <c r="Z1238" t="s">
        <v>37</v>
      </c>
      <c r="AA1238" t="s">
        <v>55</v>
      </c>
      <c r="AB1238" t="s">
        <v>37</v>
      </c>
      <c r="AC1238" s="6" t="s">
        <v>37</v>
      </c>
      <c r="AD1238" s="6" t="s">
        <v>37</v>
      </c>
      <c r="AE1238" t="s">
        <v>37</v>
      </c>
      <c r="AF1238" t="s">
        <v>37</v>
      </c>
      <c r="AG1238" s="6" t="s">
        <v>37</v>
      </c>
      <c r="AH1238" t="s">
        <v>37</v>
      </c>
      <c r="AI1238" t="s">
        <v>37</v>
      </c>
      <c r="AJ1238" t="str">
        <f t="shared" si="59"/>
        <v>5X1OU9ZGB07W6HXQ9J</v>
      </c>
    </row>
    <row r="1239" spans="1:36" ht="15" customHeight="1" x14ac:dyDescent="0.25">
      <c r="A1239" t="s">
        <v>76</v>
      </c>
      <c r="B1239" t="s">
        <v>37</v>
      </c>
      <c r="C1239" t="s">
        <v>37</v>
      </c>
      <c r="D1239" t="s">
        <v>38</v>
      </c>
      <c r="E1239" s="4">
        <v>3</v>
      </c>
      <c r="F1239" s="5">
        <v>679.05</v>
      </c>
      <c r="G1239" s="5" t="s">
        <v>39</v>
      </c>
      <c r="H1239" s="5">
        <v>1079.52</v>
      </c>
      <c r="I1239" s="5" t="s">
        <v>39</v>
      </c>
      <c r="J1239" s="5">
        <v>23.087700000000002</v>
      </c>
      <c r="K1239" s="5">
        <f t="shared" si="57"/>
        <v>7.6959000000000009</v>
      </c>
      <c r="L1239" s="5">
        <f t="shared" si="58"/>
        <v>226.35</v>
      </c>
      <c r="M1239" s="5" t="s">
        <v>39</v>
      </c>
      <c r="N1239" s="5">
        <v>23.087700000000002</v>
      </c>
      <c r="O1239" s="5" t="s">
        <v>39</v>
      </c>
      <c r="P1239" t="s">
        <v>114</v>
      </c>
      <c r="Q1239" t="s">
        <v>675</v>
      </c>
      <c r="R1239" t="s">
        <v>37</v>
      </c>
      <c r="S1239" t="s">
        <v>676</v>
      </c>
      <c r="T1239" t="s">
        <v>43</v>
      </c>
      <c r="U1239" t="s">
        <v>44</v>
      </c>
      <c r="V1239">
        <v>147</v>
      </c>
      <c r="W1239" t="s">
        <v>45</v>
      </c>
      <c r="X1239" t="s">
        <v>46</v>
      </c>
      <c r="Y1239" t="s">
        <v>677</v>
      </c>
      <c r="Z1239" t="s">
        <v>37</v>
      </c>
      <c r="AA1239" t="s">
        <v>55</v>
      </c>
      <c r="AB1239" t="s">
        <v>37</v>
      </c>
      <c r="AC1239" s="6" t="s">
        <v>37</v>
      </c>
      <c r="AD1239" s="6" t="s">
        <v>37</v>
      </c>
      <c r="AE1239" t="s">
        <v>37</v>
      </c>
      <c r="AF1239" t="s">
        <v>37</v>
      </c>
      <c r="AG1239" s="6" t="s">
        <v>37</v>
      </c>
      <c r="AH1239" t="s">
        <v>37</v>
      </c>
      <c r="AI1239" t="s">
        <v>37</v>
      </c>
      <c r="AJ1239" t="str">
        <f t="shared" si="59"/>
        <v>243WWSUAB07W7KFFFF</v>
      </c>
    </row>
    <row r="1240" spans="1:36" ht="15" customHeight="1" x14ac:dyDescent="0.25">
      <c r="A1240" t="s">
        <v>36</v>
      </c>
      <c r="B1240" t="s">
        <v>37</v>
      </c>
      <c r="C1240" t="s">
        <v>37</v>
      </c>
      <c r="D1240" t="s">
        <v>38</v>
      </c>
      <c r="E1240" s="4">
        <v>8</v>
      </c>
      <c r="F1240" s="5">
        <v>187.36</v>
      </c>
      <c r="G1240" s="5" t="s">
        <v>39</v>
      </c>
      <c r="H1240" s="5">
        <v>288.48</v>
      </c>
      <c r="I1240" s="5" t="s">
        <v>39</v>
      </c>
      <c r="J1240" s="5">
        <v>6.3702399999999999</v>
      </c>
      <c r="K1240" s="5">
        <f t="shared" si="57"/>
        <v>0.79627999999999999</v>
      </c>
      <c r="L1240" s="5">
        <f t="shared" si="58"/>
        <v>23.42</v>
      </c>
      <c r="M1240" s="5" t="s">
        <v>39</v>
      </c>
      <c r="N1240" s="5">
        <v>6.3702399999999999</v>
      </c>
      <c r="O1240" s="5" t="s">
        <v>39</v>
      </c>
      <c r="P1240" t="s">
        <v>297</v>
      </c>
      <c r="Q1240" t="s">
        <v>1811</v>
      </c>
      <c r="R1240" t="s">
        <v>37</v>
      </c>
      <c r="S1240" t="s">
        <v>1812</v>
      </c>
      <c r="T1240" t="s">
        <v>43</v>
      </c>
      <c r="U1240" t="s">
        <v>44</v>
      </c>
      <c r="V1240">
        <v>147</v>
      </c>
      <c r="W1240" t="s">
        <v>45</v>
      </c>
      <c r="X1240" t="s">
        <v>1039</v>
      </c>
      <c r="Y1240" t="s">
        <v>1813</v>
      </c>
      <c r="Z1240" t="s">
        <v>37</v>
      </c>
      <c r="AA1240" t="s">
        <v>48</v>
      </c>
      <c r="AB1240" t="s">
        <v>37</v>
      </c>
      <c r="AC1240" s="6" t="s">
        <v>37</v>
      </c>
      <c r="AD1240" s="6" t="s">
        <v>37</v>
      </c>
      <c r="AE1240" t="s">
        <v>37</v>
      </c>
      <c r="AF1240" t="s">
        <v>37</v>
      </c>
      <c r="AG1240" s="6" t="s">
        <v>37</v>
      </c>
      <c r="AH1240" t="s">
        <v>37</v>
      </c>
      <c r="AI1240" t="s">
        <v>37</v>
      </c>
      <c r="AJ1240" t="str">
        <f t="shared" si="59"/>
        <v>5KUAVFPZB01AUGT964</v>
      </c>
    </row>
    <row r="1241" spans="1:36" ht="15" customHeight="1" x14ac:dyDescent="0.25">
      <c r="A1241" t="s">
        <v>96</v>
      </c>
      <c r="B1241" t="s">
        <v>37</v>
      </c>
      <c r="C1241" t="s">
        <v>37</v>
      </c>
      <c r="D1241" t="s">
        <v>38</v>
      </c>
      <c r="E1241" s="4">
        <v>16</v>
      </c>
      <c r="F1241" s="5">
        <v>1206.56</v>
      </c>
      <c r="G1241" s="5" t="s">
        <v>39</v>
      </c>
      <c r="H1241" s="5">
        <v>1770.4</v>
      </c>
      <c r="I1241" s="5" t="s">
        <v>39</v>
      </c>
      <c r="J1241" s="5">
        <v>41.023040000000002</v>
      </c>
      <c r="K1241" s="5">
        <f t="shared" si="57"/>
        <v>2.5639400000000001</v>
      </c>
      <c r="L1241" s="5">
        <f t="shared" si="58"/>
        <v>75.41</v>
      </c>
      <c r="M1241" s="5" t="s">
        <v>39</v>
      </c>
      <c r="N1241" s="5">
        <v>41.023040000000002</v>
      </c>
      <c r="O1241" s="5" t="s">
        <v>39</v>
      </c>
      <c r="P1241" t="s">
        <v>195</v>
      </c>
      <c r="Q1241" t="s">
        <v>1724</v>
      </c>
      <c r="R1241" t="s">
        <v>37</v>
      </c>
      <c r="S1241" t="s">
        <v>1725</v>
      </c>
      <c r="T1241" t="s">
        <v>43</v>
      </c>
      <c r="U1241" t="s">
        <v>44</v>
      </c>
      <c r="V1241">
        <v>147</v>
      </c>
      <c r="W1241" t="s">
        <v>45</v>
      </c>
      <c r="X1241" t="s">
        <v>53</v>
      </c>
      <c r="Y1241" t="s">
        <v>1726</v>
      </c>
      <c r="Z1241" t="s">
        <v>37</v>
      </c>
      <c r="AA1241" t="s">
        <v>55</v>
      </c>
      <c r="AB1241" t="s">
        <v>37</v>
      </c>
      <c r="AC1241" s="6" t="s">
        <v>37</v>
      </c>
      <c r="AD1241" s="6" t="s">
        <v>37</v>
      </c>
      <c r="AE1241" t="s">
        <v>37</v>
      </c>
      <c r="AF1241" t="s">
        <v>37</v>
      </c>
      <c r="AG1241" s="6" t="s">
        <v>37</v>
      </c>
      <c r="AH1241" t="s">
        <v>37</v>
      </c>
      <c r="AI1241" t="s">
        <v>37</v>
      </c>
      <c r="AJ1241" t="str">
        <f t="shared" si="59"/>
        <v>5X1OU9ZGB07W6HXQ9J</v>
      </c>
    </row>
    <row r="1242" spans="1:36" ht="15" customHeight="1" x14ac:dyDescent="0.25">
      <c r="A1242" t="s">
        <v>62</v>
      </c>
      <c r="B1242" t="s">
        <v>37</v>
      </c>
      <c r="C1242" t="s">
        <v>37</v>
      </c>
      <c r="D1242" t="s">
        <v>38</v>
      </c>
      <c r="E1242" s="4">
        <v>24</v>
      </c>
      <c r="F1242" s="5">
        <v>773.04</v>
      </c>
      <c r="G1242" s="5" t="s">
        <v>39</v>
      </c>
      <c r="H1242" s="5">
        <v>773.04</v>
      </c>
      <c r="I1242" s="5" t="s">
        <v>39</v>
      </c>
      <c r="J1242" s="5">
        <v>26.283359999999998</v>
      </c>
      <c r="K1242" s="5">
        <f t="shared" si="57"/>
        <v>1.09514</v>
      </c>
      <c r="L1242" s="5">
        <f t="shared" si="58"/>
        <v>32.21</v>
      </c>
      <c r="M1242" s="5" t="s">
        <v>39</v>
      </c>
      <c r="N1242" s="5">
        <v>26.283359999999998</v>
      </c>
      <c r="O1242" s="5" t="s">
        <v>39</v>
      </c>
      <c r="P1242" t="s">
        <v>968</v>
      </c>
      <c r="Q1242" t="s">
        <v>1814</v>
      </c>
      <c r="R1242" t="s">
        <v>37</v>
      </c>
      <c r="S1242" t="s">
        <v>1815</v>
      </c>
      <c r="T1242" t="s">
        <v>773</v>
      </c>
      <c r="U1242" t="s">
        <v>44</v>
      </c>
      <c r="V1242">
        <v>147</v>
      </c>
      <c r="W1242" t="s">
        <v>45</v>
      </c>
      <c r="X1242" t="s">
        <v>356</v>
      </c>
      <c r="Y1242" t="s">
        <v>1816</v>
      </c>
      <c r="Z1242" t="s">
        <v>37</v>
      </c>
      <c r="AA1242" t="s">
        <v>55</v>
      </c>
      <c r="AB1242" t="s">
        <v>37</v>
      </c>
      <c r="AC1242" s="6" t="s">
        <v>37</v>
      </c>
      <c r="AD1242" s="6" t="s">
        <v>37</v>
      </c>
      <c r="AE1242" t="s">
        <v>37</v>
      </c>
      <c r="AF1242" t="s">
        <v>37</v>
      </c>
      <c r="AG1242" s="6" t="s">
        <v>37</v>
      </c>
      <c r="AH1242" t="s">
        <v>37</v>
      </c>
      <c r="AI1242" t="s">
        <v>37</v>
      </c>
      <c r="AJ1242" t="str">
        <f t="shared" si="59"/>
        <v>7LA8DZCZB07W7LHVBM</v>
      </c>
    </row>
    <row r="1243" spans="1:36" ht="15" customHeight="1" x14ac:dyDescent="0.25">
      <c r="A1243" t="s">
        <v>49</v>
      </c>
      <c r="B1243" t="s">
        <v>37</v>
      </c>
      <c r="C1243" t="s">
        <v>37</v>
      </c>
      <c r="D1243" t="s">
        <v>38</v>
      </c>
      <c r="E1243" s="4">
        <v>20</v>
      </c>
      <c r="F1243" s="5">
        <v>2337.8000000000002</v>
      </c>
      <c r="G1243" s="5" t="s">
        <v>39</v>
      </c>
      <c r="H1243" s="5">
        <v>2770.4</v>
      </c>
      <c r="I1243" s="5" t="s">
        <v>39</v>
      </c>
      <c r="J1243" s="5">
        <v>79.485200000000006</v>
      </c>
      <c r="K1243" s="5">
        <f t="shared" si="57"/>
        <v>3.9742600000000001</v>
      </c>
      <c r="L1243" s="5">
        <f t="shared" si="58"/>
        <v>116.89000000000001</v>
      </c>
      <c r="M1243" s="5" t="s">
        <v>39</v>
      </c>
      <c r="N1243" s="5">
        <v>79.485200000000006</v>
      </c>
      <c r="O1243" s="5" t="s">
        <v>39</v>
      </c>
      <c r="P1243" t="s">
        <v>202</v>
      </c>
      <c r="Q1243" t="s">
        <v>1817</v>
      </c>
      <c r="R1243" t="s">
        <v>37</v>
      </c>
      <c r="S1243" t="s">
        <v>1818</v>
      </c>
      <c r="T1243" t="s">
        <v>43</v>
      </c>
      <c r="U1243" t="s">
        <v>44</v>
      </c>
      <c r="V1243">
        <v>147</v>
      </c>
      <c r="W1243" t="s">
        <v>45</v>
      </c>
      <c r="X1243" t="s">
        <v>46</v>
      </c>
      <c r="Y1243" t="s">
        <v>1819</v>
      </c>
      <c r="Z1243" t="s">
        <v>37</v>
      </c>
      <c r="AA1243" t="s">
        <v>55</v>
      </c>
      <c r="AB1243" t="s">
        <v>37</v>
      </c>
      <c r="AC1243" s="6" t="s">
        <v>37</v>
      </c>
      <c r="AD1243" s="6" t="s">
        <v>37</v>
      </c>
      <c r="AE1243" t="s">
        <v>37</v>
      </c>
      <c r="AF1243" t="s">
        <v>37</v>
      </c>
      <c r="AG1243" s="6" t="s">
        <v>37</v>
      </c>
      <c r="AH1243" t="s">
        <v>37</v>
      </c>
      <c r="AI1243" t="s">
        <v>37</v>
      </c>
      <c r="AJ1243" t="str">
        <f t="shared" si="59"/>
        <v>39TAD6PCB07HR4KVSN</v>
      </c>
    </row>
    <row r="1244" spans="1:36" ht="15" customHeight="1" x14ac:dyDescent="0.25">
      <c r="A1244" t="s">
        <v>36</v>
      </c>
      <c r="B1244" t="s">
        <v>37</v>
      </c>
      <c r="C1244" t="s">
        <v>37</v>
      </c>
      <c r="D1244" t="s">
        <v>38</v>
      </c>
      <c r="E1244" s="4">
        <v>4</v>
      </c>
      <c r="F1244" s="5">
        <v>94.96</v>
      </c>
      <c r="G1244" s="5" t="s">
        <v>39</v>
      </c>
      <c r="H1244" s="5">
        <v>157.36000000000001</v>
      </c>
      <c r="I1244" s="5" t="s">
        <v>39</v>
      </c>
      <c r="J1244" s="5">
        <v>3.22864</v>
      </c>
      <c r="K1244" s="5">
        <f t="shared" si="57"/>
        <v>0.80715999999999999</v>
      </c>
      <c r="L1244" s="5">
        <f t="shared" si="58"/>
        <v>23.74</v>
      </c>
      <c r="M1244" s="5" t="s">
        <v>39</v>
      </c>
      <c r="N1244" s="5">
        <v>3.22864</v>
      </c>
      <c r="O1244" s="5" t="s">
        <v>39</v>
      </c>
      <c r="P1244" t="s">
        <v>365</v>
      </c>
      <c r="Q1244" t="s">
        <v>121</v>
      </c>
      <c r="R1244" t="s">
        <v>37</v>
      </c>
      <c r="S1244" t="s">
        <v>122</v>
      </c>
      <c r="T1244" t="s">
        <v>43</v>
      </c>
      <c r="U1244" t="s">
        <v>44</v>
      </c>
      <c r="V1244">
        <v>147</v>
      </c>
      <c r="W1244" t="s">
        <v>45</v>
      </c>
      <c r="X1244" t="s">
        <v>53</v>
      </c>
      <c r="Y1244" t="s">
        <v>123</v>
      </c>
      <c r="Z1244" t="s">
        <v>37</v>
      </c>
      <c r="AA1244" t="s">
        <v>95</v>
      </c>
      <c r="AB1244" t="s">
        <v>37</v>
      </c>
      <c r="AC1244" s="6" t="s">
        <v>37</v>
      </c>
      <c r="AD1244" s="6" t="s">
        <v>37</v>
      </c>
      <c r="AE1244" t="s">
        <v>37</v>
      </c>
      <c r="AF1244" t="s">
        <v>37</v>
      </c>
      <c r="AG1244" s="6" t="s">
        <v>37</v>
      </c>
      <c r="AH1244" t="s">
        <v>37</v>
      </c>
      <c r="AI1244" t="s">
        <v>37</v>
      </c>
      <c r="AJ1244" t="str">
        <f t="shared" si="59"/>
        <v>3KYCEHVHB07W6HBBMH</v>
      </c>
    </row>
    <row r="1245" spans="1:36" ht="15" customHeight="1" x14ac:dyDescent="0.25">
      <c r="A1245" t="s">
        <v>101</v>
      </c>
      <c r="B1245" t="s">
        <v>37</v>
      </c>
      <c r="C1245" t="s">
        <v>37</v>
      </c>
      <c r="D1245" t="s">
        <v>38</v>
      </c>
      <c r="E1245" s="4">
        <v>20</v>
      </c>
      <c r="F1245" s="5">
        <v>791.2</v>
      </c>
      <c r="G1245" s="5" t="s">
        <v>39</v>
      </c>
      <c r="H1245" s="5">
        <v>1311.4</v>
      </c>
      <c r="I1245" s="5" t="s">
        <v>39</v>
      </c>
      <c r="J1245" s="5">
        <v>26.9008</v>
      </c>
      <c r="K1245" s="5">
        <f t="shared" si="57"/>
        <v>1.34504</v>
      </c>
      <c r="L1245" s="5">
        <f t="shared" si="58"/>
        <v>39.56</v>
      </c>
      <c r="M1245" s="5" t="s">
        <v>39</v>
      </c>
      <c r="N1245" s="5">
        <v>26.9008</v>
      </c>
      <c r="O1245" s="5" t="s">
        <v>39</v>
      </c>
      <c r="P1245" t="s">
        <v>120</v>
      </c>
      <c r="Q1245" t="s">
        <v>498</v>
      </c>
      <c r="R1245" t="s">
        <v>37</v>
      </c>
      <c r="S1245" t="s">
        <v>499</v>
      </c>
      <c r="T1245" t="s">
        <v>43</v>
      </c>
      <c r="U1245" t="s">
        <v>44</v>
      </c>
      <c r="V1245">
        <v>147</v>
      </c>
      <c r="W1245" t="s">
        <v>45</v>
      </c>
      <c r="X1245" t="s">
        <v>46</v>
      </c>
      <c r="Y1245" t="s">
        <v>500</v>
      </c>
      <c r="Z1245" t="s">
        <v>37</v>
      </c>
      <c r="AA1245" t="s">
        <v>95</v>
      </c>
      <c r="AB1245" t="s">
        <v>37</v>
      </c>
      <c r="AC1245" s="6" t="s">
        <v>37</v>
      </c>
      <c r="AD1245" s="6" t="s">
        <v>37</v>
      </c>
      <c r="AE1245" t="s">
        <v>37</v>
      </c>
      <c r="AF1245" t="s">
        <v>37</v>
      </c>
      <c r="AG1245" s="6" t="s">
        <v>37</v>
      </c>
      <c r="AH1245" t="s">
        <v>37</v>
      </c>
      <c r="AI1245" t="s">
        <v>37</v>
      </c>
      <c r="AJ1245" t="str">
        <f t="shared" si="59"/>
        <v>5MWU8WTDB07W6HLSFF</v>
      </c>
    </row>
    <row r="1246" spans="1:36" ht="15" customHeight="1" x14ac:dyDescent="0.25">
      <c r="A1246" t="s">
        <v>118</v>
      </c>
      <c r="B1246" t="s">
        <v>37</v>
      </c>
      <c r="C1246" t="s">
        <v>37</v>
      </c>
      <c r="D1246" t="s">
        <v>38</v>
      </c>
      <c r="E1246" s="4">
        <v>20</v>
      </c>
      <c r="F1246" s="5">
        <v>468.4</v>
      </c>
      <c r="G1246" s="5" t="s">
        <v>39</v>
      </c>
      <c r="H1246" s="5">
        <v>672</v>
      </c>
      <c r="I1246" s="5" t="s">
        <v>39</v>
      </c>
      <c r="J1246" s="5">
        <v>15.925599999999999</v>
      </c>
      <c r="K1246" s="5">
        <f t="shared" si="57"/>
        <v>0.79627999999999999</v>
      </c>
      <c r="L1246" s="5">
        <f t="shared" si="58"/>
        <v>23.419999999999998</v>
      </c>
      <c r="M1246" s="5" t="s">
        <v>39</v>
      </c>
      <c r="N1246" s="5">
        <v>15.925599999999999</v>
      </c>
      <c r="O1246" s="5" t="s">
        <v>39</v>
      </c>
      <c r="P1246" t="s">
        <v>141</v>
      </c>
      <c r="Q1246" t="s">
        <v>1692</v>
      </c>
      <c r="R1246" t="s">
        <v>37</v>
      </c>
      <c r="S1246" t="s">
        <v>1693</v>
      </c>
      <c r="T1246" t="s">
        <v>43</v>
      </c>
      <c r="U1246" t="s">
        <v>44</v>
      </c>
      <c r="V1246">
        <v>147</v>
      </c>
      <c r="W1246" t="s">
        <v>45</v>
      </c>
      <c r="X1246" t="s">
        <v>60</v>
      </c>
      <c r="Y1246" t="s">
        <v>1694</v>
      </c>
      <c r="Z1246" t="s">
        <v>37</v>
      </c>
      <c r="AA1246" t="s">
        <v>55</v>
      </c>
      <c r="AB1246" t="s">
        <v>37</v>
      </c>
      <c r="AC1246" s="6" t="s">
        <v>37</v>
      </c>
      <c r="AD1246" s="6" t="s">
        <v>37</v>
      </c>
      <c r="AE1246" t="s">
        <v>37</v>
      </c>
      <c r="AF1246" t="s">
        <v>37</v>
      </c>
      <c r="AG1246" s="6" t="s">
        <v>37</v>
      </c>
      <c r="AH1246" t="s">
        <v>37</v>
      </c>
      <c r="AI1246" t="s">
        <v>37</v>
      </c>
      <c r="AJ1246" t="str">
        <f t="shared" si="59"/>
        <v>56UO2L2IB07W6JNWP8</v>
      </c>
    </row>
    <row r="1247" spans="1:36" ht="15" customHeight="1" x14ac:dyDescent="0.25">
      <c r="A1247" t="s">
        <v>96</v>
      </c>
      <c r="B1247" t="s">
        <v>37</v>
      </c>
      <c r="C1247" t="s">
        <v>37</v>
      </c>
      <c r="D1247" t="s">
        <v>38</v>
      </c>
      <c r="E1247" s="4">
        <v>460</v>
      </c>
      <c r="F1247" s="5">
        <v>4843.8</v>
      </c>
      <c r="G1247" s="5" t="s">
        <v>39</v>
      </c>
      <c r="H1247" s="5">
        <v>6785</v>
      </c>
      <c r="I1247" s="5" t="s">
        <v>39</v>
      </c>
      <c r="J1247" s="5">
        <v>164.6892</v>
      </c>
      <c r="K1247" s="5">
        <f t="shared" si="57"/>
        <v>0.35802</v>
      </c>
      <c r="L1247" s="5">
        <f t="shared" si="58"/>
        <v>10.530000000000001</v>
      </c>
      <c r="M1247" s="5" t="s">
        <v>39</v>
      </c>
      <c r="N1247" s="5">
        <v>164.6892</v>
      </c>
      <c r="O1247" s="5" t="s">
        <v>39</v>
      </c>
      <c r="P1247" t="s">
        <v>222</v>
      </c>
      <c r="Q1247" t="s">
        <v>732</v>
      </c>
      <c r="R1247" t="s">
        <v>37</v>
      </c>
      <c r="S1247" t="s">
        <v>733</v>
      </c>
      <c r="T1247" t="s">
        <v>43</v>
      </c>
      <c r="U1247" t="s">
        <v>44</v>
      </c>
      <c r="V1247">
        <v>147</v>
      </c>
      <c r="W1247" t="s">
        <v>45</v>
      </c>
      <c r="X1247" t="s">
        <v>53</v>
      </c>
      <c r="Y1247" t="s">
        <v>734</v>
      </c>
      <c r="Z1247" t="s">
        <v>37</v>
      </c>
      <c r="AA1247" t="s">
        <v>55</v>
      </c>
      <c r="AB1247" t="s">
        <v>37</v>
      </c>
      <c r="AC1247" s="6" t="s">
        <v>37</v>
      </c>
      <c r="AD1247" s="6" t="s">
        <v>37</v>
      </c>
      <c r="AE1247" t="s">
        <v>37</v>
      </c>
      <c r="AF1247" t="s">
        <v>37</v>
      </c>
      <c r="AG1247" s="6" t="s">
        <v>37</v>
      </c>
      <c r="AH1247" t="s">
        <v>37</v>
      </c>
      <c r="AI1247" t="s">
        <v>37</v>
      </c>
      <c r="AJ1247" t="str">
        <f t="shared" si="59"/>
        <v>2F7Y5WIXB00552K0GM</v>
      </c>
    </row>
    <row r="1248" spans="1:36" ht="15" customHeight="1" x14ac:dyDescent="0.25">
      <c r="A1248" t="s">
        <v>49</v>
      </c>
      <c r="B1248" t="s">
        <v>37</v>
      </c>
      <c r="C1248" t="s">
        <v>37</v>
      </c>
      <c r="D1248" t="s">
        <v>38</v>
      </c>
      <c r="E1248" s="4">
        <v>2</v>
      </c>
      <c r="F1248" s="5">
        <v>315.52</v>
      </c>
      <c r="G1248" s="5" t="s">
        <v>39</v>
      </c>
      <c r="H1248" s="5">
        <v>522.96</v>
      </c>
      <c r="I1248" s="5" t="s">
        <v>39</v>
      </c>
      <c r="J1248" s="5">
        <v>10.727679999999999</v>
      </c>
      <c r="K1248" s="5">
        <f t="shared" si="57"/>
        <v>5.3638399999999997</v>
      </c>
      <c r="L1248" s="5">
        <f t="shared" si="58"/>
        <v>157.76</v>
      </c>
      <c r="M1248" s="5" t="s">
        <v>39</v>
      </c>
      <c r="N1248" s="5">
        <v>10.727679999999999</v>
      </c>
      <c r="O1248" s="5" t="s">
        <v>39</v>
      </c>
      <c r="P1248" t="s">
        <v>195</v>
      </c>
      <c r="Q1248" t="s">
        <v>41</v>
      </c>
      <c r="R1248" t="s">
        <v>37</v>
      </c>
      <c r="S1248" t="s">
        <v>42</v>
      </c>
      <c r="T1248" t="s">
        <v>43</v>
      </c>
      <c r="U1248" t="s">
        <v>44</v>
      </c>
      <c r="V1248">
        <v>147</v>
      </c>
      <c r="W1248" t="s">
        <v>45</v>
      </c>
      <c r="X1248" t="s">
        <v>46</v>
      </c>
      <c r="Y1248" t="s">
        <v>47</v>
      </c>
      <c r="Z1248" t="s">
        <v>37</v>
      </c>
      <c r="AA1248" t="s">
        <v>48</v>
      </c>
      <c r="AB1248" t="s">
        <v>37</v>
      </c>
      <c r="AC1248" s="6" t="s">
        <v>37</v>
      </c>
      <c r="AD1248" s="6" t="s">
        <v>37</v>
      </c>
      <c r="AE1248" t="s">
        <v>37</v>
      </c>
      <c r="AF1248" t="s">
        <v>37</v>
      </c>
      <c r="AG1248" s="6" t="s">
        <v>37</v>
      </c>
      <c r="AH1248" t="s">
        <v>37</v>
      </c>
      <c r="AI1248" t="s">
        <v>37</v>
      </c>
      <c r="AJ1248" t="str">
        <f t="shared" si="59"/>
        <v>5X1OU9ZGB079Z3DSBK</v>
      </c>
    </row>
    <row r="1249" spans="1:36" ht="15" customHeight="1" x14ac:dyDescent="0.25">
      <c r="A1249" t="s">
        <v>176</v>
      </c>
      <c r="B1249" t="s">
        <v>37</v>
      </c>
      <c r="C1249" t="s">
        <v>37</v>
      </c>
      <c r="D1249" t="s">
        <v>38</v>
      </c>
      <c r="E1249" s="4">
        <v>0</v>
      </c>
      <c r="F1249" s="5">
        <v>0</v>
      </c>
      <c r="G1249" s="5" t="s">
        <v>39</v>
      </c>
      <c r="H1249" s="5">
        <v>0</v>
      </c>
      <c r="I1249" s="5" t="s">
        <v>39</v>
      </c>
      <c r="J1249" s="5">
        <v>0</v>
      </c>
      <c r="K1249" s="5" t="e">
        <f t="shared" si="57"/>
        <v>#DIV/0!</v>
      </c>
      <c r="L1249" s="5" t="e">
        <f t="shared" si="58"/>
        <v>#DIV/0!</v>
      </c>
      <c r="M1249" s="5" t="s">
        <v>39</v>
      </c>
      <c r="N1249" s="5">
        <v>0</v>
      </c>
      <c r="O1249" s="5" t="s">
        <v>39</v>
      </c>
      <c r="P1249" t="s">
        <v>128</v>
      </c>
      <c r="Q1249" t="s">
        <v>1503</v>
      </c>
      <c r="R1249" t="s">
        <v>37</v>
      </c>
      <c r="S1249" t="s">
        <v>1504</v>
      </c>
      <c r="T1249" t="s">
        <v>43</v>
      </c>
      <c r="U1249" t="s">
        <v>44</v>
      </c>
      <c r="V1249">
        <v>147</v>
      </c>
      <c r="W1249" t="s">
        <v>45</v>
      </c>
      <c r="X1249" t="s">
        <v>60</v>
      </c>
      <c r="Y1249" t="s">
        <v>1505</v>
      </c>
      <c r="Z1249" t="s">
        <v>37</v>
      </c>
      <c r="AA1249" t="s">
        <v>48</v>
      </c>
      <c r="AB1249" t="s">
        <v>37</v>
      </c>
      <c r="AC1249" s="6" t="s">
        <v>37</v>
      </c>
      <c r="AD1249" s="6" t="s">
        <v>37</v>
      </c>
      <c r="AE1249" t="s">
        <v>37</v>
      </c>
      <c r="AF1249" t="s">
        <v>37</v>
      </c>
      <c r="AG1249" s="6" t="s">
        <v>37</v>
      </c>
      <c r="AH1249" t="s">
        <v>37</v>
      </c>
      <c r="AI1249" t="s">
        <v>37</v>
      </c>
      <c r="AJ1249" t="str">
        <f t="shared" si="59"/>
        <v>7RAC5F9EB013SL2050</v>
      </c>
    </row>
    <row r="1250" spans="1:36" ht="15" customHeight="1" x14ac:dyDescent="0.25">
      <c r="A1250" t="s">
        <v>49</v>
      </c>
      <c r="B1250" t="s">
        <v>37</v>
      </c>
      <c r="C1250" t="s">
        <v>37</v>
      </c>
      <c r="D1250" t="s">
        <v>38</v>
      </c>
      <c r="E1250" s="4">
        <v>20</v>
      </c>
      <c r="F1250" s="5">
        <v>210.6</v>
      </c>
      <c r="G1250" s="5" t="s">
        <v>39</v>
      </c>
      <c r="H1250" s="5">
        <v>295</v>
      </c>
      <c r="I1250" s="5" t="s">
        <v>39</v>
      </c>
      <c r="J1250" s="5">
        <v>7.1604000000000001</v>
      </c>
      <c r="K1250" s="5">
        <f t="shared" si="57"/>
        <v>0.35802</v>
      </c>
      <c r="L1250" s="5">
        <f t="shared" si="58"/>
        <v>10.53</v>
      </c>
      <c r="M1250" s="5" t="s">
        <v>39</v>
      </c>
      <c r="N1250" s="5">
        <v>7.1604000000000001</v>
      </c>
      <c r="O1250" s="5" t="s">
        <v>39</v>
      </c>
      <c r="P1250" t="s">
        <v>222</v>
      </c>
      <c r="Q1250" t="s">
        <v>732</v>
      </c>
      <c r="R1250" t="s">
        <v>37</v>
      </c>
      <c r="S1250" t="s">
        <v>733</v>
      </c>
      <c r="T1250" t="s">
        <v>43</v>
      </c>
      <c r="U1250" t="s">
        <v>44</v>
      </c>
      <c r="V1250">
        <v>147</v>
      </c>
      <c r="W1250" t="s">
        <v>45</v>
      </c>
      <c r="X1250" t="s">
        <v>53</v>
      </c>
      <c r="Y1250" t="s">
        <v>734</v>
      </c>
      <c r="Z1250" t="s">
        <v>37</v>
      </c>
      <c r="AA1250" t="s">
        <v>55</v>
      </c>
      <c r="AB1250" t="s">
        <v>37</v>
      </c>
      <c r="AC1250" s="6" t="s">
        <v>37</v>
      </c>
      <c r="AD1250" s="6" t="s">
        <v>37</v>
      </c>
      <c r="AE1250" t="s">
        <v>37</v>
      </c>
      <c r="AF1250" t="s">
        <v>37</v>
      </c>
      <c r="AG1250" s="6" t="s">
        <v>37</v>
      </c>
      <c r="AH1250" t="s">
        <v>37</v>
      </c>
      <c r="AI1250" t="s">
        <v>37</v>
      </c>
      <c r="AJ1250" t="str">
        <f t="shared" si="59"/>
        <v>2F7Y5WIXB00552K0GM</v>
      </c>
    </row>
    <row r="1251" spans="1:36" ht="15" customHeight="1" x14ac:dyDescent="0.25">
      <c r="A1251" t="s">
        <v>96</v>
      </c>
      <c r="B1251" t="s">
        <v>37</v>
      </c>
      <c r="C1251" t="s">
        <v>37</v>
      </c>
      <c r="D1251" t="s">
        <v>38</v>
      </c>
      <c r="E1251" s="4">
        <v>64</v>
      </c>
      <c r="F1251" s="5">
        <v>10096.64</v>
      </c>
      <c r="G1251" s="5" t="s">
        <v>39</v>
      </c>
      <c r="H1251" s="5">
        <v>16734.72</v>
      </c>
      <c r="I1251" s="5" t="s">
        <v>39</v>
      </c>
      <c r="J1251" s="5">
        <v>343.28575999999998</v>
      </c>
      <c r="K1251" s="5">
        <f t="shared" si="57"/>
        <v>5.3638399999999997</v>
      </c>
      <c r="L1251" s="5">
        <f t="shared" si="58"/>
        <v>157.76</v>
      </c>
      <c r="M1251" s="5" t="s">
        <v>39</v>
      </c>
      <c r="N1251" s="5">
        <v>343.28575999999998</v>
      </c>
      <c r="O1251" s="5" t="s">
        <v>39</v>
      </c>
      <c r="P1251" t="s">
        <v>195</v>
      </c>
      <c r="Q1251" t="s">
        <v>41</v>
      </c>
      <c r="R1251" t="s">
        <v>37</v>
      </c>
      <c r="S1251" t="s">
        <v>42</v>
      </c>
      <c r="T1251" t="s">
        <v>43</v>
      </c>
      <c r="U1251" t="s">
        <v>44</v>
      </c>
      <c r="V1251">
        <v>147</v>
      </c>
      <c r="W1251" t="s">
        <v>45</v>
      </c>
      <c r="X1251" t="s">
        <v>46</v>
      </c>
      <c r="Y1251" t="s">
        <v>47</v>
      </c>
      <c r="Z1251" t="s">
        <v>37</v>
      </c>
      <c r="AA1251" t="s">
        <v>48</v>
      </c>
      <c r="AB1251" t="s">
        <v>37</v>
      </c>
      <c r="AC1251" s="6" t="s">
        <v>37</v>
      </c>
      <c r="AD1251" s="6" t="s">
        <v>37</v>
      </c>
      <c r="AE1251" t="s">
        <v>37</v>
      </c>
      <c r="AF1251" t="s">
        <v>37</v>
      </c>
      <c r="AG1251" s="6" t="s">
        <v>37</v>
      </c>
      <c r="AH1251" t="s">
        <v>37</v>
      </c>
      <c r="AI1251" t="s">
        <v>37</v>
      </c>
      <c r="AJ1251" t="str">
        <f t="shared" si="59"/>
        <v>5X1OU9ZGB079Z3DSBK</v>
      </c>
    </row>
    <row r="1252" spans="1:36" ht="15" customHeight="1" x14ac:dyDescent="0.25">
      <c r="A1252" t="s">
        <v>36</v>
      </c>
      <c r="B1252" t="s">
        <v>37</v>
      </c>
      <c r="C1252" t="s">
        <v>37</v>
      </c>
      <c r="D1252" t="s">
        <v>38</v>
      </c>
      <c r="E1252" s="4">
        <v>4</v>
      </c>
      <c r="F1252" s="5">
        <v>356.68</v>
      </c>
      <c r="G1252" s="5" t="s">
        <v>39</v>
      </c>
      <c r="H1252" s="5">
        <v>586.88</v>
      </c>
      <c r="I1252" s="5" t="s">
        <v>39</v>
      </c>
      <c r="J1252" s="5">
        <v>12.12712</v>
      </c>
      <c r="K1252" s="5">
        <f t="shared" si="57"/>
        <v>3.0317799999999999</v>
      </c>
      <c r="L1252" s="5">
        <f t="shared" si="58"/>
        <v>89.17</v>
      </c>
      <c r="M1252" s="5" t="s">
        <v>39</v>
      </c>
      <c r="N1252" s="5">
        <v>12.12712</v>
      </c>
      <c r="O1252" s="5" t="s">
        <v>39</v>
      </c>
      <c r="P1252" t="s">
        <v>270</v>
      </c>
      <c r="Q1252" t="s">
        <v>1538</v>
      </c>
      <c r="R1252" t="s">
        <v>37</v>
      </c>
      <c r="S1252" t="s">
        <v>1539</v>
      </c>
      <c r="T1252" t="s">
        <v>43</v>
      </c>
      <c r="U1252" t="s">
        <v>44</v>
      </c>
      <c r="V1252">
        <v>147</v>
      </c>
      <c r="W1252" t="s">
        <v>45</v>
      </c>
      <c r="X1252" t="s">
        <v>53</v>
      </c>
      <c r="Y1252" t="s">
        <v>1396</v>
      </c>
      <c r="Z1252" t="s">
        <v>37</v>
      </c>
      <c r="AA1252" t="s">
        <v>55</v>
      </c>
      <c r="AB1252" t="s">
        <v>37</v>
      </c>
      <c r="AC1252" s="6" t="s">
        <v>37</v>
      </c>
      <c r="AD1252" s="6" t="s">
        <v>37</v>
      </c>
      <c r="AE1252" t="s">
        <v>37</v>
      </c>
      <c r="AF1252" t="s">
        <v>37</v>
      </c>
      <c r="AG1252" s="6" t="s">
        <v>37</v>
      </c>
      <c r="AH1252" t="s">
        <v>37</v>
      </c>
      <c r="AI1252" t="s">
        <v>37</v>
      </c>
      <c r="AJ1252" t="str">
        <f t="shared" si="59"/>
        <v>1X4DXX4TB07W5JJSBK</v>
      </c>
    </row>
    <row r="1253" spans="1:36" ht="15" customHeight="1" x14ac:dyDescent="0.25">
      <c r="A1253" t="s">
        <v>36</v>
      </c>
      <c r="B1253" t="s">
        <v>37</v>
      </c>
      <c r="C1253" t="s">
        <v>37</v>
      </c>
      <c r="D1253" t="s">
        <v>38</v>
      </c>
      <c r="E1253" s="4">
        <v>20</v>
      </c>
      <c r="F1253" s="5">
        <v>527.4</v>
      </c>
      <c r="G1253" s="5" t="s">
        <v>39</v>
      </c>
      <c r="H1253" s="5">
        <v>852.2</v>
      </c>
      <c r="I1253" s="5" t="s">
        <v>39</v>
      </c>
      <c r="J1253" s="5">
        <v>17.9316</v>
      </c>
      <c r="K1253" s="5">
        <f t="shared" si="57"/>
        <v>0.89657999999999993</v>
      </c>
      <c r="L1253" s="5">
        <f t="shared" si="58"/>
        <v>26.369999999999997</v>
      </c>
      <c r="M1253" s="5" t="s">
        <v>39</v>
      </c>
      <c r="N1253" s="5">
        <v>17.9316</v>
      </c>
      <c r="O1253" s="5" t="s">
        <v>39</v>
      </c>
      <c r="P1253" t="s">
        <v>133</v>
      </c>
      <c r="Q1253" t="s">
        <v>1060</v>
      </c>
      <c r="R1253" t="s">
        <v>37</v>
      </c>
      <c r="S1253" t="s">
        <v>1061</v>
      </c>
      <c r="T1253" t="s">
        <v>43</v>
      </c>
      <c r="U1253" t="s">
        <v>44</v>
      </c>
      <c r="V1253">
        <v>63</v>
      </c>
      <c r="W1253" t="s">
        <v>45</v>
      </c>
      <c r="X1253" t="s">
        <v>46</v>
      </c>
      <c r="Y1253" t="s">
        <v>1062</v>
      </c>
      <c r="Z1253" t="s">
        <v>37</v>
      </c>
      <c r="AA1253" t="s">
        <v>307</v>
      </c>
      <c r="AB1253" t="s">
        <v>37</v>
      </c>
      <c r="AC1253" s="6" t="s">
        <v>37</v>
      </c>
      <c r="AD1253" s="6" t="s">
        <v>37</v>
      </c>
      <c r="AE1253" t="s">
        <v>37</v>
      </c>
      <c r="AF1253" t="s">
        <v>37</v>
      </c>
      <c r="AG1253" s="6" t="s">
        <v>37</v>
      </c>
      <c r="AH1253" t="s">
        <v>37</v>
      </c>
      <c r="AI1253" t="s">
        <v>37</v>
      </c>
      <c r="AJ1253" t="str">
        <f t="shared" si="59"/>
        <v>36BT7GGLB07W4DHKTB</v>
      </c>
    </row>
    <row r="1254" spans="1:36" ht="15" customHeight="1" x14ac:dyDescent="0.25">
      <c r="A1254" t="s">
        <v>62</v>
      </c>
      <c r="B1254" t="s">
        <v>37</v>
      </c>
      <c r="C1254" t="s">
        <v>37</v>
      </c>
      <c r="D1254" t="s">
        <v>38</v>
      </c>
      <c r="E1254" s="4">
        <v>12</v>
      </c>
      <c r="F1254" s="5">
        <v>351.36</v>
      </c>
      <c r="G1254" s="5" t="s">
        <v>39</v>
      </c>
      <c r="H1254" s="5">
        <v>392.4</v>
      </c>
      <c r="I1254" s="5" t="s">
        <v>39</v>
      </c>
      <c r="J1254" s="5">
        <v>11.94624</v>
      </c>
      <c r="K1254" s="5">
        <f t="shared" si="57"/>
        <v>0.99551999999999996</v>
      </c>
      <c r="L1254" s="5">
        <f t="shared" si="58"/>
        <v>29.28</v>
      </c>
      <c r="M1254" s="5" t="s">
        <v>39</v>
      </c>
      <c r="N1254" s="5">
        <v>11.94624</v>
      </c>
      <c r="O1254" s="5" t="s">
        <v>39</v>
      </c>
      <c r="P1254" t="s">
        <v>102</v>
      </c>
      <c r="Q1254" t="s">
        <v>1820</v>
      </c>
      <c r="R1254" t="s">
        <v>37</v>
      </c>
      <c r="S1254" t="s">
        <v>1821</v>
      </c>
      <c r="T1254" t="s">
        <v>43</v>
      </c>
      <c r="U1254" t="s">
        <v>44</v>
      </c>
      <c r="V1254">
        <v>147</v>
      </c>
      <c r="W1254" t="s">
        <v>45</v>
      </c>
      <c r="X1254" t="s">
        <v>60</v>
      </c>
      <c r="Y1254" t="s">
        <v>1822</v>
      </c>
      <c r="Z1254" t="s">
        <v>37</v>
      </c>
      <c r="AA1254" t="s">
        <v>55</v>
      </c>
      <c r="AB1254" t="s">
        <v>37</v>
      </c>
      <c r="AC1254" s="6" t="s">
        <v>37</v>
      </c>
      <c r="AD1254" s="6" t="s">
        <v>37</v>
      </c>
      <c r="AE1254" t="s">
        <v>37</v>
      </c>
      <c r="AF1254" t="s">
        <v>37</v>
      </c>
      <c r="AG1254" s="6" t="s">
        <v>37</v>
      </c>
      <c r="AH1254" t="s">
        <v>37</v>
      </c>
      <c r="AI1254" t="s">
        <v>37</v>
      </c>
      <c r="AJ1254" t="str">
        <f t="shared" si="59"/>
        <v>2M7QFTCOB005KSYPGW</v>
      </c>
    </row>
    <row r="1255" spans="1:36" ht="15" customHeight="1" x14ac:dyDescent="0.25">
      <c r="A1255" t="s">
        <v>127</v>
      </c>
      <c r="B1255" t="s">
        <v>37</v>
      </c>
      <c r="C1255" t="s">
        <v>37</v>
      </c>
      <c r="D1255" t="s">
        <v>38</v>
      </c>
      <c r="E1255" s="4">
        <v>4</v>
      </c>
      <c r="F1255" s="5">
        <v>293.36</v>
      </c>
      <c r="G1255" s="5" t="s">
        <v>39</v>
      </c>
      <c r="H1255" s="5">
        <v>475.4</v>
      </c>
      <c r="I1255" s="5" t="s">
        <v>39</v>
      </c>
      <c r="J1255" s="5">
        <v>9.97424</v>
      </c>
      <c r="K1255" s="5">
        <f t="shared" si="57"/>
        <v>2.49356</v>
      </c>
      <c r="L1255" s="5">
        <f t="shared" si="58"/>
        <v>73.34</v>
      </c>
      <c r="M1255" s="5" t="s">
        <v>39</v>
      </c>
      <c r="N1255" s="5">
        <v>9.97424</v>
      </c>
      <c r="O1255" s="5" t="s">
        <v>39</v>
      </c>
      <c r="P1255" t="s">
        <v>119</v>
      </c>
      <c r="Q1255" t="s">
        <v>873</v>
      </c>
      <c r="R1255" t="s">
        <v>37</v>
      </c>
      <c r="S1255" t="s">
        <v>874</v>
      </c>
      <c r="T1255" t="s">
        <v>43</v>
      </c>
      <c r="U1255" t="s">
        <v>44</v>
      </c>
      <c r="V1255">
        <v>147</v>
      </c>
      <c r="W1255" t="s">
        <v>45</v>
      </c>
      <c r="X1255" t="s">
        <v>46</v>
      </c>
      <c r="Y1255" t="s">
        <v>875</v>
      </c>
      <c r="Z1255" t="s">
        <v>37</v>
      </c>
      <c r="AA1255" t="s">
        <v>48</v>
      </c>
      <c r="AB1255" t="s">
        <v>37</v>
      </c>
      <c r="AC1255" s="6" t="s">
        <v>37</v>
      </c>
      <c r="AD1255" s="6" t="s">
        <v>37</v>
      </c>
      <c r="AE1255" t="s">
        <v>37</v>
      </c>
      <c r="AF1255" t="s">
        <v>37</v>
      </c>
      <c r="AG1255" s="6" t="s">
        <v>37</v>
      </c>
      <c r="AH1255" t="s">
        <v>37</v>
      </c>
      <c r="AI1255" t="s">
        <v>37</v>
      </c>
      <c r="AJ1255" t="str">
        <f t="shared" si="59"/>
        <v>31DJDC7QB0728J7D3B</v>
      </c>
    </row>
    <row r="1256" spans="1:36" ht="15" customHeight="1" x14ac:dyDescent="0.25">
      <c r="A1256" t="s">
        <v>36</v>
      </c>
      <c r="B1256" t="s">
        <v>37</v>
      </c>
      <c r="C1256" t="s">
        <v>37</v>
      </c>
      <c r="D1256" t="s">
        <v>38</v>
      </c>
      <c r="E1256" s="4">
        <v>124</v>
      </c>
      <c r="F1256" s="5">
        <v>9094.16</v>
      </c>
      <c r="G1256" s="5" t="s">
        <v>39</v>
      </c>
      <c r="H1256" s="5">
        <v>14737.4</v>
      </c>
      <c r="I1256" s="5" t="s">
        <v>39</v>
      </c>
      <c r="J1256" s="5">
        <v>309.20143999999999</v>
      </c>
      <c r="K1256" s="5">
        <f t="shared" si="57"/>
        <v>2.49356</v>
      </c>
      <c r="L1256" s="5">
        <f t="shared" si="58"/>
        <v>73.34</v>
      </c>
      <c r="M1256" s="5" t="s">
        <v>39</v>
      </c>
      <c r="N1256" s="5">
        <v>309.20143999999999</v>
      </c>
      <c r="O1256" s="5" t="s">
        <v>39</v>
      </c>
      <c r="P1256" t="s">
        <v>119</v>
      </c>
      <c r="Q1256" t="s">
        <v>873</v>
      </c>
      <c r="R1256" t="s">
        <v>37</v>
      </c>
      <c r="S1256" t="s">
        <v>874</v>
      </c>
      <c r="T1256" t="s">
        <v>43</v>
      </c>
      <c r="U1256" t="s">
        <v>44</v>
      </c>
      <c r="V1256">
        <v>147</v>
      </c>
      <c r="W1256" t="s">
        <v>45</v>
      </c>
      <c r="X1256" t="s">
        <v>46</v>
      </c>
      <c r="Y1256" t="s">
        <v>875</v>
      </c>
      <c r="Z1256" t="s">
        <v>37</v>
      </c>
      <c r="AA1256" t="s">
        <v>48</v>
      </c>
      <c r="AB1256" t="s">
        <v>37</v>
      </c>
      <c r="AC1256" s="6" t="s">
        <v>37</v>
      </c>
      <c r="AD1256" s="6" t="s">
        <v>37</v>
      </c>
      <c r="AE1256" t="s">
        <v>37</v>
      </c>
      <c r="AF1256" t="s">
        <v>37</v>
      </c>
      <c r="AG1256" s="6" t="s">
        <v>37</v>
      </c>
      <c r="AH1256" t="s">
        <v>37</v>
      </c>
      <c r="AI1256" t="s">
        <v>37</v>
      </c>
      <c r="AJ1256" t="str">
        <f t="shared" si="59"/>
        <v>31DJDC7QB0728J7D3B</v>
      </c>
    </row>
    <row r="1257" spans="1:36" ht="15" customHeight="1" x14ac:dyDescent="0.25">
      <c r="A1257" t="s">
        <v>127</v>
      </c>
      <c r="B1257" t="s">
        <v>37</v>
      </c>
      <c r="C1257" t="s">
        <v>37</v>
      </c>
      <c r="D1257" t="s">
        <v>38</v>
      </c>
      <c r="E1257" s="4">
        <v>0</v>
      </c>
      <c r="F1257" s="5">
        <v>0</v>
      </c>
      <c r="G1257" s="5" t="s">
        <v>39</v>
      </c>
      <c r="H1257" s="5">
        <v>0</v>
      </c>
      <c r="I1257" s="5" t="s">
        <v>39</v>
      </c>
      <c r="J1257" s="5">
        <v>0</v>
      </c>
      <c r="K1257" s="5" t="e">
        <f t="shared" si="57"/>
        <v>#DIV/0!</v>
      </c>
      <c r="L1257" s="5" t="e">
        <f t="shared" si="58"/>
        <v>#DIV/0!</v>
      </c>
      <c r="M1257" s="5" t="s">
        <v>39</v>
      </c>
      <c r="N1257" s="5">
        <v>0</v>
      </c>
      <c r="O1257" s="5" t="s">
        <v>39</v>
      </c>
      <c r="P1257" t="s">
        <v>202</v>
      </c>
      <c r="Q1257" t="s">
        <v>1817</v>
      </c>
      <c r="R1257" t="s">
        <v>37</v>
      </c>
      <c r="S1257" t="s">
        <v>1818</v>
      </c>
      <c r="T1257" t="s">
        <v>43</v>
      </c>
      <c r="U1257" t="s">
        <v>44</v>
      </c>
      <c r="V1257">
        <v>147</v>
      </c>
      <c r="W1257" t="s">
        <v>45</v>
      </c>
      <c r="X1257" t="s">
        <v>46</v>
      </c>
      <c r="Y1257" t="s">
        <v>1819</v>
      </c>
      <c r="Z1257" t="s">
        <v>37</v>
      </c>
      <c r="AA1257" t="s">
        <v>55</v>
      </c>
      <c r="AB1257" t="s">
        <v>37</v>
      </c>
      <c r="AC1257" s="6" t="s">
        <v>37</v>
      </c>
      <c r="AD1257" s="6" t="s">
        <v>37</v>
      </c>
      <c r="AE1257" t="s">
        <v>37</v>
      </c>
      <c r="AF1257" t="s">
        <v>37</v>
      </c>
      <c r="AG1257" s="6" t="s">
        <v>37</v>
      </c>
      <c r="AH1257" t="s">
        <v>37</v>
      </c>
      <c r="AI1257" t="s">
        <v>37</v>
      </c>
      <c r="AJ1257" t="str">
        <f t="shared" si="59"/>
        <v>39TAD6PCB07HR4KVSN</v>
      </c>
    </row>
    <row r="1258" spans="1:36" ht="15" customHeight="1" x14ac:dyDescent="0.25">
      <c r="A1258" t="s">
        <v>127</v>
      </c>
      <c r="B1258" t="s">
        <v>37</v>
      </c>
      <c r="C1258" t="s">
        <v>37</v>
      </c>
      <c r="D1258" t="s">
        <v>38</v>
      </c>
      <c r="E1258" s="4">
        <v>32</v>
      </c>
      <c r="F1258" s="5">
        <v>2023.36</v>
      </c>
      <c r="G1258" s="5" t="s">
        <v>39</v>
      </c>
      <c r="H1258" s="5">
        <v>3121.28</v>
      </c>
      <c r="I1258" s="5" t="s">
        <v>39</v>
      </c>
      <c r="J1258" s="5">
        <v>68.794240000000002</v>
      </c>
      <c r="K1258" s="5">
        <f t="shared" si="57"/>
        <v>2.1498200000000001</v>
      </c>
      <c r="L1258" s="5">
        <f t="shared" si="58"/>
        <v>63.23</v>
      </c>
      <c r="M1258" s="5" t="s">
        <v>39</v>
      </c>
      <c r="N1258" s="5">
        <v>68.794240000000002</v>
      </c>
      <c r="O1258" s="5" t="s">
        <v>39</v>
      </c>
      <c r="P1258" t="s">
        <v>365</v>
      </c>
      <c r="Q1258" t="s">
        <v>1808</v>
      </c>
      <c r="R1258" t="s">
        <v>37</v>
      </c>
      <c r="S1258" t="s">
        <v>1809</v>
      </c>
      <c r="T1258" t="s">
        <v>43</v>
      </c>
      <c r="U1258" t="s">
        <v>44</v>
      </c>
      <c r="V1258">
        <v>147</v>
      </c>
      <c r="W1258" t="s">
        <v>45</v>
      </c>
      <c r="X1258" t="s">
        <v>53</v>
      </c>
      <c r="Y1258" t="s">
        <v>1810</v>
      </c>
      <c r="Z1258" t="s">
        <v>37</v>
      </c>
      <c r="AA1258" t="s">
        <v>55</v>
      </c>
      <c r="AB1258" t="s">
        <v>37</v>
      </c>
      <c r="AC1258" s="6" t="s">
        <v>37</v>
      </c>
      <c r="AD1258" s="6" t="s">
        <v>37</v>
      </c>
      <c r="AE1258" t="s">
        <v>37</v>
      </c>
      <c r="AF1258" t="s">
        <v>37</v>
      </c>
      <c r="AG1258" s="6" t="s">
        <v>37</v>
      </c>
      <c r="AH1258" t="s">
        <v>37</v>
      </c>
      <c r="AI1258" t="s">
        <v>37</v>
      </c>
      <c r="AJ1258" t="str">
        <f t="shared" si="59"/>
        <v>3KYCEHVHB07W4DGVQF</v>
      </c>
    </row>
    <row r="1259" spans="1:36" ht="15" customHeight="1" x14ac:dyDescent="0.25">
      <c r="A1259" t="s">
        <v>955</v>
      </c>
      <c r="B1259" t="s">
        <v>37</v>
      </c>
      <c r="C1259" t="s">
        <v>37</v>
      </c>
      <c r="D1259" t="s">
        <v>38</v>
      </c>
      <c r="E1259" s="4">
        <v>8</v>
      </c>
      <c r="F1259" s="5">
        <v>505.84</v>
      </c>
      <c r="G1259" s="5" t="s">
        <v>39</v>
      </c>
      <c r="H1259" s="5">
        <v>780.32</v>
      </c>
      <c r="I1259" s="5" t="s">
        <v>39</v>
      </c>
      <c r="J1259" s="5">
        <v>17.198560000000001</v>
      </c>
      <c r="K1259" s="5">
        <f t="shared" si="57"/>
        <v>2.1498200000000001</v>
      </c>
      <c r="L1259" s="5">
        <f t="shared" si="58"/>
        <v>63.23</v>
      </c>
      <c r="M1259" s="5" t="s">
        <v>39</v>
      </c>
      <c r="N1259" s="5">
        <v>17.198560000000001</v>
      </c>
      <c r="O1259" s="5" t="s">
        <v>39</v>
      </c>
      <c r="P1259" t="s">
        <v>365</v>
      </c>
      <c r="Q1259" t="s">
        <v>1808</v>
      </c>
      <c r="R1259" t="s">
        <v>37</v>
      </c>
      <c r="S1259" t="s">
        <v>1809</v>
      </c>
      <c r="T1259" t="s">
        <v>43</v>
      </c>
      <c r="U1259" t="s">
        <v>44</v>
      </c>
      <c r="V1259">
        <v>147</v>
      </c>
      <c r="W1259" t="s">
        <v>45</v>
      </c>
      <c r="X1259" t="s">
        <v>53</v>
      </c>
      <c r="Y1259" t="s">
        <v>1810</v>
      </c>
      <c r="Z1259" t="s">
        <v>37</v>
      </c>
      <c r="AA1259" t="s">
        <v>55</v>
      </c>
      <c r="AB1259" t="s">
        <v>37</v>
      </c>
      <c r="AC1259" s="6" t="s">
        <v>37</v>
      </c>
      <c r="AD1259" s="6" t="s">
        <v>37</v>
      </c>
      <c r="AE1259" t="s">
        <v>37</v>
      </c>
      <c r="AF1259" t="s">
        <v>37</v>
      </c>
      <c r="AG1259" s="6" t="s">
        <v>37</v>
      </c>
      <c r="AH1259" t="s">
        <v>37</v>
      </c>
      <c r="AI1259" t="s">
        <v>37</v>
      </c>
      <c r="AJ1259" t="str">
        <f t="shared" si="59"/>
        <v>3KYCEHVHB07W4DGVQF</v>
      </c>
    </row>
    <row r="1260" spans="1:36" ht="15" customHeight="1" x14ac:dyDescent="0.25">
      <c r="A1260" t="s">
        <v>284</v>
      </c>
      <c r="B1260" t="s">
        <v>37</v>
      </c>
      <c r="C1260" t="s">
        <v>37</v>
      </c>
      <c r="D1260" t="s">
        <v>38</v>
      </c>
      <c r="E1260" s="4">
        <v>8</v>
      </c>
      <c r="F1260" s="5">
        <v>505.84</v>
      </c>
      <c r="G1260" s="5" t="s">
        <v>39</v>
      </c>
      <c r="H1260" s="5">
        <v>780.32</v>
      </c>
      <c r="I1260" s="5" t="s">
        <v>39</v>
      </c>
      <c r="J1260" s="5">
        <v>17.198560000000001</v>
      </c>
      <c r="K1260" s="5">
        <f t="shared" si="57"/>
        <v>2.1498200000000001</v>
      </c>
      <c r="L1260" s="5">
        <f t="shared" si="58"/>
        <v>63.23</v>
      </c>
      <c r="M1260" s="5" t="s">
        <v>39</v>
      </c>
      <c r="N1260" s="5">
        <v>17.198560000000001</v>
      </c>
      <c r="O1260" s="5" t="s">
        <v>39</v>
      </c>
      <c r="P1260" t="s">
        <v>365</v>
      </c>
      <c r="Q1260" t="s">
        <v>1808</v>
      </c>
      <c r="R1260" t="s">
        <v>37</v>
      </c>
      <c r="S1260" t="s">
        <v>1809</v>
      </c>
      <c r="T1260" t="s">
        <v>43</v>
      </c>
      <c r="U1260" t="s">
        <v>44</v>
      </c>
      <c r="V1260">
        <v>147</v>
      </c>
      <c r="W1260" t="s">
        <v>45</v>
      </c>
      <c r="X1260" t="s">
        <v>53</v>
      </c>
      <c r="Y1260" t="s">
        <v>1810</v>
      </c>
      <c r="Z1260" t="s">
        <v>37</v>
      </c>
      <c r="AA1260" t="s">
        <v>55</v>
      </c>
      <c r="AB1260" t="s">
        <v>37</v>
      </c>
      <c r="AC1260" s="6" t="s">
        <v>37</v>
      </c>
      <c r="AD1260" s="6" t="s">
        <v>37</v>
      </c>
      <c r="AE1260" t="s">
        <v>37</v>
      </c>
      <c r="AF1260" t="s">
        <v>37</v>
      </c>
      <c r="AG1260" s="6" t="s">
        <v>37</v>
      </c>
      <c r="AH1260" t="s">
        <v>37</v>
      </c>
      <c r="AI1260" t="s">
        <v>37</v>
      </c>
      <c r="AJ1260" t="str">
        <f t="shared" si="59"/>
        <v>3KYCEHVHB07W4DGVQF</v>
      </c>
    </row>
    <row r="1261" spans="1:36" ht="15" customHeight="1" x14ac:dyDescent="0.25">
      <c r="A1261" t="s">
        <v>215</v>
      </c>
      <c r="B1261" t="s">
        <v>37</v>
      </c>
      <c r="C1261" t="s">
        <v>37</v>
      </c>
      <c r="D1261" t="s">
        <v>38</v>
      </c>
      <c r="E1261" s="4">
        <v>0</v>
      </c>
      <c r="F1261" s="5">
        <v>0</v>
      </c>
      <c r="G1261" s="5" t="s">
        <v>39</v>
      </c>
      <c r="H1261" s="5">
        <v>0</v>
      </c>
      <c r="I1261" s="5" t="s">
        <v>39</v>
      </c>
      <c r="J1261" s="5">
        <v>0</v>
      </c>
      <c r="K1261" s="5" t="e">
        <f t="shared" si="57"/>
        <v>#DIV/0!</v>
      </c>
      <c r="L1261" s="5" t="e">
        <f t="shared" si="58"/>
        <v>#DIV/0!</v>
      </c>
      <c r="M1261" s="5" t="s">
        <v>39</v>
      </c>
      <c r="N1261" s="5">
        <v>0</v>
      </c>
      <c r="O1261" s="5" t="s">
        <v>39</v>
      </c>
      <c r="P1261" t="s">
        <v>119</v>
      </c>
      <c r="Q1261" t="s">
        <v>873</v>
      </c>
      <c r="R1261" t="s">
        <v>37</v>
      </c>
      <c r="S1261" t="s">
        <v>874</v>
      </c>
      <c r="T1261" t="s">
        <v>43</v>
      </c>
      <c r="U1261" t="s">
        <v>44</v>
      </c>
      <c r="V1261">
        <v>147</v>
      </c>
      <c r="W1261" t="s">
        <v>45</v>
      </c>
      <c r="X1261" t="s">
        <v>46</v>
      </c>
      <c r="Y1261" t="s">
        <v>875</v>
      </c>
      <c r="Z1261" t="s">
        <v>37</v>
      </c>
      <c r="AA1261" t="s">
        <v>48</v>
      </c>
      <c r="AB1261" t="s">
        <v>37</v>
      </c>
      <c r="AC1261" s="6" t="s">
        <v>37</v>
      </c>
      <c r="AD1261" s="6" t="s">
        <v>37</v>
      </c>
      <c r="AE1261" t="s">
        <v>37</v>
      </c>
      <c r="AF1261" t="s">
        <v>37</v>
      </c>
      <c r="AG1261" s="6" t="s">
        <v>37</v>
      </c>
      <c r="AH1261" t="s">
        <v>37</v>
      </c>
      <c r="AI1261" t="s">
        <v>37</v>
      </c>
      <c r="AJ1261" t="str">
        <f t="shared" si="59"/>
        <v>31DJDC7QB0728J7D3B</v>
      </c>
    </row>
    <row r="1262" spans="1:36" ht="15" customHeight="1" x14ac:dyDescent="0.25">
      <c r="A1262" t="s">
        <v>411</v>
      </c>
      <c r="B1262" t="s">
        <v>37</v>
      </c>
      <c r="C1262" t="s">
        <v>37</v>
      </c>
      <c r="D1262" t="s">
        <v>38</v>
      </c>
      <c r="E1262" s="4">
        <v>4</v>
      </c>
      <c r="F1262" s="5">
        <v>441.08</v>
      </c>
      <c r="G1262" s="5" t="s">
        <v>39</v>
      </c>
      <c r="H1262" s="5">
        <v>750.8</v>
      </c>
      <c r="I1262" s="5" t="s">
        <v>39</v>
      </c>
      <c r="J1262" s="5">
        <v>14.99672</v>
      </c>
      <c r="K1262" s="5">
        <f t="shared" si="57"/>
        <v>3.74918</v>
      </c>
      <c r="L1262" s="5">
        <f t="shared" si="58"/>
        <v>110.27</v>
      </c>
      <c r="M1262" s="5" t="s">
        <v>39</v>
      </c>
      <c r="N1262" s="5">
        <v>14.99672</v>
      </c>
      <c r="O1262" s="5" t="s">
        <v>39</v>
      </c>
      <c r="P1262" t="s">
        <v>522</v>
      </c>
      <c r="Q1262" t="s">
        <v>1823</v>
      </c>
      <c r="R1262" t="s">
        <v>37</v>
      </c>
      <c r="S1262" t="s">
        <v>1824</v>
      </c>
      <c r="T1262" t="s">
        <v>43</v>
      </c>
      <c r="U1262" t="s">
        <v>44</v>
      </c>
      <c r="V1262">
        <v>147</v>
      </c>
      <c r="W1262" t="s">
        <v>45</v>
      </c>
      <c r="X1262" t="s">
        <v>60</v>
      </c>
      <c r="Y1262" t="s">
        <v>1825</v>
      </c>
      <c r="Z1262" t="s">
        <v>37</v>
      </c>
      <c r="AA1262" t="s">
        <v>454</v>
      </c>
      <c r="AB1262" t="s">
        <v>37</v>
      </c>
      <c r="AC1262" s="6" t="s">
        <v>37</v>
      </c>
      <c r="AD1262" s="6" t="s">
        <v>37</v>
      </c>
      <c r="AE1262" t="s">
        <v>37</v>
      </c>
      <c r="AF1262" t="s">
        <v>37</v>
      </c>
      <c r="AG1262" s="6" t="s">
        <v>37</v>
      </c>
      <c r="AH1262" t="s">
        <v>37</v>
      </c>
      <c r="AI1262" t="s">
        <v>37</v>
      </c>
      <c r="AJ1262" t="str">
        <f t="shared" si="59"/>
        <v>24EUBTHXB07VTRX1LD</v>
      </c>
    </row>
    <row r="1263" spans="1:36" ht="15" customHeight="1" x14ac:dyDescent="0.25">
      <c r="A1263" t="s">
        <v>36</v>
      </c>
      <c r="B1263" t="s">
        <v>37</v>
      </c>
      <c r="C1263" t="s">
        <v>37</v>
      </c>
      <c r="D1263" t="s">
        <v>38</v>
      </c>
      <c r="E1263" s="4">
        <v>56</v>
      </c>
      <c r="F1263" s="5">
        <v>3898.16</v>
      </c>
      <c r="G1263" s="5" t="s">
        <v>39</v>
      </c>
      <c r="H1263" s="5">
        <v>5737.2</v>
      </c>
      <c r="I1263" s="5" t="s">
        <v>39</v>
      </c>
      <c r="J1263" s="5">
        <v>132.53744</v>
      </c>
      <c r="K1263" s="5">
        <f t="shared" si="57"/>
        <v>2.3667400000000001</v>
      </c>
      <c r="L1263" s="5">
        <f t="shared" si="58"/>
        <v>69.61</v>
      </c>
      <c r="M1263" s="5" t="s">
        <v>39</v>
      </c>
      <c r="N1263" s="5">
        <v>132.53744</v>
      </c>
      <c r="O1263" s="5" t="s">
        <v>39</v>
      </c>
      <c r="P1263" t="s">
        <v>119</v>
      </c>
      <c r="Q1263" t="s">
        <v>1826</v>
      </c>
      <c r="R1263" t="s">
        <v>37</v>
      </c>
      <c r="S1263" t="s">
        <v>1827</v>
      </c>
      <c r="T1263" t="s">
        <v>43</v>
      </c>
      <c r="U1263" t="s">
        <v>44</v>
      </c>
      <c r="V1263">
        <v>147</v>
      </c>
      <c r="W1263" t="s">
        <v>45</v>
      </c>
      <c r="X1263" t="s">
        <v>60</v>
      </c>
      <c r="Y1263" t="s">
        <v>1828</v>
      </c>
      <c r="Z1263" t="s">
        <v>37</v>
      </c>
      <c r="AA1263" t="s">
        <v>48</v>
      </c>
      <c r="AB1263" t="s">
        <v>37</v>
      </c>
      <c r="AC1263" s="6" t="s">
        <v>37</v>
      </c>
      <c r="AD1263" s="6" t="s">
        <v>37</v>
      </c>
      <c r="AE1263" t="s">
        <v>37</v>
      </c>
      <c r="AF1263" t="s">
        <v>37</v>
      </c>
      <c r="AG1263" s="6" t="s">
        <v>37</v>
      </c>
      <c r="AH1263" t="s">
        <v>37</v>
      </c>
      <c r="AI1263" t="s">
        <v>37</v>
      </c>
      <c r="AJ1263" t="str">
        <f t="shared" si="59"/>
        <v>31DJDC7QB01GNP4Y70</v>
      </c>
    </row>
    <row r="1264" spans="1:36" ht="15" customHeight="1" x14ac:dyDescent="0.25">
      <c r="A1264" t="s">
        <v>118</v>
      </c>
      <c r="B1264" t="s">
        <v>37</v>
      </c>
      <c r="C1264" t="s">
        <v>37</v>
      </c>
      <c r="D1264" t="s">
        <v>38</v>
      </c>
      <c r="E1264" s="4">
        <v>28</v>
      </c>
      <c r="F1264" s="5">
        <v>1932.84</v>
      </c>
      <c r="G1264" s="5" t="s">
        <v>39</v>
      </c>
      <c r="H1264" s="5">
        <v>2960.72</v>
      </c>
      <c r="I1264" s="5" t="s">
        <v>39</v>
      </c>
      <c r="J1264" s="5">
        <v>65.716560000000001</v>
      </c>
      <c r="K1264" s="5">
        <f t="shared" si="57"/>
        <v>2.3470200000000001</v>
      </c>
      <c r="L1264" s="5">
        <f t="shared" si="58"/>
        <v>69.03</v>
      </c>
      <c r="M1264" s="5" t="s">
        <v>39</v>
      </c>
      <c r="N1264" s="5">
        <v>65.716560000000001</v>
      </c>
      <c r="O1264" s="5" t="s">
        <v>39</v>
      </c>
      <c r="P1264" t="s">
        <v>141</v>
      </c>
      <c r="Q1264" t="s">
        <v>599</v>
      </c>
      <c r="R1264" t="s">
        <v>37</v>
      </c>
      <c r="S1264" t="s">
        <v>600</v>
      </c>
      <c r="T1264" t="s">
        <v>43</v>
      </c>
      <c r="U1264" t="s">
        <v>44</v>
      </c>
      <c r="V1264">
        <v>147</v>
      </c>
      <c r="W1264" t="s">
        <v>45</v>
      </c>
      <c r="X1264" t="s">
        <v>60</v>
      </c>
      <c r="Y1264" t="s">
        <v>601</v>
      </c>
      <c r="Z1264" t="s">
        <v>37</v>
      </c>
      <c r="AA1264" t="s">
        <v>55</v>
      </c>
      <c r="AB1264" t="s">
        <v>37</v>
      </c>
      <c r="AC1264" s="6" t="s">
        <v>37</v>
      </c>
      <c r="AD1264" s="6" t="s">
        <v>37</v>
      </c>
      <c r="AE1264" t="s">
        <v>37</v>
      </c>
      <c r="AF1264" t="s">
        <v>37</v>
      </c>
      <c r="AG1264" s="6" t="s">
        <v>37</v>
      </c>
      <c r="AH1264" t="s">
        <v>37</v>
      </c>
      <c r="AI1264" t="s">
        <v>37</v>
      </c>
      <c r="AJ1264" t="str">
        <f t="shared" si="59"/>
        <v>56UO2L2IB07W7KMK4Y</v>
      </c>
    </row>
    <row r="1265" spans="1:36" ht="15" customHeight="1" x14ac:dyDescent="0.25">
      <c r="A1265" t="s">
        <v>62</v>
      </c>
      <c r="B1265" t="s">
        <v>37</v>
      </c>
      <c r="C1265" t="s">
        <v>37</v>
      </c>
      <c r="D1265" t="s">
        <v>38</v>
      </c>
      <c r="E1265" s="4">
        <v>48</v>
      </c>
      <c r="F1265" s="5">
        <v>3313.44</v>
      </c>
      <c r="G1265" s="5" t="s">
        <v>39</v>
      </c>
      <c r="H1265" s="5">
        <v>5075.5200000000004</v>
      </c>
      <c r="I1265" s="5" t="s">
        <v>39</v>
      </c>
      <c r="J1265" s="5">
        <v>112.65696</v>
      </c>
      <c r="K1265" s="5">
        <f t="shared" si="57"/>
        <v>2.3470200000000001</v>
      </c>
      <c r="L1265" s="5">
        <f t="shared" si="58"/>
        <v>69.03</v>
      </c>
      <c r="M1265" s="5" t="s">
        <v>39</v>
      </c>
      <c r="N1265" s="5">
        <v>112.65696</v>
      </c>
      <c r="O1265" s="5" t="s">
        <v>39</v>
      </c>
      <c r="P1265" t="s">
        <v>63</v>
      </c>
      <c r="Q1265" t="s">
        <v>1829</v>
      </c>
      <c r="R1265" t="s">
        <v>37</v>
      </c>
      <c r="S1265" t="s">
        <v>1830</v>
      </c>
      <c r="T1265" t="s">
        <v>43</v>
      </c>
      <c r="U1265" t="s">
        <v>44</v>
      </c>
      <c r="V1265">
        <v>147</v>
      </c>
      <c r="W1265" t="s">
        <v>1831</v>
      </c>
      <c r="X1265" t="s">
        <v>1832</v>
      </c>
      <c r="Y1265" t="s">
        <v>1833</v>
      </c>
      <c r="Z1265" t="s">
        <v>37</v>
      </c>
      <c r="AA1265" t="s">
        <v>55</v>
      </c>
      <c r="AB1265" t="s">
        <v>37</v>
      </c>
      <c r="AC1265" s="6" t="s">
        <v>37</v>
      </c>
      <c r="AD1265" s="6" t="s">
        <v>37</v>
      </c>
      <c r="AE1265" t="s">
        <v>37</v>
      </c>
      <c r="AF1265" t="s">
        <v>37</v>
      </c>
      <c r="AG1265" s="6" t="s">
        <v>37</v>
      </c>
      <c r="AH1265" t="s">
        <v>37</v>
      </c>
      <c r="AI1265" t="s">
        <v>37</v>
      </c>
      <c r="AJ1265" t="str">
        <f t="shared" si="59"/>
        <v>7H9X1Z6SB07W6HJVDM</v>
      </c>
    </row>
    <row r="1266" spans="1:36" ht="15" customHeight="1" x14ac:dyDescent="0.25">
      <c r="A1266" t="s">
        <v>210</v>
      </c>
      <c r="B1266" t="s">
        <v>37</v>
      </c>
      <c r="C1266" t="s">
        <v>37</v>
      </c>
      <c r="D1266" t="s">
        <v>38</v>
      </c>
      <c r="E1266" s="4">
        <v>332</v>
      </c>
      <c r="F1266" s="5">
        <v>14886.88</v>
      </c>
      <c r="G1266" s="5" t="s">
        <v>39</v>
      </c>
      <c r="H1266" s="5">
        <v>23943.84</v>
      </c>
      <c r="I1266" s="5" t="s">
        <v>39</v>
      </c>
      <c r="J1266" s="5">
        <v>506.15392000000003</v>
      </c>
      <c r="K1266" s="5">
        <f t="shared" si="57"/>
        <v>1.5245600000000001</v>
      </c>
      <c r="L1266" s="5">
        <f t="shared" si="58"/>
        <v>44.839999999999996</v>
      </c>
      <c r="M1266" s="5" t="s">
        <v>39</v>
      </c>
      <c r="N1266" s="5">
        <v>506.15392000000003</v>
      </c>
      <c r="O1266" s="5" t="s">
        <v>39</v>
      </c>
      <c r="P1266" t="s">
        <v>211</v>
      </c>
      <c r="Q1266" t="s">
        <v>1357</v>
      </c>
      <c r="R1266" t="s">
        <v>37</v>
      </c>
      <c r="S1266" t="s">
        <v>1358</v>
      </c>
      <c r="T1266" t="s">
        <v>43</v>
      </c>
      <c r="U1266" t="s">
        <v>44</v>
      </c>
      <c r="V1266">
        <v>147</v>
      </c>
      <c r="W1266" t="s">
        <v>45</v>
      </c>
      <c r="X1266" t="s">
        <v>60</v>
      </c>
      <c r="Y1266" t="s">
        <v>1359</v>
      </c>
      <c r="Z1266" t="s">
        <v>37</v>
      </c>
      <c r="AA1266" t="s">
        <v>55</v>
      </c>
      <c r="AB1266" t="s">
        <v>37</v>
      </c>
      <c r="AC1266" s="6" t="s">
        <v>37</v>
      </c>
      <c r="AD1266" s="6" t="s">
        <v>37</v>
      </c>
      <c r="AE1266" t="s">
        <v>37</v>
      </c>
      <c r="AF1266" t="s">
        <v>37</v>
      </c>
      <c r="AG1266" s="6" t="s">
        <v>37</v>
      </c>
      <c r="AH1266" t="s">
        <v>37</v>
      </c>
      <c r="AI1266" t="s">
        <v>37</v>
      </c>
      <c r="AJ1266" t="str">
        <f t="shared" si="59"/>
        <v>7ILTX3HJB07W6GVS5C</v>
      </c>
    </row>
    <row r="1267" spans="1:36" ht="15" customHeight="1" x14ac:dyDescent="0.25">
      <c r="A1267" t="s">
        <v>127</v>
      </c>
      <c r="B1267" t="s">
        <v>37</v>
      </c>
      <c r="C1267" t="s">
        <v>37</v>
      </c>
      <c r="D1267" t="s">
        <v>38</v>
      </c>
      <c r="E1267" s="4">
        <v>0</v>
      </c>
      <c r="F1267" s="5">
        <v>0</v>
      </c>
      <c r="G1267" s="5" t="s">
        <v>39</v>
      </c>
      <c r="H1267" s="5">
        <v>0</v>
      </c>
      <c r="I1267" s="5" t="s">
        <v>39</v>
      </c>
      <c r="J1267" s="5">
        <v>0</v>
      </c>
      <c r="K1267" s="5" t="e">
        <f t="shared" si="57"/>
        <v>#DIV/0!</v>
      </c>
      <c r="L1267" s="5" t="e">
        <f t="shared" si="58"/>
        <v>#DIV/0!</v>
      </c>
      <c r="M1267" s="5" t="s">
        <v>39</v>
      </c>
      <c r="N1267" s="5">
        <v>0</v>
      </c>
      <c r="O1267" s="5" t="s">
        <v>39</v>
      </c>
      <c r="P1267" t="s">
        <v>128</v>
      </c>
      <c r="Q1267" t="s">
        <v>1503</v>
      </c>
      <c r="R1267" t="s">
        <v>37</v>
      </c>
      <c r="S1267" t="s">
        <v>1504</v>
      </c>
      <c r="T1267" t="s">
        <v>43</v>
      </c>
      <c r="U1267" t="s">
        <v>44</v>
      </c>
      <c r="V1267">
        <v>147</v>
      </c>
      <c r="W1267" t="s">
        <v>45</v>
      </c>
      <c r="X1267" t="s">
        <v>60</v>
      </c>
      <c r="Y1267" t="s">
        <v>1505</v>
      </c>
      <c r="Z1267" t="s">
        <v>37</v>
      </c>
      <c r="AA1267" t="s">
        <v>48</v>
      </c>
      <c r="AB1267" t="s">
        <v>37</v>
      </c>
      <c r="AC1267" s="6" t="s">
        <v>37</v>
      </c>
      <c r="AD1267" s="6" t="s">
        <v>37</v>
      </c>
      <c r="AE1267" t="s">
        <v>37</v>
      </c>
      <c r="AF1267" t="s">
        <v>37</v>
      </c>
      <c r="AG1267" s="6" t="s">
        <v>37</v>
      </c>
      <c r="AH1267" t="s">
        <v>37</v>
      </c>
      <c r="AI1267" t="s">
        <v>37</v>
      </c>
      <c r="AJ1267" t="str">
        <f t="shared" si="59"/>
        <v>7RAC5F9EB013SL2050</v>
      </c>
    </row>
    <row r="1268" spans="1:36" ht="15" customHeight="1" x14ac:dyDescent="0.25">
      <c r="A1268" t="s">
        <v>955</v>
      </c>
      <c r="B1268" t="s">
        <v>37</v>
      </c>
      <c r="C1268" t="s">
        <v>37</v>
      </c>
      <c r="D1268" t="s">
        <v>38</v>
      </c>
      <c r="E1268" s="4">
        <v>0</v>
      </c>
      <c r="F1268" s="5">
        <v>0</v>
      </c>
      <c r="G1268" s="5" t="s">
        <v>39</v>
      </c>
      <c r="H1268" s="5">
        <v>0</v>
      </c>
      <c r="I1268" s="5" t="s">
        <v>39</v>
      </c>
      <c r="J1268" s="5">
        <v>0</v>
      </c>
      <c r="K1268" s="5" t="e">
        <f t="shared" si="57"/>
        <v>#DIV/0!</v>
      </c>
      <c r="L1268" s="5" t="e">
        <f t="shared" si="58"/>
        <v>#DIV/0!</v>
      </c>
      <c r="M1268" s="5" t="s">
        <v>39</v>
      </c>
      <c r="N1268" s="5">
        <v>0</v>
      </c>
      <c r="O1268" s="5" t="s">
        <v>39</v>
      </c>
      <c r="P1268" t="s">
        <v>106</v>
      </c>
      <c r="Q1268" t="s">
        <v>908</v>
      </c>
      <c r="R1268" t="s">
        <v>909</v>
      </c>
      <c r="S1268" t="s">
        <v>910</v>
      </c>
      <c r="T1268" t="s">
        <v>43</v>
      </c>
      <c r="U1268" t="s">
        <v>44</v>
      </c>
      <c r="V1268">
        <v>147</v>
      </c>
      <c r="W1268" t="s">
        <v>45</v>
      </c>
      <c r="X1268" t="s">
        <v>46</v>
      </c>
      <c r="Y1268" t="s">
        <v>268</v>
      </c>
      <c r="Z1268" t="s">
        <v>37</v>
      </c>
      <c r="AA1268" t="s">
        <v>55</v>
      </c>
      <c r="AB1268" t="s">
        <v>37</v>
      </c>
      <c r="AC1268" s="6" t="s">
        <v>37</v>
      </c>
      <c r="AD1268" s="6" t="s">
        <v>37</v>
      </c>
      <c r="AE1268" t="s">
        <v>37</v>
      </c>
      <c r="AF1268" t="s">
        <v>37</v>
      </c>
      <c r="AG1268" s="6" t="s">
        <v>37</v>
      </c>
      <c r="AH1268" t="s">
        <v>37</v>
      </c>
      <c r="AI1268" t="s">
        <v>37</v>
      </c>
      <c r="AJ1268" t="str">
        <f t="shared" si="59"/>
        <v>2CLMXQWQB07CGPZ3ZQ</v>
      </c>
    </row>
    <row r="1269" spans="1:36" ht="15" customHeight="1" x14ac:dyDescent="0.25">
      <c r="A1269" t="s">
        <v>101</v>
      </c>
      <c r="B1269" t="s">
        <v>37</v>
      </c>
      <c r="C1269" t="s">
        <v>37</v>
      </c>
      <c r="D1269" t="s">
        <v>38</v>
      </c>
      <c r="E1269" s="4">
        <v>16</v>
      </c>
      <c r="F1269" s="5">
        <v>1670.56</v>
      </c>
      <c r="G1269" s="5" t="s">
        <v>39</v>
      </c>
      <c r="H1269" s="5">
        <v>2478.7199999999998</v>
      </c>
      <c r="I1269" s="5" t="s">
        <v>39</v>
      </c>
      <c r="J1269" s="5">
        <v>56.799039999999998</v>
      </c>
      <c r="K1269" s="5">
        <f t="shared" si="57"/>
        <v>3.5499399999999999</v>
      </c>
      <c r="L1269" s="5">
        <f t="shared" si="58"/>
        <v>104.41</v>
      </c>
      <c r="M1269" s="5" t="s">
        <v>39</v>
      </c>
      <c r="N1269" s="5">
        <v>56.799039999999998</v>
      </c>
      <c r="O1269" s="5" t="s">
        <v>39</v>
      </c>
      <c r="P1269" t="s">
        <v>320</v>
      </c>
      <c r="Q1269" t="s">
        <v>1834</v>
      </c>
      <c r="R1269" t="s">
        <v>37</v>
      </c>
      <c r="S1269" t="s">
        <v>1835</v>
      </c>
      <c r="T1269" t="s">
        <v>43</v>
      </c>
      <c r="U1269" t="s">
        <v>44</v>
      </c>
      <c r="V1269">
        <v>147</v>
      </c>
      <c r="W1269" t="s">
        <v>45</v>
      </c>
      <c r="X1269" t="s">
        <v>60</v>
      </c>
      <c r="Y1269" t="s">
        <v>1836</v>
      </c>
      <c r="Z1269" t="s">
        <v>37</v>
      </c>
      <c r="AA1269" t="s">
        <v>55</v>
      </c>
      <c r="AB1269" t="s">
        <v>37</v>
      </c>
      <c r="AC1269" s="6" t="s">
        <v>37</v>
      </c>
      <c r="AD1269" s="6" t="s">
        <v>37</v>
      </c>
      <c r="AE1269" t="s">
        <v>37</v>
      </c>
      <c r="AF1269" t="s">
        <v>37</v>
      </c>
      <c r="AG1269" s="6" t="s">
        <v>37</v>
      </c>
      <c r="AH1269" t="s">
        <v>37</v>
      </c>
      <c r="AI1269" t="s">
        <v>37</v>
      </c>
      <c r="AJ1269" t="str">
        <f t="shared" si="59"/>
        <v>8BG295LIB07W4DGKZ5</v>
      </c>
    </row>
    <row r="1270" spans="1:36" ht="15" customHeight="1" x14ac:dyDescent="0.25">
      <c r="A1270" t="s">
        <v>62</v>
      </c>
      <c r="B1270" t="s">
        <v>37</v>
      </c>
      <c r="C1270" t="s">
        <v>37</v>
      </c>
      <c r="D1270" t="s">
        <v>38</v>
      </c>
      <c r="E1270" s="4">
        <v>16</v>
      </c>
      <c r="F1270" s="5">
        <v>719.2</v>
      </c>
      <c r="G1270" s="5" t="s">
        <v>39</v>
      </c>
      <c r="H1270" s="5">
        <v>1120</v>
      </c>
      <c r="I1270" s="5" t="s">
        <v>39</v>
      </c>
      <c r="J1270" s="5">
        <v>24.4528</v>
      </c>
      <c r="K1270" s="5">
        <f t="shared" si="57"/>
        <v>1.5283</v>
      </c>
      <c r="L1270" s="5">
        <f t="shared" si="58"/>
        <v>44.95</v>
      </c>
      <c r="M1270" s="5" t="s">
        <v>39</v>
      </c>
      <c r="N1270" s="5">
        <v>24.4528</v>
      </c>
      <c r="O1270" s="5" t="s">
        <v>39</v>
      </c>
      <c r="P1270" t="s">
        <v>177</v>
      </c>
      <c r="Q1270" t="s">
        <v>444</v>
      </c>
      <c r="R1270" t="s">
        <v>445</v>
      </c>
      <c r="S1270" t="s">
        <v>446</v>
      </c>
      <c r="T1270" t="s">
        <v>43</v>
      </c>
      <c r="U1270" t="s">
        <v>44</v>
      </c>
      <c r="V1270">
        <v>147</v>
      </c>
      <c r="W1270" t="s">
        <v>45</v>
      </c>
      <c r="X1270" t="s">
        <v>46</v>
      </c>
      <c r="Y1270" t="s">
        <v>447</v>
      </c>
      <c r="Z1270" t="s">
        <v>37</v>
      </c>
      <c r="AA1270" t="s">
        <v>307</v>
      </c>
      <c r="AB1270" t="s">
        <v>37</v>
      </c>
      <c r="AC1270" s="6" t="s">
        <v>37</v>
      </c>
      <c r="AD1270" s="6" t="s">
        <v>37</v>
      </c>
      <c r="AE1270" t="s">
        <v>37</v>
      </c>
      <c r="AF1270" t="s">
        <v>37</v>
      </c>
      <c r="AG1270" s="6" t="s">
        <v>37</v>
      </c>
      <c r="AH1270" t="s">
        <v>37</v>
      </c>
      <c r="AI1270" t="s">
        <v>37</v>
      </c>
      <c r="AJ1270" t="str">
        <f t="shared" si="59"/>
        <v>4F3XMHTVB01G3WBH9G</v>
      </c>
    </row>
    <row r="1271" spans="1:36" ht="15" customHeight="1" x14ac:dyDescent="0.25">
      <c r="A1271" t="s">
        <v>504</v>
      </c>
      <c r="B1271" t="s">
        <v>37</v>
      </c>
      <c r="C1271" t="s">
        <v>37</v>
      </c>
      <c r="D1271" t="s">
        <v>38</v>
      </c>
      <c r="E1271" s="4">
        <v>169</v>
      </c>
      <c r="F1271" s="5">
        <v>37360.83</v>
      </c>
      <c r="G1271" s="5" t="s">
        <v>39</v>
      </c>
      <c r="H1271" s="5">
        <v>56794.14</v>
      </c>
      <c r="I1271" s="5" t="s">
        <v>39</v>
      </c>
      <c r="J1271" s="5">
        <v>1270.2682199999999</v>
      </c>
      <c r="K1271" s="5">
        <f t="shared" si="57"/>
        <v>7.5163799999999998</v>
      </c>
      <c r="L1271" s="5">
        <f t="shared" si="58"/>
        <v>221.07000000000002</v>
      </c>
      <c r="M1271" s="5" t="s">
        <v>39</v>
      </c>
      <c r="N1271" s="5">
        <v>1270.2682199999999</v>
      </c>
      <c r="O1271" s="5" t="s">
        <v>39</v>
      </c>
      <c r="P1271" t="s">
        <v>505</v>
      </c>
      <c r="Q1271" t="s">
        <v>298</v>
      </c>
      <c r="R1271" t="s">
        <v>37</v>
      </c>
      <c r="S1271" t="s">
        <v>299</v>
      </c>
      <c r="T1271" t="s">
        <v>43</v>
      </c>
      <c r="U1271" t="s">
        <v>44</v>
      </c>
      <c r="V1271">
        <v>147</v>
      </c>
      <c r="W1271" t="s">
        <v>45</v>
      </c>
      <c r="X1271" t="s">
        <v>46</v>
      </c>
      <c r="Y1271" t="s">
        <v>300</v>
      </c>
      <c r="Z1271" t="s">
        <v>37</v>
      </c>
      <c r="AA1271" t="s">
        <v>55</v>
      </c>
      <c r="AB1271" t="s">
        <v>37</v>
      </c>
      <c r="AC1271" s="6" t="s">
        <v>37</v>
      </c>
      <c r="AD1271" s="6" t="s">
        <v>37</v>
      </c>
      <c r="AE1271" t="s">
        <v>37</v>
      </c>
      <c r="AF1271" t="s">
        <v>37</v>
      </c>
      <c r="AG1271" s="6" t="s">
        <v>37</v>
      </c>
      <c r="AH1271" t="s">
        <v>37</v>
      </c>
      <c r="AI1271" t="s">
        <v>37</v>
      </c>
      <c r="AJ1271" t="str">
        <f t="shared" si="59"/>
        <v>6UZZHR2WB00YUIM2J0</v>
      </c>
    </row>
    <row r="1272" spans="1:36" ht="15" customHeight="1" x14ac:dyDescent="0.25">
      <c r="A1272" t="s">
        <v>101</v>
      </c>
      <c r="B1272" t="s">
        <v>37</v>
      </c>
      <c r="C1272" t="s">
        <v>37</v>
      </c>
      <c r="D1272" t="s">
        <v>38</v>
      </c>
      <c r="E1272" s="4">
        <v>4</v>
      </c>
      <c r="F1272" s="5">
        <v>84.4</v>
      </c>
      <c r="G1272" s="5" t="s">
        <v>39</v>
      </c>
      <c r="H1272" s="5">
        <v>144.24</v>
      </c>
      <c r="I1272" s="5" t="s">
        <v>39</v>
      </c>
      <c r="J1272" s="5">
        <v>2.8696000000000002</v>
      </c>
      <c r="K1272" s="5">
        <f t="shared" si="57"/>
        <v>0.71740000000000004</v>
      </c>
      <c r="L1272" s="5">
        <f t="shared" si="58"/>
        <v>21.1</v>
      </c>
      <c r="M1272" s="5" t="s">
        <v>39</v>
      </c>
      <c r="N1272" s="5">
        <v>2.8696000000000002</v>
      </c>
      <c r="O1272" s="5" t="s">
        <v>39</v>
      </c>
      <c r="P1272" t="s">
        <v>320</v>
      </c>
      <c r="Q1272" t="s">
        <v>1546</v>
      </c>
      <c r="R1272" t="s">
        <v>37</v>
      </c>
      <c r="S1272" t="s">
        <v>1547</v>
      </c>
      <c r="T1272" t="s">
        <v>43</v>
      </c>
      <c r="U1272" t="s">
        <v>44</v>
      </c>
      <c r="V1272">
        <v>147</v>
      </c>
      <c r="W1272" t="s">
        <v>45</v>
      </c>
      <c r="X1272" t="s">
        <v>53</v>
      </c>
      <c r="Y1272" t="s">
        <v>1548</v>
      </c>
      <c r="Z1272" t="s">
        <v>37</v>
      </c>
      <c r="AA1272" t="s">
        <v>95</v>
      </c>
      <c r="AB1272" t="s">
        <v>37</v>
      </c>
      <c r="AC1272" s="6" t="s">
        <v>37</v>
      </c>
      <c r="AD1272" s="6" t="s">
        <v>37</v>
      </c>
      <c r="AE1272" t="s">
        <v>37</v>
      </c>
      <c r="AF1272" t="s">
        <v>37</v>
      </c>
      <c r="AG1272" s="6" t="s">
        <v>37</v>
      </c>
      <c r="AH1272" t="s">
        <v>37</v>
      </c>
      <c r="AI1272" t="s">
        <v>37</v>
      </c>
      <c r="AJ1272" t="str">
        <f t="shared" si="59"/>
        <v>8BG295LIB07W4DHK3P</v>
      </c>
    </row>
    <row r="1273" spans="1:36" ht="15" customHeight="1" x14ac:dyDescent="0.25">
      <c r="A1273" t="s">
        <v>101</v>
      </c>
      <c r="B1273" t="s">
        <v>37</v>
      </c>
      <c r="C1273" t="s">
        <v>37</v>
      </c>
      <c r="D1273" t="s">
        <v>38</v>
      </c>
      <c r="E1273" s="4">
        <v>16</v>
      </c>
      <c r="F1273" s="5">
        <v>515.36</v>
      </c>
      <c r="G1273" s="5" t="s">
        <v>39</v>
      </c>
      <c r="H1273" s="5">
        <v>773.6</v>
      </c>
      <c r="I1273" s="5" t="s">
        <v>39</v>
      </c>
      <c r="J1273" s="5">
        <v>17.52224</v>
      </c>
      <c r="K1273" s="5">
        <f t="shared" si="57"/>
        <v>1.09514</v>
      </c>
      <c r="L1273" s="5">
        <f t="shared" si="58"/>
        <v>32.21</v>
      </c>
      <c r="M1273" s="5" t="s">
        <v>39</v>
      </c>
      <c r="N1273" s="5">
        <v>17.52224</v>
      </c>
      <c r="O1273" s="5" t="s">
        <v>39</v>
      </c>
      <c r="P1273" t="s">
        <v>725</v>
      </c>
      <c r="Q1273" t="s">
        <v>716</v>
      </c>
      <c r="R1273" t="s">
        <v>37</v>
      </c>
      <c r="S1273" t="s">
        <v>717</v>
      </c>
      <c r="T1273" t="s">
        <v>43</v>
      </c>
      <c r="U1273" t="s">
        <v>44</v>
      </c>
      <c r="V1273">
        <v>147</v>
      </c>
      <c r="W1273" t="s">
        <v>45</v>
      </c>
      <c r="X1273" t="s">
        <v>60</v>
      </c>
      <c r="Y1273" t="s">
        <v>718</v>
      </c>
      <c r="Z1273" t="s">
        <v>37</v>
      </c>
      <c r="AA1273" t="s">
        <v>55</v>
      </c>
      <c r="AB1273" t="s">
        <v>37</v>
      </c>
      <c r="AC1273" s="6" t="s">
        <v>37</v>
      </c>
      <c r="AD1273" s="6" t="s">
        <v>37</v>
      </c>
      <c r="AE1273" t="s">
        <v>37</v>
      </c>
      <c r="AF1273" t="s">
        <v>37</v>
      </c>
      <c r="AG1273" s="6" t="s">
        <v>37</v>
      </c>
      <c r="AH1273" t="s">
        <v>37</v>
      </c>
      <c r="AI1273" t="s">
        <v>37</v>
      </c>
      <c r="AJ1273" t="str">
        <f t="shared" si="59"/>
        <v>4O4TKA6PB07W6JKH1B</v>
      </c>
    </row>
    <row r="1274" spans="1:36" ht="15" customHeight="1" x14ac:dyDescent="0.25">
      <c r="A1274" t="s">
        <v>49</v>
      </c>
      <c r="B1274" t="s">
        <v>37</v>
      </c>
      <c r="C1274" t="s">
        <v>37</v>
      </c>
      <c r="D1274" t="s">
        <v>38</v>
      </c>
      <c r="E1274" s="4">
        <v>28</v>
      </c>
      <c r="F1274" s="5">
        <v>1770.44</v>
      </c>
      <c r="G1274" s="5" t="s">
        <v>39</v>
      </c>
      <c r="H1274" s="5">
        <v>2731.12</v>
      </c>
      <c r="I1274" s="5" t="s">
        <v>39</v>
      </c>
      <c r="J1274" s="5">
        <v>60.194960000000002</v>
      </c>
      <c r="K1274" s="5">
        <f t="shared" si="57"/>
        <v>2.1498200000000001</v>
      </c>
      <c r="L1274" s="5">
        <f t="shared" si="58"/>
        <v>63.230000000000004</v>
      </c>
      <c r="M1274" s="5" t="s">
        <v>39</v>
      </c>
      <c r="N1274" s="5">
        <v>60.194960000000002</v>
      </c>
      <c r="O1274" s="5" t="s">
        <v>39</v>
      </c>
      <c r="P1274" t="s">
        <v>1837</v>
      </c>
      <c r="Q1274" t="s">
        <v>1808</v>
      </c>
      <c r="R1274" t="s">
        <v>37</v>
      </c>
      <c r="S1274" t="s">
        <v>1809</v>
      </c>
      <c r="T1274" t="s">
        <v>43</v>
      </c>
      <c r="U1274" t="s">
        <v>44</v>
      </c>
      <c r="V1274">
        <v>147</v>
      </c>
      <c r="W1274" t="s">
        <v>45</v>
      </c>
      <c r="X1274" t="s">
        <v>53</v>
      </c>
      <c r="Y1274" t="s">
        <v>1810</v>
      </c>
      <c r="Z1274" t="s">
        <v>37</v>
      </c>
      <c r="AA1274" t="s">
        <v>55</v>
      </c>
      <c r="AB1274" t="s">
        <v>37</v>
      </c>
      <c r="AC1274" s="6" t="s">
        <v>37</v>
      </c>
      <c r="AD1274" s="6" t="s">
        <v>37</v>
      </c>
      <c r="AE1274" t="s">
        <v>37</v>
      </c>
      <c r="AF1274" t="s">
        <v>37</v>
      </c>
      <c r="AG1274" s="6" t="s">
        <v>37</v>
      </c>
      <c r="AH1274" t="s">
        <v>37</v>
      </c>
      <c r="AI1274" t="s">
        <v>37</v>
      </c>
      <c r="AJ1274" t="str">
        <f t="shared" si="59"/>
        <v>7MIJ7O3BB07W4DGVQF</v>
      </c>
    </row>
    <row r="1275" spans="1:36" ht="15" customHeight="1" x14ac:dyDescent="0.25">
      <c r="A1275" t="s">
        <v>36</v>
      </c>
      <c r="B1275" t="s">
        <v>37</v>
      </c>
      <c r="C1275" t="s">
        <v>37</v>
      </c>
      <c r="D1275" t="s">
        <v>38</v>
      </c>
      <c r="E1275" s="4">
        <v>2</v>
      </c>
      <c r="F1275" s="5">
        <v>162.82</v>
      </c>
      <c r="G1275" s="5" t="s">
        <v>39</v>
      </c>
      <c r="H1275" s="5">
        <v>237.7</v>
      </c>
      <c r="I1275" s="5" t="s">
        <v>39</v>
      </c>
      <c r="J1275" s="5">
        <v>5.5358799999999997</v>
      </c>
      <c r="K1275" s="5">
        <f t="shared" si="57"/>
        <v>2.7679399999999998</v>
      </c>
      <c r="L1275" s="5">
        <f t="shared" si="58"/>
        <v>81.41</v>
      </c>
      <c r="M1275" s="5" t="s">
        <v>39</v>
      </c>
      <c r="N1275" s="5">
        <v>5.5358799999999997</v>
      </c>
      <c r="O1275" s="5" t="s">
        <v>39</v>
      </c>
      <c r="P1275" t="s">
        <v>67</v>
      </c>
      <c r="Q1275" t="s">
        <v>768</v>
      </c>
      <c r="R1275" t="s">
        <v>37</v>
      </c>
      <c r="S1275" t="s">
        <v>769</v>
      </c>
      <c r="T1275" t="s">
        <v>43</v>
      </c>
      <c r="U1275" t="s">
        <v>44</v>
      </c>
      <c r="V1275">
        <v>147</v>
      </c>
      <c r="W1275" t="s">
        <v>45</v>
      </c>
      <c r="X1275" t="s">
        <v>389</v>
      </c>
      <c r="Y1275" t="s">
        <v>770</v>
      </c>
      <c r="Z1275" t="s">
        <v>37</v>
      </c>
      <c r="AA1275" t="s">
        <v>55</v>
      </c>
      <c r="AB1275" t="s">
        <v>37</v>
      </c>
      <c r="AC1275" s="6" t="s">
        <v>37</v>
      </c>
      <c r="AD1275" s="6" t="s">
        <v>37</v>
      </c>
      <c r="AE1275" t="s">
        <v>37</v>
      </c>
      <c r="AF1275" t="s">
        <v>37</v>
      </c>
      <c r="AG1275" s="6" t="s">
        <v>37</v>
      </c>
      <c r="AH1275" t="s">
        <v>37</v>
      </c>
      <c r="AI1275" t="s">
        <v>37</v>
      </c>
      <c r="AJ1275" t="str">
        <f t="shared" si="59"/>
        <v>2TMBDXBKB0105Y2T5Y</v>
      </c>
    </row>
    <row r="1276" spans="1:36" ht="15" customHeight="1" x14ac:dyDescent="0.25">
      <c r="A1276" t="s">
        <v>96</v>
      </c>
      <c r="B1276" t="s">
        <v>37</v>
      </c>
      <c r="C1276" t="s">
        <v>37</v>
      </c>
      <c r="D1276" t="s">
        <v>38</v>
      </c>
      <c r="E1276" s="4">
        <v>304</v>
      </c>
      <c r="F1276" s="5">
        <v>19221.919999999998</v>
      </c>
      <c r="G1276" s="5" t="s">
        <v>39</v>
      </c>
      <c r="H1276" s="5">
        <v>29652.16</v>
      </c>
      <c r="I1276" s="5" t="s">
        <v>39</v>
      </c>
      <c r="J1276" s="5">
        <v>653.54528000000005</v>
      </c>
      <c r="K1276" s="5">
        <f t="shared" si="57"/>
        <v>2.1498200000000001</v>
      </c>
      <c r="L1276" s="5">
        <f t="shared" si="58"/>
        <v>63.23</v>
      </c>
      <c r="M1276" s="5" t="s">
        <v>39</v>
      </c>
      <c r="N1276" s="5">
        <v>653.54528000000005</v>
      </c>
      <c r="O1276" s="5" t="s">
        <v>39</v>
      </c>
      <c r="P1276" t="s">
        <v>1837</v>
      </c>
      <c r="Q1276" t="s">
        <v>1808</v>
      </c>
      <c r="R1276" t="s">
        <v>37</v>
      </c>
      <c r="S1276" t="s">
        <v>1809</v>
      </c>
      <c r="T1276" t="s">
        <v>43</v>
      </c>
      <c r="U1276" t="s">
        <v>44</v>
      </c>
      <c r="V1276">
        <v>147</v>
      </c>
      <c r="W1276" t="s">
        <v>45</v>
      </c>
      <c r="X1276" t="s">
        <v>53</v>
      </c>
      <c r="Y1276" t="s">
        <v>1810</v>
      </c>
      <c r="Z1276" t="s">
        <v>37</v>
      </c>
      <c r="AA1276" t="s">
        <v>55</v>
      </c>
      <c r="AB1276" t="s">
        <v>37</v>
      </c>
      <c r="AC1276" s="6" t="s">
        <v>37</v>
      </c>
      <c r="AD1276" s="6" t="s">
        <v>37</v>
      </c>
      <c r="AE1276" t="s">
        <v>37</v>
      </c>
      <c r="AF1276" t="s">
        <v>37</v>
      </c>
      <c r="AG1276" s="6" t="s">
        <v>37</v>
      </c>
      <c r="AH1276" t="s">
        <v>37</v>
      </c>
      <c r="AI1276" t="s">
        <v>37</v>
      </c>
      <c r="AJ1276" t="str">
        <f t="shared" si="59"/>
        <v>7MIJ7O3BB07W4DGVQF</v>
      </c>
    </row>
    <row r="1277" spans="1:36" ht="15" customHeight="1" x14ac:dyDescent="0.25">
      <c r="A1277" t="s">
        <v>96</v>
      </c>
      <c r="B1277" t="s">
        <v>37</v>
      </c>
      <c r="C1277" t="s">
        <v>37</v>
      </c>
      <c r="D1277" t="s">
        <v>38</v>
      </c>
      <c r="E1277" s="4">
        <v>4</v>
      </c>
      <c r="F1277" s="5">
        <v>117.12</v>
      </c>
      <c r="G1277" s="5" t="s">
        <v>39</v>
      </c>
      <c r="H1277" s="5">
        <v>170.44</v>
      </c>
      <c r="I1277" s="5" t="s">
        <v>39</v>
      </c>
      <c r="J1277" s="5">
        <v>3.9820799999999998</v>
      </c>
      <c r="K1277" s="5">
        <f t="shared" si="57"/>
        <v>0.99551999999999996</v>
      </c>
      <c r="L1277" s="5">
        <f t="shared" si="58"/>
        <v>29.28</v>
      </c>
      <c r="M1277" s="5" t="s">
        <v>39</v>
      </c>
      <c r="N1277" s="5">
        <v>3.9820799999999998</v>
      </c>
      <c r="O1277" s="5" t="s">
        <v>39</v>
      </c>
      <c r="P1277" t="s">
        <v>479</v>
      </c>
      <c r="Q1277" t="s">
        <v>1838</v>
      </c>
      <c r="R1277" t="s">
        <v>37</v>
      </c>
      <c r="S1277" t="s">
        <v>1839</v>
      </c>
      <c r="T1277" t="s">
        <v>37</v>
      </c>
      <c r="U1277" t="s">
        <v>44</v>
      </c>
      <c r="V1277">
        <v>147</v>
      </c>
      <c r="W1277" t="s">
        <v>45</v>
      </c>
      <c r="X1277" t="s">
        <v>60</v>
      </c>
      <c r="Y1277" t="s">
        <v>1840</v>
      </c>
      <c r="Z1277" t="s">
        <v>37</v>
      </c>
      <c r="AA1277" t="s">
        <v>55</v>
      </c>
      <c r="AB1277" t="s">
        <v>37</v>
      </c>
      <c r="AC1277" s="6" t="s">
        <v>37</v>
      </c>
      <c r="AD1277" s="6" t="s">
        <v>37</v>
      </c>
      <c r="AE1277" t="s">
        <v>37</v>
      </c>
      <c r="AF1277" t="s">
        <v>37</v>
      </c>
      <c r="AG1277" s="6" t="s">
        <v>37</v>
      </c>
      <c r="AH1277" t="s">
        <v>37</v>
      </c>
      <c r="AI1277" t="s">
        <v>37</v>
      </c>
      <c r="AJ1277" t="str">
        <f t="shared" si="59"/>
        <v>7SCVG2OTB07W5JK4VX</v>
      </c>
    </row>
    <row r="1278" spans="1:36" ht="15" customHeight="1" x14ac:dyDescent="0.25">
      <c r="A1278" t="s">
        <v>118</v>
      </c>
      <c r="B1278" t="s">
        <v>37</v>
      </c>
      <c r="C1278" t="s">
        <v>37</v>
      </c>
      <c r="D1278" t="s">
        <v>38</v>
      </c>
      <c r="E1278" s="4">
        <v>8</v>
      </c>
      <c r="F1278" s="5">
        <v>1684.16</v>
      </c>
      <c r="G1278" s="5" t="s">
        <v>39</v>
      </c>
      <c r="H1278" s="5">
        <v>2688.48</v>
      </c>
      <c r="I1278" s="5" t="s">
        <v>39</v>
      </c>
      <c r="J1278" s="5">
        <v>57.26144</v>
      </c>
      <c r="K1278" s="5">
        <f t="shared" si="57"/>
        <v>7.15768</v>
      </c>
      <c r="L1278" s="5">
        <f t="shared" si="58"/>
        <v>210.52</v>
      </c>
      <c r="M1278" s="5" t="s">
        <v>39</v>
      </c>
      <c r="N1278" s="5">
        <v>57.26144</v>
      </c>
      <c r="O1278" s="5" t="s">
        <v>39</v>
      </c>
      <c r="P1278" t="s">
        <v>462</v>
      </c>
      <c r="Q1278" t="s">
        <v>233</v>
      </c>
      <c r="R1278" t="s">
        <v>234</v>
      </c>
      <c r="S1278" t="s">
        <v>235</v>
      </c>
      <c r="T1278" t="s">
        <v>43</v>
      </c>
      <c r="U1278" t="s">
        <v>44</v>
      </c>
      <c r="V1278">
        <v>147</v>
      </c>
      <c r="W1278" t="s">
        <v>45</v>
      </c>
      <c r="X1278" t="s">
        <v>46</v>
      </c>
      <c r="Y1278" t="s">
        <v>236</v>
      </c>
      <c r="Z1278" t="s">
        <v>37</v>
      </c>
      <c r="AA1278" t="s">
        <v>55</v>
      </c>
      <c r="AB1278" t="s">
        <v>37</v>
      </c>
      <c r="AC1278" s="6" t="s">
        <v>37</v>
      </c>
      <c r="AD1278" s="6" t="s">
        <v>37</v>
      </c>
      <c r="AE1278" t="s">
        <v>37</v>
      </c>
      <c r="AF1278" t="s">
        <v>37</v>
      </c>
      <c r="AG1278" s="6" t="s">
        <v>37</v>
      </c>
      <c r="AH1278" t="s">
        <v>37</v>
      </c>
      <c r="AI1278" t="s">
        <v>37</v>
      </c>
      <c r="AJ1278" t="str">
        <f t="shared" si="59"/>
        <v>17D6YHERB013Y78YY4</v>
      </c>
    </row>
    <row r="1279" spans="1:36" ht="15" customHeight="1" x14ac:dyDescent="0.25">
      <c r="A1279" t="s">
        <v>118</v>
      </c>
      <c r="B1279" t="s">
        <v>37</v>
      </c>
      <c r="C1279" t="s">
        <v>37</v>
      </c>
      <c r="D1279" t="s">
        <v>38</v>
      </c>
      <c r="E1279" s="4">
        <v>4</v>
      </c>
      <c r="F1279" s="5">
        <v>322.56</v>
      </c>
      <c r="G1279" s="5" t="s">
        <v>39</v>
      </c>
      <c r="H1279" s="5">
        <v>475.4</v>
      </c>
      <c r="I1279" s="5" t="s">
        <v>39</v>
      </c>
      <c r="J1279" s="5">
        <v>10.967040000000001</v>
      </c>
      <c r="K1279" s="5">
        <f t="shared" si="57"/>
        <v>2.7417600000000002</v>
      </c>
      <c r="L1279" s="5">
        <f t="shared" si="58"/>
        <v>80.64</v>
      </c>
      <c r="M1279" s="5" t="s">
        <v>39</v>
      </c>
      <c r="N1279" s="5">
        <v>10.967040000000001</v>
      </c>
      <c r="O1279" s="5" t="s">
        <v>39</v>
      </c>
      <c r="P1279" t="s">
        <v>141</v>
      </c>
      <c r="Q1279" t="s">
        <v>1122</v>
      </c>
      <c r="R1279" t="s">
        <v>37</v>
      </c>
      <c r="S1279" t="s">
        <v>1123</v>
      </c>
      <c r="T1279" t="s">
        <v>43</v>
      </c>
      <c r="U1279" t="s">
        <v>44</v>
      </c>
      <c r="V1279">
        <v>147</v>
      </c>
      <c r="W1279" t="s">
        <v>45</v>
      </c>
      <c r="X1279" t="s">
        <v>239</v>
      </c>
      <c r="Y1279" t="s">
        <v>1124</v>
      </c>
      <c r="Z1279" t="s">
        <v>37</v>
      </c>
      <c r="AA1279" t="s">
        <v>95</v>
      </c>
      <c r="AB1279" t="s">
        <v>37</v>
      </c>
      <c r="AC1279" s="6" t="s">
        <v>37</v>
      </c>
      <c r="AD1279" s="6" t="s">
        <v>37</v>
      </c>
      <c r="AE1279" t="s">
        <v>37</v>
      </c>
      <c r="AF1279" t="s">
        <v>37</v>
      </c>
      <c r="AG1279" s="6" t="s">
        <v>37</v>
      </c>
      <c r="AH1279" t="s">
        <v>37</v>
      </c>
      <c r="AI1279" t="s">
        <v>37</v>
      </c>
      <c r="AJ1279" t="str">
        <f t="shared" si="59"/>
        <v>56UO2L2IB07W7J6RBC</v>
      </c>
    </row>
    <row r="1280" spans="1:36" ht="15" customHeight="1" x14ac:dyDescent="0.25">
      <c r="A1280" t="s">
        <v>76</v>
      </c>
      <c r="B1280" t="s">
        <v>37</v>
      </c>
      <c r="C1280" t="s">
        <v>37</v>
      </c>
      <c r="D1280" t="s">
        <v>38</v>
      </c>
      <c r="E1280" s="4">
        <v>4</v>
      </c>
      <c r="F1280" s="5">
        <v>73.84</v>
      </c>
      <c r="G1280" s="5" t="s">
        <v>39</v>
      </c>
      <c r="H1280" s="5">
        <v>124.56</v>
      </c>
      <c r="I1280" s="5" t="s">
        <v>39</v>
      </c>
      <c r="J1280" s="5">
        <v>2.5105599999999999</v>
      </c>
      <c r="K1280" s="5">
        <f t="shared" si="57"/>
        <v>0.62763999999999998</v>
      </c>
      <c r="L1280" s="5">
        <f t="shared" si="58"/>
        <v>18.46</v>
      </c>
      <c r="M1280" s="5" t="s">
        <v>39</v>
      </c>
      <c r="N1280" s="5">
        <v>2.5105599999999999</v>
      </c>
      <c r="O1280" s="5" t="s">
        <v>39</v>
      </c>
      <c r="P1280" t="s">
        <v>177</v>
      </c>
      <c r="Q1280" t="s">
        <v>962</v>
      </c>
      <c r="R1280" t="s">
        <v>37</v>
      </c>
      <c r="S1280" t="s">
        <v>963</v>
      </c>
      <c r="T1280" t="s">
        <v>43</v>
      </c>
      <c r="U1280" t="s">
        <v>44</v>
      </c>
      <c r="V1280">
        <v>147</v>
      </c>
      <c r="W1280" t="s">
        <v>45</v>
      </c>
      <c r="X1280" t="s">
        <v>53</v>
      </c>
      <c r="Y1280" t="s">
        <v>964</v>
      </c>
      <c r="Z1280" t="s">
        <v>37</v>
      </c>
      <c r="AA1280" t="s">
        <v>95</v>
      </c>
      <c r="AB1280" t="s">
        <v>37</v>
      </c>
      <c r="AC1280" s="6" t="s">
        <v>37</v>
      </c>
      <c r="AD1280" s="6" t="s">
        <v>37</v>
      </c>
      <c r="AE1280" t="s">
        <v>37</v>
      </c>
      <c r="AF1280" t="s">
        <v>37</v>
      </c>
      <c r="AG1280" s="6" t="s">
        <v>37</v>
      </c>
      <c r="AH1280" t="s">
        <v>37</v>
      </c>
      <c r="AI1280" t="s">
        <v>37</v>
      </c>
      <c r="AJ1280" t="str">
        <f t="shared" si="59"/>
        <v>4F3XMHTVB07W6H83LD</v>
      </c>
    </row>
    <row r="1281" spans="1:36" ht="15" customHeight="1" x14ac:dyDescent="0.25">
      <c r="A1281" t="s">
        <v>62</v>
      </c>
      <c r="B1281" t="s">
        <v>37</v>
      </c>
      <c r="C1281" t="s">
        <v>37</v>
      </c>
      <c r="D1281" t="s">
        <v>38</v>
      </c>
      <c r="E1281" s="4">
        <v>40</v>
      </c>
      <c r="F1281" s="5">
        <v>2761.2</v>
      </c>
      <c r="G1281" s="5" t="s">
        <v>39</v>
      </c>
      <c r="H1281" s="5">
        <v>4229.6000000000004</v>
      </c>
      <c r="I1281" s="5" t="s">
        <v>39</v>
      </c>
      <c r="J1281" s="5">
        <v>93.880799999999994</v>
      </c>
      <c r="K1281" s="5">
        <f t="shared" si="57"/>
        <v>2.3470199999999997</v>
      </c>
      <c r="L1281" s="5">
        <f t="shared" si="58"/>
        <v>69.03</v>
      </c>
      <c r="M1281" s="5" t="s">
        <v>39</v>
      </c>
      <c r="N1281" s="5">
        <v>93.880799999999994</v>
      </c>
      <c r="O1281" s="5" t="s">
        <v>39</v>
      </c>
      <c r="P1281" t="s">
        <v>63</v>
      </c>
      <c r="Q1281" t="s">
        <v>1841</v>
      </c>
      <c r="R1281" t="s">
        <v>37</v>
      </c>
      <c r="S1281" t="s">
        <v>1842</v>
      </c>
      <c r="T1281" t="s">
        <v>43</v>
      </c>
      <c r="U1281" t="s">
        <v>44</v>
      </c>
      <c r="V1281">
        <v>147</v>
      </c>
      <c r="W1281" t="s">
        <v>45</v>
      </c>
      <c r="X1281" t="s">
        <v>46</v>
      </c>
      <c r="Y1281" t="s">
        <v>1843</v>
      </c>
      <c r="Z1281" t="s">
        <v>37</v>
      </c>
      <c r="AA1281" t="s">
        <v>55</v>
      </c>
      <c r="AB1281" t="s">
        <v>37</v>
      </c>
      <c r="AC1281" s="6" t="s">
        <v>37</v>
      </c>
      <c r="AD1281" s="6" t="s">
        <v>37</v>
      </c>
      <c r="AE1281" t="s">
        <v>37</v>
      </c>
      <c r="AF1281" t="s">
        <v>37</v>
      </c>
      <c r="AG1281" s="6" t="s">
        <v>37</v>
      </c>
      <c r="AH1281" t="s">
        <v>37</v>
      </c>
      <c r="AI1281" t="s">
        <v>37</v>
      </c>
      <c r="AJ1281" t="str">
        <f t="shared" si="59"/>
        <v>7H9X1Z6SB07W5JJMVJ</v>
      </c>
    </row>
    <row r="1282" spans="1:36" ht="15" customHeight="1" x14ac:dyDescent="0.25">
      <c r="A1282" t="s">
        <v>101</v>
      </c>
      <c r="B1282" t="s">
        <v>37</v>
      </c>
      <c r="C1282" t="s">
        <v>37</v>
      </c>
      <c r="D1282" t="s">
        <v>38</v>
      </c>
      <c r="E1282" s="4">
        <v>32</v>
      </c>
      <c r="F1282" s="5">
        <v>1030.72</v>
      </c>
      <c r="G1282" s="5" t="s">
        <v>39</v>
      </c>
      <c r="H1282" s="5">
        <v>1547.2</v>
      </c>
      <c r="I1282" s="5" t="s">
        <v>39</v>
      </c>
      <c r="J1282" s="5">
        <v>35.04448</v>
      </c>
      <c r="K1282" s="5">
        <f t="shared" si="57"/>
        <v>1.09514</v>
      </c>
      <c r="L1282" s="5">
        <f t="shared" si="58"/>
        <v>32.21</v>
      </c>
      <c r="M1282" s="5" t="s">
        <v>39</v>
      </c>
      <c r="N1282" s="5">
        <v>35.04448</v>
      </c>
      <c r="O1282" s="5" t="s">
        <v>39</v>
      </c>
      <c r="P1282" t="s">
        <v>102</v>
      </c>
      <c r="Q1282" t="s">
        <v>1503</v>
      </c>
      <c r="R1282" t="s">
        <v>37</v>
      </c>
      <c r="S1282" t="s">
        <v>1504</v>
      </c>
      <c r="T1282" t="s">
        <v>43</v>
      </c>
      <c r="U1282" t="s">
        <v>44</v>
      </c>
      <c r="V1282">
        <v>147</v>
      </c>
      <c r="W1282" t="s">
        <v>45</v>
      </c>
      <c r="X1282" t="s">
        <v>60</v>
      </c>
      <c r="Y1282" t="s">
        <v>1505</v>
      </c>
      <c r="Z1282" t="s">
        <v>37</v>
      </c>
      <c r="AA1282" t="s">
        <v>48</v>
      </c>
      <c r="AB1282" t="s">
        <v>37</v>
      </c>
      <c r="AC1282" s="6" t="s">
        <v>37</v>
      </c>
      <c r="AD1282" s="6" t="s">
        <v>37</v>
      </c>
      <c r="AE1282" t="s">
        <v>37</v>
      </c>
      <c r="AF1282" t="s">
        <v>37</v>
      </c>
      <c r="AG1282" s="6" t="s">
        <v>37</v>
      </c>
      <c r="AH1282" t="s">
        <v>37</v>
      </c>
      <c r="AI1282" t="s">
        <v>37</v>
      </c>
      <c r="AJ1282" t="str">
        <f t="shared" si="59"/>
        <v>2M7QFTCOB013SL2050</v>
      </c>
    </row>
    <row r="1283" spans="1:36" ht="15" customHeight="1" x14ac:dyDescent="0.25">
      <c r="A1283" t="s">
        <v>76</v>
      </c>
      <c r="B1283" t="s">
        <v>37</v>
      </c>
      <c r="C1283" t="s">
        <v>37</v>
      </c>
      <c r="D1283" t="s">
        <v>38</v>
      </c>
      <c r="E1283" s="4">
        <v>282</v>
      </c>
      <c r="F1283" s="5">
        <v>25145.94</v>
      </c>
      <c r="G1283" s="5" t="s">
        <v>39</v>
      </c>
      <c r="H1283" s="5">
        <v>41375.040000000001</v>
      </c>
      <c r="I1283" s="5" t="s">
        <v>39</v>
      </c>
      <c r="J1283" s="5">
        <v>854.96195999999998</v>
      </c>
      <c r="K1283" s="5">
        <f t="shared" ref="K1283:K1346" si="60">J1283/E1283</f>
        <v>3.0317799999999999</v>
      </c>
      <c r="L1283" s="5">
        <f t="shared" ref="L1283:L1346" si="61">F1283/E1283</f>
        <v>89.17</v>
      </c>
      <c r="M1283" s="5" t="s">
        <v>39</v>
      </c>
      <c r="N1283" s="5">
        <v>854.96195999999998</v>
      </c>
      <c r="O1283" s="5" t="s">
        <v>39</v>
      </c>
      <c r="P1283" t="s">
        <v>1844</v>
      </c>
      <c r="Q1283" t="s">
        <v>1476</v>
      </c>
      <c r="R1283" t="s">
        <v>37</v>
      </c>
      <c r="S1283" t="s">
        <v>1477</v>
      </c>
      <c r="T1283" t="s">
        <v>43</v>
      </c>
      <c r="U1283" t="s">
        <v>44</v>
      </c>
      <c r="V1283">
        <v>147</v>
      </c>
      <c r="W1283" t="s">
        <v>45</v>
      </c>
      <c r="X1283" t="s">
        <v>46</v>
      </c>
      <c r="Y1283" t="s">
        <v>1478</v>
      </c>
      <c r="Z1283" t="s">
        <v>37</v>
      </c>
      <c r="AA1283" t="s">
        <v>48</v>
      </c>
      <c r="AB1283" t="s">
        <v>37</v>
      </c>
      <c r="AC1283" s="6" t="s">
        <v>37</v>
      </c>
      <c r="AD1283" s="6" t="s">
        <v>37</v>
      </c>
      <c r="AE1283" t="s">
        <v>37</v>
      </c>
      <c r="AF1283" t="s">
        <v>37</v>
      </c>
      <c r="AG1283" s="6" t="s">
        <v>37</v>
      </c>
      <c r="AH1283" t="s">
        <v>37</v>
      </c>
      <c r="AI1283" t="s">
        <v>37</v>
      </c>
      <c r="AJ1283" t="str">
        <f t="shared" ref="AJ1283:AJ1346" si="62">P1283&amp;Q1283</f>
        <v>2TEPPOLQB01MCXJWD1</v>
      </c>
    </row>
    <row r="1284" spans="1:36" ht="15" customHeight="1" x14ac:dyDescent="0.25">
      <c r="A1284" t="s">
        <v>36</v>
      </c>
      <c r="B1284" t="s">
        <v>37</v>
      </c>
      <c r="C1284" t="s">
        <v>37</v>
      </c>
      <c r="D1284" t="s">
        <v>38</v>
      </c>
      <c r="E1284" s="4">
        <v>12</v>
      </c>
      <c r="F1284" s="5">
        <v>880.08</v>
      </c>
      <c r="G1284" s="5" t="s">
        <v>39</v>
      </c>
      <c r="H1284" s="5">
        <v>1426.2</v>
      </c>
      <c r="I1284" s="5" t="s">
        <v>39</v>
      </c>
      <c r="J1284" s="5">
        <v>29.922720000000002</v>
      </c>
      <c r="K1284" s="5">
        <f t="shared" si="60"/>
        <v>2.49356</v>
      </c>
      <c r="L1284" s="5">
        <f t="shared" si="61"/>
        <v>73.34</v>
      </c>
      <c r="M1284" s="5" t="s">
        <v>39</v>
      </c>
      <c r="N1284" s="5">
        <v>29.922720000000002</v>
      </c>
      <c r="O1284" s="5" t="s">
        <v>39</v>
      </c>
      <c r="P1284" t="s">
        <v>67</v>
      </c>
      <c r="Q1284" t="s">
        <v>873</v>
      </c>
      <c r="R1284" t="s">
        <v>37</v>
      </c>
      <c r="S1284" t="s">
        <v>874</v>
      </c>
      <c r="T1284" t="s">
        <v>43</v>
      </c>
      <c r="U1284" t="s">
        <v>44</v>
      </c>
      <c r="V1284">
        <v>147</v>
      </c>
      <c r="W1284" t="s">
        <v>45</v>
      </c>
      <c r="X1284" t="s">
        <v>46</v>
      </c>
      <c r="Y1284" t="s">
        <v>875</v>
      </c>
      <c r="Z1284" t="s">
        <v>37</v>
      </c>
      <c r="AA1284" t="s">
        <v>48</v>
      </c>
      <c r="AB1284" t="s">
        <v>37</v>
      </c>
      <c r="AC1284" s="6" t="s">
        <v>37</v>
      </c>
      <c r="AD1284" s="6" t="s">
        <v>37</v>
      </c>
      <c r="AE1284" t="s">
        <v>37</v>
      </c>
      <c r="AF1284" t="s">
        <v>37</v>
      </c>
      <c r="AG1284" s="6" t="s">
        <v>37</v>
      </c>
      <c r="AH1284" t="s">
        <v>37</v>
      </c>
      <c r="AI1284" t="s">
        <v>37</v>
      </c>
      <c r="AJ1284" t="str">
        <f t="shared" si="62"/>
        <v>2TMBDXBKB0728J7D3B</v>
      </c>
    </row>
    <row r="1285" spans="1:36" ht="15" customHeight="1" x14ac:dyDescent="0.25">
      <c r="A1285" t="s">
        <v>62</v>
      </c>
      <c r="B1285" t="s">
        <v>37</v>
      </c>
      <c r="C1285" t="s">
        <v>37</v>
      </c>
      <c r="D1285" t="s">
        <v>38</v>
      </c>
      <c r="E1285" s="4">
        <v>68</v>
      </c>
      <c r="F1285" s="5">
        <v>5127.88</v>
      </c>
      <c r="G1285" s="5" t="s">
        <v>39</v>
      </c>
      <c r="H1285" s="5">
        <v>7524.2</v>
      </c>
      <c r="I1285" s="5" t="s">
        <v>39</v>
      </c>
      <c r="J1285" s="5">
        <v>174.34791999999999</v>
      </c>
      <c r="K1285" s="5">
        <f t="shared" si="60"/>
        <v>2.5639399999999997</v>
      </c>
      <c r="L1285" s="5">
        <f t="shared" si="61"/>
        <v>75.41</v>
      </c>
      <c r="M1285" s="5" t="s">
        <v>39</v>
      </c>
      <c r="N1285" s="5">
        <v>174.34791999999999</v>
      </c>
      <c r="O1285" s="5" t="s">
        <v>39</v>
      </c>
      <c r="P1285" t="s">
        <v>63</v>
      </c>
      <c r="Q1285" t="s">
        <v>1447</v>
      </c>
      <c r="R1285" t="s">
        <v>37</v>
      </c>
      <c r="S1285" t="s">
        <v>1448</v>
      </c>
      <c r="T1285" t="s">
        <v>43</v>
      </c>
      <c r="U1285" t="s">
        <v>44</v>
      </c>
      <c r="V1285">
        <v>147</v>
      </c>
      <c r="W1285" t="s">
        <v>45</v>
      </c>
      <c r="X1285" t="s">
        <v>53</v>
      </c>
      <c r="Y1285" t="s">
        <v>1449</v>
      </c>
      <c r="Z1285" t="s">
        <v>37</v>
      </c>
      <c r="AA1285" t="s">
        <v>48</v>
      </c>
      <c r="AB1285" t="s">
        <v>37</v>
      </c>
      <c r="AC1285" s="6" t="s">
        <v>37</v>
      </c>
      <c r="AD1285" s="6" t="s">
        <v>37</v>
      </c>
      <c r="AE1285" t="s">
        <v>37</v>
      </c>
      <c r="AF1285" t="s">
        <v>37</v>
      </c>
      <c r="AG1285" s="6" t="s">
        <v>37</v>
      </c>
      <c r="AH1285" t="s">
        <v>37</v>
      </c>
      <c r="AI1285" t="s">
        <v>37</v>
      </c>
      <c r="AJ1285" t="str">
        <f t="shared" si="62"/>
        <v>7H9X1Z6SB07W5JKHFZ</v>
      </c>
    </row>
    <row r="1286" spans="1:36" ht="15" customHeight="1" x14ac:dyDescent="0.25">
      <c r="A1286" t="s">
        <v>504</v>
      </c>
      <c r="B1286" t="s">
        <v>37</v>
      </c>
      <c r="C1286" t="s">
        <v>37</v>
      </c>
      <c r="D1286" t="s">
        <v>38</v>
      </c>
      <c r="E1286" s="4">
        <v>8</v>
      </c>
      <c r="F1286" s="5">
        <v>187.36</v>
      </c>
      <c r="G1286" s="5" t="s">
        <v>39</v>
      </c>
      <c r="H1286" s="5">
        <v>288.48</v>
      </c>
      <c r="I1286" s="5" t="s">
        <v>39</v>
      </c>
      <c r="J1286" s="5">
        <v>6.3702399999999999</v>
      </c>
      <c r="K1286" s="5">
        <f t="shared" si="60"/>
        <v>0.79627999999999999</v>
      </c>
      <c r="L1286" s="5">
        <f t="shared" si="61"/>
        <v>23.42</v>
      </c>
      <c r="M1286" s="5" t="s">
        <v>39</v>
      </c>
      <c r="N1286" s="5">
        <v>6.3702399999999999</v>
      </c>
      <c r="O1286" s="5" t="s">
        <v>39</v>
      </c>
      <c r="P1286" t="s">
        <v>820</v>
      </c>
      <c r="Q1286" t="s">
        <v>362</v>
      </c>
      <c r="R1286" t="s">
        <v>37</v>
      </c>
      <c r="S1286" t="s">
        <v>363</v>
      </c>
      <c r="T1286" t="s">
        <v>43</v>
      </c>
      <c r="U1286" t="s">
        <v>44</v>
      </c>
      <c r="V1286">
        <v>147</v>
      </c>
      <c r="W1286" t="s">
        <v>45</v>
      </c>
      <c r="X1286" t="s">
        <v>60</v>
      </c>
      <c r="Y1286" t="s">
        <v>364</v>
      </c>
      <c r="Z1286" t="s">
        <v>37</v>
      </c>
      <c r="AA1286" t="s">
        <v>55</v>
      </c>
      <c r="AB1286" t="s">
        <v>37</v>
      </c>
      <c r="AC1286" s="6" t="s">
        <v>37</v>
      </c>
      <c r="AD1286" s="6" t="s">
        <v>37</v>
      </c>
      <c r="AE1286" t="s">
        <v>37</v>
      </c>
      <c r="AF1286" t="s">
        <v>37</v>
      </c>
      <c r="AG1286" s="6" t="s">
        <v>37</v>
      </c>
      <c r="AH1286" t="s">
        <v>37</v>
      </c>
      <c r="AI1286" t="s">
        <v>37</v>
      </c>
      <c r="AJ1286" t="str">
        <f t="shared" si="62"/>
        <v>1KYIVKWCB01DKGAQNG</v>
      </c>
    </row>
    <row r="1287" spans="1:36" ht="15" customHeight="1" x14ac:dyDescent="0.25">
      <c r="A1287" t="s">
        <v>88</v>
      </c>
      <c r="B1287" t="s">
        <v>37</v>
      </c>
      <c r="C1287" t="s">
        <v>37</v>
      </c>
      <c r="D1287" t="s">
        <v>38</v>
      </c>
      <c r="E1287" s="4">
        <v>8</v>
      </c>
      <c r="F1287" s="5">
        <v>935.12</v>
      </c>
      <c r="G1287" s="5" t="s">
        <v>39</v>
      </c>
      <c r="H1287" s="5">
        <v>1173.76</v>
      </c>
      <c r="I1287" s="5" t="s">
        <v>39</v>
      </c>
      <c r="J1287" s="5">
        <v>31.794080000000001</v>
      </c>
      <c r="K1287" s="5">
        <f t="shared" si="60"/>
        <v>3.9742600000000001</v>
      </c>
      <c r="L1287" s="5">
        <f t="shared" si="61"/>
        <v>116.89</v>
      </c>
      <c r="M1287" s="5" t="s">
        <v>39</v>
      </c>
      <c r="N1287" s="5">
        <v>31.794080000000001</v>
      </c>
      <c r="O1287" s="5" t="s">
        <v>39</v>
      </c>
      <c r="P1287" t="s">
        <v>89</v>
      </c>
      <c r="Q1287" t="s">
        <v>203</v>
      </c>
      <c r="R1287" t="s">
        <v>37</v>
      </c>
      <c r="S1287" t="s">
        <v>204</v>
      </c>
      <c r="T1287" t="s">
        <v>43</v>
      </c>
      <c r="U1287" t="s">
        <v>44</v>
      </c>
      <c r="V1287">
        <v>147</v>
      </c>
      <c r="W1287" t="s">
        <v>45</v>
      </c>
      <c r="X1287" t="s">
        <v>46</v>
      </c>
      <c r="Y1287" t="s">
        <v>205</v>
      </c>
      <c r="Z1287" t="s">
        <v>37</v>
      </c>
      <c r="AA1287" t="s">
        <v>55</v>
      </c>
      <c r="AB1287" t="s">
        <v>37</v>
      </c>
      <c r="AC1287" s="6" t="s">
        <v>37</v>
      </c>
      <c r="AD1287" s="6" t="s">
        <v>37</v>
      </c>
      <c r="AE1287" t="s">
        <v>37</v>
      </c>
      <c r="AF1287" t="s">
        <v>37</v>
      </c>
      <c r="AG1287" s="6" t="s">
        <v>37</v>
      </c>
      <c r="AH1287" t="s">
        <v>37</v>
      </c>
      <c r="AI1287" t="s">
        <v>37</v>
      </c>
      <c r="AJ1287" t="str">
        <f t="shared" si="62"/>
        <v>2W68T8TOB07PMKHMFS</v>
      </c>
    </row>
    <row r="1288" spans="1:36" ht="15" customHeight="1" x14ac:dyDescent="0.25">
      <c r="A1288" t="s">
        <v>62</v>
      </c>
      <c r="B1288" t="s">
        <v>37</v>
      </c>
      <c r="C1288" t="s">
        <v>37</v>
      </c>
      <c r="D1288" t="s">
        <v>38</v>
      </c>
      <c r="E1288" s="4">
        <v>12</v>
      </c>
      <c r="F1288" s="5">
        <v>253.2</v>
      </c>
      <c r="G1288" s="5" t="s">
        <v>39</v>
      </c>
      <c r="H1288" s="5">
        <v>432.72</v>
      </c>
      <c r="I1288" s="5" t="s">
        <v>39</v>
      </c>
      <c r="J1288" s="5">
        <v>8.6088000000000005</v>
      </c>
      <c r="K1288" s="5">
        <f t="shared" si="60"/>
        <v>0.71740000000000004</v>
      </c>
      <c r="L1288" s="5">
        <f t="shared" si="61"/>
        <v>21.099999999999998</v>
      </c>
      <c r="M1288" s="5" t="s">
        <v>39</v>
      </c>
      <c r="N1288" s="5">
        <v>8.6088000000000005</v>
      </c>
      <c r="O1288" s="5" t="s">
        <v>39</v>
      </c>
      <c r="P1288" t="s">
        <v>63</v>
      </c>
      <c r="Q1288" t="s">
        <v>1845</v>
      </c>
      <c r="R1288" t="s">
        <v>37</v>
      </c>
      <c r="S1288" t="s">
        <v>1846</v>
      </c>
      <c r="T1288" t="s">
        <v>43</v>
      </c>
      <c r="U1288" t="s">
        <v>44</v>
      </c>
      <c r="V1288">
        <v>147</v>
      </c>
      <c r="W1288" t="s">
        <v>45</v>
      </c>
      <c r="X1288" t="s">
        <v>46</v>
      </c>
      <c r="Y1288" t="s">
        <v>1847</v>
      </c>
      <c r="Z1288" t="s">
        <v>37</v>
      </c>
      <c r="AA1288" t="s">
        <v>48</v>
      </c>
      <c r="AB1288" t="s">
        <v>37</v>
      </c>
      <c r="AC1288" s="6" t="s">
        <v>37</v>
      </c>
      <c r="AD1288" s="6" t="s">
        <v>37</v>
      </c>
      <c r="AE1288" t="s">
        <v>37</v>
      </c>
      <c r="AF1288" t="s">
        <v>37</v>
      </c>
      <c r="AG1288" s="6" t="s">
        <v>37</v>
      </c>
      <c r="AH1288" t="s">
        <v>37</v>
      </c>
      <c r="AI1288" t="s">
        <v>37</v>
      </c>
      <c r="AJ1288" t="str">
        <f t="shared" si="62"/>
        <v>7H9X1Z6SB00CJAF3ME</v>
      </c>
    </row>
    <row r="1289" spans="1:36" ht="15" customHeight="1" x14ac:dyDescent="0.25">
      <c r="A1289" t="s">
        <v>176</v>
      </c>
      <c r="B1289" t="s">
        <v>37</v>
      </c>
      <c r="C1289" t="s">
        <v>37</v>
      </c>
      <c r="D1289" t="s">
        <v>38</v>
      </c>
      <c r="E1289" s="4">
        <v>0</v>
      </c>
      <c r="F1289" s="5">
        <v>0</v>
      </c>
      <c r="G1289" s="5" t="s">
        <v>39</v>
      </c>
      <c r="H1289" s="5">
        <v>0</v>
      </c>
      <c r="I1289" s="5" t="s">
        <v>39</v>
      </c>
      <c r="J1289" s="5">
        <v>0</v>
      </c>
      <c r="K1289" s="5" t="e">
        <f t="shared" si="60"/>
        <v>#DIV/0!</v>
      </c>
      <c r="L1289" s="5" t="e">
        <f t="shared" si="61"/>
        <v>#DIV/0!</v>
      </c>
      <c r="M1289" s="5" t="s">
        <v>39</v>
      </c>
      <c r="N1289" s="5">
        <v>0</v>
      </c>
      <c r="O1289" s="5" t="s">
        <v>39</v>
      </c>
      <c r="P1289" t="s">
        <v>119</v>
      </c>
      <c r="Q1289" t="s">
        <v>984</v>
      </c>
      <c r="R1289" t="s">
        <v>37</v>
      </c>
      <c r="S1289" t="s">
        <v>985</v>
      </c>
      <c r="T1289" t="s">
        <v>43</v>
      </c>
      <c r="U1289" t="s">
        <v>44</v>
      </c>
      <c r="V1289">
        <v>147</v>
      </c>
      <c r="W1289" t="s">
        <v>45</v>
      </c>
      <c r="X1289" t="s">
        <v>46</v>
      </c>
      <c r="Y1289" t="s">
        <v>986</v>
      </c>
      <c r="Z1289" t="s">
        <v>37</v>
      </c>
      <c r="AA1289" t="s">
        <v>95</v>
      </c>
      <c r="AB1289" t="s">
        <v>37</v>
      </c>
      <c r="AC1289" s="6" t="s">
        <v>37</v>
      </c>
      <c r="AD1289" s="6" t="s">
        <v>37</v>
      </c>
      <c r="AE1289" t="s">
        <v>37</v>
      </c>
      <c r="AF1289" t="s">
        <v>37</v>
      </c>
      <c r="AG1289" s="6" t="s">
        <v>37</v>
      </c>
      <c r="AH1289" t="s">
        <v>37</v>
      </c>
      <c r="AI1289" t="s">
        <v>37</v>
      </c>
      <c r="AJ1289" t="str">
        <f t="shared" si="62"/>
        <v>31DJDC7QB07W6JM35X</v>
      </c>
    </row>
    <row r="1290" spans="1:36" ht="15" customHeight="1" x14ac:dyDescent="0.25">
      <c r="A1290" t="s">
        <v>118</v>
      </c>
      <c r="B1290" t="s">
        <v>37</v>
      </c>
      <c r="C1290" t="s">
        <v>37</v>
      </c>
      <c r="D1290" t="s">
        <v>38</v>
      </c>
      <c r="E1290" s="4">
        <v>4</v>
      </c>
      <c r="F1290" s="5">
        <v>140.52000000000001</v>
      </c>
      <c r="G1290" s="5" t="s">
        <v>39</v>
      </c>
      <c r="H1290" s="5">
        <v>213.08</v>
      </c>
      <c r="I1290" s="5" t="s">
        <v>39</v>
      </c>
      <c r="J1290" s="5">
        <v>4.7776800000000001</v>
      </c>
      <c r="K1290" s="5">
        <f t="shared" si="60"/>
        <v>1.19442</v>
      </c>
      <c r="L1290" s="5">
        <f t="shared" si="61"/>
        <v>35.130000000000003</v>
      </c>
      <c r="M1290" s="5" t="s">
        <v>39</v>
      </c>
      <c r="N1290" s="5">
        <v>4.7776800000000001</v>
      </c>
      <c r="O1290" s="5" t="s">
        <v>39</v>
      </c>
      <c r="P1290" t="s">
        <v>462</v>
      </c>
      <c r="Q1290" t="s">
        <v>1848</v>
      </c>
      <c r="R1290" t="s">
        <v>37</v>
      </c>
      <c r="S1290" t="s">
        <v>1849</v>
      </c>
      <c r="T1290" t="s">
        <v>43</v>
      </c>
      <c r="U1290" t="s">
        <v>44</v>
      </c>
      <c r="V1290">
        <v>147</v>
      </c>
      <c r="W1290" t="s">
        <v>45</v>
      </c>
      <c r="X1290" t="s">
        <v>60</v>
      </c>
      <c r="Y1290" t="s">
        <v>1850</v>
      </c>
      <c r="Z1290" t="s">
        <v>37</v>
      </c>
      <c r="AA1290" t="s">
        <v>55</v>
      </c>
      <c r="AB1290" t="s">
        <v>37</v>
      </c>
      <c r="AC1290" s="6" t="s">
        <v>37</v>
      </c>
      <c r="AD1290" s="6" t="s">
        <v>37</v>
      </c>
      <c r="AE1290" t="s">
        <v>37</v>
      </c>
      <c r="AF1290" t="s">
        <v>37</v>
      </c>
      <c r="AG1290" s="6" t="s">
        <v>37</v>
      </c>
      <c r="AH1290" t="s">
        <v>37</v>
      </c>
      <c r="AI1290" t="s">
        <v>37</v>
      </c>
      <c r="AJ1290" t="str">
        <f t="shared" si="62"/>
        <v>17D6YHERB00S67M430</v>
      </c>
    </row>
    <row r="1291" spans="1:36" ht="15" customHeight="1" x14ac:dyDescent="0.25">
      <c r="A1291" t="s">
        <v>88</v>
      </c>
      <c r="B1291" t="s">
        <v>37</v>
      </c>
      <c r="C1291" t="s">
        <v>37</v>
      </c>
      <c r="D1291" t="s">
        <v>38</v>
      </c>
      <c r="E1291" s="4">
        <v>410</v>
      </c>
      <c r="F1291" s="5">
        <v>6719.9</v>
      </c>
      <c r="G1291" s="5" t="s">
        <v>39</v>
      </c>
      <c r="H1291" s="5">
        <v>10077.799999999999</v>
      </c>
      <c r="I1291" s="5" t="s">
        <v>39</v>
      </c>
      <c r="J1291" s="5">
        <v>228.47659999999999</v>
      </c>
      <c r="K1291" s="5">
        <f t="shared" si="60"/>
        <v>0.55725999999999998</v>
      </c>
      <c r="L1291" s="5">
        <f t="shared" si="61"/>
        <v>16.39</v>
      </c>
      <c r="M1291" s="5" t="s">
        <v>39</v>
      </c>
      <c r="N1291" s="5">
        <v>228.47659999999999</v>
      </c>
      <c r="O1291" s="5" t="s">
        <v>39</v>
      </c>
      <c r="P1291" t="s">
        <v>1851</v>
      </c>
      <c r="Q1291" t="s">
        <v>163</v>
      </c>
      <c r="R1291" t="s">
        <v>164</v>
      </c>
      <c r="S1291" t="s">
        <v>165</v>
      </c>
      <c r="T1291" t="s">
        <v>43</v>
      </c>
      <c r="U1291" t="s">
        <v>44</v>
      </c>
      <c r="V1291">
        <v>147</v>
      </c>
      <c r="W1291" t="s">
        <v>45</v>
      </c>
      <c r="X1291" t="s">
        <v>53</v>
      </c>
      <c r="Y1291" t="s">
        <v>166</v>
      </c>
      <c r="Z1291" t="s">
        <v>37</v>
      </c>
      <c r="AA1291" t="s">
        <v>48</v>
      </c>
      <c r="AB1291" t="s">
        <v>37</v>
      </c>
      <c r="AC1291" s="6" t="s">
        <v>37</v>
      </c>
      <c r="AD1291" s="6" t="s">
        <v>37</v>
      </c>
      <c r="AE1291" t="s">
        <v>37</v>
      </c>
      <c r="AF1291" t="s">
        <v>37</v>
      </c>
      <c r="AG1291" s="6" t="s">
        <v>37</v>
      </c>
      <c r="AH1291" t="s">
        <v>37</v>
      </c>
      <c r="AI1291" t="s">
        <v>37</v>
      </c>
      <c r="AJ1291" t="str">
        <f t="shared" si="62"/>
        <v>5PBSTBMJB01K7GEG9W</v>
      </c>
    </row>
    <row r="1292" spans="1:36" ht="15" customHeight="1" x14ac:dyDescent="0.25">
      <c r="A1292" t="s">
        <v>101</v>
      </c>
      <c r="B1292" t="s">
        <v>37</v>
      </c>
      <c r="C1292" t="s">
        <v>37</v>
      </c>
      <c r="D1292" t="s">
        <v>38</v>
      </c>
      <c r="E1292" s="4">
        <v>56</v>
      </c>
      <c r="F1292" s="5">
        <v>649.6</v>
      </c>
      <c r="G1292" s="5" t="s">
        <v>39</v>
      </c>
      <c r="H1292" s="5">
        <v>1100.96</v>
      </c>
      <c r="I1292" s="5" t="s">
        <v>39</v>
      </c>
      <c r="J1292" s="5">
        <v>22.086400000000001</v>
      </c>
      <c r="K1292" s="5">
        <f t="shared" si="60"/>
        <v>0.39440000000000003</v>
      </c>
      <c r="L1292" s="5">
        <f t="shared" si="61"/>
        <v>11.6</v>
      </c>
      <c r="M1292" s="5" t="s">
        <v>39</v>
      </c>
      <c r="N1292" s="5">
        <v>22.086400000000001</v>
      </c>
      <c r="O1292" s="5" t="s">
        <v>39</v>
      </c>
      <c r="P1292" t="s">
        <v>320</v>
      </c>
      <c r="Q1292" t="s">
        <v>107</v>
      </c>
      <c r="R1292" t="s">
        <v>37</v>
      </c>
      <c r="S1292" t="s">
        <v>108</v>
      </c>
      <c r="T1292" t="s">
        <v>43</v>
      </c>
      <c r="U1292" t="s">
        <v>44</v>
      </c>
      <c r="V1292">
        <v>147</v>
      </c>
      <c r="W1292" t="s">
        <v>45</v>
      </c>
      <c r="X1292" t="s">
        <v>53</v>
      </c>
      <c r="Y1292" t="s">
        <v>109</v>
      </c>
      <c r="Z1292" t="s">
        <v>37</v>
      </c>
      <c r="AA1292" t="s">
        <v>95</v>
      </c>
      <c r="AB1292" t="s">
        <v>37</v>
      </c>
      <c r="AC1292" s="6" t="s">
        <v>37</v>
      </c>
      <c r="AD1292" s="6" t="s">
        <v>37</v>
      </c>
      <c r="AE1292" t="s">
        <v>37</v>
      </c>
      <c r="AF1292" t="s">
        <v>37</v>
      </c>
      <c r="AG1292" s="6" t="s">
        <v>37</v>
      </c>
      <c r="AH1292" t="s">
        <v>37</v>
      </c>
      <c r="AI1292" t="s">
        <v>37</v>
      </c>
      <c r="AJ1292" t="str">
        <f t="shared" si="62"/>
        <v>8BG295LIB07W7K29YK</v>
      </c>
    </row>
    <row r="1293" spans="1:36" ht="15" customHeight="1" x14ac:dyDescent="0.25">
      <c r="A1293" t="s">
        <v>36</v>
      </c>
      <c r="B1293" t="s">
        <v>37</v>
      </c>
      <c r="C1293" t="s">
        <v>37</v>
      </c>
      <c r="D1293" t="s">
        <v>38</v>
      </c>
      <c r="E1293" s="4">
        <v>356</v>
      </c>
      <c r="F1293" s="5">
        <v>15963.04</v>
      </c>
      <c r="G1293" s="5" t="s">
        <v>39</v>
      </c>
      <c r="H1293" s="5">
        <v>25674.720000000001</v>
      </c>
      <c r="I1293" s="5" t="s">
        <v>39</v>
      </c>
      <c r="J1293" s="5">
        <v>542.74336000000005</v>
      </c>
      <c r="K1293" s="5">
        <f t="shared" si="60"/>
        <v>1.5245600000000001</v>
      </c>
      <c r="L1293" s="5">
        <f t="shared" si="61"/>
        <v>44.84</v>
      </c>
      <c r="M1293" s="5" t="s">
        <v>39</v>
      </c>
      <c r="N1293" s="5">
        <v>542.74336000000005</v>
      </c>
      <c r="O1293" s="5" t="s">
        <v>39</v>
      </c>
      <c r="P1293" t="s">
        <v>119</v>
      </c>
      <c r="Q1293" t="s">
        <v>984</v>
      </c>
      <c r="R1293" t="s">
        <v>37</v>
      </c>
      <c r="S1293" t="s">
        <v>985</v>
      </c>
      <c r="T1293" t="s">
        <v>43</v>
      </c>
      <c r="U1293" t="s">
        <v>44</v>
      </c>
      <c r="V1293">
        <v>147</v>
      </c>
      <c r="W1293" t="s">
        <v>45</v>
      </c>
      <c r="X1293" t="s">
        <v>46</v>
      </c>
      <c r="Y1293" t="s">
        <v>986</v>
      </c>
      <c r="Z1293" t="s">
        <v>37</v>
      </c>
      <c r="AA1293" t="s">
        <v>95</v>
      </c>
      <c r="AB1293" t="s">
        <v>37</v>
      </c>
      <c r="AC1293" s="6" t="s">
        <v>37</v>
      </c>
      <c r="AD1293" s="6" t="s">
        <v>37</v>
      </c>
      <c r="AE1293" t="s">
        <v>37</v>
      </c>
      <c r="AF1293" t="s">
        <v>37</v>
      </c>
      <c r="AG1293" s="6" t="s">
        <v>37</v>
      </c>
      <c r="AH1293" t="s">
        <v>37</v>
      </c>
      <c r="AI1293" t="s">
        <v>37</v>
      </c>
      <c r="AJ1293" t="str">
        <f t="shared" si="62"/>
        <v>31DJDC7QB07W6JM35X</v>
      </c>
    </row>
    <row r="1294" spans="1:36" ht="15" customHeight="1" x14ac:dyDescent="0.25">
      <c r="A1294" t="s">
        <v>127</v>
      </c>
      <c r="B1294" t="s">
        <v>37</v>
      </c>
      <c r="C1294" t="s">
        <v>37</v>
      </c>
      <c r="D1294" t="s">
        <v>38</v>
      </c>
      <c r="E1294" s="4">
        <v>4</v>
      </c>
      <c r="F1294" s="5">
        <v>179.36</v>
      </c>
      <c r="G1294" s="5" t="s">
        <v>39</v>
      </c>
      <c r="H1294" s="5">
        <v>288.48</v>
      </c>
      <c r="I1294" s="5" t="s">
        <v>39</v>
      </c>
      <c r="J1294" s="5">
        <v>6.0982399999999997</v>
      </c>
      <c r="K1294" s="5">
        <f t="shared" si="60"/>
        <v>1.5245599999999999</v>
      </c>
      <c r="L1294" s="5">
        <f t="shared" si="61"/>
        <v>44.84</v>
      </c>
      <c r="M1294" s="5" t="s">
        <v>39</v>
      </c>
      <c r="N1294" s="5">
        <v>6.0982399999999997</v>
      </c>
      <c r="O1294" s="5" t="s">
        <v>39</v>
      </c>
      <c r="P1294" t="s">
        <v>119</v>
      </c>
      <c r="Q1294" t="s">
        <v>984</v>
      </c>
      <c r="R1294" t="s">
        <v>37</v>
      </c>
      <c r="S1294" t="s">
        <v>985</v>
      </c>
      <c r="T1294" t="s">
        <v>43</v>
      </c>
      <c r="U1294" t="s">
        <v>44</v>
      </c>
      <c r="V1294">
        <v>147</v>
      </c>
      <c r="W1294" t="s">
        <v>45</v>
      </c>
      <c r="X1294" t="s">
        <v>46</v>
      </c>
      <c r="Y1294" t="s">
        <v>986</v>
      </c>
      <c r="Z1294" t="s">
        <v>37</v>
      </c>
      <c r="AA1294" t="s">
        <v>95</v>
      </c>
      <c r="AB1294" t="s">
        <v>37</v>
      </c>
      <c r="AC1294" s="6" t="s">
        <v>37</v>
      </c>
      <c r="AD1294" s="6" t="s">
        <v>37</v>
      </c>
      <c r="AE1294" t="s">
        <v>37</v>
      </c>
      <c r="AF1294" t="s">
        <v>37</v>
      </c>
      <c r="AG1294" s="6" t="s">
        <v>37</v>
      </c>
      <c r="AH1294" t="s">
        <v>37</v>
      </c>
      <c r="AI1294" t="s">
        <v>37</v>
      </c>
      <c r="AJ1294" t="str">
        <f t="shared" si="62"/>
        <v>31DJDC7QB07W6JM35X</v>
      </c>
    </row>
    <row r="1295" spans="1:36" ht="15" customHeight="1" x14ac:dyDescent="0.25">
      <c r="A1295" t="s">
        <v>118</v>
      </c>
      <c r="B1295" t="s">
        <v>37</v>
      </c>
      <c r="C1295" t="s">
        <v>37</v>
      </c>
      <c r="D1295" t="s">
        <v>38</v>
      </c>
      <c r="E1295" s="4">
        <v>4</v>
      </c>
      <c r="F1295" s="5">
        <v>257.68</v>
      </c>
      <c r="G1295" s="5" t="s">
        <v>39</v>
      </c>
      <c r="H1295" s="5">
        <v>377</v>
      </c>
      <c r="I1295" s="5" t="s">
        <v>39</v>
      </c>
      <c r="J1295" s="5">
        <v>8.76112</v>
      </c>
      <c r="K1295" s="5">
        <f t="shared" si="60"/>
        <v>2.19028</v>
      </c>
      <c r="L1295" s="5">
        <f t="shared" si="61"/>
        <v>64.42</v>
      </c>
      <c r="M1295" s="5" t="s">
        <v>39</v>
      </c>
      <c r="N1295" s="5">
        <v>8.76112</v>
      </c>
      <c r="O1295" s="5" t="s">
        <v>39</v>
      </c>
      <c r="P1295" t="s">
        <v>40</v>
      </c>
      <c r="Q1295" t="s">
        <v>58</v>
      </c>
      <c r="R1295" t="s">
        <v>37</v>
      </c>
      <c r="S1295" t="s">
        <v>59</v>
      </c>
      <c r="T1295" t="s">
        <v>43</v>
      </c>
      <c r="U1295" t="s">
        <v>44</v>
      </c>
      <c r="V1295">
        <v>147</v>
      </c>
      <c r="W1295" t="s">
        <v>45</v>
      </c>
      <c r="X1295" t="s">
        <v>60</v>
      </c>
      <c r="Y1295" t="s">
        <v>61</v>
      </c>
      <c r="Z1295" t="s">
        <v>37</v>
      </c>
      <c r="AA1295" t="s">
        <v>55</v>
      </c>
      <c r="AB1295" t="s">
        <v>37</v>
      </c>
      <c r="AC1295" s="6" t="s">
        <v>37</v>
      </c>
      <c r="AD1295" s="6" t="s">
        <v>37</v>
      </c>
      <c r="AE1295" t="s">
        <v>37</v>
      </c>
      <c r="AF1295" t="s">
        <v>37</v>
      </c>
      <c r="AG1295" s="6" t="s">
        <v>37</v>
      </c>
      <c r="AH1295" t="s">
        <v>37</v>
      </c>
      <c r="AI1295" t="s">
        <v>37</v>
      </c>
      <c r="AJ1295" t="str">
        <f t="shared" si="62"/>
        <v>4A3KDTEZB0055ZWOZ4</v>
      </c>
    </row>
    <row r="1296" spans="1:36" ht="15" customHeight="1" x14ac:dyDescent="0.25">
      <c r="A1296" t="s">
        <v>36</v>
      </c>
      <c r="B1296" t="s">
        <v>37</v>
      </c>
      <c r="C1296" t="s">
        <v>37</v>
      </c>
      <c r="D1296" t="s">
        <v>38</v>
      </c>
      <c r="E1296" s="4">
        <v>8</v>
      </c>
      <c r="F1296" s="5">
        <v>774.64</v>
      </c>
      <c r="G1296" s="5" t="s">
        <v>39</v>
      </c>
      <c r="H1296" s="5">
        <v>918</v>
      </c>
      <c r="I1296" s="5" t="s">
        <v>39</v>
      </c>
      <c r="J1296" s="5">
        <v>26.337759999999999</v>
      </c>
      <c r="K1296" s="5">
        <f t="shared" si="60"/>
        <v>3.2922199999999999</v>
      </c>
      <c r="L1296" s="5">
        <f t="shared" si="61"/>
        <v>96.83</v>
      </c>
      <c r="M1296" s="5" t="s">
        <v>39</v>
      </c>
      <c r="N1296" s="5">
        <v>26.337759999999999</v>
      </c>
      <c r="O1296" s="5" t="s">
        <v>39</v>
      </c>
      <c r="P1296" t="s">
        <v>1852</v>
      </c>
      <c r="Q1296" t="s">
        <v>643</v>
      </c>
      <c r="R1296" t="s">
        <v>644</v>
      </c>
      <c r="S1296" t="s">
        <v>645</v>
      </c>
      <c r="T1296" t="s">
        <v>43</v>
      </c>
      <c r="U1296" t="s">
        <v>44</v>
      </c>
      <c r="V1296">
        <v>267</v>
      </c>
      <c r="W1296" t="s">
        <v>151</v>
      </c>
      <c r="X1296" t="s">
        <v>152</v>
      </c>
      <c r="Y1296" t="s">
        <v>646</v>
      </c>
      <c r="Z1296" t="s">
        <v>37</v>
      </c>
      <c r="AA1296" t="s">
        <v>95</v>
      </c>
      <c r="AB1296" t="s">
        <v>37</v>
      </c>
      <c r="AC1296" s="6" t="s">
        <v>37</v>
      </c>
      <c r="AD1296" s="6" t="s">
        <v>37</v>
      </c>
      <c r="AE1296" t="s">
        <v>37</v>
      </c>
      <c r="AF1296" t="s">
        <v>37</v>
      </c>
      <c r="AG1296" s="6" t="s">
        <v>37</v>
      </c>
      <c r="AH1296" t="s">
        <v>37</v>
      </c>
      <c r="AI1296" t="s">
        <v>37</v>
      </c>
      <c r="AJ1296" t="str">
        <f t="shared" si="62"/>
        <v>1PEKEP8IB014PYGYRE</v>
      </c>
    </row>
    <row r="1297" spans="1:36" ht="15" customHeight="1" x14ac:dyDescent="0.25">
      <c r="A1297" t="s">
        <v>101</v>
      </c>
      <c r="B1297" t="s">
        <v>37</v>
      </c>
      <c r="C1297" t="s">
        <v>37</v>
      </c>
      <c r="D1297" t="s">
        <v>38</v>
      </c>
      <c r="E1297" s="4">
        <v>8</v>
      </c>
      <c r="F1297" s="5">
        <v>210.96</v>
      </c>
      <c r="G1297" s="5" t="s">
        <v>39</v>
      </c>
      <c r="H1297" s="5">
        <v>340.88</v>
      </c>
      <c r="I1297" s="5" t="s">
        <v>39</v>
      </c>
      <c r="J1297" s="5">
        <v>7.1726400000000003</v>
      </c>
      <c r="K1297" s="5">
        <f t="shared" si="60"/>
        <v>0.89658000000000004</v>
      </c>
      <c r="L1297" s="5">
        <f t="shared" si="61"/>
        <v>26.37</v>
      </c>
      <c r="M1297" s="5" t="s">
        <v>39</v>
      </c>
      <c r="N1297" s="5">
        <v>7.1726400000000003</v>
      </c>
      <c r="O1297" s="5" t="s">
        <v>39</v>
      </c>
      <c r="P1297" t="s">
        <v>320</v>
      </c>
      <c r="Q1297" t="s">
        <v>914</v>
      </c>
      <c r="R1297" t="s">
        <v>37</v>
      </c>
      <c r="S1297" t="s">
        <v>915</v>
      </c>
      <c r="T1297" t="s">
        <v>43</v>
      </c>
      <c r="U1297" t="s">
        <v>44</v>
      </c>
      <c r="V1297">
        <v>147</v>
      </c>
      <c r="W1297" t="s">
        <v>45</v>
      </c>
      <c r="X1297" t="s">
        <v>53</v>
      </c>
      <c r="Y1297" t="s">
        <v>916</v>
      </c>
      <c r="Z1297" t="s">
        <v>37</v>
      </c>
      <c r="AA1297" t="s">
        <v>95</v>
      </c>
      <c r="AB1297" t="s">
        <v>37</v>
      </c>
      <c r="AC1297" s="6" t="s">
        <v>37</v>
      </c>
      <c r="AD1297" s="6" t="s">
        <v>37</v>
      </c>
      <c r="AE1297" t="s">
        <v>37</v>
      </c>
      <c r="AF1297" t="s">
        <v>37</v>
      </c>
      <c r="AG1297" s="6" t="s">
        <v>37</v>
      </c>
      <c r="AH1297" t="s">
        <v>37</v>
      </c>
      <c r="AI1297" t="s">
        <v>37</v>
      </c>
      <c r="AJ1297" t="str">
        <f t="shared" si="62"/>
        <v>8BG295LIB07W4DHG24</v>
      </c>
    </row>
    <row r="1298" spans="1:36" ht="15" customHeight="1" x14ac:dyDescent="0.25">
      <c r="A1298" t="s">
        <v>62</v>
      </c>
      <c r="B1298" t="s">
        <v>37</v>
      </c>
      <c r="C1298" t="s">
        <v>37</v>
      </c>
      <c r="D1298" t="s">
        <v>38</v>
      </c>
      <c r="E1298" s="4">
        <v>8</v>
      </c>
      <c r="F1298" s="5">
        <v>1377.84</v>
      </c>
      <c r="G1298" s="5" t="s">
        <v>39</v>
      </c>
      <c r="H1298" s="5">
        <v>1763.92</v>
      </c>
      <c r="I1298" s="5" t="s">
        <v>39</v>
      </c>
      <c r="J1298" s="5">
        <v>46.846559999999997</v>
      </c>
      <c r="K1298" s="5">
        <f t="shared" si="60"/>
        <v>5.8558199999999996</v>
      </c>
      <c r="L1298" s="5">
        <f t="shared" si="61"/>
        <v>172.23</v>
      </c>
      <c r="M1298" s="5" t="s">
        <v>39</v>
      </c>
      <c r="N1298" s="5">
        <v>46.846559999999997</v>
      </c>
      <c r="O1298" s="5" t="s">
        <v>39</v>
      </c>
      <c r="P1298" t="s">
        <v>1853</v>
      </c>
      <c r="Q1298" t="s">
        <v>831</v>
      </c>
      <c r="R1298" t="s">
        <v>37</v>
      </c>
      <c r="S1298" t="s">
        <v>832</v>
      </c>
      <c r="T1298" t="s">
        <v>43</v>
      </c>
      <c r="U1298" t="s">
        <v>44</v>
      </c>
      <c r="V1298">
        <v>147</v>
      </c>
      <c r="W1298" t="s">
        <v>45</v>
      </c>
      <c r="X1298" t="s">
        <v>46</v>
      </c>
      <c r="Y1298" t="s">
        <v>833</v>
      </c>
      <c r="Z1298" t="s">
        <v>37</v>
      </c>
      <c r="AA1298" t="s">
        <v>55</v>
      </c>
      <c r="AB1298" t="s">
        <v>37</v>
      </c>
      <c r="AC1298" s="6" t="s">
        <v>37</v>
      </c>
      <c r="AD1298" s="6" t="s">
        <v>37</v>
      </c>
      <c r="AE1298" t="s">
        <v>37</v>
      </c>
      <c r="AF1298" t="s">
        <v>37</v>
      </c>
      <c r="AG1298" s="6" t="s">
        <v>37</v>
      </c>
      <c r="AH1298" t="s">
        <v>37</v>
      </c>
      <c r="AI1298" t="s">
        <v>37</v>
      </c>
      <c r="AJ1298" t="str">
        <f t="shared" si="62"/>
        <v>8IGCODXQB07W6FW84S</v>
      </c>
    </row>
    <row r="1299" spans="1:36" ht="15" customHeight="1" x14ac:dyDescent="0.25">
      <c r="A1299" t="s">
        <v>215</v>
      </c>
      <c r="B1299" t="s">
        <v>37</v>
      </c>
      <c r="C1299" t="s">
        <v>37</v>
      </c>
      <c r="D1299" t="s">
        <v>38</v>
      </c>
      <c r="E1299" s="4">
        <v>4</v>
      </c>
      <c r="F1299" s="5">
        <v>179.36</v>
      </c>
      <c r="G1299" s="5" t="s">
        <v>39</v>
      </c>
      <c r="H1299" s="5">
        <v>288.48</v>
      </c>
      <c r="I1299" s="5" t="s">
        <v>39</v>
      </c>
      <c r="J1299" s="5">
        <v>6.0982399999999997</v>
      </c>
      <c r="K1299" s="5">
        <f t="shared" si="60"/>
        <v>1.5245599999999999</v>
      </c>
      <c r="L1299" s="5">
        <f t="shared" si="61"/>
        <v>44.84</v>
      </c>
      <c r="M1299" s="5" t="s">
        <v>39</v>
      </c>
      <c r="N1299" s="5">
        <v>6.0982399999999997</v>
      </c>
      <c r="O1299" s="5" t="s">
        <v>39</v>
      </c>
      <c r="P1299" t="s">
        <v>119</v>
      </c>
      <c r="Q1299" t="s">
        <v>984</v>
      </c>
      <c r="R1299" t="s">
        <v>37</v>
      </c>
      <c r="S1299" t="s">
        <v>985</v>
      </c>
      <c r="T1299" t="s">
        <v>43</v>
      </c>
      <c r="U1299" t="s">
        <v>44</v>
      </c>
      <c r="V1299">
        <v>147</v>
      </c>
      <c r="W1299" t="s">
        <v>45</v>
      </c>
      <c r="X1299" t="s">
        <v>46</v>
      </c>
      <c r="Y1299" t="s">
        <v>986</v>
      </c>
      <c r="Z1299" t="s">
        <v>37</v>
      </c>
      <c r="AA1299" t="s">
        <v>95</v>
      </c>
      <c r="AB1299" t="s">
        <v>37</v>
      </c>
      <c r="AC1299" s="6" t="s">
        <v>37</v>
      </c>
      <c r="AD1299" s="6" t="s">
        <v>37</v>
      </c>
      <c r="AE1299" t="s">
        <v>37</v>
      </c>
      <c r="AF1299" t="s">
        <v>37</v>
      </c>
      <c r="AG1299" s="6" t="s">
        <v>37</v>
      </c>
      <c r="AH1299" t="s">
        <v>37</v>
      </c>
      <c r="AI1299" t="s">
        <v>37</v>
      </c>
      <c r="AJ1299" t="str">
        <f t="shared" si="62"/>
        <v>31DJDC7QB07W6JM35X</v>
      </c>
    </row>
    <row r="1300" spans="1:36" ht="15" customHeight="1" x14ac:dyDescent="0.25">
      <c r="A1300" t="s">
        <v>110</v>
      </c>
      <c r="B1300" t="s">
        <v>37</v>
      </c>
      <c r="C1300" t="s">
        <v>37</v>
      </c>
      <c r="D1300" t="s">
        <v>38</v>
      </c>
      <c r="E1300" s="4">
        <v>8</v>
      </c>
      <c r="F1300" s="5">
        <v>928.16</v>
      </c>
      <c r="G1300" s="5" t="s">
        <v>39</v>
      </c>
      <c r="H1300" s="5">
        <v>1311.44</v>
      </c>
      <c r="I1300" s="5" t="s">
        <v>39</v>
      </c>
      <c r="J1300" s="5">
        <v>31.55744</v>
      </c>
      <c r="K1300" s="5">
        <f t="shared" si="60"/>
        <v>3.94468</v>
      </c>
      <c r="L1300" s="5">
        <f t="shared" si="61"/>
        <v>116.02</v>
      </c>
      <c r="M1300" s="5" t="s">
        <v>39</v>
      </c>
      <c r="N1300" s="5">
        <v>31.55744</v>
      </c>
      <c r="O1300" s="5" t="s">
        <v>39</v>
      </c>
      <c r="P1300" t="s">
        <v>320</v>
      </c>
      <c r="Q1300" t="s">
        <v>124</v>
      </c>
      <c r="R1300" t="s">
        <v>37</v>
      </c>
      <c r="S1300" t="s">
        <v>125</v>
      </c>
      <c r="T1300" t="s">
        <v>43</v>
      </c>
      <c r="U1300" t="s">
        <v>44</v>
      </c>
      <c r="V1300">
        <v>147</v>
      </c>
      <c r="W1300" t="s">
        <v>45</v>
      </c>
      <c r="X1300" t="s">
        <v>60</v>
      </c>
      <c r="Y1300" t="s">
        <v>126</v>
      </c>
      <c r="Z1300" t="s">
        <v>37</v>
      </c>
      <c r="AA1300" t="s">
        <v>55</v>
      </c>
      <c r="AB1300" t="s">
        <v>37</v>
      </c>
      <c r="AC1300" s="6" t="s">
        <v>37</v>
      </c>
      <c r="AD1300" s="6" t="s">
        <v>37</v>
      </c>
      <c r="AE1300" t="s">
        <v>37</v>
      </c>
      <c r="AF1300" t="s">
        <v>37</v>
      </c>
      <c r="AG1300" s="6" t="s">
        <v>37</v>
      </c>
      <c r="AH1300" t="s">
        <v>37</v>
      </c>
      <c r="AI1300" t="s">
        <v>37</v>
      </c>
      <c r="AJ1300" t="str">
        <f t="shared" si="62"/>
        <v>8BG295LIB07W6HPP3R</v>
      </c>
    </row>
    <row r="1301" spans="1:36" ht="15" customHeight="1" x14ac:dyDescent="0.25">
      <c r="A1301" t="s">
        <v>101</v>
      </c>
      <c r="B1301" t="s">
        <v>37</v>
      </c>
      <c r="C1301" t="s">
        <v>37</v>
      </c>
      <c r="D1301" t="s">
        <v>38</v>
      </c>
      <c r="E1301" s="4">
        <v>52</v>
      </c>
      <c r="F1301" s="5">
        <v>5460</v>
      </c>
      <c r="G1301" s="5" t="s">
        <v>39</v>
      </c>
      <c r="H1301" s="5">
        <v>8907.6</v>
      </c>
      <c r="I1301" s="5" t="s">
        <v>39</v>
      </c>
      <c r="J1301" s="5">
        <v>185.64</v>
      </c>
      <c r="K1301" s="5">
        <f t="shared" si="60"/>
        <v>3.57</v>
      </c>
      <c r="L1301" s="5">
        <f t="shared" si="61"/>
        <v>105</v>
      </c>
      <c r="M1301" s="5" t="s">
        <v>39</v>
      </c>
      <c r="N1301" s="5">
        <v>185.64</v>
      </c>
      <c r="O1301" s="5" t="s">
        <v>39</v>
      </c>
      <c r="P1301" t="s">
        <v>748</v>
      </c>
      <c r="Q1301" t="s">
        <v>1379</v>
      </c>
      <c r="R1301" t="s">
        <v>37</v>
      </c>
      <c r="S1301" t="s">
        <v>1380</v>
      </c>
      <c r="T1301" t="s">
        <v>43</v>
      </c>
      <c r="U1301" t="s">
        <v>44</v>
      </c>
      <c r="V1301">
        <v>147</v>
      </c>
      <c r="W1301" t="s">
        <v>45</v>
      </c>
      <c r="X1301" t="s">
        <v>46</v>
      </c>
      <c r="Y1301" t="s">
        <v>1381</v>
      </c>
      <c r="Z1301" t="s">
        <v>37</v>
      </c>
      <c r="AA1301" t="s">
        <v>48</v>
      </c>
      <c r="AB1301" t="s">
        <v>37</v>
      </c>
      <c r="AC1301" s="6" t="s">
        <v>37</v>
      </c>
      <c r="AD1301" s="6" t="s">
        <v>37</v>
      </c>
      <c r="AE1301" t="s">
        <v>37</v>
      </c>
      <c r="AF1301" t="s">
        <v>37</v>
      </c>
      <c r="AG1301" s="6" t="s">
        <v>37</v>
      </c>
      <c r="AH1301" t="s">
        <v>37</v>
      </c>
      <c r="AI1301" t="s">
        <v>37</v>
      </c>
      <c r="AJ1301" t="str">
        <f t="shared" si="62"/>
        <v>74WI6EYDB01G7AWZEA</v>
      </c>
    </row>
    <row r="1302" spans="1:36" ht="15" customHeight="1" x14ac:dyDescent="0.25">
      <c r="A1302" t="s">
        <v>118</v>
      </c>
      <c r="B1302" t="s">
        <v>37</v>
      </c>
      <c r="C1302" t="s">
        <v>37</v>
      </c>
      <c r="D1302" t="s">
        <v>38</v>
      </c>
      <c r="E1302" s="4">
        <v>8</v>
      </c>
      <c r="F1302" s="5">
        <v>505.84</v>
      </c>
      <c r="G1302" s="5" t="s">
        <v>39</v>
      </c>
      <c r="H1302" s="5">
        <v>780.32</v>
      </c>
      <c r="I1302" s="5" t="s">
        <v>39</v>
      </c>
      <c r="J1302" s="5">
        <v>17.198560000000001</v>
      </c>
      <c r="K1302" s="5">
        <f t="shared" si="60"/>
        <v>2.1498200000000001</v>
      </c>
      <c r="L1302" s="5">
        <f t="shared" si="61"/>
        <v>63.23</v>
      </c>
      <c r="M1302" s="5" t="s">
        <v>39</v>
      </c>
      <c r="N1302" s="5">
        <v>17.198560000000001</v>
      </c>
      <c r="O1302" s="5" t="s">
        <v>39</v>
      </c>
      <c r="P1302" t="s">
        <v>1854</v>
      </c>
      <c r="Q1302" t="s">
        <v>1125</v>
      </c>
      <c r="R1302" t="s">
        <v>37</v>
      </c>
      <c r="S1302" t="s">
        <v>1126</v>
      </c>
      <c r="T1302" t="s">
        <v>43</v>
      </c>
      <c r="U1302" t="s">
        <v>44</v>
      </c>
      <c r="V1302">
        <v>147</v>
      </c>
      <c r="W1302" t="s">
        <v>45</v>
      </c>
      <c r="X1302" t="s">
        <v>60</v>
      </c>
      <c r="Y1302" t="s">
        <v>1127</v>
      </c>
      <c r="Z1302" t="s">
        <v>37</v>
      </c>
      <c r="AA1302" t="s">
        <v>55</v>
      </c>
      <c r="AB1302" t="s">
        <v>37</v>
      </c>
      <c r="AC1302" s="6" t="s">
        <v>37</v>
      </c>
      <c r="AD1302" s="6" t="s">
        <v>37</v>
      </c>
      <c r="AE1302" t="s">
        <v>37</v>
      </c>
      <c r="AF1302" t="s">
        <v>37</v>
      </c>
      <c r="AG1302" s="6" t="s">
        <v>37</v>
      </c>
      <c r="AH1302" t="s">
        <v>37</v>
      </c>
      <c r="AI1302" t="s">
        <v>37</v>
      </c>
      <c r="AJ1302" t="str">
        <f t="shared" si="62"/>
        <v>11FTNKDSB07W7LXYTR</v>
      </c>
    </row>
    <row r="1303" spans="1:36" ht="15" customHeight="1" x14ac:dyDescent="0.25">
      <c r="A1303" t="s">
        <v>62</v>
      </c>
      <c r="B1303" t="s">
        <v>37</v>
      </c>
      <c r="C1303" t="s">
        <v>37</v>
      </c>
      <c r="D1303" t="s">
        <v>38</v>
      </c>
      <c r="E1303" s="4">
        <v>16</v>
      </c>
      <c r="F1303" s="5">
        <v>185.6</v>
      </c>
      <c r="G1303" s="5" t="s">
        <v>39</v>
      </c>
      <c r="H1303" s="5">
        <v>314.56</v>
      </c>
      <c r="I1303" s="5" t="s">
        <v>39</v>
      </c>
      <c r="J1303" s="5">
        <v>6.3103999999999996</v>
      </c>
      <c r="K1303" s="5">
        <f t="shared" si="60"/>
        <v>0.39439999999999997</v>
      </c>
      <c r="L1303" s="5">
        <f t="shared" si="61"/>
        <v>11.6</v>
      </c>
      <c r="M1303" s="5" t="s">
        <v>39</v>
      </c>
      <c r="N1303" s="5">
        <v>6.3103999999999996</v>
      </c>
      <c r="O1303" s="5" t="s">
        <v>39</v>
      </c>
      <c r="P1303" t="s">
        <v>177</v>
      </c>
      <c r="Q1303" t="s">
        <v>1294</v>
      </c>
      <c r="R1303" t="s">
        <v>37</v>
      </c>
      <c r="S1303" t="s">
        <v>1295</v>
      </c>
      <c r="T1303" t="s">
        <v>43</v>
      </c>
      <c r="U1303" t="s">
        <v>44</v>
      </c>
      <c r="V1303">
        <v>147</v>
      </c>
      <c r="W1303" t="s">
        <v>45</v>
      </c>
      <c r="X1303" t="s">
        <v>53</v>
      </c>
      <c r="Y1303" t="s">
        <v>109</v>
      </c>
      <c r="Z1303" t="s">
        <v>37</v>
      </c>
      <c r="AA1303" t="s">
        <v>95</v>
      </c>
      <c r="AB1303" t="s">
        <v>37</v>
      </c>
      <c r="AC1303" s="6" t="s">
        <v>37</v>
      </c>
      <c r="AD1303" s="6" t="s">
        <v>37</v>
      </c>
      <c r="AE1303" t="s">
        <v>37</v>
      </c>
      <c r="AF1303" t="s">
        <v>37</v>
      </c>
      <c r="AG1303" s="6" t="s">
        <v>37</v>
      </c>
      <c r="AH1303" t="s">
        <v>37</v>
      </c>
      <c r="AI1303" t="s">
        <v>37</v>
      </c>
      <c r="AJ1303" t="str">
        <f t="shared" si="62"/>
        <v>4F3XMHTVB07W7LNTMC</v>
      </c>
    </row>
    <row r="1304" spans="1:36" ht="15" customHeight="1" x14ac:dyDescent="0.25">
      <c r="A1304" t="s">
        <v>36</v>
      </c>
      <c r="B1304" t="s">
        <v>37</v>
      </c>
      <c r="C1304" t="s">
        <v>37</v>
      </c>
      <c r="D1304" t="s">
        <v>38</v>
      </c>
      <c r="E1304" s="4">
        <v>180</v>
      </c>
      <c r="F1304" s="5">
        <v>4743</v>
      </c>
      <c r="G1304" s="5" t="s">
        <v>39</v>
      </c>
      <c r="H1304" s="5">
        <v>7081.2</v>
      </c>
      <c r="I1304" s="5" t="s">
        <v>39</v>
      </c>
      <c r="J1304" s="5">
        <v>161.262</v>
      </c>
      <c r="K1304" s="5">
        <f t="shared" si="60"/>
        <v>0.89590000000000003</v>
      </c>
      <c r="L1304" s="5">
        <f t="shared" si="61"/>
        <v>26.35</v>
      </c>
      <c r="M1304" s="5" t="s">
        <v>39</v>
      </c>
      <c r="N1304" s="5">
        <v>161.262</v>
      </c>
      <c r="O1304" s="5" t="s">
        <v>39</v>
      </c>
      <c r="P1304" t="s">
        <v>202</v>
      </c>
      <c r="Q1304" t="s">
        <v>1079</v>
      </c>
      <c r="R1304" t="s">
        <v>37</v>
      </c>
      <c r="S1304" t="s">
        <v>1080</v>
      </c>
      <c r="T1304" t="s">
        <v>43</v>
      </c>
      <c r="U1304" t="s">
        <v>44</v>
      </c>
      <c r="V1304">
        <v>147</v>
      </c>
      <c r="W1304" t="s">
        <v>45</v>
      </c>
      <c r="X1304" t="s">
        <v>53</v>
      </c>
      <c r="Y1304" t="s">
        <v>1081</v>
      </c>
      <c r="Z1304" t="s">
        <v>37</v>
      </c>
      <c r="AA1304" t="s">
        <v>55</v>
      </c>
      <c r="AB1304" t="s">
        <v>37</v>
      </c>
      <c r="AC1304" s="6" t="s">
        <v>37</v>
      </c>
      <c r="AD1304" s="6" t="s">
        <v>37</v>
      </c>
      <c r="AE1304" t="s">
        <v>37</v>
      </c>
      <c r="AF1304" t="s">
        <v>37</v>
      </c>
      <c r="AG1304" s="6" t="s">
        <v>37</v>
      </c>
      <c r="AH1304" t="s">
        <v>37</v>
      </c>
      <c r="AI1304" t="s">
        <v>37</v>
      </c>
      <c r="AJ1304" t="str">
        <f t="shared" si="62"/>
        <v>39TAD6PCB01K7GEAFC</v>
      </c>
    </row>
    <row r="1305" spans="1:36" ht="15" customHeight="1" x14ac:dyDescent="0.25">
      <c r="A1305" t="s">
        <v>96</v>
      </c>
      <c r="B1305" t="s">
        <v>37</v>
      </c>
      <c r="C1305" t="s">
        <v>37</v>
      </c>
      <c r="D1305" t="s">
        <v>38</v>
      </c>
      <c r="E1305" s="4">
        <v>4</v>
      </c>
      <c r="F1305" s="5">
        <v>117.12</v>
      </c>
      <c r="G1305" s="5" t="s">
        <v>39</v>
      </c>
      <c r="H1305" s="5">
        <v>196.68</v>
      </c>
      <c r="I1305" s="5" t="s">
        <v>39</v>
      </c>
      <c r="J1305" s="5">
        <v>3.9820799999999998</v>
      </c>
      <c r="K1305" s="5">
        <f t="shared" si="60"/>
        <v>0.99551999999999996</v>
      </c>
      <c r="L1305" s="5">
        <f t="shared" si="61"/>
        <v>29.28</v>
      </c>
      <c r="M1305" s="5" t="s">
        <v>39</v>
      </c>
      <c r="N1305" s="5">
        <v>3.9820799999999998</v>
      </c>
      <c r="O1305" s="5" t="s">
        <v>39</v>
      </c>
      <c r="P1305" t="s">
        <v>1855</v>
      </c>
      <c r="Q1305" t="s">
        <v>387</v>
      </c>
      <c r="R1305" t="s">
        <v>37</v>
      </c>
      <c r="S1305" t="s">
        <v>388</v>
      </c>
      <c r="T1305" t="s">
        <v>43</v>
      </c>
      <c r="U1305" t="s">
        <v>44</v>
      </c>
      <c r="V1305">
        <v>147</v>
      </c>
      <c r="W1305" t="s">
        <v>45</v>
      </c>
      <c r="X1305" t="s">
        <v>389</v>
      </c>
      <c r="Y1305" t="s">
        <v>390</v>
      </c>
      <c r="Z1305" t="s">
        <v>37</v>
      </c>
      <c r="AA1305" t="s">
        <v>55</v>
      </c>
      <c r="AB1305" t="s">
        <v>37</v>
      </c>
      <c r="AC1305" s="6" t="s">
        <v>37</v>
      </c>
      <c r="AD1305" s="6" t="s">
        <v>37</v>
      </c>
      <c r="AE1305" t="s">
        <v>37</v>
      </c>
      <c r="AF1305" t="s">
        <v>37</v>
      </c>
      <c r="AG1305" s="6" t="s">
        <v>37</v>
      </c>
      <c r="AH1305" t="s">
        <v>37</v>
      </c>
      <c r="AI1305" t="s">
        <v>37</v>
      </c>
      <c r="AJ1305" t="str">
        <f t="shared" si="62"/>
        <v>8JGSI6BMB00FSF2OSS</v>
      </c>
    </row>
    <row r="1306" spans="1:36" ht="15" customHeight="1" x14ac:dyDescent="0.25">
      <c r="A1306" t="s">
        <v>96</v>
      </c>
      <c r="B1306" t="s">
        <v>37</v>
      </c>
      <c r="C1306" t="s">
        <v>37</v>
      </c>
      <c r="D1306" t="s">
        <v>38</v>
      </c>
      <c r="E1306" s="4">
        <v>8</v>
      </c>
      <c r="F1306" s="5">
        <v>882.16</v>
      </c>
      <c r="G1306" s="5" t="s">
        <v>39</v>
      </c>
      <c r="H1306" s="5">
        <v>1501.6</v>
      </c>
      <c r="I1306" s="5" t="s">
        <v>39</v>
      </c>
      <c r="J1306" s="5">
        <v>29.99344</v>
      </c>
      <c r="K1306" s="5">
        <f t="shared" si="60"/>
        <v>3.74918</v>
      </c>
      <c r="L1306" s="5">
        <f t="shared" si="61"/>
        <v>110.27</v>
      </c>
      <c r="M1306" s="5" t="s">
        <v>39</v>
      </c>
      <c r="N1306" s="5">
        <v>29.99344</v>
      </c>
      <c r="O1306" s="5" t="s">
        <v>39</v>
      </c>
      <c r="P1306" t="s">
        <v>195</v>
      </c>
      <c r="Q1306" t="s">
        <v>1529</v>
      </c>
      <c r="R1306" t="s">
        <v>37</v>
      </c>
      <c r="S1306" t="s">
        <v>1530</v>
      </c>
      <c r="T1306" t="s">
        <v>318</v>
      </c>
      <c r="U1306" t="s">
        <v>44</v>
      </c>
      <c r="V1306">
        <v>147</v>
      </c>
      <c r="W1306" t="s">
        <v>45</v>
      </c>
      <c r="X1306" t="s">
        <v>60</v>
      </c>
      <c r="Y1306" t="s">
        <v>935</v>
      </c>
      <c r="Z1306" t="s">
        <v>37</v>
      </c>
      <c r="AA1306" t="s">
        <v>55</v>
      </c>
      <c r="AB1306" t="s">
        <v>37</v>
      </c>
      <c r="AC1306" s="6" t="s">
        <v>37</v>
      </c>
      <c r="AD1306" s="6" t="s">
        <v>37</v>
      </c>
      <c r="AE1306" t="s">
        <v>37</v>
      </c>
      <c r="AF1306" t="s">
        <v>37</v>
      </c>
      <c r="AG1306" s="6" t="s">
        <v>37</v>
      </c>
      <c r="AH1306" t="s">
        <v>37</v>
      </c>
      <c r="AI1306" t="s">
        <v>37</v>
      </c>
      <c r="AJ1306" t="str">
        <f t="shared" si="62"/>
        <v>5X1OU9ZGB07W4DHYH6</v>
      </c>
    </row>
    <row r="1307" spans="1:36" ht="15" customHeight="1" x14ac:dyDescent="0.25">
      <c r="A1307" t="s">
        <v>76</v>
      </c>
      <c r="B1307" t="s">
        <v>37</v>
      </c>
      <c r="C1307" t="s">
        <v>37</v>
      </c>
      <c r="D1307" t="s">
        <v>38</v>
      </c>
      <c r="E1307" s="4">
        <v>12</v>
      </c>
      <c r="F1307" s="5">
        <v>661.2</v>
      </c>
      <c r="G1307" s="5" t="s">
        <v>39</v>
      </c>
      <c r="H1307" s="5">
        <v>786.84</v>
      </c>
      <c r="I1307" s="5" t="s">
        <v>39</v>
      </c>
      <c r="J1307" s="5">
        <v>22.480799999999999</v>
      </c>
      <c r="K1307" s="5">
        <f t="shared" si="60"/>
        <v>1.8734</v>
      </c>
      <c r="L1307" s="5">
        <f t="shared" si="61"/>
        <v>55.1</v>
      </c>
      <c r="M1307" s="5" t="s">
        <v>39</v>
      </c>
      <c r="N1307" s="5">
        <v>22.480799999999999</v>
      </c>
      <c r="O1307" s="5" t="s">
        <v>39</v>
      </c>
      <c r="P1307" t="s">
        <v>102</v>
      </c>
      <c r="Q1307" t="s">
        <v>1506</v>
      </c>
      <c r="R1307" t="s">
        <v>37</v>
      </c>
      <c r="S1307" t="s">
        <v>1507</v>
      </c>
      <c r="T1307" t="s">
        <v>43</v>
      </c>
      <c r="U1307" t="s">
        <v>44</v>
      </c>
      <c r="V1307">
        <v>147</v>
      </c>
      <c r="W1307" t="s">
        <v>1508</v>
      </c>
      <c r="X1307" t="s">
        <v>1509</v>
      </c>
      <c r="Y1307" t="s">
        <v>1510</v>
      </c>
      <c r="Z1307" t="s">
        <v>37</v>
      </c>
      <c r="AA1307" t="s">
        <v>55</v>
      </c>
      <c r="AB1307" t="s">
        <v>37</v>
      </c>
      <c r="AC1307" s="6" t="s">
        <v>37</v>
      </c>
      <c r="AD1307" s="6" t="s">
        <v>37</v>
      </c>
      <c r="AE1307" t="s">
        <v>37</v>
      </c>
      <c r="AF1307" t="s">
        <v>37</v>
      </c>
      <c r="AG1307" s="6" t="s">
        <v>37</v>
      </c>
      <c r="AH1307" t="s">
        <v>37</v>
      </c>
      <c r="AI1307" t="s">
        <v>37</v>
      </c>
      <c r="AJ1307" t="str">
        <f t="shared" si="62"/>
        <v>2M7QFTCOB07W7L3HJP</v>
      </c>
    </row>
    <row r="1308" spans="1:36" ht="15" customHeight="1" x14ac:dyDescent="0.25">
      <c r="A1308" t="s">
        <v>36</v>
      </c>
      <c r="B1308" t="s">
        <v>37</v>
      </c>
      <c r="C1308" t="s">
        <v>37</v>
      </c>
      <c r="D1308" t="s">
        <v>38</v>
      </c>
      <c r="E1308" s="4">
        <v>4</v>
      </c>
      <c r="F1308" s="5">
        <v>244.48</v>
      </c>
      <c r="G1308" s="5" t="s">
        <v>39</v>
      </c>
      <c r="H1308" s="5">
        <v>244.48</v>
      </c>
      <c r="I1308" s="5" t="s">
        <v>39</v>
      </c>
      <c r="J1308" s="5">
        <v>8.3123199999999997</v>
      </c>
      <c r="K1308" s="5">
        <f t="shared" si="60"/>
        <v>2.0780799999999999</v>
      </c>
      <c r="L1308" s="5">
        <f t="shared" si="61"/>
        <v>61.12</v>
      </c>
      <c r="M1308" s="5" t="s">
        <v>39</v>
      </c>
      <c r="N1308" s="5">
        <v>8.3123199999999997</v>
      </c>
      <c r="O1308" s="5" t="s">
        <v>39</v>
      </c>
      <c r="P1308" t="s">
        <v>246</v>
      </c>
      <c r="Q1308" t="s">
        <v>1708</v>
      </c>
      <c r="R1308" t="s">
        <v>37</v>
      </c>
      <c r="S1308" t="s">
        <v>1709</v>
      </c>
      <c r="T1308" t="s">
        <v>1211</v>
      </c>
      <c r="U1308" t="s">
        <v>44</v>
      </c>
      <c r="V1308">
        <v>147</v>
      </c>
      <c r="W1308" t="s">
        <v>45</v>
      </c>
      <c r="X1308" t="s">
        <v>60</v>
      </c>
      <c r="Y1308" t="s">
        <v>1710</v>
      </c>
      <c r="Z1308" t="s">
        <v>37</v>
      </c>
      <c r="AA1308" t="s">
        <v>55</v>
      </c>
      <c r="AB1308" t="s">
        <v>37</v>
      </c>
      <c r="AC1308" s="6" t="s">
        <v>37</v>
      </c>
      <c r="AD1308" s="6" t="s">
        <v>37</v>
      </c>
      <c r="AE1308" t="s">
        <v>37</v>
      </c>
      <c r="AF1308" t="s">
        <v>37</v>
      </c>
      <c r="AG1308" s="6" t="s">
        <v>37</v>
      </c>
      <c r="AH1308" t="s">
        <v>37</v>
      </c>
      <c r="AI1308" t="s">
        <v>37</v>
      </c>
      <c r="AJ1308" t="str">
        <f t="shared" si="62"/>
        <v>1PSIXGLTB07W6JGH91</v>
      </c>
    </row>
    <row r="1309" spans="1:36" ht="15" customHeight="1" x14ac:dyDescent="0.25">
      <c r="A1309" t="s">
        <v>101</v>
      </c>
      <c r="B1309" t="s">
        <v>37</v>
      </c>
      <c r="C1309" t="s">
        <v>37</v>
      </c>
      <c r="D1309" t="s">
        <v>38</v>
      </c>
      <c r="E1309" s="4">
        <v>320</v>
      </c>
      <c r="F1309" s="5">
        <v>18739.2</v>
      </c>
      <c r="G1309" s="5" t="s">
        <v>39</v>
      </c>
      <c r="H1309" s="5">
        <v>27276.799999999999</v>
      </c>
      <c r="I1309" s="5" t="s">
        <v>39</v>
      </c>
      <c r="J1309" s="5">
        <v>637.13279999999997</v>
      </c>
      <c r="K1309" s="5">
        <f t="shared" si="60"/>
        <v>1.9910399999999999</v>
      </c>
      <c r="L1309" s="5">
        <f t="shared" si="61"/>
        <v>58.56</v>
      </c>
      <c r="M1309" s="5" t="s">
        <v>39</v>
      </c>
      <c r="N1309" s="5">
        <v>637.13279999999997</v>
      </c>
      <c r="O1309" s="5" t="s">
        <v>39</v>
      </c>
      <c r="P1309" t="s">
        <v>102</v>
      </c>
      <c r="Q1309" t="s">
        <v>1856</v>
      </c>
      <c r="R1309" t="s">
        <v>37</v>
      </c>
      <c r="S1309" t="s">
        <v>1857</v>
      </c>
      <c r="T1309" t="s">
        <v>43</v>
      </c>
      <c r="U1309" t="s">
        <v>44</v>
      </c>
      <c r="V1309">
        <v>147</v>
      </c>
      <c r="W1309" t="s">
        <v>45</v>
      </c>
      <c r="X1309" t="s">
        <v>239</v>
      </c>
      <c r="Y1309" t="s">
        <v>1858</v>
      </c>
      <c r="Z1309" t="s">
        <v>37</v>
      </c>
      <c r="AA1309" t="s">
        <v>48</v>
      </c>
      <c r="AB1309" t="s">
        <v>37</v>
      </c>
      <c r="AC1309" s="6" t="s">
        <v>37</v>
      </c>
      <c r="AD1309" s="6" t="s">
        <v>37</v>
      </c>
      <c r="AE1309" t="s">
        <v>37</v>
      </c>
      <c r="AF1309" t="s">
        <v>37</v>
      </c>
      <c r="AG1309" s="6" t="s">
        <v>37</v>
      </c>
      <c r="AH1309" t="s">
        <v>37</v>
      </c>
      <c r="AI1309" t="s">
        <v>37</v>
      </c>
      <c r="AJ1309" t="str">
        <f t="shared" si="62"/>
        <v>2M7QFTCOB014KH8BRW</v>
      </c>
    </row>
    <row r="1310" spans="1:36" ht="15" customHeight="1" x14ac:dyDescent="0.25">
      <c r="A1310" t="s">
        <v>118</v>
      </c>
      <c r="B1310" t="s">
        <v>37</v>
      </c>
      <c r="C1310" t="s">
        <v>37</v>
      </c>
      <c r="D1310" t="s">
        <v>38</v>
      </c>
      <c r="E1310" s="4">
        <v>336</v>
      </c>
      <c r="F1310" s="5">
        <v>13450.08</v>
      </c>
      <c r="G1310" s="5" t="s">
        <v>39</v>
      </c>
      <c r="H1310" s="5">
        <v>19004.16</v>
      </c>
      <c r="I1310" s="5" t="s">
        <v>39</v>
      </c>
      <c r="J1310" s="5">
        <v>457.30272000000002</v>
      </c>
      <c r="K1310" s="5">
        <f t="shared" si="60"/>
        <v>1.3610200000000001</v>
      </c>
      <c r="L1310" s="5">
        <f t="shared" si="61"/>
        <v>40.03</v>
      </c>
      <c r="M1310" s="5" t="s">
        <v>39</v>
      </c>
      <c r="N1310" s="5">
        <v>457.30272000000002</v>
      </c>
      <c r="O1310" s="5" t="s">
        <v>39</v>
      </c>
      <c r="P1310" t="s">
        <v>270</v>
      </c>
      <c r="Q1310" t="s">
        <v>851</v>
      </c>
      <c r="R1310" t="s">
        <v>37</v>
      </c>
      <c r="S1310" t="s">
        <v>852</v>
      </c>
      <c r="T1310" t="s">
        <v>43</v>
      </c>
      <c r="U1310" t="s">
        <v>44</v>
      </c>
      <c r="V1310">
        <v>421</v>
      </c>
      <c r="W1310" t="s">
        <v>45</v>
      </c>
      <c r="X1310" t="s">
        <v>239</v>
      </c>
      <c r="Y1310" t="s">
        <v>853</v>
      </c>
      <c r="Z1310" t="s">
        <v>37</v>
      </c>
      <c r="AA1310" t="s">
        <v>95</v>
      </c>
      <c r="AB1310" t="s">
        <v>37</v>
      </c>
      <c r="AC1310" s="6" t="s">
        <v>37</v>
      </c>
      <c r="AD1310" s="6" t="s">
        <v>37</v>
      </c>
      <c r="AE1310" t="s">
        <v>37</v>
      </c>
      <c r="AF1310" t="s">
        <v>37</v>
      </c>
      <c r="AG1310" s="6" t="s">
        <v>37</v>
      </c>
      <c r="AH1310" t="s">
        <v>37</v>
      </c>
      <c r="AI1310" t="s">
        <v>37</v>
      </c>
      <c r="AJ1310" t="str">
        <f t="shared" si="62"/>
        <v>1X4DXX4TB07W4DHXC8</v>
      </c>
    </row>
    <row r="1311" spans="1:36" ht="15" customHeight="1" x14ac:dyDescent="0.25">
      <c r="A1311" t="s">
        <v>36</v>
      </c>
      <c r="B1311" t="s">
        <v>37</v>
      </c>
      <c r="C1311" t="s">
        <v>37</v>
      </c>
      <c r="D1311" t="s">
        <v>38</v>
      </c>
      <c r="E1311" s="4">
        <v>24</v>
      </c>
      <c r="F1311" s="5">
        <v>1670.64</v>
      </c>
      <c r="G1311" s="5" t="s">
        <v>39</v>
      </c>
      <c r="H1311" s="5">
        <v>2537.7600000000002</v>
      </c>
      <c r="I1311" s="5" t="s">
        <v>39</v>
      </c>
      <c r="J1311" s="5">
        <v>56.801760000000002</v>
      </c>
      <c r="K1311" s="5">
        <f t="shared" si="60"/>
        <v>2.3667400000000001</v>
      </c>
      <c r="L1311" s="5">
        <f t="shared" si="61"/>
        <v>69.61</v>
      </c>
      <c r="M1311" s="5" t="s">
        <v>39</v>
      </c>
      <c r="N1311" s="5">
        <v>56.801760000000002</v>
      </c>
      <c r="O1311" s="5" t="s">
        <v>39</v>
      </c>
      <c r="P1311" t="s">
        <v>365</v>
      </c>
      <c r="Q1311" t="s">
        <v>1859</v>
      </c>
      <c r="R1311" t="s">
        <v>37</v>
      </c>
      <c r="S1311" t="s">
        <v>1860</v>
      </c>
      <c r="T1311" t="s">
        <v>43</v>
      </c>
      <c r="U1311" t="s">
        <v>44</v>
      </c>
      <c r="V1311">
        <v>147</v>
      </c>
      <c r="W1311" t="s">
        <v>45</v>
      </c>
      <c r="X1311" t="s">
        <v>60</v>
      </c>
      <c r="Y1311" t="s">
        <v>1861</v>
      </c>
      <c r="Z1311" t="s">
        <v>37</v>
      </c>
      <c r="AA1311" t="s">
        <v>55</v>
      </c>
      <c r="AB1311" t="s">
        <v>37</v>
      </c>
      <c r="AC1311" s="6" t="s">
        <v>37</v>
      </c>
      <c r="AD1311" s="6" t="s">
        <v>37</v>
      </c>
      <c r="AE1311" t="s">
        <v>37</v>
      </c>
      <c r="AF1311" t="s">
        <v>37</v>
      </c>
      <c r="AG1311" s="6" t="s">
        <v>37</v>
      </c>
      <c r="AH1311" t="s">
        <v>37</v>
      </c>
      <c r="AI1311" t="s">
        <v>37</v>
      </c>
      <c r="AJ1311" t="str">
        <f t="shared" si="62"/>
        <v>3KYCEHVHB07W6H31VJ</v>
      </c>
    </row>
    <row r="1312" spans="1:36" ht="15" customHeight="1" x14ac:dyDescent="0.25">
      <c r="A1312" t="s">
        <v>101</v>
      </c>
      <c r="B1312" t="s">
        <v>37</v>
      </c>
      <c r="C1312" t="s">
        <v>37</v>
      </c>
      <c r="D1312" t="s">
        <v>38</v>
      </c>
      <c r="E1312" s="4">
        <v>4</v>
      </c>
      <c r="F1312" s="5">
        <v>230.04</v>
      </c>
      <c r="G1312" s="5" t="s">
        <v>39</v>
      </c>
      <c r="H1312" s="5">
        <v>340.96</v>
      </c>
      <c r="I1312" s="5" t="s">
        <v>39</v>
      </c>
      <c r="J1312" s="5">
        <v>7.8213600000000003</v>
      </c>
      <c r="K1312" s="5">
        <f t="shared" si="60"/>
        <v>1.9553400000000001</v>
      </c>
      <c r="L1312" s="5">
        <f t="shared" si="61"/>
        <v>57.51</v>
      </c>
      <c r="M1312" s="5" t="s">
        <v>39</v>
      </c>
      <c r="N1312" s="5">
        <v>7.8213600000000003</v>
      </c>
      <c r="O1312" s="5" t="s">
        <v>39</v>
      </c>
      <c r="P1312" t="s">
        <v>102</v>
      </c>
      <c r="Q1312" t="s">
        <v>1862</v>
      </c>
      <c r="R1312" t="s">
        <v>37</v>
      </c>
      <c r="S1312" t="s">
        <v>1863</v>
      </c>
      <c r="T1312" t="s">
        <v>43</v>
      </c>
      <c r="U1312" t="s">
        <v>44</v>
      </c>
      <c r="V1312">
        <v>147</v>
      </c>
      <c r="W1312" t="s">
        <v>45</v>
      </c>
      <c r="X1312" t="s">
        <v>239</v>
      </c>
      <c r="Y1312" t="s">
        <v>1864</v>
      </c>
      <c r="Z1312" t="s">
        <v>37</v>
      </c>
      <c r="AA1312" t="s">
        <v>55</v>
      </c>
      <c r="AB1312" t="s">
        <v>37</v>
      </c>
      <c r="AC1312" s="6" t="s">
        <v>37</v>
      </c>
      <c r="AD1312" s="6" t="s">
        <v>37</v>
      </c>
      <c r="AE1312" t="s">
        <v>37</v>
      </c>
      <c r="AF1312" t="s">
        <v>37</v>
      </c>
      <c r="AG1312" s="6" t="s">
        <v>37</v>
      </c>
      <c r="AH1312" t="s">
        <v>37</v>
      </c>
      <c r="AI1312" t="s">
        <v>37</v>
      </c>
      <c r="AJ1312" t="str">
        <f t="shared" si="62"/>
        <v>2M7QFTCOB07TQ6G276</v>
      </c>
    </row>
    <row r="1313" spans="1:36" ht="15" customHeight="1" x14ac:dyDescent="0.25">
      <c r="A1313" t="s">
        <v>127</v>
      </c>
      <c r="B1313" t="s">
        <v>37</v>
      </c>
      <c r="C1313" t="s">
        <v>37</v>
      </c>
      <c r="D1313" t="s">
        <v>38</v>
      </c>
      <c r="E1313" s="4">
        <v>16</v>
      </c>
      <c r="F1313" s="5">
        <v>1113.76</v>
      </c>
      <c r="G1313" s="5" t="s">
        <v>39</v>
      </c>
      <c r="H1313" s="5">
        <v>1691.84</v>
      </c>
      <c r="I1313" s="5" t="s">
        <v>39</v>
      </c>
      <c r="J1313" s="5">
        <v>37.867840000000001</v>
      </c>
      <c r="K1313" s="5">
        <f t="shared" si="60"/>
        <v>2.3667400000000001</v>
      </c>
      <c r="L1313" s="5">
        <f t="shared" si="61"/>
        <v>69.61</v>
      </c>
      <c r="M1313" s="5" t="s">
        <v>39</v>
      </c>
      <c r="N1313" s="5">
        <v>37.867840000000001</v>
      </c>
      <c r="O1313" s="5" t="s">
        <v>39</v>
      </c>
      <c r="P1313" t="s">
        <v>365</v>
      </c>
      <c r="Q1313" t="s">
        <v>1859</v>
      </c>
      <c r="R1313" t="s">
        <v>37</v>
      </c>
      <c r="S1313" t="s">
        <v>1860</v>
      </c>
      <c r="T1313" t="s">
        <v>43</v>
      </c>
      <c r="U1313" t="s">
        <v>44</v>
      </c>
      <c r="V1313">
        <v>147</v>
      </c>
      <c r="W1313" t="s">
        <v>45</v>
      </c>
      <c r="X1313" t="s">
        <v>60</v>
      </c>
      <c r="Y1313" t="s">
        <v>1861</v>
      </c>
      <c r="Z1313" t="s">
        <v>37</v>
      </c>
      <c r="AA1313" t="s">
        <v>55</v>
      </c>
      <c r="AB1313" t="s">
        <v>37</v>
      </c>
      <c r="AC1313" s="6" t="s">
        <v>37</v>
      </c>
      <c r="AD1313" s="6" t="s">
        <v>37</v>
      </c>
      <c r="AE1313" t="s">
        <v>37</v>
      </c>
      <c r="AF1313" t="s">
        <v>37</v>
      </c>
      <c r="AG1313" s="6" t="s">
        <v>37</v>
      </c>
      <c r="AH1313" t="s">
        <v>37</v>
      </c>
      <c r="AI1313" t="s">
        <v>37</v>
      </c>
      <c r="AJ1313" t="str">
        <f t="shared" si="62"/>
        <v>3KYCEHVHB07W6H31VJ</v>
      </c>
    </row>
    <row r="1314" spans="1:36" ht="15" customHeight="1" x14ac:dyDescent="0.25">
      <c r="A1314" t="s">
        <v>76</v>
      </c>
      <c r="B1314" t="s">
        <v>37</v>
      </c>
      <c r="C1314" t="s">
        <v>37</v>
      </c>
      <c r="D1314" t="s">
        <v>38</v>
      </c>
      <c r="E1314" s="4">
        <v>56</v>
      </c>
      <c r="F1314" s="5">
        <v>3865.68</v>
      </c>
      <c r="G1314" s="5" t="s">
        <v>39</v>
      </c>
      <c r="H1314" s="5">
        <v>5921.44</v>
      </c>
      <c r="I1314" s="5" t="s">
        <v>39</v>
      </c>
      <c r="J1314" s="5">
        <v>131.43312</v>
      </c>
      <c r="K1314" s="5">
        <f t="shared" si="60"/>
        <v>2.3470200000000001</v>
      </c>
      <c r="L1314" s="5">
        <f t="shared" si="61"/>
        <v>69.03</v>
      </c>
      <c r="M1314" s="5" t="s">
        <v>39</v>
      </c>
      <c r="N1314" s="5">
        <v>131.43312</v>
      </c>
      <c r="O1314" s="5" t="s">
        <v>39</v>
      </c>
      <c r="P1314" t="s">
        <v>968</v>
      </c>
      <c r="Q1314" t="s">
        <v>887</v>
      </c>
      <c r="R1314" t="s">
        <v>37</v>
      </c>
      <c r="S1314" t="s">
        <v>888</v>
      </c>
      <c r="T1314" t="s">
        <v>43</v>
      </c>
      <c r="U1314" t="s">
        <v>44</v>
      </c>
      <c r="V1314">
        <v>147</v>
      </c>
      <c r="W1314" t="s">
        <v>45</v>
      </c>
      <c r="X1314" t="s">
        <v>46</v>
      </c>
      <c r="Y1314" t="s">
        <v>889</v>
      </c>
      <c r="Z1314" t="s">
        <v>37</v>
      </c>
      <c r="AA1314" t="s">
        <v>55</v>
      </c>
      <c r="AB1314" t="s">
        <v>37</v>
      </c>
      <c r="AC1314" s="6" t="s">
        <v>37</v>
      </c>
      <c r="AD1314" s="6" t="s">
        <v>37</v>
      </c>
      <c r="AE1314" t="s">
        <v>37</v>
      </c>
      <c r="AF1314" t="s">
        <v>37</v>
      </c>
      <c r="AG1314" s="6" t="s">
        <v>37</v>
      </c>
      <c r="AH1314" t="s">
        <v>37</v>
      </c>
      <c r="AI1314" t="s">
        <v>37</v>
      </c>
      <c r="AJ1314" t="str">
        <f t="shared" si="62"/>
        <v>7LA8DZCZB07W7JHZKR</v>
      </c>
    </row>
    <row r="1315" spans="1:36" ht="15" customHeight="1" x14ac:dyDescent="0.25">
      <c r="A1315" t="s">
        <v>210</v>
      </c>
      <c r="B1315" t="s">
        <v>37</v>
      </c>
      <c r="C1315" t="s">
        <v>37</v>
      </c>
      <c r="D1315" t="s">
        <v>38</v>
      </c>
      <c r="E1315" s="4">
        <v>0</v>
      </c>
      <c r="F1315" s="5">
        <v>0</v>
      </c>
      <c r="G1315" s="5" t="s">
        <v>39</v>
      </c>
      <c r="H1315" s="5">
        <v>0</v>
      </c>
      <c r="I1315" s="5" t="s">
        <v>39</v>
      </c>
      <c r="J1315" s="5">
        <v>0</v>
      </c>
      <c r="K1315" s="5" t="e">
        <f t="shared" si="60"/>
        <v>#DIV/0!</v>
      </c>
      <c r="L1315" s="5" t="e">
        <f t="shared" si="61"/>
        <v>#DIV/0!</v>
      </c>
      <c r="M1315" s="5" t="s">
        <v>39</v>
      </c>
      <c r="N1315" s="5">
        <v>0</v>
      </c>
      <c r="O1315" s="5" t="s">
        <v>39</v>
      </c>
      <c r="P1315" t="s">
        <v>969</v>
      </c>
      <c r="Q1315" t="s">
        <v>90</v>
      </c>
      <c r="R1315" t="s">
        <v>37</v>
      </c>
      <c r="S1315" t="s">
        <v>91</v>
      </c>
      <c r="T1315" t="s">
        <v>43</v>
      </c>
      <c r="U1315" t="s">
        <v>44</v>
      </c>
      <c r="V1315">
        <v>147</v>
      </c>
      <c r="W1315" t="s">
        <v>92</v>
      </c>
      <c r="X1315" t="s">
        <v>93</v>
      </c>
      <c r="Y1315" t="s">
        <v>94</v>
      </c>
      <c r="Z1315" t="s">
        <v>37</v>
      </c>
      <c r="AA1315" t="s">
        <v>95</v>
      </c>
      <c r="AB1315" t="s">
        <v>37</v>
      </c>
      <c r="AC1315" s="6" t="s">
        <v>37</v>
      </c>
      <c r="AD1315" s="6" t="s">
        <v>37</v>
      </c>
      <c r="AE1315" t="s">
        <v>37</v>
      </c>
      <c r="AF1315" t="s">
        <v>37</v>
      </c>
      <c r="AG1315" s="6" t="s">
        <v>37</v>
      </c>
      <c r="AH1315" t="s">
        <v>37</v>
      </c>
      <c r="AI1315" t="s">
        <v>37</v>
      </c>
      <c r="AJ1315" t="str">
        <f t="shared" si="62"/>
        <v>1VBBCE3CB07W5JKBMG</v>
      </c>
    </row>
    <row r="1316" spans="1:36" ht="15" customHeight="1" x14ac:dyDescent="0.25">
      <c r="A1316" t="s">
        <v>101</v>
      </c>
      <c r="B1316" t="s">
        <v>37</v>
      </c>
      <c r="C1316" t="s">
        <v>37</v>
      </c>
      <c r="D1316" t="s">
        <v>38</v>
      </c>
      <c r="E1316" s="4">
        <v>30</v>
      </c>
      <c r="F1316" s="5">
        <v>957</v>
      </c>
      <c r="G1316" s="5" t="s">
        <v>39</v>
      </c>
      <c r="H1316" s="5">
        <v>1450.5</v>
      </c>
      <c r="I1316" s="5" t="s">
        <v>39</v>
      </c>
      <c r="J1316" s="5">
        <v>32.537999999999997</v>
      </c>
      <c r="K1316" s="5">
        <f t="shared" si="60"/>
        <v>1.0845999999999998</v>
      </c>
      <c r="L1316" s="5">
        <f t="shared" si="61"/>
        <v>31.9</v>
      </c>
      <c r="M1316" s="5" t="s">
        <v>39</v>
      </c>
      <c r="N1316" s="5">
        <v>32.537999999999997</v>
      </c>
      <c r="O1316" s="5" t="s">
        <v>39</v>
      </c>
      <c r="P1316" t="s">
        <v>102</v>
      </c>
      <c r="Q1316" t="s">
        <v>726</v>
      </c>
      <c r="R1316" t="s">
        <v>37</v>
      </c>
      <c r="S1316" t="s">
        <v>727</v>
      </c>
      <c r="T1316" t="s">
        <v>43</v>
      </c>
      <c r="U1316" t="s">
        <v>44</v>
      </c>
      <c r="V1316">
        <v>147</v>
      </c>
      <c r="W1316" t="s">
        <v>45</v>
      </c>
      <c r="X1316" t="s">
        <v>53</v>
      </c>
      <c r="Y1316" t="s">
        <v>728</v>
      </c>
      <c r="Z1316" t="s">
        <v>37</v>
      </c>
      <c r="AA1316" t="s">
        <v>55</v>
      </c>
      <c r="AB1316" t="s">
        <v>37</v>
      </c>
      <c r="AC1316" s="6" t="s">
        <v>37</v>
      </c>
      <c r="AD1316" s="6" t="s">
        <v>37</v>
      </c>
      <c r="AE1316" t="s">
        <v>37</v>
      </c>
      <c r="AF1316" t="s">
        <v>37</v>
      </c>
      <c r="AG1316" s="6" t="s">
        <v>37</v>
      </c>
      <c r="AH1316" t="s">
        <v>37</v>
      </c>
      <c r="AI1316" t="s">
        <v>37</v>
      </c>
      <c r="AJ1316" t="str">
        <f t="shared" si="62"/>
        <v>2M7QFTCOB07W6HKMCN</v>
      </c>
    </row>
    <row r="1317" spans="1:36" ht="15" customHeight="1" x14ac:dyDescent="0.25">
      <c r="A1317" t="s">
        <v>49</v>
      </c>
      <c r="B1317" t="s">
        <v>37</v>
      </c>
      <c r="C1317" t="s">
        <v>37</v>
      </c>
      <c r="D1317" t="s">
        <v>38</v>
      </c>
      <c r="E1317" s="4">
        <v>40</v>
      </c>
      <c r="F1317" s="5">
        <v>1798</v>
      </c>
      <c r="G1317" s="5" t="s">
        <v>39</v>
      </c>
      <c r="H1317" s="5">
        <v>1798</v>
      </c>
      <c r="I1317" s="5" t="s">
        <v>39</v>
      </c>
      <c r="J1317" s="5">
        <v>61.131999999999998</v>
      </c>
      <c r="K1317" s="5">
        <f t="shared" si="60"/>
        <v>1.5283</v>
      </c>
      <c r="L1317" s="5">
        <f t="shared" si="61"/>
        <v>44.95</v>
      </c>
      <c r="M1317" s="5" t="s">
        <v>39</v>
      </c>
      <c r="N1317" s="5">
        <v>61.131999999999998</v>
      </c>
      <c r="O1317" s="5" t="s">
        <v>39</v>
      </c>
      <c r="P1317" t="s">
        <v>969</v>
      </c>
      <c r="Q1317" t="s">
        <v>90</v>
      </c>
      <c r="R1317" t="s">
        <v>37</v>
      </c>
      <c r="S1317" t="s">
        <v>91</v>
      </c>
      <c r="T1317" t="s">
        <v>43</v>
      </c>
      <c r="U1317" t="s">
        <v>44</v>
      </c>
      <c r="V1317">
        <v>147</v>
      </c>
      <c r="W1317" t="s">
        <v>92</v>
      </c>
      <c r="X1317" t="s">
        <v>93</v>
      </c>
      <c r="Y1317" t="s">
        <v>94</v>
      </c>
      <c r="Z1317" t="s">
        <v>37</v>
      </c>
      <c r="AA1317" t="s">
        <v>95</v>
      </c>
      <c r="AB1317" t="s">
        <v>37</v>
      </c>
      <c r="AC1317" s="6" t="s">
        <v>37</v>
      </c>
      <c r="AD1317" s="6" t="s">
        <v>37</v>
      </c>
      <c r="AE1317" t="s">
        <v>37</v>
      </c>
      <c r="AF1317" t="s">
        <v>37</v>
      </c>
      <c r="AG1317" s="6" t="s">
        <v>37</v>
      </c>
      <c r="AH1317" t="s">
        <v>37</v>
      </c>
      <c r="AI1317" t="s">
        <v>37</v>
      </c>
      <c r="AJ1317" t="str">
        <f t="shared" si="62"/>
        <v>1VBBCE3CB07W5JKBMG</v>
      </c>
    </row>
    <row r="1318" spans="1:36" ht="15" customHeight="1" x14ac:dyDescent="0.25">
      <c r="A1318" t="s">
        <v>96</v>
      </c>
      <c r="B1318" t="s">
        <v>37</v>
      </c>
      <c r="C1318" t="s">
        <v>37</v>
      </c>
      <c r="D1318" t="s">
        <v>38</v>
      </c>
      <c r="E1318" s="4">
        <v>80</v>
      </c>
      <c r="F1318" s="5">
        <v>3596</v>
      </c>
      <c r="G1318" s="5" t="s">
        <v>39</v>
      </c>
      <c r="H1318" s="5">
        <v>3596</v>
      </c>
      <c r="I1318" s="5" t="s">
        <v>39</v>
      </c>
      <c r="J1318" s="5">
        <v>122.264</v>
      </c>
      <c r="K1318" s="5">
        <f t="shared" si="60"/>
        <v>1.5283</v>
      </c>
      <c r="L1318" s="5">
        <f t="shared" si="61"/>
        <v>44.95</v>
      </c>
      <c r="M1318" s="5" t="s">
        <v>39</v>
      </c>
      <c r="N1318" s="5">
        <v>122.264</v>
      </c>
      <c r="O1318" s="5" t="s">
        <v>39</v>
      </c>
      <c r="P1318" t="s">
        <v>969</v>
      </c>
      <c r="Q1318" t="s">
        <v>90</v>
      </c>
      <c r="R1318" t="s">
        <v>37</v>
      </c>
      <c r="S1318" t="s">
        <v>91</v>
      </c>
      <c r="T1318" t="s">
        <v>43</v>
      </c>
      <c r="U1318" t="s">
        <v>44</v>
      </c>
      <c r="V1318">
        <v>147</v>
      </c>
      <c r="W1318" t="s">
        <v>92</v>
      </c>
      <c r="X1318" t="s">
        <v>93</v>
      </c>
      <c r="Y1318" t="s">
        <v>94</v>
      </c>
      <c r="Z1318" t="s">
        <v>37</v>
      </c>
      <c r="AA1318" t="s">
        <v>95</v>
      </c>
      <c r="AB1318" t="s">
        <v>37</v>
      </c>
      <c r="AC1318" s="6" t="s">
        <v>37</v>
      </c>
      <c r="AD1318" s="6" t="s">
        <v>37</v>
      </c>
      <c r="AE1318" t="s">
        <v>37</v>
      </c>
      <c r="AF1318" t="s">
        <v>37</v>
      </c>
      <c r="AG1318" s="6" t="s">
        <v>37</v>
      </c>
      <c r="AH1318" t="s">
        <v>37</v>
      </c>
      <c r="AI1318" t="s">
        <v>37</v>
      </c>
      <c r="AJ1318" t="str">
        <f t="shared" si="62"/>
        <v>1VBBCE3CB07W5JKBMG</v>
      </c>
    </row>
    <row r="1319" spans="1:36" ht="15" customHeight="1" x14ac:dyDescent="0.25">
      <c r="A1319" t="s">
        <v>76</v>
      </c>
      <c r="B1319" t="s">
        <v>37</v>
      </c>
      <c r="C1319" t="s">
        <v>37</v>
      </c>
      <c r="D1319" t="s">
        <v>38</v>
      </c>
      <c r="E1319" s="4">
        <v>150</v>
      </c>
      <c r="F1319" s="5">
        <v>6588</v>
      </c>
      <c r="G1319" s="5" t="s">
        <v>39</v>
      </c>
      <c r="H1319" s="5">
        <v>9835.5</v>
      </c>
      <c r="I1319" s="5" t="s">
        <v>39</v>
      </c>
      <c r="J1319" s="5">
        <v>223.99199999999999</v>
      </c>
      <c r="K1319" s="5">
        <f t="shared" si="60"/>
        <v>1.4932799999999999</v>
      </c>
      <c r="L1319" s="5">
        <f t="shared" si="61"/>
        <v>43.92</v>
      </c>
      <c r="M1319" s="5" t="s">
        <v>39</v>
      </c>
      <c r="N1319" s="5">
        <v>223.99199999999999</v>
      </c>
      <c r="O1319" s="5" t="s">
        <v>39</v>
      </c>
      <c r="P1319" t="s">
        <v>426</v>
      </c>
      <c r="Q1319" t="s">
        <v>1331</v>
      </c>
      <c r="R1319" t="s">
        <v>37</v>
      </c>
      <c r="S1319" t="s">
        <v>1332</v>
      </c>
      <c r="T1319" t="s">
        <v>43</v>
      </c>
      <c r="U1319" t="s">
        <v>44</v>
      </c>
      <c r="V1319">
        <v>147</v>
      </c>
      <c r="W1319" t="s">
        <v>45</v>
      </c>
      <c r="X1319" t="s">
        <v>53</v>
      </c>
      <c r="Y1319" t="s">
        <v>1333</v>
      </c>
      <c r="Z1319" t="s">
        <v>37</v>
      </c>
      <c r="AA1319" t="s">
        <v>48</v>
      </c>
      <c r="AB1319" t="s">
        <v>37</v>
      </c>
      <c r="AC1319" s="6" t="s">
        <v>37</v>
      </c>
      <c r="AD1319" s="6" t="s">
        <v>37</v>
      </c>
      <c r="AE1319" t="s">
        <v>37</v>
      </c>
      <c r="AF1319" t="s">
        <v>37</v>
      </c>
      <c r="AG1319" s="6" t="s">
        <v>37</v>
      </c>
      <c r="AH1319" t="s">
        <v>37</v>
      </c>
      <c r="AI1319" t="s">
        <v>37</v>
      </c>
      <c r="AJ1319" t="str">
        <f t="shared" si="62"/>
        <v>3IQS66UGB01KZVQB42</v>
      </c>
    </row>
    <row r="1320" spans="1:36" ht="15" customHeight="1" x14ac:dyDescent="0.25">
      <c r="A1320" t="s">
        <v>49</v>
      </c>
      <c r="B1320" t="s">
        <v>37</v>
      </c>
      <c r="C1320" t="s">
        <v>37</v>
      </c>
      <c r="D1320" t="s">
        <v>38</v>
      </c>
      <c r="E1320" s="4">
        <v>4</v>
      </c>
      <c r="F1320" s="5">
        <v>147.72</v>
      </c>
      <c r="G1320" s="5" t="s">
        <v>39</v>
      </c>
      <c r="H1320" s="5">
        <v>245.88</v>
      </c>
      <c r="I1320" s="5" t="s">
        <v>39</v>
      </c>
      <c r="J1320" s="5">
        <v>5.0224799999999998</v>
      </c>
      <c r="K1320" s="5">
        <f t="shared" si="60"/>
        <v>1.25562</v>
      </c>
      <c r="L1320" s="5">
        <f t="shared" si="61"/>
        <v>36.93</v>
      </c>
      <c r="M1320" s="5" t="s">
        <v>39</v>
      </c>
      <c r="N1320" s="5">
        <v>5.0224799999999998</v>
      </c>
      <c r="O1320" s="5" t="s">
        <v>39</v>
      </c>
      <c r="P1320" t="s">
        <v>638</v>
      </c>
      <c r="Q1320" t="s">
        <v>908</v>
      </c>
      <c r="R1320" t="s">
        <v>909</v>
      </c>
      <c r="S1320" t="s">
        <v>910</v>
      </c>
      <c r="T1320" t="s">
        <v>43</v>
      </c>
      <c r="U1320" t="s">
        <v>44</v>
      </c>
      <c r="V1320">
        <v>147</v>
      </c>
      <c r="W1320" t="s">
        <v>45</v>
      </c>
      <c r="X1320" t="s">
        <v>46</v>
      </c>
      <c r="Y1320" t="s">
        <v>268</v>
      </c>
      <c r="Z1320" t="s">
        <v>37</v>
      </c>
      <c r="AA1320" t="s">
        <v>55</v>
      </c>
      <c r="AB1320" t="s">
        <v>37</v>
      </c>
      <c r="AC1320" s="6" t="s">
        <v>37</v>
      </c>
      <c r="AD1320" s="6" t="s">
        <v>37</v>
      </c>
      <c r="AE1320" t="s">
        <v>37</v>
      </c>
      <c r="AF1320" t="s">
        <v>37</v>
      </c>
      <c r="AG1320" s="6" t="s">
        <v>37</v>
      </c>
      <c r="AH1320" t="s">
        <v>37</v>
      </c>
      <c r="AI1320" t="s">
        <v>37</v>
      </c>
      <c r="AJ1320" t="str">
        <f t="shared" si="62"/>
        <v>7CQW3EPPB07CGPZ3ZQ</v>
      </c>
    </row>
    <row r="1321" spans="1:36" ht="15" customHeight="1" x14ac:dyDescent="0.25">
      <c r="A1321" t="s">
        <v>36</v>
      </c>
      <c r="B1321" t="s">
        <v>37</v>
      </c>
      <c r="C1321" t="s">
        <v>37</v>
      </c>
      <c r="D1321" t="s">
        <v>38</v>
      </c>
      <c r="E1321" s="4">
        <v>16</v>
      </c>
      <c r="F1321" s="5">
        <v>1011.68</v>
      </c>
      <c r="G1321" s="5" t="s">
        <v>39</v>
      </c>
      <c r="H1321" s="5">
        <v>1363.84</v>
      </c>
      <c r="I1321" s="5" t="s">
        <v>39</v>
      </c>
      <c r="J1321" s="5">
        <v>34.397120000000001</v>
      </c>
      <c r="K1321" s="5">
        <f t="shared" si="60"/>
        <v>2.1498200000000001</v>
      </c>
      <c r="L1321" s="5">
        <f t="shared" si="61"/>
        <v>63.23</v>
      </c>
      <c r="M1321" s="5" t="s">
        <v>39</v>
      </c>
      <c r="N1321" s="5">
        <v>34.397120000000001</v>
      </c>
      <c r="O1321" s="5" t="s">
        <v>39</v>
      </c>
      <c r="P1321" t="s">
        <v>89</v>
      </c>
      <c r="Q1321" t="s">
        <v>1318</v>
      </c>
      <c r="R1321" t="s">
        <v>1319</v>
      </c>
      <c r="S1321" t="s">
        <v>1320</v>
      </c>
      <c r="T1321" t="s">
        <v>43</v>
      </c>
      <c r="U1321" t="s">
        <v>44</v>
      </c>
      <c r="V1321">
        <v>147</v>
      </c>
      <c r="W1321" t="s">
        <v>45</v>
      </c>
      <c r="X1321" t="s">
        <v>239</v>
      </c>
      <c r="Y1321" t="s">
        <v>1321</v>
      </c>
      <c r="Z1321" t="s">
        <v>37</v>
      </c>
      <c r="AA1321" t="s">
        <v>48</v>
      </c>
      <c r="AB1321" t="s">
        <v>37</v>
      </c>
      <c r="AC1321" s="6" t="s">
        <v>37</v>
      </c>
      <c r="AD1321" s="6" t="s">
        <v>37</v>
      </c>
      <c r="AE1321" t="s">
        <v>37</v>
      </c>
      <c r="AF1321" t="s">
        <v>37</v>
      </c>
      <c r="AG1321" s="6" t="s">
        <v>37</v>
      </c>
      <c r="AH1321" t="s">
        <v>37</v>
      </c>
      <c r="AI1321" t="s">
        <v>37</v>
      </c>
      <c r="AJ1321" t="str">
        <f t="shared" si="62"/>
        <v>2W68T8TOB006A2Q81M</v>
      </c>
    </row>
    <row r="1322" spans="1:36" ht="15" customHeight="1" x14ac:dyDescent="0.25">
      <c r="A1322" t="s">
        <v>96</v>
      </c>
      <c r="B1322" t="s">
        <v>37</v>
      </c>
      <c r="C1322" t="s">
        <v>37</v>
      </c>
      <c r="D1322" t="s">
        <v>38</v>
      </c>
      <c r="E1322" s="4">
        <v>80</v>
      </c>
      <c r="F1322" s="5">
        <v>2954.4</v>
      </c>
      <c r="G1322" s="5" t="s">
        <v>39</v>
      </c>
      <c r="H1322" s="5">
        <v>4917.6000000000004</v>
      </c>
      <c r="I1322" s="5" t="s">
        <v>39</v>
      </c>
      <c r="J1322" s="5">
        <v>100.4496</v>
      </c>
      <c r="K1322" s="5">
        <f t="shared" si="60"/>
        <v>1.25562</v>
      </c>
      <c r="L1322" s="5">
        <f t="shared" si="61"/>
        <v>36.93</v>
      </c>
      <c r="M1322" s="5" t="s">
        <v>39</v>
      </c>
      <c r="N1322" s="5">
        <v>100.4496</v>
      </c>
      <c r="O1322" s="5" t="s">
        <v>39</v>
      </c>
      <c r="P1322" t="s">
        <v>638</v>
      </c>
      <c r="Q1322" t="s">
        <v>908</v>
      </c>
      <c r="R1322" t="s">
        <v>909</v>
      </c>
      <c r="S1322" t="s">
        <v>910</v>
      </c>
      <c r="T1322" t="s">
        <v>43</v>
      </c>
      <c r="U1322" t="s">
        <v>44</v>
      </c>
      <c r="V1322">
        <v>147</v>
      </c>
      <c r="W1322" t="s">
        <v>45</v>
      </c>
      <c r="X1322" t="s">
        <v>46</v>
      </c>
      <c r="Y1322" t="s">
        <v>268</v>
      </c>
      <c r="Z1322" t="s">
        <v>37</v>
      </c>
      <c r="AA1322" t="s">
        <v>55</v>
      </c>
      <c r="AB1322" t="s">
        <v>37</v>
      </c>
      <c r="AC1322" s="6" t="s">
        <v>37</v>
      </c>
      <c r="AD1322" s="6" t="s">
        <v>37</v>
      </c>
      <c r="AE1322" t="s">
        <v>37</v>
      </c>
      <c r="AF1322" t="s">
        <v>37</v>
      </c>
      <c r="AG1322" s="6" t="s">
        <v>37</v>
      </c>
      <c r="AH1322" t="s">
        <v>37</v>
      </c>
      <c r="AI1322" t="s">
        <v>37</v>
      </c>
      <c r="AJ1322" t="str">
        <f t="shared" si="62"/>
        <v>7CQW3EPPB07CGPZ3ZQ</v>
      </c>
    </row>
    <row r="1323" spans="1:36" ht="15" customHeight="1" x14ac:dyDescent="0.25">
      <c r="A1323" t="s">
        <v>36</v>
      </c>
      <c r="B1323" t="s">
        <v>37</v>
      </c>
      <c r="C1323" t="s">
        <v>37</v>
      </c>
      <c r="D1323" t="s">
        <v>38</v>
      </c>
      <c r="E1323" s="4">
        <v>40</v>
      </c>
      <c r="F1323" s="5">
        <v>655.6</v>
      </c>
      <c r="G1323" s="5" t="s">
        <v>39</v>
      </c>
      <c r="H1323" s="5">
        <v>983.2</v>
      </c>
      <c r="I1323" s="5" t="s">
        <v>39</v>
      </c>
      <c r="J1323" s="5">
        <v>22.290400000000002</v>
      </c>
      <c r="K1323" s="5">
        <f t="shared" si="60"/>
        <v>0.55726000000000009</v>
      </c>
      <c r="L1323" s="5">
        <f t="shared" si="61"/>
        <v>16.39</v>
      </c>
      <c r="M1323" s="5" t="s">
        <v>39</v>
      </c>
      <c r="N1323" s="5">
        <v>22.290400000000002</v>
      </c>
      <c r="O1323" s="5" t="s">
        <v>39</v>
      </c>
      <c r="P1323" t="s">
        <v>270</v>
      </c>
      <c r="Q1323" t="s">
        <v>1865</v>
      </c>
      <c r="R1323" t="s">
        <v>1866</v>
      </c>
      <c r="S1323" t="s">
        <v>1867</v>
      </c>
      <c r="T1323" t="s">
        <v>43</v>
      </c>
      <c r="U1323" t="s">
        <v>44</v>
      </c>
      <c r="V1323">
        <v>147</v>
      </c>
      <c r="W1323" t="s">
        <v>45</v>
      </c>
      <c r="X1323" t="s">
        <v>53</v>
      </c>
      <c r="Y1323" t="s">
        <v>1868</v>
      </c>
      <c r="Z1323" t="s">
        <v>37</v>
      </c>
      <c r="AA1323" t="s">
        <v>48</v>
      </c>
      <c r="AB1323" t="s">
        <v>37</v>
      </c>
      <c r="AC1323" s="6" t="s">
        <v>37</v>
      </c>
      <c r="AD1323" s="6" t="s">
        <v>37</v>
      </c>
      <c r="AE1323" t="s">
        <v>37</v>
      </c>
      <c r="AF1323" t="s">
        <v>37</v>
      </c>
      <c r="AG1323" s="6" t="s">
        <v>37</v>
      </c>
      <c r="AH1323" t="s">
        <v>37</v>
      </c>
      <c r="AI1323" t="s">
        <v>37</v>
      </c>
      <c r="AJ1323" t="str">
        <f t="shared" si="62"/>
        <v>1X4DXX4TB004QTBPWI</v>
      </c>
    </row>
    <row r="1324" spans="1:36" ht="15" customHeight="1" x14ac:dyDescent="0.25">
      <c r="A1324" t="s">
        <v>101</v>
      </c>
      <c r="B1324" t="s">
        <v>37</v>
      </c>
      <c r="C1324" t="s">
        <v>37</v>
      </c>
      <c r="D1324" t="s">
        <v>38</v>
      </c>
      <c r="E1324" s="4">
        <v>56</v>
      </c>
      <c r="F1324" s="5">
        <v>3898.16</v>
      </c>
      <c r="G1324" s="5" t="s">
        <v>39</v>
      </c>
      <c r="H1324" s="5">
        <v>5921.44</v>
      </c>
      <c r="I1324" s="5" t="s">
        <v>39</v>
      </c>
      <c r="J1324" s="5">
        <v>132.53744</v>
      </c>
      <c r="K1324" s="5">
        <f t="shared" si="60"/>
        <v>2.3667400000000001</v>
      </c>
      <c r="L1324" s="5">
        <f t="shared" si="61"/>
        <v>69.61</v>
      </c>
      <c r="M1324" s="5" t="s">
        <v>39</v>
      </c>
      <c r="N1324" s="5">
        <v>132.53744</v>
      </c>
      <c r="O1324" s="5" t="s">
        <v>39</v>
      </c>
      <c r="P1324" t="s">
        <v>320</v>
      </c>
      <c r="Q1324" t="s">
        <v>1266</v>
      </c>
      <c r="R1324" t="s">
        <v>37</v>
      </c>
      <c r="S1324" t="s">
        <v>1267</v>
      </c>
      <c r="T1324" t="s">
        <v>43</v>
      </c>
      <c r="U1324" t="s">
        <v>44</v>
      </c>
      <c r="V1324">
        <v>147</v>
      </c>
      <c r="W1324" t="s">
        <v>45</v>
      </c>
      <c r="X1324" t="s">
        <v>60</v>
      </c>
      <c r="Y1324" t="s">
        <v>1268</v>
      </c>
      <c r="Z1324" t="s">
        <v>37</v>
      </c>
      <c r="AA1324" t="s">
        <v>55</v>
      </c>
      <c r="AB1324" t="s">
        <v>37</v>
      </c>
      <c r="AC1324" s="6" t="s">
        <v>37</v>
      </c>
      <c r="AD1324" s="6" t="s">
        <v>37</v>
      </c>
      <c r="AE1324" t="s">
        <v>37</v>
      </c>
      <c r="AF1324" t="s">
        <v>37</v>
      </c>
      <c r="AG1324" s="6" t="s">
        <v>37</v>
      </c>
      <c r="AH1324" t="s">
        <v>37</v>
      </c>
      <c r="AI1324" t="s">
        <v>37</v>
      </c>
      <c r="AJ1324" t="str">
        <f t="shared" si="62"/>
        <v>8BG295LIB07W7L32NJ</v>
      </c>
    </row>
    <row r="1325" spans="1:36" ht="15" customHeight="1" x14ac:dyDescent="0.25">
      <c r="A1325" t="s">
        <v>96</v>
      </c>
      <c r="B1325" t="s">
        <v>37</v>
      </c>
      <c r="C1325" t="s">
        <v>37</v>
      </c>
      <c r="D1325" t="s">
        <v>38</v>
      </c>
      <c r="E1325" s="4">
        <v>8</v>
      </c>
      <c r="F1325" s="5">
        <v>281.04000000000002</v>
      </c>
      <c r="G1325" s="5" t="s">
        <v>39</v>
      </c>
      <c r="H1325" s="5">
        <v>281.04000000000002</v>
      </c>
      <c r="I1325" s="5" t="s">
        <v>39</v>
      </c>
      <c r="J1325" s="5">
        <v>9.5553600000000003</v>
      </c>
      <c r="K1325" s="5">
        <f t="shared" si="60"/>
        <v>1.19442</v>
      </c>
      <c r="L1325" s="5">
        <f t="shared" si="61"/>
        <v>35.130000000000003</v>
      </c>
      <c r="M1325" s="5" t="s">
        <v>39</v>
      </c>
      <c r="N1325" s="5">
        <v>9.5553600000000003</v>
      </c>
      <c r="O1325" s="5" t="s">
        <v>39</v>
      </c>
      <c r="P1325" t="s">
        <v>195</v>
      </c>
      <c r="Q1325" t="s">
        <v>1523</v>
      </c>
      <c r="R1325" t="s">
        <v>37</v>
      </c>
      <c r="S1325" t="s">
        <v>1524</v>
      </c>
      <c r="T1325" t="s">
        <v>43</v>
      </c>
      <c r="U1325" t="s">
        <v>44</v>
      </c>
      <c r="V1325">
        <v>147</v>
      </c>
      <c r="W1325" t="s">
        <v>37</v>
      </c>
      <c r="X1325" t="s">
        <v>37</v>
      </c>
      <c r="Y1325" t="s">
        <v>1525</v>
      </c>
      <c r="Z1325" t="s">
        <v>37</v>
      </c>
      <c r="AA1325" t="s">
        <v>55</v>
      </c>
      <c r="AB1325" t="s">
        <v>37</v>
      </c>
      <c r="AC1325" s="6" t="s">
        <v>37</v>
      </c>
      <c r="AD1325" s="6" t="s">
        <v>37</v>
      </c>
      <c r="AE1325" t="s">
        <v>37</v>
      </c>
      <c r="AF1325" t="s">
        <v>37</v>
      </c>
      <c r="AG1325" s="6" t="s">
        <v>37</v>
      </c>
      <c r="AH1325" t="s">
        <v>37</v>
      </c>
      <c r="AI1325" t="s">
        <v>37</v>
      </c>
      <c r="AJ1325" t="str">
        <f t="shared" si="62"/>
        <v>5X1OU9ZGB07VRLJHFH</v>
      </c>
    </row>
    <row r="1326" spans="1:36" ht="15" customHeight="1" x14ac:dyDescent="0.25">
      <c r="A1326" t="s">
        <v>71</v>
      </c>
      <c r="B1326" t="s">
        <v>37</v>
      </c>
      <c r="C1326" t="s">
        <v>37</v>
      </c>
      <c r="D1326" t="s">
        <v>38</v>
      </c>
      <c r="E1326" s="4">
        <v>8</v>
      </c>
      <c r="F1326" s="5">
        <v>468.48</v>
      </c>
      <c r="G1326" s="5" t="s">
        <v>39</v>
      </c>
      <c r="H1326" s="5">
        <v>681.92</v>
      </c>
      <c r="I1326" s="5" t="s">
        <v>39</v>
      </c>
      <c r="J1326" s="5">
        <v>15.928319999999999</v>
      </c>
      <c r="K1326" s="5">
        <f t="shared" si="60"/>
        <v>1.9910399999999999</v>
      </c>
      <c r="L1326" s="5">
        <f t="shared" si="61"/>
        <v>58.56</v>
      </c>
      <c r="M1326" s="5" t="s">
        <v>39</v>
      </c>
      <c r="N1326" s="5">
        <v>15.928319999999999</v>
      </c>
      <c r="O1326" s="5" t="s">
        <v>39</v>
      </c>
      <c r="P1326" t="s">
        <v>102</v>
      </c>
      <c r="Q1326" t="s">
        <v>1856</v>
      </c>
      <c r="R1326" t="s">
        <v>37</v>
      </c>
      <c r="S1326" t="s">
        <v>1857</v>
      </c>
      <c r="T1326" t="s">
        <v>43</v>
      </c>
      <c r="U1326" t="s">
        <v>44</v>
      </c>
      <c r="V1326">
        <v>147</v>
      </c>
      <c r="W1326" t="s">
        <v>45</v>
      </c>
      <c r="X1326" t="s">
        <v>239</v>
      </c>
      <c r="Y1326" t="s">
        <v>1858</v>
      </c>
      <c r="Z1326" t="s">
        <v>37</v>
      </c>
      <c r="AA1326" t="s">
        <v>48</v>
      </c>
      <c r="AB1326" t="s">
        <v>37</v>
      </c>
      <c r="AC1326" s="6" t="s">
        <v>37</v>
      </c>
      <c r="AD1326" s="6" t="s">
        <v>37</v>
      </c>
      <c r="AE1326" t="s">
        <v>37</v>
      </c>
      <c r="AF1326" t="s">
        <v>37</v>
      </c>
      <c r="AG1326" s="6" t="s">
        <v>37</v>
      </c>
      <c r="AH1326" t="s">
        <v>37</v>
      </c>
      <c r="AI1326" t="s">
        <v>37</v>
      </c>
      <c r="AJ1326" t="str">
        <f t="shared" si="62"/>
        <v>2M7QFTCOB014KH8BRW</v>
      </c>
    </row>
    <row r="1327" spans="1:36" ht="15" customHeight="1" x14ac:dyDescent="0.25">
      <c r="A1327" t="s">
        <v>118</v>
      </c>
      <c r="B1327" t="s">
        <v>37</v>
      </c>
      <c r="C1327" t="s">
        <v>37</v>
      </c>
      <c r="D1327" t="s">
        <v>38</v>
      </c>
      <c r="E1327" s="4">
        <v>8</v>
      </c>
      <c r="F1327" s="5">
        <v>1160.1600000000001</v>
      </c>
      <c r="G1327" s="5" t="s">
        <v>39</v>
      </c>
      <c r="H1327" s="5">
        <v>1698.32</v>
      </c>
      <c r="I1327" s="5" t="s">
        <v>39</v>
      </c>
      <c r="J1327" s="5">
        <v>39.445439999999998</v>
      </c>
      <c r="K1327" s="5">
        <f t="shared" si="60"/>
        <v>4.9306799999999997</v>
      </c>
      <c r="L1327" s="5">
        <f t="shared" si="61"/>
        <v>145.02000000000001</v>
      </c>
      <c r="M1327" s="5" t="s">
        <v>39</v>
      </c>
      <c r="N1327" s="5">
        <v>39.445439999999998</v>
      </c>
      <c r="O1327" s="5" t="s">
        <v>39</v>
      </c>
      <c r="P1327" t="s">
        <v>128</v>
      </c>
      <c r="Q1327" t="s">
        <v>729</v>
      </c>
      <c r="R1327" t="s">
        <v>37</v>
      </c>
      <c r="S1327" t="s">
        <v>730</v>
      </c>
      <c r="T1327" t="s">
        <v>43</v>
      </c>
      <c r="U1327" t="s">
        <v>44</v>
      </c>
      <c r="V1327">
        <v>147</v>
      </c>
      <c r="W1327" t="s">
        <v>45</v>
      </c>
      <c r="X1327" t="s">
        <v>239</v>
      </c>
      <c r="Y1327" t="s">
        <v>731</v>
      </c>
      <c r="Z1327" t="s">
        <v>37</v>
      </c>
      <c r="AA1327" t="s">
        <v>95</v>
      </c>
      <c r="AB1327" t="s">
        <v>37</v>
      </c>
      <c r="AC1327" s="6" t="s">
        <v>37</v>
      </c>
      <c r="AD1327" s="6" t="s">
        <v>37</v>
      </c>
      <c r="AE1327" t="s">
        <v>37</v>
      </c>
      <c r="AF1327" t="s">
        <v>37</v>
      </c>
      <c r="AG1327" s="6" t="s">
        <v>37</v>
      </c>
      <c r="AH1327" t="s">
        <v>37</v>
      </c>
      <c r="AI1327" t="s">
        <v>37</v>
      </c>
      <c r="AJ1327" t="str">
        <f t="shared" si="62"/>
        <v>7RAC5F9EB07W6HBPSX</v>
      </c>
    </row>
    <row r="1328" spans="1:36" ht="15" customHeight="1" x14ac:dyDescent="0.25">
      <c r="A1328" t="s">
        <v>101</v>
      </c>
      <c r="B1328" t="s">
        <v>37</v>
      </c>
      <c r="C1328" t="s">
        <v>37</v>
      </c>
      <c r="D1328" t="s">
        <v>38</v>
      </c>
      <c r="E1328" s="4">
        <v>4</v>
      </c>
      <c r="F1328" s="5">
        <v>25.28</v>
      </c>
      <c r="G1328" s="5" t="s">
        <v>39</v>
      </c>
      <c r="H1328" s="5">
        <v>42.6</v>
      </c>
      <c r="I1328" s="5" t="s">
        <v>39</v>
      </c>
      <c r="J1328" s="5">
        <v>0.85951999999999995</v>
      </c>
      <c r="K1328" s="5">
        <f t="shared" si="60"/>
        <v>0.21487999999999999</v>
      </c>
      <c r="L1328" s="5">
        <f t="shared" si="61"/>
        <v>6.32</v>
      </c>
      <c r="M1328" s="5" t="s">
        <v>39</v>
      </c>
      <c r="N1328" s="5">
        <v>0.85951999999999995</v>
      </c>
      <c r="O1328" s="5" t="s">
        <v>39</v>
      </c>
      <c r="P1328" t="s">
        <v>120</v>
      </c>
      <c r="Q1328" t="s">
        <v>1231</v>
      </c>
      <c r="R1328" t="s">
        <v>37</v>
      </c>
      <c r="S1328" t="s">
        <v>1232</v>
      </c>
      <c r="T1328" t="s">
        <v>43</v>
      </c>
      <c r="U1328" t="s">
        <v>44</v>
      </c>
      <c r="V1328">
        <v>147</v>
      </c>
      <c r="W1328" t="s">
        <v>45</v>
      </c>
      <c r="X1328" t="s">
        <v>53</v>
      </c>
      <c r="Y1328" t="s">
        <v>983</v>
      </c>
      <c r="Z1328" t="s">
        <v>37</v>
      </c>
      <c r="AA1328" t="s">
        <v>95</v>
      </c>
      <c r="AB1328" t="s">
        <v>37</v>
      </c>
      <c r="AC1328" s="6" t="s">
        <v>37</v>
      </c>
      <c r="AD1328" s="6" t="s">
        <v>37</v>
      </c>
      <c r="AE1328" t="s">
        <v>37</v>
      </c>
      <c r="AF1328" t="s">
        <v>37</v>
      </c>
      <c r="AG1328" s="6" t="s">
        <v>37</v>
      </c>
      <c r="AH1328" t="s">
        <v>37</v>
      </c>
      <c r="AI1328" t="s">
        <v>37</v>
      </c>
      <c r="AJ1328" t="str">
        <f t="shared" si="62"/>
        <v>5MWU8WTDB07W6GVZFJ</v>
      </c>
    </row>
    <row r="1329" spans="1:36" ht="15" customHeight="1" x14ac:dyDescent="0.25">
      <c r="A1329" t="s">
        <v>96</v>
      </c>
      <c r="B1329" t="s">
        <v>37</v>
      </c>
      <c r="C1329" t="s">
        <v>37</v>
      </c>
      <c r="D1329" t="s">
        <v>38</v>
      </c>
      <c r="E1329" s="4">
        <v>12</v>
      </c>
      <c r="F1329" s="5">
        <v>661.2</v>
      </c>
      <c r="G1329" s="5" t="s">
        <v>39</v>
      </c>
      <c r="H1329" s="5">
        <v>786.84</v>
      </c>
      <c r="I1329" s="5" t="s">
        <v>39</v>
      </c>
      <c r="J1329" s="5">
        <v>22.480799999999999</v>
      </c>
      <c r="K1329" s="5">
        <f t="shared" si="60"/>
        <v>1.8734</v>
      </c>
      <c r="L1329" s="5">
        <f t="shared" si="61"/>
        <v>55.1</v>
      </c>
      <c r="M1329" s="5" t="s">
        <v>39</v>
      </c>
      <c r="N1329" s="5">
        <v>22.480799999999999</v>
      </c>
      <c r="O1329" s="5" t="s">
        <v>39</v>
      </c>
      <c r="P1329" t="s">
        <v>1614</v>
      </c>
      <c r="Q1329" t="s">
        <v>1506</v>
      </c>
      <c r="R1329" t="s">
        <v>37</v>
      </c>
      <c r="S1329" t="s">
        <v>1507</v>
      </c>
      <c r="T1329" t="s">
        <v>43</v>
      </c>
      <c r="U1329" t="s">
        <v>44</v>
      </c>
      <c r="V1329">
        <v>147</v>
      </c>
      <c r="W1329" t="s">
        <v>1508</v>
      </c>
      <c r="X1329" t="s">
        <v>1509</v>
      </c>
      <c r="Y1329" t="s">
        <v>1510</v>
      </c>
      <c r="Z1329" t="s">
        <v>37</v>
      </c>
      <c r="AA1329" t="s">
        <v>55</v>
      </c>
      <c r="AB1329" t="s">
        <v>37</v>
      </c>
      <c r="AC1329" s="6" t="s">
        <v>37</v>
      </c>
      <c r="AD1329" s="6" t="s">
        <v>37</v>
      </c>
      <c r="AE1329" t="s">
        <v>37</v>
      </c>
      <c r="AF1329" t="s">
        <v>37</v>
      </c>
      <c r="AG1329" s="6" t="s">
        <v>37</v>
      </c>
      <c r="AH1329" t="s">
        <v>37</v>
      </c>
      <c r="AI1329" t="s">
        <v>37</v>
      </c>
      <c r="AJ1329" t="str">
        <f t="shared" si="62"/>
        <v>2DDMOF4WB07W7L3HJP</v>
      </c>
    </row>
    <row r="1330" spans="1:36" ht="15" customHeight="1" x14ac:dyDescent="0.25">
      <c r="A1330" t="s">
        <v>383</v>
      </c>
      <c r="B1330" t="s">
        <v>37</v>
      </c>
      <c r="C1330" t="s">
        <v>37</v>
      </c>
      <c r="D1330" t="s">
        <v>38</v>
      </c>
      <c r="E1330" s="4">
        <v>4</v>
      </c>
      <c r="F1330" s="5">
        <v>252.92</v>
      </c>
      <c r="G1330" s="5" t="s">
        <v>39</v>
      </c>
      <c r="H1330" s="5">
        <v>340.96</v>
      </c>
      <c r="I1330" s="5" t="s">
        <v>39</v>
      </c>
      <c r="J1330" s="5">
        <v>8.5992800000000003</v>
      </c>
      <c r="K1330" s="5">
        <f t="shared" si="60"/>
        <v>2.1498200000000001</v>
      </c>
      <c r="L1330" s="5">
        <f t="shared" si="61"/>
        <v>63.23</v>
      </c>
      <c r="M1330" s="5" t="s">
        <v>39</v>
      </c>
      <c r="N1330" s="5">
        <v>8.5992800000000003</v>
      </c>
      <c r="O1330" s="5" t="s">
        <v>39</v>
      </c>
      <c r="P1330" t="s">
        <v>89</v>
      </c>
      <c r="Q1330" t="s">
        <v>1318</v>
      </c>
      <c r="R1330" t="s">
        <v>1319</v>
      </c>
      <c r="S1330" t="s">
        <v>1320</v>
      </c>
      <c r="T1330" t="s">
        <v>43</v>
      </c>
      <c r="U1330" t="s">
        <v>44</v>
      </c>
      <c r="V1330">
        <v>147</v>
      </c>
      <c r="W1330" t="s">
        <v>45</v>
      </c>
      <c r="X1330" t="s">
        <v>239</v>
      </c>
      <c r="Y1330" t="s">
        <v>1321</v>
      </c>
      <c r="Z1330" t="s">
        <v>37</v>
      </c>
      <c r="AA1330" t="s">
        <v>48</v>
      </c>
      <c r="AB1330" t="s">
        <v>37</v>
      </c>
      <c r="AC1330" s="6" t="s">
        <v>37</v>
      </c>
      <c r="AD1330" s="6" t="s">
        <v>37</v>
      </c>
      <c r="AE1330" t="s">
        <v>37</v>
      </c>
      <c r="AF1330" t="s">
        <v>37</v>
      </c>
      <c r="AG1330" s="6" t="s">
        <v>37</v>
      </c>
      <c r="AH1330" t="s">
        <v>37</v>
      </c>
      <c r="AI1330" t="s">
        <v>37</v>
      </c>
      <c r="AJ1330" t="str">
        <f t="shared" si="62"/>
        <v>2W68T8TOB006A2Q81M</v>
      </c>
    </row>
    <row r="1331" spans="1:36" ht="15" customHeight="1" x14ac:dyDescent="0.25">
      <c r="A1331" t="s">
        <v>88</v>
      </c>
      <c r="B1331" t="s">
        <v>37</v>
      </c>
      <c r="C1331" t="s">
        <v>37</v>
      </c>
      <c r="D1331" t="s">
        <v>38</v>
      </c>
      <c r="E1331" s="4">
        <v>140</v>
      </c>
      <c r="F1331" s="5">
        <v>19870.2</v>
      </c>
      <c r="G1331" s="5" t="s">
        <v>39</v>
      </c>
      <c r="H1331" s="5">
        <v>33164.6</v>
      </c>
      <c r="I1331" s="5" t="s">
        <v>39</v>
      </c>
      <c r="J1331" s="5">
        <v>675.58680000000004</v>
      </c>
      <c r="K1331" s="5">
        <f t="shared" si="60"/>
        <v>4.8256200000000007</v>
      </c>
      <c r="L1331" s="5">
        <f t="shared" si="61"/>
        <v>141.93</v>
      </c>
      <c r="M1331" s="5" t="s">
        <v>39</v>
      </c>
      <c r="N1331" s="5">
        <v>675.58680000000004</v>
      </c>
      <c r="O1331" s="5" t="s">
        <v>39</v>
      </c>
      <c r="P1331" t="s">
        <v>1869</v>
      </c>
      <c r="Q1331" t="s">
        <v>1870</v>
      </c>
      <c r="R1331" t="s">
        <v>37</v>
      </c>
      <c r="S1331" t="s">
        <v>1871</v>
      </c>
      <c r="T1331" t="s">
        <v>43</v>
      </c>
      <c r="U1331" t="s">
        <v>44</v>
      </c>
      <c r="V1331">
        <v>364</v>
      </c>
      <c r="W1331" t="s">
        <v>1872</v>
      </c>
      <c r="X1331" t="s">
        <v>1873</v>
      </c>
      <c r="Y1331" t="s">
        <v>1874</v>
      </c>
      <c r="Z1331" t="s">
        <v>37</v>
      </c>
      <c r="AA1331" t="s">
        <v>55</v>
      </c>
      <c r="AB1331" t="s">
        <v>37</v>
      </c>
      <c r="AC1331" s="6" t="s">
        <v>37</v>
      </c>
      <c r="AD1331" s="6" t="s">
        <v>37</v>
      </c>
      <c r="AE1331" t="s">
        <v>37</v>
      </c>
      <c r="AF1331" t="s">
        <v>37</v>
      </c>
      <c r="AG1331" s="6" t="s">
        <v>37</v>
      </c>
      <c r="AH1331" t="s">
        <v>37</v>
      </c>
      <c r="AI1331" t="s">
        <v>37</v>
      </c>
      <c r="AJ1331" t="str">
        <f t="shared" si="62"/>
        <v>4TPDM63YB07VZLMQN7</v>
      </c>
    </row>
    <row r="1332" spans="1:36" ht="15" customHeight="1" x14ac:dyDescent="0.25">
      <c r="A1332" t="s">
        <v>101</v>
      </c>
      <c r="B1332" t="s">
        <v>37</v>
      </c>
      <c r="C1332" t="s">
        <v>37</v>
      </c>
      <c r="D1332" t="s">
        <v>38</v>
      </c>
      <c r="E1332" s="4">
        <v>8</v>
      </c>
      <c r="F1332" s="5">
        <v>556.88</v>
      </c>
      <c r="G1332" s="5" t="s">
        <v>39</v>
      </c>
      <c r="H1332" s="5">
        <v>845.92</v>
      </c>
      <c r="I1332" s="5" t="s">
        <v>39</v>
      </c>
      <c r="J1332" s="5">
        <v>18.933920000000001</v>
      </c>
      <c r="K1332" s="5">
        <f t="shared" si="60"/>
        <v>2.3667400000000001</v>
      </c>
      <c r="L1332" s="5">
        <f t="shared" si="61"/>
        <v>69.61</v>
      </c>
      <c r="M1332" s="5" t="s">
        <v>39</v>
      </c>
      <c r="N1332" s="5">
        <v>18.933920000000001</v>
      </c>
      <c r="O1332" s="5" t="s">
        <v>39</v>
      </c>
      <c r="P1332" t="s">
        <v>320</v>
      </c>
      <c r="Q1332" t="s">
        <v>169</v>
      </c>
      <c r="R1332" t="s">
        <v>37</v>
      </c>
      <c r="S1332" t="s">
        <v>170</v>
      </c>
      <c r="T1332" t="s">
        <v>43</v>
      </c>
      <c r="U1332" t="s">
        <v>44</v>
      </c>
      <c r="V1332">
        <v>147</v>
      </c>
      <c r="W1332" t="s">
        <v>45</v>
      </c>
      <c r="X1332" t="s">
        <v>60</v>
      </c>
      <c r="Y1332" t="s">
        <v>171</v>
      </c>
      <c r="Z1332" t="s">
        <v>37</v>
      </c>
      <c r="AA1332" t="s">
        <v>55</v>
      </c>
      <c r="AB1332" t="s">
        <v>37</v>
      </c>
      <c r="AC1332" s="6" t="s">
        <v>37</v>
      </c>
      <c r="AD1332" s="6" t="s">
        <v>37</v>
      </c>
      <c r="AE1332" t="s">
        <v>37</v>
      </c>
      <c r="AF1332" t="s">
        <v>37</v>
      </c>
      <c r="AG1332" s="6" t="s">
        <v>37</v>
      </c>
      <c r="AH1332" t="s">
        <v>37</v>
      </c>
      <c r="AI1332" t="s">
        <v>37</v>
      </c>
      <c r="AJ1332" t="str">
        <f t="shared" si="62"/>
        <v>8BG295LIB07W4DH65R</v>
      </c>
    </row>
    <row r="1333" spans="1:36" ht="15" customHeight="1" x14ac:dyDescent="0.25">
      <c r="A1333" t="s">
        <v>36</v>
      </c>
      <c r="B1333" t="s">
        <v>37</v>
      </c>
      <c r="C1333" t="s">
        <v>37</v>
      </c>
      <c r="D1333" t="s">
        <v>38</v>
      </c>
      <c r="E1333" s="4">
        <v>8</v>
      </c>
      <c r="F1333" s="5">
        <v>1135.44</v>
      </c>
      <c r="G1333" s="5" t="s">
        <v>39</v>
      </c>
      <c r="H1333" s="5">
        <v>1895.12</v>
      </c>
      <c r="I1333" s="5" t="s">
        <v>39</v>
      </c>
      <c r="J1333" s="5">
        <v>38.604959999999998</v>
      </c>
      <c r="K1333" s="5">
        <f t="shared" si="60"/>
        <v>4.8256199999999998</v>
      </c>
      <c r="L1333" s="5">
        <f t="shared" si="61"/>
        <v>141.93</v>
      </c>
      <c r="M1333" s="5" t="s">
        <v>39</v>
      </c>
      <c r="N1333" s="5">
        <v>38.604959999999998</v>
      </c>
      <c r="O1333" s="5" t="s">
        <v>39</v>
      </c>
      <c r="P1333" t="s">
        <v>1869</v>
      </c>
      <c r="Q1333" t="s">
        <v>1870</v>
      </c>
      <c r="R1333" t="s">
        <v>37</v>
      </c>
      <c r="S1333" t="s">
        <v>1871</v>
      </c>
      <c r="T1333" t="s">
        <v>43</v>
      </c>
      <c r="U1333" t="s">
        <v>44</v>
      </c>
      <c r="V1333">
        <v>364</v>
      </c>
      <c r="W1333" t="s">
        <v>1872</v>
      </c>
      <c r="X1333" t="s">
        <v>1873</v>
      </c>
      <c r="Y1333" t="s">
        <v>1874</v>
      </c>
      <c r="Z1333" t="s">
        <v>37</v>
      </c>
      <c r="AA1333" t="s">
        <v>55</v>
      </c>
      <c r="AB1333" t="s">
        <v>37</v>
      </c>
      <c r="AC1333" s="6" t="s">
        <v>37</v>
      </c>
      <c r="AD1333" s="6" t="s">
        <v>37</v>
      </c>
      <c r="AE1333" t="s">
        <v>37</v>
      </c>
      <c r="AF1333" t="s">
        <v>37</v>
      </c>
      <c r="AG1333" s="6" t="s">
        <v>37</v>
      </c>
      <c r="AH1333" t="s">
        <v>37</v>
      </c>
      <c r="AI1333" t="s">
        <v>37</v>
      </c>
      <c r="AJ1333" t="str">
        <f t="shared" si="62"/>
        <v>4TPDM63YB07VZLMQN7</v>
      </c>
    </row>
    <row r="1334" spans="1:36" ht="15" customHeight="1" x14ac:dyDescent="0.25">
      <c r="A1334" t="s">
        <v>101</v>
      </c>
      <c r="B1334" t="s">
        <v>37</v>
      </c>
      <c r="C1334" t="s">
        <v>37</v>
      </c>
      <c r="D1334" t="s">
        <v>38</v>
      </c>
      <c r="E1334" s="4">
        <v>6</v>
      </c>
      <c r="F1334" s="5">
        <v>399.96</v>
      </c>
      <c r="G1334" s="5" t="s">
        <v>39</v>
      </c>
      <c r="H1334" s="5">
        <v>511.44</v>
      </c>
      <c r="I1334" s="5" t="s">
        <v>39</v>
      </c>
      <c r="J1334" s="5">
        <v>13.59864</v>
      </c>
      <c r="K1334" s="5">
        <f t="shared" si="60"/>
        <v>2.2664399999999998</v>
      </c>
      <c r="L1334" s="5">
        <f t="shared" si="61"/>
        <v>66.66</v>
      </c>
      <c r="M1334" s="5" t="s">
        <v>39</v>
      </c>
      <c r="N1334" s="5">
        <v>13.59864</v>
      </c>
      <c r="O1334" s="5" t="s">
        <v>39</v>
      </c>
      <c r="P1334" t="s">
        <v>120</v>
      </c>
      <c r="Q1334" t="s">
        <v>1027</v>
      </c>
      <c r="R1334" t="s">
        <v>1028</v>
      </c>
      <c r="S1334" t="s">
        <v>1029</v>
      </c>
      <c r="T1334" t="s">
        <v>43</v>
      </c>
      <c r="U1334" t="s">
        <v>44</v>
      </c>
      <c r="V1334">
        <v>147</v>
      </c>
      <c r="W1334" t="s">
        <v>45</v>
      </c>
      <c r="X1334" t="s">
        <v>53</v>
      </c>
      <c r="Y1334" t="s">
        <v>1030</v>
      </c>
      <c r="Z1334" t="s">
        <v>37</v>
      </c>
      <c r="AA1334" t="s">
        <v>55</v>
      </c>
      <c r="AB1334" t="s">
        <v>37</v>
      </c>
      <c r="AC1334" s="6" t="s">
        <v>37</v>
      </c>
      <c r="AD1334" s="6" t="s">
        <v>37</v>
      </c>
      <c r="AE1334" t="s">
        <v>37</v>
      </c>
      <c r="AF1334" t="s">
        <v>37</v>
      </c>
      <c r="AG1334" s="6" t="s">
        <v>37</v>
      </c>
      <c r="AH1334" t="s">
        <v>37</v>
      </c>
      <c r="AI1334" t="s">
        <v>37</v>
      </c>
      <c r="AJ1334" t="str">
        <f t="shared" si="62"/>
        <v>5MWU8WTDB071ZFMC9Q</v>
      </c>
    </row>
    <row r="1335" spans="1:36" ht="15" customHeight="1" x14ac:dyDescent="0.25">
      <c r="A1335" t="s">
        <v>36</v>
      </c>
      <c r="B1335" t="s">
        <v>37</v>
      </c>
      <c r="C1335" t="s">
        <v>37</v>
      </c>
      <c r="D1335" t="s">
        <v>38</v>
      </c>
      <c r="E1335" s="4">
        <v>8</v>
      </c>
      <c r="F1335" s="5">
        <v>422.08</v>
      </c>
      <c r="G1335" s="5" t="s">
        <v>39</v>
      </c>
      <c r="H1335" s="5">
        <v>681.92</v>
      </c>
      <c r="I1335" s="5" t="s">
        <v>39</v>
      </c>
      <c r="J1335" s="5">
        <v>14.350720000000001</v>
      </c>
      <c r="K1335" s="5">
        <f t="shared" si="60"/>
        <v>1.7938400000000001</v>
      </c>
      <c r="L1335" s="5">
        <f t="shared" si="61"/>
        <v>52.76</v>
      </c>
      <c r="M1335" s="5" t="s">
        <v>39</v>
      </c>
      <c r="N1335" s="5">
        <v>14.350720000000001</v>
      </c>
      <c r="O1335" s="5" t="s">
        <v>39</v>
      </c>
      <c r="P1335" t="s">
        <v>365</v>
      </c>
      <c r="Q1335" t="s">
        <v>304</v>
      </c>
      <c r="R1335" t="s">
        <v>37</v>
      </c>
      <c r="S1335" t="s">
        <v>305</v>
      </c>
      <c r="T1335" t="s">
        <v>43</v>
      </c>
      <c r="U1335" t="s">
        <v>44</v>
      </c>
      <c r="V1335">
        <v>63</v>
      </c>
      <c r="W1335" t="s">
        <v>45</v>
      </c>
      <c r="X1335" t="s">
        <v>46</v>
      </c>
      <c r="Y1335" t="s">
        <v>306</v>
      </c>
      <c r="Z1335" t="s">
        <v>37</v>
      </c>
      <c r="AA1335" t="s">
        <v>307</v>
      </c>
      <c r="AB1335" t="s">
        <v>37</v>
      </c>
      <c r="AC1335" s="6" t="s">
        <v>37</v>
      </c>
      <c r="AD1335" s="6" t="s">
        <v>37</v>
      </c>
      <c r="AE1335" t="s">
        <v>37</v>
      </c>
      <c r="AF1335" t="s">
        <v>37</v>
      </c>
      <c r="AG1335" s="6" t="s">
        <v>37</v>
      </c>
      <c r="AH1335" t="s">
        <v>37</v>
      </c>
      <c r="AI1335" t="s">
        <v>37</v>
      </c>
      <c r="AJ1335" t="str">
        <f t="shared" si="62"/>
        <v>3KYCEHVHB07W6JGH8Z</v>
      </c>
    </row>
    <row r="1336" spans="1:36" ht="15" customHeight="1" x14ac:dyDescent="0.25">
      <c r="A1336" t="s">
        <v>101</v>
      </c>
      <c r="B1336" t="s">
        <v>37</v>
      </c>
      <c r="C1336" t="s">
        <v>37</v>
      </c>
      <c r="D1336" t="s">
        <v>38</v>
      </c>
      <c r="E1336" s="4">
        <v>172</v>
      </c>
      <c r="F1336" s="5">
        <v>13968.12</v>
      </c>
      <c r="G1336" s="5" t="s">
        <v>39</v>
      </c>
      <c r="H1336" s="5">
        <v>19595.96</v>
      </c>
      <c r="I1336" s="5" t="s">
        <v>39</v>
      </c>
      <c r="J1336" s="5">
        <v>474.91608000000002</v>
      </c>
      <c r="K1336" s="5">
        <f t="shared" si="60"/>
        <v>2.7611400000000001</v>
      </c>
      <c r="L1336" s="5">
        <f t="shared" si="61"/>
        <v>81.210000000000008</v>
      </c>
      <c r="M1336" s="5" t="s">
        <v>39</v>
      </c>
      <c r="N1336" s="5">
        <v>474.91608000000002</v>
      </c>
      <c r="O1336" s="5" t="s">
        <v>39</v>
      </c>
      <c r="P1336" t="s">
        <v>274</v>
      </c>
      <c r="Q1336" t="s">
        <v>376</v>
      </c>
      <c r="R1336" t="s">
        <v>37</v>
      </c>
      <c r="S1336" t="s">
        <v>377</v>
      </c>
      <c r="T1336" t="s">
        <v>43</v>
      </c>
      <c r="U1336" t="s">
        <v>44</v>
      </c>
      <c r="V1336">
        <v>147</v>
      </c>
      <c r="W1336" t="s">
        <v>45</v>
      </c>
      <c r="X1336" t="s">
        <v>356</v>
      </c>
      <c r="Y1336" t="s">
        <v>378</v>
      </c>
      <c r="Z1336" t="s">
        <v>37</v>
      </c>
      <c r="AA1336" t="s">
        <v>55</v>
      </c>
      <c r="AB1336" t="s">
        <v>37</v>
      </c>
      <c r="AC1336" s="6" t="s">
        <v>37</v>
      </c>
      <c r="AD1336" s="6" t="s">
        <v>37</v>
      </c>
      <c r="AE1336" t="s">
        <v>37</v>
      </c>
      <c r="AF1336" t="s">
        <v>37</v>
      </c>
      <c r="AG1336" s="6" t="s">
        <v>37</v>
      </c>
      <c r="AH1336" t="s">
        <v>37</v>
      </c>
      <c r="AI1336" t="s">
        <v>37</v>
      </c>
      <c r="AJ1336" t="str">
        <f t="shared" si="62"/>
        <v>4LYATDUXB07W6HVXXN</v>
      </c>
    </row>
    <row r="1337" spans="1:36" ht="15" customHeight="1" x14ac:dyDescent="0.25">
      <c r="A1337" t="s">
        <v>96</v>
      </c>
      <c r="B1337" t="s">
        <v>37</v>
      </c>
      <c r="C1337" t="s">
        <v>37</v>
      </c>
      <c r="D1337" t="s">
        <v>38</v>
      </c>
      <c r="E1337" s="4">
        <v>20</v>
      </c>
      <c r="F1337" s="5">
        <v>1888.8</v>
      </c>
      <c r="G1337" s="5" t="s">
        <v>39</v>
      </c>
      <c r="H1337" s="5">
        <v>3780</v>
      </c>
      <c r="I1337" s="5" t="s">
        <v>39</v>
      </c>
      <c r="J1337" s="5">
        <v>64.219200000000001</v>
      </c>
      <c r="K1337" s="5">
        <f t="shared" si="60"/>
        <v>3.21096</v>
      </c>
      <c r="L1337" s="5">
        <f t="shared" si="61"/>
        <v>94.44</v>
      </c>
      <c r="M1337" s="5" t="s">
        <v>39</v>
      </c>
      <c r="N1337" s="5">
        <v>64.219200000000001</v>
      </c>
      <c r="O1337" s="5" t="s">
        <v>39</v>
      </c>
      <c r="P1337" t="s">
        <v>1875</v>
      </c>
      <c r="Q1337" t="s">
        <v>1876</v>
      </c>
      <c r="R1337" t="s">
        <v>37</v>
      </c>
      <c r="S1337" t="s">
        <v>1877</v>
      </c>
      <c r="T1337" t="s">
        <v>43</v>
      </c>
      <c r="U1337" t="s">
        <v>44</v>
      </c>
      <c r="V1337">
        <v>147</v>
      </c>
      <c r="W1337" t="s">
        <v>45</v>
      </c>
      <c r="X1337" t="s">
        <v>46</v>
      </c>
      <c r="Y1337" t="s">
        <v>1878</v>
      </c>
      <c r="Z1337" t="s">
        <v>37</v>
      </c>
      <c r="AA1337" t="s">
        <v>55</v>
      </c>
      <c r="AB1337" t="s">
        <v>37</v>
      </c>
      <c r="AC1337" s="6" t="s">
        <v>37</v>
      </c>
      <c r="AD1337" s="6" t="s">
        <v>37</v>
      </c>
      <c r="AE1337" t="s">
        <v>37</v>
      </c>
      <c r="AF1337" t="s">
        <v>37</v>
      </c>
      <c r="AG1337" s="6" t="s">
        <v>37</v>
      </c>
      <c r="AH1337" t="s">
        <v>37</v>
      </c>
      <c r="AI1337" t="s">
        <v>37</v>
      </c>
      <c r="AJ1337" t="str">
        <f t="shared" si="62"/>
        <v>2C2WXZKYB07W5JKPJN</v>
      </c>
    </row>
    <row r="1338" spans="1:36" ht="15" customHeight="1" x14ac:dyDescent="0.25">
      <c r="A1338" t="s">
        <v>76</v>
      </c>
      <c r="B1338" t="s">
        <v>37</v>
      </c>
      <c r="C1338" t="s">
        <v>37</v>
      </c>
      <c r="D1338" t="s">
        <v>38</v>
      </c>
      <c r="E1338" s="4">
        <v>76</v>
      </c>
      <c r="F1338" s="5">
        <v>4805.4799999999996</v>
      </c>
      <c r="G1338" s="5" t="s">
        <v>39</v>
      </c>
      <c r="H1338" s="5">
        <v>7413.04</v>
      </c>
      <c r="I1338" s="5" t="s">
        <v>39</v>
      </c>
      <c r="J1338" s="5">
        <v>163.38632000000001</v>
      </c>
      <c r="K1338" s="5">
        <f t="shared" si="60"/>
        <v>2.1498200000000001</v>
      </c>
      <c r="L1338" s="5">
        <f t="shared" si="61"/>
        <v>63.23</v>
      </c>
      <c r="M1338" s="5" t="s">
        <v>39</v>
      </c>
      <c r="N1338" s="5">
        <v>163.38632000000001</v>
      </c>
      <c r="O1338" s="5" t="s">
        <v>39</v>
      </c>
      <c r="P1338" t="s">
        <v>63</v>
      </c>
      <c r="Q1338" t="s">
        <v>1604</v>
      </c>
      <c r="R1338" t="s">
        <v>37</v>
      </c>
      <c r="S1338" t="s">
        <v>1605</v>
      </c>
      <c r="T1338" t="s">
        <v>43</v>
      </c>
      <c r="U1338" t="s">
        <v>44</v>
      </c>
      <c r="V1338">
        <v>147</v>
      </c>
      <c r="W1338" t="s">
        <v>45</v>
      </c>
      <c r="X1338" t="s">
        <v>60</v>
      </c>
      <c r="Y1338" t="s">
        <v>1606</v>
      </c>
      <c r="Z1338" t="s">
        <v>37</v>
      </c>
      <c r="AA1338" t="s">
        <v>1607</v>
      </c>
      <c r="AB1338" t="s">
        <v>37</v>
      </c>
      <c r="AC1338" s="6" t="s">
        <v>37</v>
      </c>
      <c r="AD1338" s="6" t="s">
        <v>37</v>
      </c>
      <c r="AE1338" t="s">
        <v>37</v>
      </c>
      <c r="AF1338" t="s">
        <v>37</v>
      </c>
      <c r="AG1338" s="6" t="s">
        <v>37</v>
      </c>
      <c r="AH1338" t="s">
        <v>37</v>
      </c>
      <c r="AI1338" t="s">
        <v>37</v>
      </c>
      <c r="AJ1338" t="str">
        <f t="shared" si="62"/>
        <v>7H9X1Z6SB07W6J6WYH</v>
      </c>
    </row>
    <row r="1339" spans="1:36" ht="15" customHeight="1" x14ac:dyDescent="0.25">
      <c r="A1339" t="s">
        <v>36</v>
      </c>
      <c r="B1339" t="s">
        <v>37</v>
      </c>
      <c r="C1339" t="s">
        <v>37</v>
      </c>
      <c r="D1339" t="s">
        <v>38</v>
      </c>
      <c r="E1339" s="4">
        <v>8</v>
      </c>
      <c r="F1339" s="5">
        <v>882.16</v>
      </c>
      <c r="G1339" s="5" t="s">
        <v>39</v>
      </c>
      <c r="H1339" s="5">
        <v>1501.6</v>
      </c>
      <c r="I1339" s="5" t="s">
        <v>39</v>
      </c>
      <c r="J1339" s="5">
        <v>29.99344</v>
      </c>
      <c r="K1339" s="5">
        <f t="shared" si="60"/>
        <v>3.74918</v>
      </c>
      <c r="L1339" s="5">
        <f t="shared" si="61"/>
        <v>110.27</v>
      </c>
      <c r="M1339" s="5" t="s">
        <v>39</v>
      </c>
      <c r="N1339" s="5">
        <v>29.99344</v>
      </c>
      <c r="O1339" s="5" t="s">
        <v>39</v>
      </c>
      <c r="P1339" t="s">
        <v>40</v>
      </c>
      <c r="Q1339" t="s">
        <v>187</v>
      </c>
      <c r="R1339" t="s">
        <v>37</v>
      </c>
      <c r="S1339" t="s">
        <v>188</v>
      </c>
      <c r="T1339" t="s">
        <v>43</v>
      </c>
      <c r="U1339" t="s">
        <v>44</v>
      </c>
      <c r="V1339">
        <v>23</v>
      </c>
      <c r="W1339" t="s">
        <v>189</v>
      </c>
      <c r="X1339" t="s">
        <v>190</v>
      </c>
      <c r="Y1339" t="s">
        <v>191</v>
      </c>
      <c r="Z1339" t="s">
        <v>37</v>
      </c>
      <c r="AA1339" t="s">
        <v>55</v>
      </c>
      <c r="AB1339" t="s">
        <v>37</v>
      </c>
      <c r="AC1339" s="6" t="s">
        <v>37</v>
      </c>
      <c r="AD1339" s="6" t="s">
        <v>37</v>
      </c>
      <c r="AE1339" t="s">
        <v>37</v>
      </c>
      <c r="AF1339" t="s">
        <v>37</v>
      </c>
      <c r="AG1339" s="6" t="s">
        <v>37</v>
      </c>
      <c r="AH1339" t="s">
        <v>37</v>
      </c>
      <c r="AI1339" t="s">
        <v>37</v>
      </c>
      <c r="AJ1339" t="str">
        <f t="shared" si="62"/>
        <v>4A3KDTEZB07W7MSGPL</v>
      </c>
    </row>
    <row r="1340" spans="1:36" ht="15" customHeight="1" x14ac:dyDescent="0.25">
      <c r="A1340" t="s">
        <v>96</v>
      </c>
      <c r="B1340" t="s">
        <v>37</v>
      </c>
      <c r="C1340" t="s">
        <v>37</v>
      </c>
      <c r="D1340" t="s">
        <v>38</v>
      </c>
      <c r="E1340" s="4">
        <v>100</v>
      </c>
      <c r="F1340" s="5">
        <v>4484</v>
      </c>
      <c r="G1340" s="5" t="s">
        <v>39</v>
      </c>
      <c r="H1340" s="5">
        <v>7212</v>
      </c>
      <c r="I1340" s="5" t="s">
        <v>39</v>
      </c>
      <c r="J1340" s="5">
        <v>152.45599999999999</v>
      </c>
      <c r="K1340" s="5">
        <f t="shared" si="60"/>
        <v>1.5245599999999999</v>
      </c>
      <c r="L1340" s="5">
        <f t="shared" si="61"/>
        <v>44.84</v>
      </c>
      <c r="M1340" s="5" t="s">
        <v>39</v>
      </c>
      <c r="N1340" s="5">
        <v>152.45599999999999</v>
      </c>
      <c r="O1340" s="5" t="s">
        <v>39</v>
      </c>
      <c r="P1340" t="s">
        <v>222</v>
      </c>
      <c r="Q1340" t="s">
        <v>1879</v>
      </c>
      <c r="R1340" t="s">
        <v>37</v>
      </c>
      <c r="S1340" t="s">
        <v>1880</v>
      </c>
      <c r="T1340" t="s">
        <v>43</v>
      </c>
      <c r="U1340" t="s">
        <v>44</v>
      </c>
      <c r="V1340">
        <v>147</v>
      </c>
      <c r="W1340" t="s">
        <v>45</v>
      </c>
      <c r="X1340" t="s">
        <v>46</v>
      </c>
      <c r="Y1340" t="s">
        <v>1881</v>
      </c>
      <c r="Z1340" t="s">
        <v>37</v>
      </c>
      <c r="AA1340" t="s">
        <v>95</v>
      </c>
      <c r="AB1340" t="s">
        <v>37</v>
      </c>
      <c r="AC1340" s="6" t="s">
        <v>37</v>
      </c>
      <c r="AD1340" s="6" t="s">
        <v>37</v>
      </c>
      <c r="AE1340" t="s">
        <v>37</v>
      </c>
      <c r="AF1340" t="s">
        <v>37</v>
      </c>
      <c r="AG1340" s="6" t="s">
        <v>37</v>
      </c>
      <c r="AH1340" t="s">
        <v>37</v>
      </c>
      <c r="AI1340" t="s">
        <v>37</v>
      </c>
      <c r="AJ1340" t="str">
        <f t="shared" si="62"/>
        <v>2F7Y5WIXB07W7LNTM5</v>
      </c>
    </row>
    <row r="1341" spans="1:36" ht="15" customHeight="1" x14ac:dyDescent="0.25">
      <c r="A1341" t="s">
        <v>36</v>
      </c>
      <c r="B1341" t="s">
        <v>37</v>
      </c>
      <c r="C1341" t="s">
        <v>37</v>
      </c>
      <c r="D1341" t="s">
        <v>38</v>
      </c>
      <c r="E1341" s="4">
        <v>1</v>
      </c>
      <c r="F1341" s="5">
        <v>34.29</v>
      </c>
      <c r="G1341" s="5" t="s">
        <v>39</v>
      </c>
      <c r="H1341" s="5">
        <v>50.81</v>
      </c>
      <c r="I1341" s="5" t="s">
        <v>39</v>
      </c>
      <c r="J1341" s="5">
        <v>1.1658599999999999</v>
      </c>
      <c r="K1341" s="5">
        <f t="shared" si="60"/>
        <v>1.1658599999999999</v>
      </c>
      <c r="L1341" s="5">
        <f t="shared" si="61"/>
        <v>34.29</v>
      </c>
      <c r="M1341" s="5" t="s">
        <v>39</v>
      </c>
      <c r="N1341" s="5">
        <v>1.1658599999999999</v>
      </c>
      <c r="O1341" s="5" t="s">
        <v>39</v>
      </c>
      <c r="P1341" t="s">
        <v>365</v>
      </c>
      <c r="Q1341" t="s">
        <v>1307</v>
      </c>
      <c r="R1341" t="s">
        <v>37</v>
      </c>
      <c r="S1341" t="s">
        <v>1308</v>
      </c>
      <c r="T1341" t="s">
        <v>43</v>
      </c>
      <c r="U1341" t="s">
        <v>44</v>
      </c>
      <c r="V1341">
        <v>147</v>
      </c>
      <c r="W1341" t="s">
        <v>45</v>
      </c>
      <c r="X1341" t="s">
        <v>46</v>
      </c>
      <c r="Y1341" t="s">
        <v>1309</v>
      </c>
      <c r="Z1341" t="s">
        <v>37</v>
      </c>
      <c r="AA1341" t="s">
        <v>55</v>
      </c>
      <c r="AB1341" t="s">
        <v>37</v>
      </c>
      <c r="AC1341" s="6" t="s">
        <v>37</v>
      </c>
      <c r="AD1341" s="6" t="s">
        <v>37</v>
      </c>
      <c r="AE1341" t="s">
        <v>37</v>
      </c>
      <c r="AF1341" t="s">
        <v>37</v>
      </c>
      <c r="AG1341" s="6" t="s">
        <v>37</v>
      </c>
      <c r="AH1341" t="s">
        <v>37</v>
      </c>
      <c r="AI1341" t="s">
        <v>37</v>
      </c>
      <c r="AJ1341" t="str">
        <f t="shared" si="62"/>
        <v>3KYCEHVHB00ZWOUH4S</v>
      </c>
    </row>
    <row r="1342" spans="1:36" ht="15" customHeight="1" x14ac:dyDescent="0.25">
      <c r="A1342" t="s">
        <v>88</v>
      </c>
      <c r="B1342" t="s">
        <v>37</v>
      </c>
      <c r="C1342" t="s">
        <v>37</v>
      </c>
      <c r="D1342" t="s">
        <v>38</v>
      </c>
      <c r="E1342" s="4">
        <v>0</v>
      </c>
      <c r="F1342" s="5">
        <v>0</v>
      </c>
      <c r="G1342" s="5" t="s">
        <v>39</v>
      </c>
      <c r="H1342" s="5">
        <v>0</v>
      </c>
      <c r="I1342" s="5" t="s">
        <v>39</v>
      </c>
      <c r="J1342" s="5">
        <v>0</v>
      </c>
      <c r="K1342" s="5" t="e">
        <f t="shared" si="60"/>
        <v>#DIV/0!</v>
      </c>
      <c r="L1342" s="5" t="e">
        <f t="shared" si="61"/>
        <v>#DIV/0!</v>
      </c>
      <c r="M1342" s="5" t="s">
        <v>39</v>
      </c>
      <c r="N1342" s="5">
        <v>0</v>
      </c>
      <c r="O1342" s="5" t="s">
        <v>39</v>
      </c>
      <c r="P1342" t="s">
        <v>365</v>
      </c>
      <c r="Q1342" t="s">
        <v>1307</v>
      </c>
      <c r="R1342" t="s">
        <v>37</v>
      </c>
      <c r="S1342" t="s">
        <v>1308</v>
      </c>
      <c r="T1342" t="s">
        <v>43</v>
      </c>
      <c r="U1342" t="s">
        <v>44</v>
      </c>
      <c r="V1342">
        <v>147</v>
      </c>
      <c r="W1342" t="s">
        <v>45</v>
      </c>
      <c r="X1342" t="s">
        <v>46</v>
      </c>
      <c r="Y1342" t="s">
        <v>1309</v>
      </c>
      <c r="Z1342" t="s">
        <v>37</v>
      </c>
      <c r="AA1342" t="s">
        <v>55</v>
      </c>
      <c r="AB1342" t="s">
        <v>37</v>
      </c>
      <c r="AC1342" s="6" t="s">
        <v>37</v>
      </c>
      <c r="AD1342" s="6" t="s">
        <v>37</v>
      </c>
      <c r="AE1342" t="s">
        <v>37</v>
      </c>
      <c r="AF1342" t="s">
        <v>37</v>
      </c>
      <c r="AG1342" s="6" t="s">
        <v>37</v>
      </c>
      <c r="AH1342" t="s">
        <v>37</v>
      </c>
      <c r="AI1342" t="s">
        <v>37</v>
      </c>
      <c r="AJ1342" t="str">
        <f t="shared" si="62"/>
        <v>3KYCEHVHB00ZWOUH4S</v>
      </c>
    </row>
    <row r="1343" spans="1:36" ht="15" customHeight="1" x14ac:dyDescent="0.25">
      <c r="A1343" t="s">
        <v>49</v>
      </c>
      <c r="B1343" t="s">
        <v>37</v>
      </c>
      <c r="C1343" t="s">
        <v>37</v>
      </c>
      <c r="D1343" t="s">
        <v>38</v>
      </c>
      <c r="E1343" s="4">
        <v>4</v>
      </c>
      <c r="F1343" s="5">
        <v>179.36</v>
      </c>
      <c r="G1343" s="5" t="s">
        <v>39</v>
      </c>
      <c r="H1343" s="5">
        <v>288.48</v>
      </c>
      <c r="I1343" s="5" t="s">
        <v>39</v>
      </c>
      <c r="J1343" s="5">
        <v>6.0982399999999997</v>
      </c>
      <c r="K1343" s="5">
        <f t="shared" si="60"/>
        <v>1.5245599999999999</v>
      </c>
      <c r="L1343" s="5">
        <f t="shared" si="61"/>
        <v>44.84</v>
      </c>
      <c r="M1343" s="5" t="s">
        <v>39</v>
      </c>
      <c r="N1343" s="5">
        <v>6.0982399999999997</v>
      </c>
      <c r="O1343" s="5" t="s">
        <v>39</v>
      </c>
      <c r="P1343" t="s">
        <v>222</v>
      </c>
      <c r="Q1343" t="s">
        <v>1879</v>
      </c>
      <c r="R1343" t="s">
        <v>37</v>
      </c>
      <c r="S1343" t="s">
        <v>1880</v>
      </c>
      <c r="T1343" t="s">
        <v>43</v>
      </c>
      <c r="U1343" t="s">
        <v>44</v>
      </c>
      <c r="V1343">
        <v>147</v>
      </c>
      <c r="W1343" t="s">
        <v>45</v>
      </c>
      <c r="X1343" t="s">
        <v>46</v>
      </c>
      <c r="Y1343" t="s">
        <v>1881</v>
      </c>
      <c r="Z1343" t="s">
        <v>37</v>
      </c>
      <c r="AA1343" t="s">
        <v>95</v>
      </c>
      <c r="AB1343" t="s">
        <v>37</v>
      </c>
      <c r="AC1343" s="6" t="s">
        <v>37</v>
      </c>
      <c r="AD1343" s="6" t="s">
        <v>37</v>
      </c>
      <c r="AE1343" t="s">
        <v>37</v>
      </c>
      <c r="AF1343" t="s">
        <v>37</v>
      </c>
      <c r="AG1343" s="6" t="s">
        <v>37</v>
      </c>
      <c r="AH1343" t="s">
        <v>37</v>
      </c>
      <c r="AI1343" t="s">
        <v>37</v>
      </c>
      <c r="AJ1343" t="str">
        <f t="shared" si="62"/>
        <v>2F7Y5WIXB07W7LNTM5</v>
      </c>
    </row>
    <row r="1344" spans="1:36" ht="15" customHeight="1" x14ac:dyDescent="0.25">
      <c r="A1344" t="s">
        <v>127</v>
      </c>
      <c r="B1344" t="s">
        <v>37</v>
      </c>
      <c r="C1344" t="s">
        <v>37</v>
      </c>
      <c r="D1344" t="s">
        <v>38</v>
      </c>
      <c r="E1344" s="4">
        <v>1</v>
      </c>
      <c r="F1344" s="5">
        <v>34.29</v>
      </c>
      <c r="G1344" s="5" t="s">
        <v>39</v>
      </c>
      <c r="H1344" s="5">
        <v>50.81</v>
      </c>
      <c r="I1344" s="5" t="s">
        <v>39</v>
      </c>
      <c r="J1344" s="5">
        <v>1.1658599999999999</v>
      </c>
      <c r="K1344" s="5">
        <f t="shared" si="60"/>
        <v>1.1658599999999999</v>
      </c>
      <c r="L1344" s="5">
        <f t="shared" si="61"/>
        <v>34.29</v>
      </c>
      <c r="M1344" s="5" t="s">
        <v>39</v>
      </c>
      <c r="N1344" s="5">
        <v>1.1658599999999999</v>
      </c>
      <c r="O1344" s="5" t="s">
        <v>39</v>
      </c>
      <c r="P1344" t="s">
        <v>365</v>
      </c>
      <c r="Q1344" t="s">
        <v>1307</v>
      </c>
      <c r="R1344" t="s">
        <v>37</v>
      </c>
      <c r="S1344" t="s">
        <v>1308</v>
      </c>
      <c r="T1344" t="s">
        <v>43</v>
      </c>
      <c r="U1344" t="s">
        <v>44</v>
      </c>
      <c r="V1344">
        <v>147</v>
      </c>
      <c r="W1344" t="s">
        <v>45</v>
      </c>
      <c r="X1344" t="s">
        <v>46</v>
      </c>
      <c r="Y1344" t="s">
        <v>1309</v>
      </c>
      <c r="Z1344" t="s">
        <v>37</v>
      </c>
      <c r="AA1344" t="s">
        <v>55</v>
      </c>
      <c r="AB1344" t="s">
        <v>37</v>
      </c>
      <c r="AC1344" s="6" t="s">
        <v>37</v>
      </c>
      <c r="AD1344" s="6" t="s">
        <v>37</v>
      </c>
      <c r="AE1344" t="s">
        <v>37</v>
      </c>
      <c r="AF1344" t="s">
        <v>37</v>
      </c>
      <c r="AG1344" s="6" t="s">
        <v>37</v>
      </c>
      <c r="AH1344" t="s">
        <v>37</v>
      </c>
      <c r="AI1344" t="s">
        <v>37</v>
      </c>
      <c r="AJ1344" t="str">
        <f t="shared" si="62"/>
        <v>3KYCEHVHB00ZWOUH4S</v>
      </c>
    </row>
    <row r="1345" spans="1:36" ht="15" customHeight="1" x14ac:dyDescent="0.25">
      <c r="A1345" t="s">
        <v>101</v>
      </c>
      <c r="B1345" t="s">
        <v>37</v>
      </c>
      <c r="C1345" t="s">
        <v>37</v>
      </c>
      <c r="D1345" t="s">
        <v>38</v>
      </c>
      <c r="E1345" s="4">
        <v>60</v>
      </c>
      <c r="F1345" s="5">
        <v>1932.6</v>
      </c>
      <c r="G1345" s="5" t="s">
        <v>39</v>
      </c>
      <c r="H1345" s="5">
        <v>2901</v>
      </c>
      <c r="I1345" s="5" t="s">
        <v>39</v>
      </c>
      <c r="J1345" s="5">
        <v>65.708399999999997</v>
      </c>
      <c r="K1345" s="5">
        <f t="shared" si="60"/>
        <v>1.09514</v>
      </c>
      <c r="L1345" s="5">
        <f t="shared" si="61"/>
        <v>32.21</v>
      </c>
      <c r="M1345" s="5" t="s">
        <v>39</v>
      </c>
      <c r="N1345" s="5">
        <v>65.708399999999997</v>
      </c>
      <c r="O1345" s="5" t="s">
        <v>39</v>
      </c>
      <c r="P1345" t="s">
        <v>102</v>
      </c>
      <c r="Q1345" t="s">
        <v>1543</v>
      </c>
      <c r="R1345" t="s">
        <v>37</v>
      </c>
      <c r="S1345" t="s">
        <v>1544</v>
      </c>
      <c r="T1345" t="s">
        <v>43</v>
      </c>
      <c r="U1345" t="s">
        <v>44</v>
      </c>
      <c r="V1345">
        <v>147</v>
      </c>
      <c r="W1345" t="s">
        <v>45</v>
      </c>
      <c r="X1345" t="s">
        <v>53</v>
      </c>
      <c r="Y1345" t="s">
        <v>1545</v>
      </c>
      <c r="Z1345" t="s">
        <v>37</v>
      </c>
      <c r="AA1345" t="s">
        <v>55</v>
      </c>
      <c r="AB1345" t="s">
        <v>37</v>
      </c>
      <c r="AC1345" s="6" t="s">
        <v>37</v>
      </c>
      <c r="AD1345" s="6" t="s">
        <v>37</v>
      </c>
      <c r="AE1345" t="s">
        <v>37</v>
      </c>
      <c r="AF1345" t="s">
        <v>37</v>
      </c>
      <c r="AG1345" s="6" t="s">
        <v>37</v>
      </c>
      <c r="AH1345" t="s">
        <v>37</v>
      </c>
      <c r="AI1345" t="s">
        <v>37</v>
      </c>
      <c r="AJ1345" t="str">
        <f t="shared" si="62"/>
        <v>2M7QFTCOB07W4DHT47</v>
      </c>
    </row>
    <row r="1346" spans="1:36" ht="15" customHeight="1" x14ac:dyDescent="0.25">
      <c r="A1346" t="s">
        <v>101</v>
      </c>
      <c r="B1346" t="s">
        <v>37</v>
      </c>
      <c r="C1346" t="s">
        <v>37</v>
      </c>
      <c r="D1346" t="s">
        <v>38</v>
      </c>
      <c r="E1346" s="4">
        <v>64</v>
      </c>
      <c r="F1346" s="5">
        <v>2061.44</v>
      </c>
      <c r="G1346" s="5" t="s">
        <v>39</v>
      </c>
      <c r="H1346" s="5">
        <v>3094.4</v>
      </c>
      <c r="I1346" s="5" t="s">
        <v>39</v>
      </c>
      <c r="J1346" s="5">
        <v>70.08896</v>
      </c>
      <c r="K1346" s="5">
        <f t="shared" si="60"/>
        <v>1.09514</v>
      </c>
      <c r="L1346" s="5">
        <f t="shared" si="61"/>
        <v>32.21</v>
      </c>
      <c r="M1346" s="5" t="s">
        <v>39</v>
      </c>
      <c r="N1346" s="5">
        <v>70.08896</v>
      </c>
      <c r="O1346" s="5" t="s">
        <v>39</v>
      </c>
      <c r="P1346" t="s">
        <v>102</v>
      </c>
      <c r="Q1346" t="s">
        <v>354</v>
      </c>
      <c r="R1346" t="s">
        <v>37</v>
      </c>
      <c r="S1346" t="s">
        <v>355</v>
      </c>
      <c r="T1346" t="s">
        <v>43</v>
      </c>
      <c r="U1346" t="s">
        <v>44</v>
      </c>
      <c r="V1346">
        <v>147</v>
      </c>
      <c r="W1346" t="s">
        <v>45</v>
      </c>
      <c r="X1346" t="s">
        <v>356</v>
      </c>
      <c r="Y1346" t="s">
        <v>357</v>
      </c>
      <c r="Z1346" t="s">
        <v>37</v>
      </c>
      <c r="AA1346" t="s">
        <v>55</v>
      </c>
      <c r="AB1346" t="s">
        <v>37</v>
      </c>
      <c r="AC1346" s="6" t="s">
        <v>37</v>
      </c>
      <c r="AD1346" s="6" t="s">
        <v>37</v>
      </c>
      <c r="AE1346" t="s">
        <v>37</v>
      </c>
      <c r="AF1346" t="s">
        <v>37</v>
      </c>
      <c r="AG1346" s="6" t="s">
        <v>37</v>
      </c>
      <c r="AH1346" t="s">
        <v>37</v>
      </c>
      <c r="AI1346" t="s">
        <v>37</v>
      </c>
      <c r="AJ1346" t="str">
        <f t="shared" si="62"/>
        <v>2M7QFTCOB07W6JM289</v>
      </c>
    </row>
    <row r="1347" spans="1:36" ht="15" customHeight="1" x14ac:dyDescent="0.25">
      <c r="A1347" t="s">
        <v>118</v>
      </c>
      <c r="B1347" t="s">
        <v>37</v>
      </c>
      <c r="C1347" t="s">
        <v>37</v>
      </c>
      <c r="D1347" t="s">
        <v>38</v>
      </c>
      <c r="E1347" s="4">
        <v>8</v>
      </c>
      <c r="F1347" s="5">
        <v>274.32</v>
      </c>
      <c r="G1347" s="5" t="s">
        <v>39</v>
      </c>
      <c r="H1347" s="5">
        <v>458.96</v>
      </c>
      <c r="I1347" s="5" t="s">
        <v>39</v>
      </c>
      <c r="J1347" s="5">
        <v>9.3268799999999992</v>
      </c>
      <c r="K1347" s="5">
        <f t="shared" ref="K1347:K1410" si="63">J1347/E1347</f>
        <v>1.1658599999999999</v>
      </c>
      <c r="L1347" s="5">
        <f t="shared" ref="L1347:L1410" si="64">F1347/E1347</f>
        <v>34.29</v>
      </c>
      <c r="M1347" s="5" t="s">
        <v>39</v>
      </c>
      <c r="N1347" s="5">
        <v>9.3268799999999992</v>
      </c>
      <c r="O1347" s="5" t="s">
        <v>39</v>
      </c>
      <c r="P1347" t="s">
        <v>141</v>
      </c>
      <c r="Q1347" t="s">
        <v>523</v>
      </c>
      <c r="R1347" t="s">
        <v>37</v>
      </c>
      <c r="S1347" t="s">
        <v>524</v>
      </c>
      <c r="T1347" t="s">
        <v>43</v>
      </c>
      <c r="U1347" t="s">
        <v>44</v>
      </c>
      <c r="V1347">
        <v>147</v>
      </c>
      <c r="W1347" t="s">
        <v>45</v>
      </c>
      <c r="X1347" t="s">
        <v>46</v>
      </c>
      <c r="Y1347" t="s">
        <v>525</v>
      </c>
      <c r="Z1347" t="s">
        <v>37</v>
      </c>
      <c r="AA1347" t="s">
        <v>48</v>
      </c>
      <c r="AB1347" t="s">
        <v>37</v>
      </c>
      <c r="AC1347" s="6" t="s">
        <v>37</v>
      </c>
      <c r="AD1347" s="6" t="s">
        <v>37</v>
      </c>
      <c r="AE1347" t="s">
        <v>37</v>
      </c>
      <c r="AF1347" t="s">
        <v>37</v>
      </c>
      <c r="AG1347" s="6" t="s">
        <v>37</v>
      </c>
      <c r="AH1347" t="s">
        <v>37</v>
      </c>
      <c r="AI1347" t="s">
        <v>37</v>
      </c>
      <c r="AJ1347" t="str">
        <f t="shared" ref="AJ1347:AJ1410" si="65">P1347&amp;Q1347</f>
        <v>56UO2L2IB00CJ5FPTA</v>
      </c>
    </row>
    <row r="1348" spans="1:36" ht="15" customHeight="1" x14ac:dyDescent="0.25">
      <c r="A1348" t="s">
        <v>71</v>
      </c>
      <c r="B1348" t="s">
        <v>37</v>
      </c>
      <c r="C1348" t="s">
        <v>37</v>
      </c>
      <c r="D1348" t="s">
        <v>38</v>
      </c>
      <c r="E1348" s="4">
        <v>4</v>
      </c>
      <c r="F1348" s="5">
        <v>301.64</v>
      </c>
      <c r="G1348" s="5" t="s">
        <v>39</v>
      </c>
      <c r="H1348" s="5">
        <v>442.6</v>
      </c>
      <c r="I1348" s="5" t="s">
        <v>39</v>
      </c>
      <c r="J1348" s="5">
        <v>10.25576</v>
      </c>
      <c r="K1348" s="5">
        <f t="shared" si="63"/>
        <v>2.5639400000000001</v>
      </c>
      <c r="L1348" s="5">
        <f t="shared" si="64"/>
        <v>75.41</v>
      </c>
      <c r="M1348" s="5" t="s">
        <v>39</v>
      </c>
      <c r="N1348" s="5">
        <v>10.25576</v>
      </c>
      <c r="O1348" s="5" t="s">
        <v>39</v>
      </c>
      <c r="P1348" t="s">
        <v>725</v>
      </c>
      <c r="Q1348" t="s">
        <v>492</v>
      </c>
      <c r="R1348" t="s">
        <v>37</v>
      </c>
      <c r="S1348" t="s">
        <v>493</v>
      </c>
      <c r="T1348" t="s">
        <v>43</v>
      </c>
      <c r="U1348" t="s">
        <v>44</v>
      </c>
      <c r="V1348">
        <v>147</v>
      </c>
      <c r="W1348" t="s">
        <v>45</v>
      </c>
      <c r="X1348" t="s">
        <v>60</v>
      </c>
      <c r="Y1348" t="s">
        <v>494</v>
      </c>
      <c r="Z1348" t="s">
        <v>37</v>
      </c>
      <c r="AA1348" t="s">
        <v>55</v>
      </c>
      <c r="AB1348" t="s">
        <v>37</v>
      </c>
      <c r="AC1348" s="6" t="s">
        <v>37</v>
      </c>
      <c r="AD1348" s="6" t="s">
        <v>37</v>
      </c>
      <c r="AE1348" t="s">
        <v>37</v>
      </c>
      <c r="AF1348" t="s">
        <v>37</v>
      </c>
      <c r="AG1348" s="6" t="s">
        <v>37</v>
      </c>
      <c r="AH1348" t="s">
        <v>37</v>
      </c>
      <c r="AI1348" t="s">
        <v>37</v>
      </c>
      <c r="AJ1348" t="str">
        <f t="shared" si="65"/>
        <v>4O4TKA6PB07W7LMCF9</v>
      </c>
    </row>
    <row r="1349" spans="1:36" ht="15" customHeight="1" x14ac:dyDescent="0.25">
      <c r="A1349" t="s">
        <v>127</v>
      </c>
      <c r="B1349" t="s">
        <v>37</v>
      </c>
      <c r="C1349" t="s">
        <v>37</v>
      </c>
      <c r="D1349" t="s">
        <v>38</v>
      </c>
      <c r="E1349" s="4">
        <v>32</v>
      </c>
      <c r="F1349" s="5">
        <v>524.48</v>
      </c>
      <c r="G1349" s="5" t="s">
        <v>39</v>
      </c>
      <c r="H1349" s="5">
        <v>786.56</v>
      </c>
      <c r="I1349" s="5" t="s">
        <v>39</v>
      </c>
      <c r="J1349" s="5">
        <v>17.832319999999999</v>
      </c>
      <c r="K1349" s="5">
        <f t="shared" si="63"/>
        <v>0.55725999999999998</v>
      </c>
      <c r="L1349" s="5">
        <f t="shared" si="64"/>
        <v>16.39</v>
      </c>
      <c r="M1349" s="5" t="s">
        <v>39</v>
      </c>
      <c r="N1349" s="5">
        <v>17.832319999999999</v>
      </c>
      <c r="O1349" s="5" t="s">
        <v>39</v>
      </c>
      <c r="P1349" t="s">
        <v>119</v>
      </c>
      <c r="Q1349" t="s">
        <v>1128</v>
      </c>
      <c r="R1349" t="s">
        <v>37</v>
      </c>
      <c r="S1349" t="s">
        <v>1129</v>
      </c>
      <c r="T1349" t="s">
        <v>43</v>
      </c>
      <c r="U1349" t="s">
        <v>44</v>
      </c>
      <c r="V1349">
        <v>147</v>
      </c>
      <c r="W1349" t="s">
        <v>45</v>
      </c>
      <c r="X1349" t="s">
        <v>53</v>
      </c>
      <c r="Y1349" t="s">
        <v>1130</v>
      </c>
      <c r="Z1349" t="s">
        <v>37</v>
      </c>
      <c r="AA1349" t="s">
        <v>55</v>
      </c>
      <c r="AB1349" t="s">
        <v>37</v>
      </c>
      <c r="AC1349" s="6" t="s">
        <v>37</v>
      </c>
      <c r="AD1349" s="6" t="s">
        <v>37</v>
      </c>
      <c r="AE1349" t="s">
        <v>37</v>
      </c>
      <c r="AF1349" t="s">
        <v>37</v>
      </c>
      <c r="AG1349" s="6" t="s">
        <v>37</v>
      </c>
      <c r="AH1349" t="s">
        <v>37</v>
      </c>
      <c r="AI1349" t="s">
        <v>37</v>
      </c>
      <c r="AJ1349" t="str">
        <f t="shared" si="65"/>
        <v>31DJDC7QB07W4DJ16Z</v>
      </c>
    </row>
    <row r="1350" spans="1:36" ht="15" customHeight="1" x14ac:dyDescent="0.25">
      <c r="A1350" t="s">
        <v>76</v>
      </c>
      <c r="B1350" t="s">
        <v>37</v>
      </c>
      <c r="C1350" t="s">
        <v>37</v>
      </c>
      <c r="D1350" t="s">
        <v>38</v>
      </c>
      <c r="E1350" s="4">
        <v>304</v>
      </c>
      <c r="F1350" s="5">
        <v>6414.4</v>
      </c>
      <c r="G1350" s="5" t="s">
        <v>39</v>
      </c>
      <c r="H1350" s="5">
        <v>10962.24</v>
      </c>
      <c r="I1350" s="5" t="s">
        <v>39</v>
      </c>
      <c r="J1350" s="5">
        <v>218.08959999999999</v>
      </c>
      <c r="K1350" s="5">
        <f t="shared" si="63"/>
        <v>0.71739999999999993</v>
      </c>
      <c r="L1350" s="5">
        <f t="shared" si="64"/>
        <v>21.099999999999998</v>
      </c>
      <c r="M1350" s="5" t="s">
        <v>39</v>
      </c>
      <c r="N1350" s="5">
        <v>218.08959999999999</v>
      </c>
      <c r="O1350" s="5" t="s">
        <v>39</v>
      </c>
      <c r="P1350" t="s">
        <v>177</v>
      </c>
      <c r="Q1350" t="s">
        <v>741</v>
      </c>
      <c r="R1350" t="s">
        <v>742</v>
      </c>
      <c r="S1350" t="s">
        <v>743</v>
      </c>
      <c r="T1350" t="s">
        <v>43</v>
      </c>
      <c r="U1350" t="s">
        <v>44</v>
      </c>
      <c r="V1350">
        <v>147</v>
      </c>
      <c r="W1350" t="s">
        <v>45</v>
      </c>
      <c r="X1350" t="s">
        <v>46</v>
      </c>
      <c r="Y1350" t="s">
        <v>744</v>
      </c>
      <c r="Z1350" t="s">
        <v>37</v>
      </c>
      <c r="AA1350" t="s">
        <v>48</v>
      </c>
      <c r="AB1350" t="s">
        <v>37</v>
      </c>
      <c r="AC1350" s="6" t="s">
        <v>37</v>
      </c>
      <c r="AD1350" s="6" t="s">
        <v>37</v>
      </c>
      <c r="AE1350" t="s">
        <v>37</v>
      </c>
      <c r="AF1350" t="s">
        <v>37</v>
      </c>
      <c r="AG1350" s="6" t="s">
        <v>37</v>
      </c>
      <c r="AH1350" t="s">
        <v>37</v>
      </c>
      <c r="AI1350" t="s">
        <v>37</v>
      </c>
      <c r="AJ1350" t="str">
        <f t="shared" si="65"/>
        <v>4F3XMHTVB00CJ5FP04</v>
      </c>
    </row>
    <row r="1351" spans="1:36" ht="15" customHeight="1" x14ac:dyDescent="0.25">
      <c r="A1351" t="s">
        <v>118</v>
      </c>
      <c r="B1351" t="s">
        <v>37</v>
      </c>
      <c r="C1351" t="s">
        <v>37</v>
      </c>
      <c r="D1351" t="s">
        <v>38</v>
      </c>
      <c r="E1351" s="4">
        <v>4</v>
      </c>
      <c r="F1351" s="5">
        <v>3056.36</v>
      </c>
      <c r="G1351" s="5" t="s">
        <v>39</v>
      </c>
      <c r="H1351" s="5">
        <v>3767.2</v>
      </c>
      <c r="I1351" s="5" t="s">
        <v>39</v>
      </c>
      <c r="J1351" s="5">
        <v>103.91624</v>
      </c>
      <c r="K1351" s="5">
        <f t="shared" si="63"/>
        <v>25.97906</v>
      </c>
      <c r="L1351" s="5">
        <f t="shared" si="64"/>
        <v>764.09</v>
      </c>
      <c r="M1351" s="5" t="s">
        <v>39</v>
      </c>
      <c r="N1351" s="5">
        <v>103.91624</v>
      </c>
      <c r="O1351" s="5" t="s">
        <v>39</v>
      </c>
      <c r="P1351" t="s">
        <v>141</v>
      </c>
      <c r="Q1351" t="s">
        <v>1338</v>
      </c>
      <c r="R1351" t="s">
        <v>37</v>
      </c>
      <c r="S1351" t="s">
        <v>1339</v>
      </c>
      <c r="T1351" t="s">
        <v>43</v>
      </c>
      <c r="U1351" t="s">
        <v>44</v>
      </c>
      <c r="V1351">
        <v>147</v>
      </c>
      <c r="W1351" t="s">
        <v>45</v>
      </c>
      <c r="X1351" t="s">
        <v>239</v>
      </c>
      <c r="Y1351" t="s">
        <v>1340</v>
      </c>
      <c r="Z1351" t="s">
        <v>37</v>
      </c>
      <c r="AA1351" t="s">
        <v>55</v>
      </c>
      <c r="AB1351" t="s">
        <v>37</v>
      </c>
      <c r="AC1351" s="6" t="s">
        <v>37</v>
      </c>
      <c r="AD1351" s="6" t="s">
        <v>37</v>
      </c>
      <c r="AE1351" t="s">
        <v>37</v>
      </c>
      <c r="AF1351" t="s">
        <v>37</v>
      </c>
      <c r="AG1351" s="6" t="s">
        <v>37</v>
      </c>
      <c r="AH1351" t="s">
        <v>37</v>
      </c>
      <c r="AI1351" t="s">
        <v>37</v>
      </c>
      <c r="AJ1351" t="str">
        <f t="shared" si="65"/>
        <v>56UO2L2IB07W4DGQC1</v>
      </c>
    </row>
    <row r="1352" spans="1:36" ht="15" customHeight="1" x14ac:dyDescent="0.25">
      <c r="A1352" t="s">
        <v>96</v>
      </c>
      <c r="B1352" t="s">
        <v>37</v>
      </c>
      <c r="C1352" t="s">
        <v>37</v>
      </c>
      <c r="D1352" t="s">
        <v>38</v>
      </c>
      <c r="E1352" s="4">
        <v>284</v>
      </c>
      <c r="F1352" s="5">
        <v>21416.44</v>
      </c>
      <c r="G1352" s="5" t="s">
        <v>39</v>
      </c>
      <c r="H1352" s="5">
        <v>31424.6</v>
      </c>
      <c r="I1352" s="5" t="s">
        <v>39</v>
      </c>
      <c r="J1352" s="5">
        <v>728.15895999999998</v>
      </c>
      <c r="K1352" s="5">
        <f t="shared" si="63"/>
        <v>2.5639400000000001</v>
      </c>
      <c r="L1352" s="5">
        <f t="shared" si="64"/>
        <v>75.41</v>
      </c>
      <c r="M1352" s="5" t="s">
        <v>39</v>
      </c>
      <c r="N1352" s="5">
        <v>728.15895999999998</v>
      </c>
      <c r="O1352" s="5" t="s">
        <v>39</v>
      </c>
      <c r="P1352" t="s">
        <v>222</v>
      </c>
      <c r="Q1352" t="s">
        <v>1263</v>
      </c>
      <c r="R1352" t="s">
        <v>37</v>
      </c>
      <c r="S1352" t="s">
        <v>1264</v>
      </c>
      <c r="T1352" t="s">
        <v>43</v>
      </c>
      <c r="U1352" t="s">
        <v>44</v>
      </c>
      <c r="V1352">
        <v>147</v>
      </c>
      <c r="W1352" t="s">
        <v>45</v>
      </c>
      <c r="X1352" t="s">
        <v>60</v>
      </c>
      <c r="Y1352" t="s">
        <v>1265</v>
      </c>
      <c r="Z1352" t="s">
        <v>37</v>
      </c>
      <c r="AA1352" t="s">
        <v>55</v>
      </c>
      <c r="AB1352" t="s">
        <v>37</v>
      </c>
      <c r="AC1352" s="6" t="s">
        <v>37</v>
      </c>
      <c r="AD1352" s="6" t="s">
        <v>37</v>
      </c>
      <c r="AE1352" t="s">
        <v>37</v>
      </c>
      <c r="AF1352" t="s">
        <v>37</v>
      </c>
      <c r="AG1352" s="6" t="s">
        <v>37</v>
      </c>
      <c r="AH1352" t="s">
        <v>37</v>
      </c>
      <c r="AI1352" t="s">
        <v>37</v>
      </c>
      <c r="AJ1352" t="str">
        <f t="shared" si="65"/>
        <v>2F7Y5WIXB07W5JJ1WH</v>
      </c>
    </row>
    <row r="1353" spans="1:36" ht="15" customHeight="1" x14ac:dyDescent="0.25">
      <c r="A1353" t="s">
        <v>96</v>
      </c>
      <c r="B1353" t="s">
        <v>37</v>
      </c>
      <c r="C1353" t="s">
        <v>37</v>
      </c>
      <c r="D1353" t="s">
        <v>38</v>
      </c>
      <c r="E1353" s="4">
        <v>40</v>
      </c>
      <c r="F1353" s="5">
        <v>374.4</v>
      </c>
      <c r="G1353" s="5" t="s">
        <v>39</v>
      </c>
      <c r="H1353" s="5">
        <v>557.20000000000005</v>
      </c>
      <c r="I1353" s="5" t="s">
        <v>39</v>
      </c>
      <c r="J1353" s="5">
        <v>12.7296</v>
      </c>
      <c r="K1353" s="5">
        <f t="shared" si="63"/>
        <v>0.31823999999999997</v>
      </c>
      <c r="L1353" s="5">
        <f t="shared" si="64"/>
        <v>9.36</v>
      </c>
      <c r="M1353" s="5" t="s">
        <v>39</v>
      </c>
      <c r="N1353" s="5">
        <v>12.7296</v>
      </c>
      <c r="O1353" s="5" t="s">
        <v>39</v>
      </c>
      <c r="P1353" t="s">
        <v>969</v>
      </c>
      <c r="Q1353" t="s">
        <v>182</v>
      </c>
      <c r="R1353" t="s">
        <v>183</v>
      </c>
      <c r="S1353" t="s">
        <v>184</v>
      </c>
      <c r="T1353" t="s">
        <v>43</v>
      </c>
      <c r="U1353" t="s">
        <v>44</v>
      </c>
      <c r="V1353">
        <v>147</v>
      </c>
      <c r="W1353" t="s">
        <v>45</v>
      </c>
      <c r="X1353" t="s">
        <v>53</v>
      </c>
      <c r="Y1353" t="s">
        <v>185</v>
      </c>
      <c r="Z1353" t="s">
        <v>37</v>
      </c>
      <c r="AA1353" t="s">
        <v>48</v>
      </c>
      <c r="AB1353" t="s">
        <v>37</v>
      </c>
      <c r="AC1353" s="6" t="s">
        <v>37</v>
      </c>
      <c r="AD1353" s="6" t="s">
        <v>37</v>
      </c>
      <c r="AE1353" t="s">
        <v>37</v>
      </c>
      <c r="AF1353" t="s">
        <v>37</v>
      </c>
      <c r="AG1353" s="6" t="s">
        <v>37</v>
      </c>
      <c r="AH1353" t="s">
        <v>37</v>
      </c>
      <c r="AI1353" t="s">
        <v>37</v>
      </c>
      <c r="AJ1353" t="str">
        <f t="shared" si="65"/>
        <v>1VBBCE3CB01A9HC69G</v>
      </c>
    </row>
    <row r="1354" spans="1:36" ht="15" customHeight="1" x14ac:dyDescent="0.25">
      <c r="A1354" t="s">
        <v>221</v>
      </c>
      <c r="B1354" t="s">
        <v>37</v>
      </c>
      <c r="C1354" t="s">
        <v>37</v>
      </c>
      <c r="D1354" t="s">
        <v>38</v>
      </c>
      <c r="E1354" s="4">
        <v>28</v>
      </c>
      <c r="F1354" s="5">
        <v>1034.04</v>
      </c>
      <c r="G1354" s="5" t="s">
        <v>39</v>
      </c>
      <c r="H1354" s="5">
        <v>1721.16</v>
      </c>
      <c r="I1354" s="5" t="s">
        <v>39</v>
      </c>
      <c r="J1354" s="5">
        <v>35.157359999999997</v>
      </c>
      <c r="K1354" s="5">
        <f t="shared" si="63"/>
        <v>1.25562</v>
      </c>
      <c r="L1354" s="5">
        <f t="shared" si="64"/>
        <v>36.93</v>
      </c>
      <c r="M1354" s="5" t="s">
        <v>39</v>
      </c>
      <c r="N1354" s="5">
        <v>35.157359999999997</v>
      </c>
      <c r="O1354" s="5" t="s">
        <v>39</v>
      </c>
      <c r="P1354" t="s">
        <v>320</v>
      </c>
      <c r="Q1354" t="s">
        <v>908</v>
      </c>
      <c r="R1354" t="s">
        <v>909</v>
      </c>
      <c r="S1354" t="s">
        <v>910</v>
      </c>
      <c r="T1354" t="s">
        <v>43</v>
      </c>
      <c r="U1354" t="s">
        <v>44</v>
      </c>
      <c r="V1354">
        <v>147</v>
      </c>
      <c r="W1354" t="s">
        <v>45</v>
      </c>
      <c r="X1354" t="s">
        <v>46</v>
      </c>
      <c r="Y1354" t="s">
        <v>268</v>
      </c>
      <c r="Z1354" t="s">
        <v>37</v>
      </c>
      <c r="AA1354" t="s">
        <v>55</v>
      </c>
      <c r="AB1354" t="s">
        <v>37</v>
      </c>
      <c r="AC1354" s="6" t="s">
        <v>37</v>
      </c>
      <c r="AD1354" s="6" t="s">
        <v>37</v>
      </c>
      <c r="AE1354" t="s">
        <v>37</v>
      </c>
      <c r="AF1354" t="s">
        <v>37</v>
      </c>
      <c r="AG1354" s="6" t="s">
        <v>37</v>
      </c>
      <c r="AH1354" t="s">
        <v>37</v>
      </c>
      <c r="AI1354" t="s">
        <v>37</v>
      </c>
      <c r="AJ1354" t="str">
        <f t="shared" si="65"/>
        <v>8BG295LIB07CGPZ3ZQ</v>
      </c>
    </row>
    <row r="1355" spans="1:36" ht="15" customHeight="1" x14ac:dyDescent="0.25">
      <c r="A1355" t="s">
        <v>76</v>
      </c>
      <c r="B1355" t="s">
        <v>37</v>
      </c>
      <c r="C1355" t="s">
        <v>37</v>
      </c>
      <c r="D1355" t="s">
        <v>38</v>
      </c>
      <c r="E1355" s="4">
        <v>4</v>
      </c>
      <c r="F1355" s="5">
        <v>147.72</v>
      </c>
      <c r="G1355" s="5" t="s">
        <v>39</v>
      </c>
      <c r="H1355" s="5">
        <v>245.88</v>
      </c>
      <c r="I1355" s="5" t="s">
        <v>39</v>
      </c>
      <c r="J1355" s="5">
        <v>5.0224799999999998</v>
      </c>
      <c r="K1355" s="5">
        <f t="shared" si="63"/>
        <v>1.25562</v>
      </c>
      <c r="L1355" s="5">
        <f t="shared" si="64"/>
        <v>36.93</v>
      </c>
      <c r="M1355" s="5" t="s">
        <v>39</v>
      </c>
      <c r="N1355" s="5">
        <v>5.0224799999999998</v>
      </c>
      <c r="O1355" s="5" t="s">
        <v>39</v>
      </c>
      <c r="P1355" t="s">
        <v>320</v>
      </c>
      <c r="Q1355" t="s">
        <v>908</v>
      </c>
      <c r="R1355" t="s">
        <v>909</v>
      </c>
      <c r="S1355" t="s">
        <v>910</v>
      </c>
      <c r="T1355" t="s">
        <v>43</v>
      </c>
      <c r="U1355" t="s">
        <v>44</v>
      </c>
      <c r="V1355">
        <v>147</v>
      </c>
      <c r="W1355" t="s">
        <v>45</v>
      </c>
      <c r="X1355" t="s">
        <v>46</v>
      </c>
      <c r="Y1355" t="s">
        <v>268</v>
      </c>
      <c r="Z1355" t="s">
        <v>37</v>
      </c>
      <c r="AA1355" t="s">
        <v>55</v>
      </c>
      <c r="AB1355" t="s">
        <v>37</v>
      </c>
      <c r="AC1355" s="6" t="s">
        <v>37</v>
      </c>
      <c r="AD1355" s="6" t="s">
        <v>37</v>
      </c>
      <c r="AE1355" t="s">
        <v>37</v>
      </c>
      <c r="AF1355" t="s">
        <v>37</v>
      </c>
      <c r="AG1355" s="6" t="s">
        <v>37</v>
      </c>
      <c r="AH1355" t="s">
        <v>37</v>
      </c>
      <c r="AI1355" t="s">
        <v>37</v>
      </c>
      <c r="AJ1355" t="str">
        <f t="shared" si="65"/>
        <v>8BG295LIB07CGPZ3ZQ</v>
      </c>
    </row>
    <row r="1356" spans="1:36" ht="15" customHeight="1" x14ac:dyDescent="0.25">
      <c r="A1356" t="s">
        <v>49</v>
      </c>
      <c r="B1356" t="s">
        <v>37</v>
      </c>
      <c r="C1356" t="s">
        <v>37</v>
      </c>
      <c r="D1356" t="s">
        <v>38</v>
      </c>
      <c r="E1356" s="4">
        <v>16</v>
      </c>
      <c r="F1356" s="5">
        <v>1206.56</v>
      </c>
      <c r="G1356" s="5" t="s">
        <v>39</v>
      </c>
      <c r="H1356" s="5">
        <v>1770.4</v>
      </c>
      <c r="I1356" s="5" t="s">
        <v>39</v>
      </c>
      <c r="J1356" s="5">
        <v>41.023040000000002</v>
      </c>
      <c r="K1356" s="5">
        <f t="shared" si="63"/>
        <v>2.5639400000000001</v>
      </c>
      <c r="L1356" s="5">
        <f t="shared" si="64"/>
        <v>75.41</v>
      </c>
      <c r="M1356" s="5" t="s">
        <v>39</v>
      </c>
      <c r="N1356" s="5">
        <v>41.023040000000002</v>
      </c>
      <c r="O1356" s="5" t="s">
        <v>39</v>
      </c>
      <c r="P1356" t="s">
        <v>222</v>
      </c>
      <c r="Q1356" t="s">
        <v>1263</v>
      </c>
      <c r="R1356" t="s">
        <v>37</v>
      </c>
      <c r="S1356" t="s">
        <v>1264</v>
      </c>
      <c r="T1356" t="s">
        <v>43</v>
      </c>
      <c r="U1356" t="s">
        <v>44</v>
      </c>
      <c r="V1356">
        <v>147</v>
      </c>
      <c r="W1356" t="s">
        <v>45</v>
      </c>
      <c r="X1356" t="s">
        <v>60</v>
      </c>
      <c r="Y1356" t="s">
        <v>1265</v>
      </c>
      <c r="Z1356" t="s">
        <v>37</v>
      </c>
      <c r="AA1356" t="s">
        <v>55</v>
      </c>
      <c r="AB1356" t="s">
        <v>37</v>
      </c>
      <c r="AC1356" s="6" t="s">
        <v>37</v>
      </c>
      <c r="AD1356" s="6" t="s">
        <v>37</v>
      </c>
      <c r="AE1356" t="s">
        <v>37</v>
      </c>
      <c r="AF1356" t="s">
        <v>37</v>
      </c>
      <c r="AG1356" s="6" t="s">
        <v>37</v>
      </c>
      <c r="AH1356" t="s">
        <v>37</v>
      </c>
      <c r="AI1356" t="s">
        <v>37</v>
      </c>
      <c r="AJ1356" t="str">
        <f t="shared" si="65"/>
        <v>2F7Y5WIXB07W5JJ1WH</v>
      </c>
    </row>
    <row r="1357" spans="1:36" ht="15" customHeight="1" x14ac:dyDescent="0.25">
      <c r="A1357" t="s">
        <v>49</v>
      </c>
      <c r="B1357" t="s">
        <v>37</v>
      </c>
      <c r="C1357" t="s">
        <v>37</v>
      </c>
      <c r="D1357" t="s">
        <v>38</v>
      </c>
      <c r="E1357" s="4">
        <v>0</v>
      </c>
      <c r="F1357" s="5">
        <v>0</v>
      </c>
      <c r="G1357" s="5" t="s">
        <v>39</v>
      </c>
      <c r="H1357" s="5">
        <v>0</v>
      </c>
      <c r="I1357" s="5" t="s">
        <v>39</v>
      </c>
      <c r="J1357" s="5">
        <v>0</v>
      </c>
      <c r="K1357" s="5" t="e">
        <f t="shared" si="63"/>
        <v>#DIV/0!</v>
      </c>
      <c r="L1357" s="5" t="e">
        <f t="shared" si="64"/>
        <v>#DIV/0!</v>
      </c>
      <c r="M1357" s="5" t="s">
        <v>39</v>
      </c>
      <c r="N1357" s="5">
        <v>0</v>
      </c>
      <c r="O1357" s="5" t="s">
        <v>39</v>
      </c>
      <c r="P1357" t="s">
        <v>969</v>
      </c>
      <c r="Q1357" t="s">
        <v>182</v>
      </c>
      <c r="R1357" t="s">
        <v>183</v>
      </c>
      <c r="S1357" t="s">
        <v>184</v>
      </c>
      <c r="T1357" t="s">
        <v>43</v>
      </c>
      <c r="U1357" t="s">
        <v>44</v>
      </c>
      <c r="V1357">
        <v>147</v>
      </c>
      <c r="W1357" t="s">
        <v>45</v>
      </c>
      <c r="X1357" t="s">
        <v>53</v>
      </c>
      <c r="Y1357" t="s">
        <v>185</v>
      </c>
      <c r="Z1357" t="s">
        <v>37</v>
      </c>
      <c r="AA1357" t="s">
        <v>48</v>
      </c>
      <c r="AB1357" t="s">
        <v>37</v>
      </c>
      <c r="AC1357" s="6" t="s">
        <v>37</v>
      </c>
      <c r="AD1357" s="6" t="s">
        <v>37</v>
      </c>
      <c r="AE1357" t="s">
        <v>37</v>
      </c>
      <c r="AF1357" t="s">
        <v>37</v>
      </c>
      <c r="AG1357" s="6" t="s">
        <v>37</v>
      </c>
      <c r="AH1357" t="s">
        <v>37</v>
      </c>
      <c r="AI1357" t="s">
        <v>37</v>
      </c>
      <c r="AJ1357" t="str">
        <f t="shared" si="65"/>
        <v>1VBBCE3CB01A9HC69G</v>
      </c>
    </row>
    <row r="1358" spans="1:36" ht="15" customHeight="1" x14ac:dyDescent="0.25">
      <c r="A1358" t="s">
        <v>647</v>
      </c>
      <c r="B1358" t="s">
        <v>37</v>
      </c>
      <c r="C1358" t="s">
        <v>37</v>
      </c>
      <c r="D1358" t="s">
        <v>38</v>
      </c>
      <c r="E1358" s="4">
        <v>0</v>
      </c>
      <c r="F1358" s="5">
        <v>0</v>
      </c>
      <c r="G1358" s="5" t="s">
        <v>39</v>
      </c>
      <c r="H1358" s="5">
        <v>0</v>
      </c>
      <c r="I1358" s="5" t="s">
        <v>39</v>
      </c>
      <c r="J1358" s="5">
        <v>0</v>
      </c>
      <c r="K1358" s="5" t="e">
        <f t="shared" si="63"/>
        <v>#DIV/0!</v>
      </c>
      <c r="L1358" s="5" t="e">
        <f t="shared" si="64"/>
        <v>#DIV/0!</v>
      </c>
      <c r="M1358" s="5" t="s">
        <v>39</v>
      </c>
      <c r="N1358" s="5">
        <v>0</v>
      </c>
      <c r="O1358" s="5" t="s">
        <v>39</v>
      </c>
      <c r="P1358" t="s">
        <v>365</v>
      </c>
      <c r="Q1358" t="s">
        <v>1307</v>
      </c>
      <c r="R1358" t="s">
        <v>37</v>
      </c>
      <c r="S1358" t="s">
        <v>1308</v>
      </c>
      <c r="T1358" t="s">
        <v>43</v>
      </c>
      <c r="U1358" t="s">
        <v>44</v>
      </c>
      <c r="V1358">
        <v>147</v>
      </c>
      <c r="W1358" t="s">
        <v>45</v>
      </c>
      <c r="X1358" t="s">
        <v>46</v>
      </c>
      <c r="Y1358" t="s">
        <v>1309</v>
      </c>
      <c r="Z1358" t="s">
        <v>37</v>
      </c>
      <c r="AA1358" t="s">
        <v>55</v>
      </c>
      <c r="AB1358" t="s">
        <v>37</v>
      </c>
      <c r="AC1358" s="6" t="s">
        <v>37</v>
      </c>
      <c r="AD1358" s="6" t="s">
        <v>37</v>
      </c>
      <c r="AE1358" t="s">
        <v>37</v>
      </c>
      <c r="AF1358" t="s">
        <v>37</v>
      </c>
      <c r="AG1358" s="6" t="s">
        <v>37</v>
      </c>
      <c r="AH1358" t="s">
        <v>37</v>
      </c>
      <c r="AI1358" t="s">
        <v>37</v>
      </c>
      <c r="AJ1358" t="str">
        <f t="shared" si="65"/>
        <v>3KYCEHVHB00ZWOUH4S</v>
      </c>
    </row>
    <row r="1359" spans="1:36" ht="15" customHeight="1" x14ac:dyDescent="0.25">
      <c r="A1359" t="s">
        <v>36</v>
      </c>
      <c r="B1359" t="s">
        <v>37</v>
      </c>
      <c r="C1359" t="s">
        <v>37</v>
      </c>
      <c r="D1359" t="s">
        <v>38</v>
      </c>
      <c r="E1359" s="4">
        <v>40</v>
      </c>
      <c r="F1359" s="5">
        <v>1624</v>
      </c>
      <c r="G1359" s="5" t="s">
        <v>39</v>
      </c>
      <c r="H1359" s="5">
        <v>2360.4</v>
      </c>
      <c r="I1359" s="5" t="s">
        <v>39</v>
      </c>
      <c r="J1359" s="5">
        <v>55.216000000000001</v>
      </c>
      <c r="K1359" s="5">
        <f t="shared" si="63"/>
        <v>1.3804000000000001</v>
      </c>
      <c r="L1359" s="5">
        <f t="shared" si="64"/>
        <v>40.6</v>
      </c>
      <c r="M1359" s="5" t="s">
        <v>39</v>
      </c>
      <c r="N1359" s="5">
        <v>55.216000000000001</v>
      </c>
      <c r="O1359" s="5" t="s">
        <v>39</v>
      </c>
      <c r="P1359" t="s">
        <v>119</v>
      </c>
      <c r="Q1359" t="s">
        <v>313</v>
      </c>
      <c r="R1359" t="s">
        <v>37</v>
      </c>
      <c r="S1359" t="s">
        <v>314</v>
      </c>
      <c r="T1359" t="s">
        <v>43</v>
      </c>
      <c r="U1359" t="s">
        <v>44</v>
      </c>
      <c r="V1359">
        <v>147</v>
      </c>
      <c r="W1359" t="s">
        <v>45</v>
      </c>
      <c r="X1359" t="s">
        <v>60</v>
      </c>
      <c r="Y1359" t="s">
        <v>315</v>
      </c>
      <c r="Z1359" t="s">
        <v>37</v>
      </c>
      <c r="AA1359" t="s">
        <v>55</v>
      </c>
      <c r="AB1359" t="s">
        <v>37</v>
      </c>
      <c r="AC1359" s="6" t="s">
        <v>37</v>
      </c>
      <c r="AD1359" s="6" t="s">
        <v>37</v>
      </c>
      <c r="AE1359" t="s">
        <v>37</v>
      </c>
      <c r="AF1359" t="s">
        <v>37</v>
      </c>
      <c r="AG1359" s="6" t="s">
        <v>37</v>
      </c>
      <c r="AH1359" t="s">
        <v>37</v>
      </c>
      <c r="AI1359" t="s">
        <v>37</v>
      </c>
      <c r="AJ1359" t="str">
        <f t="shared" si="65"/>
        <v>31DJDC7QB07W7LNRN6</v>
      </c>
    </row>
    <row r="1360" spans="1:36" ht="15" customHeight="1" x14ac:dyDescent="0.25">
      <c r="A1360" t="s">
        <v>96</v>
      </c>
      <c r="B1360" t="s">
        <v>37</v>
      </c>
      <c r="C1360" t="s">
        <v>37</v>
      </c>
      <c r="D1360" t="s">
        <v>38</v>
      </c>
      <c r="E1360" s="4">
        <v>50</v>
      </c>
      <c r="F1360" s="5">
        <v>263</v>
      </c>
      <c r="G1360" s="5" t="s">
        <v>39</v>
      </c>
      <c r="H1360" s="5">
        <v>573.5</v>
      </c>
      <c r="I1360" s="5" t="s">
        <v>39</v>
      </c>
      <c r="J1360" s="5">
        <v>8.9420000000000002</v>
      </c>
      <c r="K1360" s="5">
        <f t="shared" si="63"/>
        <v>0.17884</v>
      </c>
      <c r="L1360" s="5">
        <f t="shared" si="64"/>
        <v>5.26</v>
      </c>
      <c r="M1360" s="5" t="s">
        <v>39</v>
      </c>
      <c r="N1360" s="5">
        <v>8.9420000000000002</v>
      </c>
      <c r="O1360" s="5" t="s">
        <v>39</v>
      </c>
      <c r="P1360" t="s">
        <v>1882</v>
      </c>
      <c r="Q1360" t="s">
        <v>1774</v>
      </c>
      <c r="R1360" t="s">
        <v>37</v>
      </c>
      <c r="S1360" t="s">
        <v>1775</v>
      </c>
      <c r="T1360" t="s">
        <v>43</v>
      </c>
      <c r="U1360" t="s">
        <v>44</v>
      </c>
      <c r="V1360">
        <v>147</v>
      </c>
      <c r="W1360" t="s">
        <v>45</v>
      </c>
      <c r="X1360" t="s">
        <v>46</v>
      </c>
      <c r="Y1360" t="s">
        <v>1776</v>
      </c>
      <c r="Z1360" t="s">
        <v>37</v>
      </c>
      <c r="AA1360" t="s">
        <v>55</v>
      </c>
      <c r="AB1360" t="s">
        <v>37</v>
      </c>
      <c r="AC1360" s="6" t="s">
        <v>37</v>
      </c>
      <c r="AD1360" s="6" t="s">
        <v>37</v>
      </c>
      <c r="AE1360" t="s">
        <v>37</v>
      </c>
      <c r="AF1360" t="s">
        <v>37</v>
      </c>
      <c r="AG1360" s="6" t="s">
        <v>37</v>
      </c>
      <c r="AH1360" t="s">
        <v>37</v>
      </c>
      <c r="AI1360" t="s">
        <v>37</v>
      </c>
      <c r="AJ1360" t="str">
        <f t="shared" si="65"/>
        <v>48JXYHTNB07W7LTQ4B</v>
      </c>
    </row>
    <row r="1361" spans="1:36" ht="15" customHeight="1" x14ac:dyDescent="0.25">
      <c r="A1361" t="s">
        <v>118</v>
      </c>
      <c r="B1361" t="s">
        <v>37</v>
      </c>
      <c r="C1361" t="s">
        <v>37</v>
      </c>
      <c r="D1361" t="s">
        <v>38</v>
      </c>
      <c r="E1361" s="4">
        <v>30</v>
      </c>
      <c r="F1361" s="5">
        <v>315.89999999999998</v>
      </c>
      <c r="G1361" s="5" t="s">
        <v>39</v>
      </c>
      <c r="H1361" s="5">
        <v>491.7</v>
      </c>
      <c r="I1361" s="5" t="s">
        <v>39</v>
      </c>
      <c r="J1361" s="5">
        <v>10.740600000000001</v>
      </c>
      <c r="K1361" s="5">
        <f t="shared" si="63"/>
        <v>0.35802</v>
      </c>
      <c r="L1361" s="5">
        <f t="shared" si="64"/>
        <v>10.53</v>
      </c>
      <c r="M1361" s="5" t="s">
        <v>39</v>
      </c>
      <c r="N1361" s="5">
        <v>10.740600000000001</v>
      </c>
      <c r="O1361" s="5" t="s">
        <v>39</v>
      </c>
      <c r="P1361" t="s">
        <v>154</v>
      </c>
      <c r="Q1361" t="s">
        <v>1883</v>
      </c>
      <c r="R1361" t="s">
        <v>37</v>
      </c>
      <c r="S1361" t="s">
        <v>1884</v>
      </c>
      <c r="T1361" t="s">
        <v>43</v>
      </c>
      <c r="U1361" t="s">
        <v>44</v>
      </c>
      <c r="V1361">
        <v>147</v>
      </c>
      <c r="W1361" t="s">
        <v>45</v>
      </c>
      <c r="X1361" t="s">
        <v>60</v>
      </c>
      <c r="Y1361" t="s">
        <v>1885</v>
      </c>
      <c r="Z1361" t="s">
        <v>37</v>
      </c>
      <c r="AA1361" t="s">
        <v>55</v>
      </c>
      <c r="AB1361" t="s">
        <v>37</v>
      </c>
      <c r="AC1361" s="6" t="s">
        <v>37</v>
      </c>
      <c r="AD1361" s="6" t="s">
        <v>37</v>
      </c>
      <c r="AE1361" t="s">
        <v>37</v>
      </c>
      <c r="AF1361" t="s">
        <v>37</v>
      </c>
      <c r="AG1361" s="6" t="s">
        <v>37</v>
      </c>
      <c r="AH1361" t="s">
        <v>37</v>
      </c>
      <c r="AI1361" t="s">
        <v>37</v>
      </c>
      <c r="AJ1361" t="str">
        <f t="shared" si="65"/>
        <v>1KW92RHQB0041U9CYU</v>
      </c>
    </row>
    <row r="1362" spans="1:36" ht="15" customHeight="1" x14ac:dyDescent="0.25">
      <c r="A1362" t="s">
        <v>96</v>
      </c>
      <c r="B1362" t="s">
        <v>37</v>
      </c>
      <c r="C1362" t="s">
        <v>37</v>
      </c>
      <c r="D1362" t="s">
        <v>38</v>
      </c>
      <c r="E1362" s="4">
        <v>8</v>
      </c>
      <c r="F1362" s="5">
        <v>598.72</v>
      </c>
      <c r="G1362" s="5" t="s">
        <v>39</v>
      </c>
      <c r="H1362" s="5">
        <v>911.44</v>
      </c>
      <c r="I1362" s="5" t="s">
        <v>39</v>
      </c>
      <c r="J1362" s="5">
        <v>20.356480000000001</v>
      </c>
      <c r="K1362" s="5">
        <f t="shared" si="63"/>
        <v>2.5445600000000002</v>
      </c>
      <c r="L1362" s="5">
        <f t="shared" si="64"/>
        <v>74.84</v>
      </c>
      <c r="M1362" s="5" t="s">
        <v>39</v>
      </c>
      <c r="N1362" s="5">
        <v>20.356480000000001</v>
      </c>
      <c r="O1362" s="5" t="s">
        <v>39</v>
      </c>
      <c r="P1362" t="s">
        <v>97</v>
      </c>
      <c r="Q1362" t="s">
        <v>1705</v>
      </c>
      <c r="R1362" t="s">
        <v>37</v>
      </c>
      <c r="S1362" t="s">
        <v>1706</v>
      </c>
      <c r="T1362" t="s">
        <v>43</v>
      </c>
      <c r="U1362" t="s">
        <v>44</v>
      </c>
      <c r="V1362">
        <v>147</v>
      </c>
      <c r="W1362" t="s">
        <v>45</v>
      </c>
      <c r="X1362" t="s">
        <v>46</v>
      </c>
      <c r="Y1362" t="s">
        <v>1707</v>
      </c>
      <c r="Z1362" t="s">
        <v>37</v>
      </c>
      <c r="AA1362" t="s">
        <v>95</v>
      </c>
      <c r="AB1362" t="s">
        <v>37</v>
      </c>
      <c r="AC1362" s="6" t="s">
        <v>37</v>
      </c>
      <c r="AD1362" s="6" t="s">
        <v>37</v>
      </c>
      <c r="AE1362" t="s">
        <v>37</v>
      </c>
      <c r="AF1362" t="s">
        <v>37</v>
      </c>
      <c r="AG1362" s="6" t="s">
        <v>37</v>
      </c>
      <c r="AH1362" t="s">
        <v>37</v>
      </c>
      <c r="AI1362" t="s">
        <v>37</v>
      </c>
      <c r="AJ1362" t="str">
        <f t="shared" si="65"/>
        <v>7EMS2FPGB07W6JPVP3</v>
      </c>
    </row>
    <row r="1363" spans="1:36" ht="15" customHeight="1" x14ac:dyDescent="0.25">
      <c r="A1363" t="s">
        <v>36</v>
      </c>
      <c r="B1363" t="s">
        <v>37</v>
      </c>
      <c r="C1363" t="s">
        <v>37</v>
      </c>
      <c r="D1363" t="s">
        <v>38</v>
      </c>
      <c r="E1363" s="4">
        <v>4</v>
      </c>
      <c r="F1363" s="5">
        <v>257.68</v>
      </c>
      <c r="G1363" s="5" t="s">
        <v>39</v>
      </c>
      <c r="H1363" s="5">
        <v>377</v>
      </c>
      <c r="I1363" s="5" t="s">
        <v>39</v>
      </c>
      <c r="J1363" s="5">
        <v>8.76112</v>
      </c>
      <c r="K1363" s="5">
        <f t="shared" si="63"/>
        <v>2.19028</v>
      </c>
      <c r="L1363" s="5">
        <f t="shared" si="64"/>
        <v>64.42</v>
      </c>
      <c r="M1363" s="5" t="s">
        <v>39</v>
      </c>
      <c r="N1363" s="5">
        <v>8.76112</v>
      </c>
      <c r="O1363" s="5" t="s">
        <v>39</v>
      </c>
      <c r="P1363" t="s">
        <v>246</v>
      </c>
      <c r="Q1363" t="s">
        <v>58</v>
      </c>
      <c r="R1363" t="s">
        <v>37</v>
      </c>
      <c r="S1363" t="s">
        <v>59</v>
      </c>
      <c r="T1363" t="s">
        <v>43</v>
      </c>
      <c r="U1363" t="s">
        <v>44</v>
      </c>
      <c r="V1363">
        <v>147</v>
      </c>
      <c r="W1363" t="s">
        <v>45</v>
      </c>
      <c r="X1363" t="s">
        <v>60</v>
      </c>
      <c r="Y1363" t="s">
        <v>61</v>
      </c>
      <c r="Z1363" t="s">
        <v>37</v>
      </c>
      <c r="AA1363" t="s">
        <v>55</v>
      </c>
      <c r="AB1363" t="s">
        <v>37</v>
      </c>
      <c r="AC1363" s="6" t="s">
        <v>37</v>
      </c>
      <c r="AD1363" s="6" t="s">
        <v>37</v>
      </c>
      <c r="AE1363" t="s">
        <v>37</v>
      </c>
      <c r="AF1363" t="s">
        <v>37</v>
      </c>
      <c r="AG1363" s="6" t="s">
        <v>37</v>
      </c>
      <c r="AH1363" t="s">
        <v>37</v>
      </c>
      <c r="AI1363" t="s">
        <v>37</v>
      </c>
      <c r="AJ1363" t="str">
        <f t="shared" si="65"/>
        <v>1PSIXGLTB0055ZWOZ4</v>
      </c>
    </row>
    <row r="1364" spans="1:36" ht="15" customHeight="1" x14ac:dyDescent="0.25">
      <c r="A1364" t="s">
        <v>76</v>
      </c>
      <c r="B1364" t="s">
        <v>37</v>
      </c>
      <c r="C1364" t="s">
        <v>37</v>
      </c>
      <c r="D1364" t="s">
        <v>38</v>
      </c>
      <c r="E1364" s="4">
        <v>12</v>
      </c>
      <c r="F1364" s="5">
        <v>835.32</v>
      </c>
      <c r="G1364" s="5" t="s">
        <v>39</v>
      </c>
      <c r="H1364" s="5">
        <v>983.52</v>
      </c>
      <c r="I1364" s="5" t="s">
        <v>39</v>
      </c>
      <c r="J1364" s="5">
        <v>28.400880000000001</v>
      </c>
      <c r="K1364" s="5">
        <f t="shared" si="63"/>
        <v>2.3667400000000001</v>
      </c>
      <c r="L1364" s="5">
        <f t="shared" si="64"/>
        <v>69.61</v>
      </c>
      <c r="M1364" s="5" t="s">
        <v>39</v>
      </c>
      <c r="N1364" s="5">
        <v>28.400880000000001</v>
      </c>
      <c r="O1364" s="5" t="s">
        <v>39</v>
      </c>
      <c r="P1364" t="s">
        <v>1886</v>
      </c>
      <c r="Q1364" t="s">
        <v>786</v>
      </c>
      <c r="R1364" t="s">
        <v>787</v>
      </c>
      <c r="S1364" t="s">
        <v>788</v>
      </c>
      <c r="T1364" t="s">
        <v>43</v>
      </c>
      <c r="U1364" t="s">
        <v>44</v>
      </c>
      <c r="V1364">
        <v>147</v>
      </c>
      <c r="W1364" t="s">
        <v>45</v>
      </c>
      <c r="X1364" t="s">
        <v>60</v>
      </c>
      <c r="Y1364" t="s">
        <v>789</v>
      </c>
      <c r="Z1364" t="s">
        <v>37</v>
      </c>
      <c r="AA1364" t="s">
        <v>55</v>
      </c>
      <c r="AB1364" t="s">
        <v>37</v>
      </c>
      <c r="AC1364" s="6" t="s">
        <v>37</v>
      </c>
      <c r="AD1364" s="6" t="s">
        <v>37</v>
      </c>
      <c r="AE1364" t="s">
        <v>37</v>
      </c>
      <c r="AF1364" t="s">
        <v>37</v>
      </c>
      <c r="AG1364" s="6" t="s">
        <v>37</v>
      </c>
      <c r="AH1364" t="s">
        <v>37</v>
      </c>
      <c r="AI1364" t="s">
        <v>37</v>
      </c>
      <c r="AJ1364" t="str">
        <f t="shared" si="65"/>
        <v>4PYL6E1EB0044AFFMK</v>
      </c>
    </row>
    <row r="1365" spans="1:36" ht="15" customHeight="1" x14ac:dyDescent="0.25">
      <c r="A1365" t="s">
        <v>62</v>
      </c>
      <c r="B1365" t="s">
        <v>37</v>
      </c>
      <c r="C1365" t="s">
        <v>37</v>
      </c>
      <c r="D1365" t="s">
        <v>38</v>
      </c>
      <c r="E1365" s="4">
        <v>0</v>
      </c>
      <c r="F1365" s="5">
        <v>0</v>
      </c>
      <c r="G1365" s="5" t="s">
        <v>39</v>
      </c>
      <c r="H1365" s="5">
        <v>0</v>
      </c>
      <c r="I1365" s="5" t="s">
        <v>39</v>
      </c>
      <c r="J1365" s="5">
        <v>0</v>
      </c>
      <c r="K1365" s="5" t="e">
        <f t="shared" si="63"/>
        <v>#DIV/0!</v>
      </c>
      <c r="L1365" s="5" t="e">
        <f t="shared" si="64"/>
        <v>#DIV/0!</v>
      </c>
      <c r="M1365" s="5" t="s">
        <v>39</v>
      </c>
      <c r="N1365" s="5">
        <v>0</v>
      </c>
      <c r="O1365" s="5" t="s">
        <v>39</v>
      </c>
      <c r="P1365" t="s">
        <v>320</v>
      </c>
      <c r="Q1365" t="s">
        <v>908</v>
      </c>
      <c r="R1365" t="s">
        <v>909</v>
      </c>
      <c r="S1365" t="s">
        <v>910</v>
      </c>
      <c r="T1365" t="s">
        <v>43</v>
      </c>
      <c r="U1365" t="s">
        <v>44</v>
      </c>
      <c r="V1365">
        <v>147</v>
      </c>
      <c r="W1365" t="s">
        <v>45</v>
      </c>
      <c r="X1365" t="s">
        <v>46</v>
      </c>
      <c r="Y1365" t="s">
        <v>268</v>
      </c>
      <c r="Z1365" t="s">
        <v>37</v>
      </c>
      <c r="AA1365" t="s">
        <v>55</v>
      </c>
      <c r="AB1365" t="s">
        <v>37</v>
      </c>
      <c r="AC1365" s="6" t="s">
        <v>37</v>
      </c>
      <c r="AD1365" s="6" t="s">
        <v>37</v>
      </c>
      <c r="AE1365" t="s">
        <v>37</v>
      </c>
      <c r="AF1365" t="s">
        <v>37</v>
      </c>
      <c r="AG1365" s="6" t="s">
        <v>37</v>
      </c>
      <c r="AH1365" t="s">
        <v>37</v>
      </c>
      <c r="AI1365" t="s">
        <v>37</v>
      </c>
      <c r="AJ1365" t="str">
        <f t="shared" si="65"/>
        <v>8BG295LIB07CGPZ3ZQ</v>
      </c>
    </row>
    <row r="1366" spans="1:36" ht="15" customHeight="1" x14ac:dyDescent="0.25">
      <c r="A1366" t="s">
        <v>49</v>
      </c>
      <c r="B1366" t="s">
        <v>37</v>
      </c>
      <c r="C1366" t="s">
        <v>37</v>
      </c>
      <c r="D1366" t="s">
        <v>38</v>
      </c>
      <c r="E1366" s="4">
        <v>0</v>
      </c>
      <c r="F1366" s="5">
        <v>0</v>
      </c>
      <c r="G1366" s="5" t="s">
        <v>39</v>
      </c>
      <c r="H1366" s="5">
        <v>0</v>
      </c>
      <c r="I1366" s="5" t="s">
        <v>39</v>
      </c>
      <c r="J1366" s="5">
        <v>0</v>
      </c>
      <c r="K1366" s="5" t="e">
        <f t="shared" si="63"/>
        <v>#DIV/0!</v>
      </c>
      <c r="L1366" s="5" t="e">
        <f t="shared" si="64"/>
        <v>#DIV/0!</v>
      </c>
      <c r="M1366" s="5" t="s">
        <v>39</v>
      </c>
      <c r="N1366" s="5">
        <v>0</v>
      </c>
      <c r="O1366" s="5" t="s">
        <v>39</v>
      </c>
      <c r="P1366" t="s">
        <v>222</v>
      </c>
      <c r="Q1366" t="s">
        <v>687</v>
      </c>
      <c r="R1366" t="s">
        <v>37</v>
      </c>
      <c r="S1366" t="s">
        <v>688</v>
      </c>
      <c r="T1366" t="s">
        <v>43</v>
      </c>
      <c r="U1366" t="s">
        <v>44</v>
      </c>
      <c r="V1366">
        <v>147</v>
      </c>
      <c r="W1366" t="s">
        <v>45</v>
      </c>
      <c r="X1366" t="s">
        <v>53</v>
      </c>
      <c r="Y1366" t="s">
        <v>689</v>
      </c>
      <c r="Z1366" t="s">
        <v>37</v>
      </c>
      <c r="AA1366" t="s">
        <v>48</v>
      </c>
      <c r="AB1366" t="s">
        <v>37</v>
      </c>
      <c r="AC1366" s="6" t="s">
        <v>37</v>
      </c>
      <c r="AD1366" s="6" t="s">
        <v>37</v>
      </c>
      <c r="AE1366" t="s">
        <v>37</v>
      </c>
      <c r="AF1366" t="s">
        <v>37</v>
      </c>
      <c r="AG1366" s="6" t="s">
        <v>37</v>
      </c>
      <c r="AH1366" t="s">
        <v>37</v>
      </c>
      <c r="AI1366" t="s">
        <v>37</v>
      </c>
      <c r="AJ1366" t="str">
        <f t="shared" si="65"/>
        <v>2F7Y5WIXB01K7GEAEI</v>
      </c>
    </row>
    <row r="1367" spans="1:36" ht="15" customHeight="1" x14ac:dyDescent="0.25">
      <c r="A1367" t="s">
        <v>56</v>
      </c>
      <c r="B1367" t="s">
        <v>37</v>
      </c>
      <c r="C1367" t="s">
        <v>37</v>
      </c>
      <c r="D1367" t="s">
        <v>38</v>
      </c>
      <c r="E1367" s="4">
        <v>17</v>
      </c>
      <c r="F1367" s="5">
        <v>3847.95</v>
      </c>
      <c r="G1367" s="5" t="s">
        <v>39</v>
      </c>
      <c r="H1367" s="5">
        <v>6117.28</v>
      </c>
      <c r="I1367" s="5" t="s">
        <v>39</v>
      </c>
      <c r="J1367" s="5">
        <v>130.83029999999999</v>
      </c>
      <c r="K1367" s="5">
        <f t="shared" si="63"/>
        <v>7.6959</v>
      </c>
      <c r="L1367" s="5">
        <f t="shared" si="64"/>
        <v>226.35</v>
      </c>
      <c r="M1367" s="5" t="s">
        <v>39</v>
      </c>
      <c r="N1367" s="5">
        <v>130.83029999999999</v>
      </c>
      <c r="O1367" s="5" t="s">
        <v>39</v>
      </c>
      <c r="P1367" t="s">
        <v>57</v>
      </c>
      <c r="Q1367" t="s">
        <v>675</v>
      </c>
      <c r="R1367" t="s">
        <v>37</v>
      </c>
      <c r="S1367" t="s">
        <v>676</v>
      </c>
      <c r="T1367" t="s">
        <v>43</v>
      </c>
      <c r="U1367" t="s">
        <v>44</v>
      </c>
      <c r="V1367">
        <v>147</v>
      </c>
      <c r="W1367" t="s">
        <v>45</v>
      </c>
      <c r="X1367" t="s">
        <v>46</v>
      </c>
      <c r="Y1367" t="s">
        <v>677</v>
      </c>
      <c r="Z1367" t="s">
        <v>37</v>
      </c>
      <c r="AA1367" t="s">
        <v>55</v>
      </c>
      <c r="AB1367" t="s">
        <v>37</v>
      </c>
      <c r="AC1367" s="6" t="s">
        <v>37</v>
      </c>
      <c r="AD1367" s="6" t="s">
        <v>37</v>
      </c>
      <c r="AE1367" t="s">
        <v>37</v>
      </c>
      <c r="AF1367" t="s">
        <v>37</v>
      </c>
      <c r="AG1367" s="6" t="s">
        <v>37</v>
      </c>
      <c r="AH1367" t="s">
        <v>37</v>
      </c>
      <c r="AI1367" t="s">
        <v>37</v>
      </c>
      <c r="AJ1367" t="str">
        <f t="shared" si="65"/>
        <v>3GBCH66MB07W7KFFFF</v>
      </c>
    </row>
    <row r="1368" spans="1:36" ht="15" customHeight="1" x14ac:dyDescent="0.25">
      <c r="A1368" t="s">
        <v>76</v>
      </c>
      <c r="B1368" t="s">
        <v>37</v>
      </c>
      <c r="C1368" t="s">
        <v>37</v>
      </c>
      <c r="D1368" t="s">
        <v>38</v>
      </c>
      <c r="E1368" s="4">
        <v>102</v>
      </c>
      <c r="F1368" s="5">
        <v>2986.56</v>
      </c>
      <c r="G1368" s="5" t="s">
        <v>39</v>
      </c>
      <c r="H1368" s="5">
        <v>4513.5</v>
      </c>
      <c r="I1368" s="5" t="s">
        <v>39</v>
      </c>
      <c r="J1368" s="5">
        <v>101.54304</v>
      </c>
      <c r="K1368" s="5">
        <f t="shared" si="63"/>
        <v>0.99552000000000007</v>
      </c>
      <c r="L1368" s="5">
        <f t="shared" si="64"/>
        <v>29.28</v>
      </c>
      <c r="M1368" s="5" t="s">
        <v>39</v>
      </c>
      <c r="N1368" s="5">
        <v>101.54304</v>
      </c>
      <c r="O1368" s="5" t="s">
        <v>39</v>
      </c>
      <c r="P1368" t="s">
        <v>63</v>
      </c>
      <c r="Q1368" t="s">
        <v>1486</v>
      </c>
      <c r="R1368" t="s">
        <v>37</v>
      </c>
      <c r="S1368" t="s">
        <v>1487</v>
      </c>
      <c r="T1368" t="s">
        <v>43</v>
      </c>
      <c r="U1368" t="s">
        <v>44</v>
      </c>
      <c r="V1368">
        <v>147</v>
      </c>
      <c r="W1368" t="s">
        <v>45</v>
      </c>
      <c r="X1368" t="s">
        <v>60</v>
      </c>
      <c r="Y1368" t="s">
        <v>1488</v>
      </c>
      <c r="Z1368" t="s">
        <v>37</v>
      </c>
      <c r="AA1368" t="s">
        <v>55</v>
      </c>
      <c r="AB1368" t="s">
        <v>37</v>
      </c>
      <c r="AC1368" s="6" t="s">
        <v>37</v>
      </c>
      <c r="AD1368" s="6" t="s">
        <v>37</v>
      </c>
      <c r="AE1368" t="s">
        <v>37</v>
      </c>
      <c r="AF1368" t="s">
        <v>37</v>
      </c>
      <c r="AG1368" s="6" t="s">
        <v>37</v>
      </c>
      <c r="AH1368" t="s">
        <v>37</v>
      </c>
      <c r="AI1368" t="s">
        <v>37</v>
      </c>
      <c r="AJ1368" t="str">
        <f t="shared" si="65"/>
        <v>7H9X1Z6SB004ZH0RHK</v>
      </c>
    </row>
    <row r="1369" spans="1:36" ht="15" customHeight="1" x14ac:dyDescent="0.25">
      <c r="A1369" t="s">
        <v>383</v>
      </c>
      <c r="B1369" t="s">
        <v>37</v>
      </c>
      <c r="C1369" t="s">
        <v>37</v>
      </c>
      <c r="D1369" t="s">
        <v>38</v>
      </c>
      <c r="E1369" s="4">
        <v>0</v>
      </c>
      <c r="F1369" s="5">
        <v>0</v>
      </c>
      <c r="G1369" s="5" t="s">
        <v>39</v>
      </c>
      <c r="H1369" s="5">
        <v>0</v>
      </c>
      <c r="I1369" s="5" t="s">
        <v>39</v>
      </c>
      <c r="J1369" s="5">
        <v>0</v>
      </c>
      <c r="K1369" s="5" t="e">
        <f t="shared" si="63"/>
        <v>#DIV/0!</v>
      </c>
      <c r="L1369" s="5" t="e">
        <f t="shared" si="64"/>
        <v>#DIV/0!</v>
      </c>
      <c r="M1369" s="5" t="s">
        <v>39</v>
      </c>
      <c r="N1369" s="5">
        <v>0</v>
      </c>
      <c r="O1369" s="5" t="s">
        <v>39</v>
      </c>
      <c r="P1369" t="s">
        <v>1780</v>
      </c>
      <c r="Q1369" t="s">
        <v>930</v>
      </c>
      <c r="R1369" t="s">
        <v>37</v>
      </c>
      <c r="S1369" t="s">
        <v>931</v>
      </c>
      <c r="T1369" t="s">
        <v>43</v>
      </c>
      <c r="U1369" t="s">
        <v>44</v>
      </c>
      <c r="V1369">
        <v>147</v>
      </c>
      <c r="W1369" t="s">
        <v>45</v>
      </c>
      <c r="X1369" t="s">
        <v>53</v>
      </c>
      <c r="Y1369" t="s">
        <v>932</v>
      </c>
      <c r="Z1369" t="s">
        <v>37</v>
      </c>
      <c r="AA1369" t="s">
        <v>48</v>
      </c>
      <c r="AB1369" t="s">
        <v>37</v>
      </c>
      <c r="AC1369" s="6" t="s">
        <v>37</v>
      </c>
      <c r="AD1369" s="6" t="s">
        <v>37</v>
      </c>
      <c r="AE1369" t="s">
        <v>37</v>
      </c>
      <c r="AF1369" t="s">
        <v>37</v>
      </c>
      <c r="AG1369" s="6" t="s">
        <v>37</v>
      </c>
      <c r="AH1369" t="s">
        <v>37</v>
      </c>
      <c r="AI1369" t="s">
        <v>37</v>
      </c>
      <c r="AJ1369" t="str">
        <f t="shared" si="65"/>
        <v>5MU5OCUSB01K7GEFWK</v>
      </c>
    </row>
    <row r="1370" spans="1:36" ht="15" customHeight="1" x14ac:dyDescent="0.25">
      <c r="A1370" t="s">
        <v>96</v>
      </c>
      <c r="B1370" t="s">
        <v>37</v>
      </c>
      <c r="C1370" t="s">
        <v>37</v>
      </c>
      <c r="D1370" t="s">
        <v>38</v>
      </c>
      <c r="E1370" s="4">
        <v>20</v>
      </c>
      <c r="F1370" s="5">
        <v>527</v>
      </c>
      <c r="G1370" s="5" t="s">
        <v>39</v>
      </c>
      <c r="H1370" s="5">
        <v>786.8</v>
      </c>
      <c r="I1370" s="5" t="s">
        <v>39</v>
      </c>
      <c r="J1370" s="5">
        <v>17.917999999999999</v>
      </c>
      <c r="K1370" s="5">
        <f t="shared" si="63"/>
        <v>0.89589999999999992</v>
      </c>
      <c r="L1370" s="5">
        <f t="shared" si="64"/>
        <v>26.35</v>
      </c>
      <c r="M1370" s="5" t="s">
        <v>39</v>
      </c>
      <c r="N1370" s="5">
        <v>17.917999999999999</v>
      </c>
      <c r="O1370" s="5" t="s">
        <v>39</v>
      </c>
      <c r="P1370" t="s">
        <v>222</v>
      </c>
      <c r="Q1370" t="s">
        <v>687</v>
      </c>
      <c r="R1370" t="s">
        <v>37</v>
      </c>
      <c r="S1370" t="s">
        <v>688</v>
      </c>
      <c r="T1370" t="s">
        <v>43</v>
      </c>
      <c r="U1370" t="s">
        <v>44</v>
      </c>
      <c r="V1370">
        <v>147</v>
      </c>
      <c r="W1370" t="s">
        <v>45</v>
      </c>
      <c r="X1370" t="s">
        <v>53</v>
      </c>
      <c r="Y1370" t="s">
        <v>689</v>
      </c>
      <c r="Z1370" t="s">
        <v>37</v>
      </c>
      <c r="AA1370" t="s">
        <v>48</v>
      </c>
      <c r="AB1370" t="s">
        <v>37</v>
      </c>
      <c r="AC1370" s="6" t="s">
        <v>37</v>
      </c>
      <c r="AD1370" s="6" t="s">
        <v>37</v>
      </c>
      <c r="AE1370" t="s">
        <v>37</v>
      </c>
      <c r="AF1370" t="s">
        <v>37</v>
      </c>
      <c r="AG1370" s="6" t="s">
        <v>37</v>
      </c>
      <c r="AH1370" t="s">
        <v>37</v>
      </c>
      <c r="AI1370" t="s">
        <v>37</v>
      </c>
      <c r="AJ1370" t="str">
        <f t="shared" si="65"/>
        <v>2F7Y5WIXB01K7GEAEI</v>
      </c>
    </row>
    <row r="1371" spans="1:36" ht="15" customHeight="1" x14ac:dyDescent="0.25">
      <c r="A1371" t="s">
        <v>96</v>
      </c>
      <c r="B1371" t="s">
        <v>37</v>
      </c>
      <c r="C1371" t="s">
        <v>37</v>
      </c>
      <c r="D1371" t="s">
        <v>38</v>
      </c>
      <c r="E1371" s="4">
        <v>30</v>
      </c>
      <c r="F1371" s="5">
        <v>491.7</v>
      </c>
      <c r="G1371" s="5" t="s">
        <v>39</v>
      </c>
      <c r="H1371" s="5">
        <v>737.4</v>
      </c>
      <c r="I1371" s="5" t="s">
        <v>39</v>
      </c>
      <c r="J1371" s="5">
        <v>16.7178</v>
      </c>
      <c r="K1371" s="5">
        <f t="shared" si="63"/>
        <v>0.55725999999999998</v>
      </c>
      <c r="L1371" s="5">
        <f t="shared" si="64"/>
        <v>16.39</v>
      </c>
      <c r="M1371" s="5" t="s">
        <v>39</v>
      </c>
      <c r="N1371" s="5">
        <v>16.7178</v>
      </c>
      <c r="O1371" s="5" t="s">
        <v>39</v>
      </c>
      <c r="P1371" t="s">
        <v>1780</v>
      </c>
      <c r="Q1371" t="s">
        <v>930</v>
      </c>
      <c r="R1371" t="s">
        <v>37</v>
      </c>
      <c r="S1371" t="s">
        <v>931</v>
      </c>
      <c r="T1371" t="s">
        <v>43</v>
      </c>
      <c r="U1371" t="s">
        <v>44</v>
      </c>
      <c r="V1371">
        <v>147</v>
      </c>
      <c r="W1371" t="s">
        <v>45</v>
      </c>
      <c r="X1371" t="s">
        <v>53</v>
      </c>
      <c r="Y1371" t="s">
        <v>932</v>
      </c>
      <c r="Z1371" t="s">
        <v>37</v>
      </c>
      <c r="AA1371" t="s">
        <v>48</v>
      </c>
      <c r="AB1371" t="s">
        <v>37</v>
      </c>
      <c r="AC1371" s="6" t="s">
        <v>37</v>
      </c>
      <c r="AD1371" s="6" t="s">
        <v>37</v>
      </c>
      <c r="AE1371" t="s">
        <v>37</v>
      </c>
      <c r="AF1371" t="s">
        <v>37</v>
      </c>
      <c r="AG1371" s="6" t="s">
        <v>37</v>
      </c>
      <c r="AH1371" t="s">
        <v>37</v>
      </c>
      <c r="AI1371" t="s">
        <v>37</v>
      </c>
      <c r="AJ1371" t="str">
        <f t="shared" si="65"/>
        <v>5MU5OCUSB01K7GEFWK</v>
      </c>
    </row>
    <row r="1372" spans="1:36" ht="15" customHeight="1" x14ac:dyDescent="0.25">
      <c r="A1372" t="s">
        <v>411</v>
      </c>
      <c r="B1372" t="s">
        <v>37</v>
      </c>
      <c r="C1372" t="s">
        <v>37</v>
      </c>
      <c r="D1372" t="s">
        <v>38</v>
      </c>
      <c r="E1372" s="4">
        <v>10</v>
      </c>
      <c r="F1372" s="5">
        <v>163.9</v>
      </c>
      <c r="G1372" s="5" t="s">
        <v>39</v>
      </c>
      <c r="H1372" s="5">
        <v>293.39999999999998</v>
      </c>
      <c r="I1372" s="5" t="s">
        <v>39</v>
      </c>
      <c r="J1372" s="5">
        <v>5.5726000000000004</v>
      </c>
      <c r="K1372" s="5">
        <f t="shared" si="63"/>
        <v>0.55726000000000009</v>
      </c>
      <c r="L1372" s="5">
        <f t="shared" si="64"/>
        <v>16.39</v>
      </c>
      <c r="M1372" s="5" t="s">
        <v>39</v>
      </c>
      <c r="N1372" s="5">
        <v>5.5726000000000004</v>
      </c>
      <c r="O1372" s="5" t="s">
        <v>39</v>
      </c>
      <c r="P1372" t="s">
        <v>522</v>
      </c>
      <c r="Q1372" t="s">
        <v>1586</v>
      </c>
      <c r="R1372" t="s">
        <v>37</v>
      </c>
      <c r="S1372" t="s">
        <v>1587</v>
      </c>
      <c r="T1372" t="s">
        <v>43</v>
      </c>
      <c r="U1372" t="s">
        <v>44</v>
      </c>
      <c r="V1372">
        <v>147</v>
      </c>
      <c r="W1372" t="s">
        <v>45</v>
      </c>
      <c r="X1372" t="s">
        <v>60</v>
      </c>
      <c r="Y1372" t="s">
        <v>1588</v>
      </c>
      <c r="Z1372" t="s">
        <v>37</v>
      </c>
      <c r="AA1372" t="s">
        <v>55</v>
      </c>
      <c r="AB1372" t="s">
        <v>37</v>
      </c>
      <c r="AC1372" s="6" t="s">
        <v>37</v>
      </c>
      <c r="AD1372" s="6" t="s">
        <v>37</v>
      </c>
      <c r="AE1372" t="s">
        <v>37</v>
      </c>
      <c r="AF1372" t="s">
        <v>37</v>
      </c>
      <c r="AG1372" s="6" t="s">
        <v>37</v>
      </c>
      <c r="AH1372" t="s">
        <v>37</v>
      </c>
      <c r="AI1372" t="s">
        <v>37</v>
      </c>
      <c r="AJ1372" t="str">
        <f t="shared" si="65"/>
        <v>24EUBTHXB01I252A34</v>
      </c>
    </row>
    <row r="1373" spans="1:36" ht="15" customHeight="1" x14ac:dyDescent="0.25">
      <c r="A1373" t="s">
        <v>36</v>
      </c>
      <c r="B1373" t="s">
        <v>37</v>
      </c>
      <c r="C1373" t="s">
        <v>37</v>
      </c>
      <c r="D1373" t="s">
        <v>38</v>
      </c>
      <c r="E1373" s="4">
        <v>6</v>
      </c>
      <c r="F1373" s="5">
        <v>210.78</v>
      </c>
      <c r="G1373" s="5" t="s">
        <v>39</v>
      </c>
      <c r="H1373" s="5">
        <v>304.86</v>
      </c>
      <c r="I1373" s="5" t="s">
        <v>39</v>
      </c>
      <c r="J1373" s="5">
        <v>7.1665200000000002</v>
      </c>
      <c r="K1373" s="5">
        <f t="shared" si="63"/>
        <v>1.19442</v>
      </c>
      <c r="L1373" s="5">
        <f t="shared" si="64"/>
        <v>35.130000000000003</v>
      </c>
      <c r="M1373" s="5" t="s">
        <v>39</v>
      </c>
      <c r="N1373" s="5">
        <v>7.1665200000000002</v>
      </c>
      <c r="O1373" s="5" t="s">
        <v>39</v>
      </c>
      <c r="P1373" t="s">
        <v>1069</v>
      </c>
      <c r="Q1373" t="s">
        <v>551</v>
      </c>
      <c r="R1373" t="s">
        <v>37</v>
      </c>
      <c r="S1373" t="s">
        <v>552</v>
      </c>
      <c r="T1373" t="s">
        <v>43</v>
      </c>
      <c r="U1373" t="s">
        <v>44</v>
      </c>
      <c r="V1373">
        <v>147</v>
      </c>
      <c r="W1373" t="s">
        <v>45</v>
      </c>
      <c r="X1373" t="s">
        <v>389</v>
      </c>
      <c r="Y1373" t="s">
        <v>553</v>
      </c>
      <c r="Z1373" t="s">
        <v>37</v>
      </c>
      <c r="AA1373" t="s">
        <v>55</v>
      </c>
      <c r="AB1373" t="s">
        <v>37</v>
      </c>
      <c r="AC1373" s="6" t="s">
        <v>37</v>
      </c>
      <c r="AD1373" s="6" t="s">
        <v>37</v>
      </c>
      <c r="AE1373" t="s">
        <v>37</v>
      </c>
      <c r="AF1373" t="s">
        <v>37</v>
      </c>
      <c r="AG1373" s="6" t="s">
        <v>37</v>
      </c>
      <c r="AH1373" t="s">
        <v>37</v>
      </c>
      <c r="AI1373" t="s">
        <v>37</v>
      </c>
      <c r="AJ1373" t="str">
        <f t="shared" si="65"/>
        <v>2FPVCNJHB003L92O5Q</v>
      </c>
    </row>
    <row r="1374" spans="1:36" ht="15" customHeight="1" x14ac:dyDescent="0.25">
      <c r="A1374" t="s">
        <v>411</v>
      </c>
      <c r="B1374" t="s">
        <v>37</v>
      </c>
      <c r="C1374" t="s">
        <v>37</v>
      </c>
      <c r="D1374" t="s">
        <v>38</v>
      </c>
      <c r="E1374" s="4">
        <v>8</v>
      </c>
      <c r="F1374" s="5">
        <v>544.48</v>
      </c>
      <c r="G1374" s="5" t="s">
        <v>39</v>
      </c>
      <c r="H1374" s="5">
        <v>911.44</v>
      </c>
      <c r="I1374" s="5" t="s">
        <v>39</v>
      </c>
      <c r="J1374" s="5">
        <v>18.512319999999999</v>
      </c>
      <c r="K1374" s="5">
        <f t="shared" si="63"/>
        <v>2.3140399999999999</v>
      </c>
      <c r="L1374" s="5">
        <f t="shared" si="64"/>
        <v>68.06</v>
      </c>
      <c r="M1374" s="5" t="s">
        <v>39</v>
      </c>
      <c r="N1374" s="5">
        <v>18.512319999999999</v>
      </c>
      <c r="O1374" s="5" t="s">
        <v>39</v>
      </c>
      <c r="P1374" t="s">
        <v>1522</v>
      </c>
      <c r="Q1374" t="s">
        <v>545</v>
      </c>
      <c r="R1374" t="s">
        <v>37</v>
      </c>
      <c r="S1374" t="s">
        <v>546</v>
      </c>
      <c r="T1374" t="s">
        <v>43</v>
      </c>
      <c r="U1374" t="s">
        <v>44</v>
      </c>
      <c r="V1374">
        <v>147</v>
      </c>
      <c r="W1374" t="s">
        <v>45</v>
      </c>
      <c r="X1374" t="s">
        <v>60</v>
      </c>
      <c r="Y1374" t="s">
        <v>547</v>
      </c>
      <c r="Z1374" t="s">
        <v>37</v>
      </c>
      <c r="AA1374" t="s">
        <v>55</v>
      </c>
      <c r="AB1374" t="s">
        <v>37</v>
      </c>
      <c r="AC1374" s="6" t="s">
        <v>37</v>
      </c>
      <c r="AD1374" s="6" t="s">
        <v>37</v>
      </c>
      <c r="AE1374" t="s">
        <v>37</v>
      </c>
      <c r="AF1374" t="s">
        <v>37</v>
      </c>
      <c r="AG1374" s="6" t="s">
        <v>37</v>
      </c>
      <c r="AH1374" t="s">
        <v>37</v>
      </c>
      <c r="AI1374" t="s">
        <v>37</v>
      </c>
      <c r="AJ1374" t="str">
        <f t="shared" si="65"/>
        <v>3I9WF8IGB07W5JJP7D</v>
      </c>
    </row>
    <row r="1375" spans="1:36" ht="15" customHeight="1" x14ac:dyDescent="0.25">
      <c r="A1375" t="s">
        <v>101</v>
      </c>
      <c r="B1375" t="s">
        <v>37</v>
      </c>
      <c r="C1375" t="s">
        <v>37</v>
      </c>
      <c r="D1375" t="s">
        <v>38</v>
      </c>
      <c r="E1375" s="4">
        <v>96</v>
      </c>
      <c r="F1375" s="5">
        <v>11137.92</v>
      </c>
      <c r="G1375" s="5" t="s">
        <v>39</v>
      </c>
      <c r="H1375" s="5">
        <v>15737.28</v>
      </c>
      <c r="I1375" s="5" t="s">
        <v>39</v>
      </c>
      <c r="J1375" s="5">
        <v>378.68928</v>
      </c>
      <c r="K1375" s="5">
        <f t="shared" si="63"/>
        <v>3.94468</v>
      </c>
      <c r="L1375" s="5">
        <f t="shared" si="64"/>
        <v>116.02</v>
      </c>
      <c r="M1375" s="5" t="s">
        <v>39</v>
      </c>
      <c r="N1375" s="5">
        <v>378.68928</v>
      </c>
      <c r="O1375" s="5" t="s">
        <v>39</v>
      </c>
      <c r="P1375" t="s">
        <v>320</v>
      </c>
      <c r="Q1375" t="s">
        <v>124</v>
      </c>
      <c r="R1375" t="s">
        <v>37</v>
      </c>
      <c r="S1375" t="s">
        <v>125</v>
      </c>
      <c r="T1375" t="s">
        <v>43</v>
      </c>
      <c r="U1375" t="s">
        <v>44</v>
      </c>
      <c r="V1375">
        <v>147</v>
      </c>
      <c r="W1375" t="s">
        <v>45</v>
      </c>
      <c r="X1375" t="s">
        <v>60</v>
      </c>
      <c r="Y1375" t="s">
        <v>126</v>
      </c>
      <c r="Z1375" t="s">
        <v>37</v>
      </c>
      <c r="AA1375" t="s">
        <v>55</v>
      </c>
      <c r="AB1375" t="s">
        <v>37</v>
      </c>
      <c r="AC1375" s="6" t="s">
        <v>37</v>
      </c>
      <c r="AD1375" s="6" t="s">
        <v>37</v>
      </c>
      <c r="AE1375" t="s">
        <v>37</v>
      </c>
      <c r="AF1375" t="s">
        <v>37</v>
      </c>
      <c r="AG1375" s="6" t="s">
        <v>37</v>
      </c>
      <c r="AH1375" t="s">
        <v>37</v>
      </c>
      <c r="AI1375" t="s">
        <v>37</v>
      </c>
      <c r="AJ1375" t="str">
        <f t="shared" si="65"/>
        <v>8BG295LIB07W6HPP3R</v>
      </c>
    </row>
    <row r="1376" spans="1:36" ht="15" customHeight="1" x14ac:dyDescent="0.25">
      <c r="A1376" t="s">
        <v>118</v>
      </c>
      <c r="B1376" t="s">
        <v>37</v>
      </c>
      <c r="C1376" t="s">
        <v>37</v>
      </c>
      <c r="D1376" t="s">
        <v>38</v>
      </c>
      <c r="E1376" s="4">
        <v>4</v>
      </c>
      <c r="F1376" s="5">
        <v>491.24</v>
      </c>
      <c r="G1376" s="5" t="s">
        <v>39</v>
      </c>
      <c r="H1376" s="5">
        <v>685.24</v>
      </c>
      <c r="I1376" s="5" t="s">
        <v>39</v>
      </c>
      <c r="J1376" s="5">
        <v>16.702159999999999</v>
      </c>
      <c r="K1376" s="5">
        <f t="shared" si="63"/>
        <v>4.1755399999999998</v>
      </c>
      <c r="L1376" s="5">
        <f t="shared" si="64"/>
        <v>122.81</v>
      </c>
      <c r="M1376" s="5" t="s">
        <v>39</v>
      </c>
      <c r="N1376" s="5">
        <v>16.702159999999999</v>
      </c>
      <c r="O1376" s="5" t="s">
        <v>39</v>
      </c>
      <c r="P1376" t="s">
        <v>202</v>
      </c>
      <c r="Q1376" t="s">
        <v>216</v>
      </c>
      <c r="R1376" t="s">
        <v>37</v>
      </c>
      <c r="S1376" t="s">
        <v>217</v>
      </c>
      <c r="T1376" t="s">
        <v>43</v>
      </c>
      <c r="U1376" t="s">
        <v>44</v>
      </c>
      <c r="V1376">
        <v>23</v>
      </c>
      <c r="W1376" t="s">
        <v>218</v>
      </c>
      <c r="X1376" t="s">
        <v>219</v>
      </c>
      <c r="Y1376" t="s">
        <v>220</v>
      </c>
      <c r="Z1376" t="s">
        <v>37</v>
      </c>
      <c r="AA1376" t="s">
        <v>95</v>
      </c>
      <c r="AB1376" t="s">
        <v>37</v>
      </c>
      <c r="AC1376" s="6" t="s">
        <v>37</v>
      </c>
      <c r="AD1376" s="6" t="s">
        <v>37</v>
      </c>
      <c r="AE1376" t="s">
        <v>37</v>
      </c>
      <c r="AF1376" t="s">
        <v>37</v>
      </c>
      <c r="AG1376" s="6" t="s">
        <v>37</v>
      </c>
      <c r="AH1376" t="s">
        <v>37</v>
      </c>
      <c r="AI1376" t="s">
        <v>37</v>
      </c>
      <c r="AJ1376" t="str">
        <f t="shared" si="65"/>
        <v>39TAD6PCB07W7MKLNS</v>
      </c>
    </row>
    <row r="1377" spans="1:36" ht="15" customHeight="1" x14ac:dyDescent="0.25">
      <c r="A1377" t="s">
        <v>36</v>
      </c>
      <c r="B1377" t="s">
        <v>37</v>
      </c>
      <c r="C1377" t="s">
        <v>37</v>
      </c>
      <c r="D1377" t="s">
        <v>38</v>
      </c>
      <c r="E1377" s="4">
        <v>18</v>
      </c>
      <c r="F1377" s="5">
        <v>522</v>
      </c>
      <c r="G1377" s="5" t="s">
        <v>39</v>
      </c>
      <c r="H1377" s="5">
        <v>796.5</v>
      </c>
      <c r="I1377" s="5" t="s">
        <v>39</v>
      </c>
      <c r="J1377" s="5">
        <v>17.748000000000001</v>
      </c>
      <c r="K1377" s="5">
        <f t="shared" si="63"/>
        <v>0.9860000000000001</v>
      </c>
      <c r="L1377" s="5">
        <f t="shared" si="64"/>
        <v>29</v>
      </c>
      <c r="M1377" s="5" t="s">
        <v>39</v>
      </c>
      <c r="N1377" s="5">
        <v>17.748000000000001</v>
      </c>
      <c r="O1377" s="5" t="s">
        <v>39</v>
      </c>
      <c r="P1377" t="s">
        <v>40</v>
      </c>
      <c r="Q1377" t="s">
        <v>812</v>
      </c>
      <c r="R1377" t="s">
        <v>37</v>
      </c>
      <c r="S1377" t="s">
        <v>813</v>
      </c>
      <c r="T1377" t="s">
        <v>43</v>
      </c>
      <c r="U1377" t="s">
        <v>44</v>
      </c>
      <c r="V1377">
        <v>147</v>
      </c>
      <c r="W1377" t="s">
        <v>45</v>
      </c>
      <c r="X1377" t="s">
        <v>60</v>
      </c>
      <c r="Y1377" t="s">
        <v>814</v>
      </c>
      <c r="Z1377" t="s">
        <v>37</v>
      </c>
      <c r="AA1377" t="s">
        <v>55</v>
      </c>
      <c r="AB1377" t="s">
        <v>37</v>
      </c>
      <c r="AC1377" s="6" t="s">
        <v>37</v>
      </c>
      <c r="AD1377" s="6" t="s">
        <v>37</v>
      </c>
      <c r="AE1377" t="s">
        <v>37</v>
      </c>
      <c r="AF1377" t="s">
        <v>37</v>
      </c>
      <c r="AG1377" s="6" t="s">
        <v>37</v>
      </c>
      <c r="AH1377" t="s">
        <v>37</v>
      </c>
      <c r="AI1377" t="s">
        <v>37</v>
      </c>
      <c r="AJ1377" t="str">
        <f t="shared" si="65"/>
        <v>4A3KDTEZB07W7KFLBN</v>
      </c>
    </row>
    <row r="1378" spans="1:36" ht="15" customHeight="1" x14ac:dyDescent="0.25">
      <c r="A1378" t="s">
        <v>127</v>
      </c>
      <c r="B1378" t="s">
        <v>37</v>
      </c>
      <c r="C1378" t="s">
        <v>37</v>
      </c>
      <c r="D1378" t="s">
        <v>38</v>
      </c>
      <c r="E1378" s="4">
        <v>10</v>
      </c>
      <c r="F1378" s="5">
        <v>322.10000000000002</v>
      </c>
      <c r="G1378" s="5" t="s">
        <v>39</v>
      </c>
      <c r="H1378" s="5">
        <v>483.5</v>
      </c>
      <c r="I1378" s="5" t="s">
        <v>39</v>
      </c>
      <c r="J1378" s="5">
        <v>10.9514</v>
      </c>
      <c r="K1378" s="5">
        <f t="shared" si="63"/>
        <v>1.09514</v>
      </c>
      <c r="L1378" s="5">
        <f t="shared" si="64"/>
        <v>32.21</v>
      </c>
      <c r="M1378" s="5" t="s">
        <v>39</v>
      </c>
      <c r="N1378" s="5">
        <v>10.9514</v>
      </c>
      <c r="O1378" s="5" t="s">
        <v>39</v>
      </c>
      <c r="P1378" t="s">
        <v>67</v>
      </c>
      <c r="Q1378" t="s">
        <v>582</v>
      </c>
      <c r="R1378" t="s">
        <v>37</v>
      </c>
      <c r="S1378" t="s">
        <v>583</v>
      </c>
      <c r="T1378" t="s">
        <v>43</v>
      </c>
      <c r="U1378" t="s">
        <v>44</v>
      </c>
      <c r="V1378">
        <v>147</v>
      </c>
      <c r="W1378" t="s">
        <v>45</v>
      </c>
      <c r="X1378" t="s">
        <v>60</v>
      </c>
      <c r="Y1378" t="s">
        <v>584</v>
      </c>
      <c r="Z1378" t="s">
        <v>37</v>
      </c>
      <c r="AA1378" t="s">
        <v>48</v>
      </c>
      <c r="AB1378" t="s">
        <v>37</v>
      </c>
      <c r="AC1378" s="6" t="s">
        <v>37</v>
      </c>
      <c r="AD1378" s="6" t="s">
        <v>37</v>
      </c>
      <c r="AE1378" t="s">
        <v>37</v>
      </c>
      <c r="AF1378" t="s">
        <v>37</v>
      </c>
      <c r="AG1378" s="6" t="s">
        <v>37</v>
      </c>
      <c r="AH1378" t="s">
        <v>37</v>
      </c>
      <c r="AI1378" t="s">
        <v>37</v>
      </c>
      <c r="AJ1378" t="str">
        <f t="shared" si="65"/>
        <v>2TMBDXBKB00VHHWNMI</v>
      </c>
    </row>
    <row r="1379" spans="1:36" ht="15" customHeight="1" x14ac:dyDescent="0.25">
      <c r="A1379" t="s">
        <v>36</v>
      </c>
      <c r="B1379" t="s">
        <v>37</v>
      </c>
      <c r="C1379" t="s">
        <v>37</v>
      </c>
      <c r="D1379" t="s">
        <v>38</v>
      </c>
      <c r="E1379" s="4">
        <v>38</v>
      </c>
      <c r="F1379" s="5">
        <v>4046.62</v>
      </c>
      <c r="G1379" s="5" t="s">
        <v>39</v>
      </c>
      <c r="H1379" s="5">
        <v>6509.4</v>
      </c>
      <c r="I1379" s="5" t="s">
        <v>39</v>
      </c>
      <c r="J1379" s="5">
        <v>137.58508</v>
      </c>
      <c r="K1379" s="5">
        <f t="shared" si="63"/>
        <v>3.62066</v>
      </c>
      <c r="L1379" s="5">
        <f t="shared" si="64"/>
        <v>106.49</v>
      </c>
      <c r="M1379" s="5" t="s">
        <v>39</v>
      </c>
      <c r="N1379" s="5">
        <v>137.58508</v>
      </c>
      <c r="O1379" s="5" t="s">
        <v>39</v>
      </c>
      <c r="P1379" t="s">
        <v>67</v>
      </c>
      <c r="Q1379" t="s">
        <v>1887</v>
      </c>
      <c r="R1379" t="s">
        <v>37</v>
      </c>
      <c r="S1379" t="s">
        <v>1888</v>
      </c>
      <c r="T1379" t="s">
        <v>43</v>
      </c>
      <c r="U1379" t="s">
        <v>44</v>
      </c>
      <c r="V1379">
        <v>23</v>
      </c>
      <c r="W1379" t="s">
        <v>1889</v>
      </c>
      <c r="X1379" t="s">
        <v>1890</v>
      </c>
      <c r="Y1379" t="s">
        <v>1891</v>
      </c>
      <c r="Z1379" t="s">
        <v>37</v>
      </c>
      <c r="AA1379" t="s">
        <v>95</v>
      </c>
      <c r="AB1379" t="s">
        <v>37</v>
      </c>
      <c r="AC1379" s="6" t="s">
        <v>37</v>
      </c>
      <c r="AD1379" s="6" t="s">
        <v>37</v>
      </c>
      <c r="AE1379" t="s">
        <v>37</v>
      </c>
      <c r="AF1379" t="s">
        <v>37</v>
      </c>
      <c r="AG1379" s="6" t="s">
        <v>37</v>
      </c>
      <c r="AH1379" t="s">
        <v>37</v>
      </c>
      <c r="AI1379" t="s">
        <v>37</v>
      </c>
      <c r="AJ1379" t="str">
        <f t="shared" si="65"/>
        <v>2TMBDXBKB07G6MYMKD</v>
      </c>
    </row>
    <row r="1380" spans="1:36" ht="15" customHeight="1" x14ac:dyDescent="0.25">
      <c r="A1380" t="s">
        <v>36</v>
      </c>
      <c r="B1380" t="s">
        <v>37</v>
      </c>
      <c r="C1380" t="s">
        <v>37</v>
      </c>
      <c r="D1380" t="s">
        <v>38</v>
      </c>
      <c r="E1380" s="4">
        <v>600</v>
      </c>
      <c r="F1380" s="5">
        <v>19326</v>
      </c>
      <c r="G1380" s="5" t="s">
        <v>39</v>
      </c>
      <c r="H1380" s="5">
        <v>29010</v>
      </c>
      <c r="I1380" s="5" t="s">
        <v>39</v>
      </c>
      <c r="J1380" s="5">
        <v>657.08399999999995</v>
      </c>
      <c r="K1380" s="5">
        <f t="shared" si="63"/>
        <v>1.09514</v>
      </c>
      <c r="L1380" s="5">
        <f t="shared" si="64"/>
        <v>32.21</v>
      </c>
      <c r="M1380" s="5" t="s">
        <v>39</v>
      </c>
      <c r="N1380" s="5">
        <v>657.08399999999995</v>
      </c>
      <c r="O1380" s="5" t="s">
        <v>39</v>
      </c>
      <c r="P1380" t="s">
        <v>67</v>
      </c>
      <c r="Q1380" t="s">
        <v>582</v>
      </c>
      <c r="R1380" t="s">
        <v>37</v>
      </c>
      <c r="S1380" t="s">
        <v>583</v>
      </c>
      <c r="T1380" t="s">
        <v>43</v>
      </c>
      <c r="U1380" t="s">
        <v>44</v>
      </c>
      <c r="V1380">
        <v>147</v>
      </c>
      <c r="W1380" t="s">
        <v>45</v>
      </c>
      <c r="X1380" t="s">
        <v>60</v>
      </c>
      <c r="Y1380" t="s">
        <v>584</v>
      </c>
      <c r="Z1380" t="s">
        <v>37</v>
      </c>
      <c r="AA1380" t="s">
        <v>48</v>
      </c>
      <c r="AB1380" t="s">
        <v>37</v>
      </c>
      <c r="AC1380" s="6" t="s">
        <v>37</v>
      </c>
      <c r="AD1380" s="6" t="s">
        <v>37</v>
      </c>
      <c r="AE1380" t="s">
        <v>37</v>
      </c>
      <c r="AF1380" t="s">
        <v>37</v>
      </c>
      <c r="AG1380" s="6" t="s">
        <v>37</v>
      </c>
      <c r="AH1380" t="s">
        <v>37</v>
      </c>
      <c r="AI1380" t="s">
        <v>37</v>
      </c>
      <c r="AJ1380" t="str">
        <f t="shared" si="65"/>
        <v>2TMBDXBKB00VHHWNMI</v>
      </c>
    </row>
    <row r="1381" spans="1:36" ht="15" customHeight="1" x14ac:dyDescent="0.25">
      <c r="A1381" t="s">
        <v>101</v>
      </c>
      <c r="B1381" t="s">
        <v>37</v>
      </c>
      <c r="C1381" t="s">
        <v>37</v>
      </c>
      <c r="D1381" t="s">
        <v>38</v>
      </c>
      <c r="E1381" s="4">
        <v>48</v>
      </c>
      <c r="F1381" s="5">
        <v>5568.96</v>
      </c>
      <c r="G1381" s="5" t="s">
        <v>39</v>
      </c>
      <c r="H1381" s="5">
        <v>7868.64</v>
      </c>
      <c r="I1381" s="5" t="s">
        <v>39</v>
      </c>
      <c r="J1381" s="5">
        <v>189.34464</v>
      </c>
      <c r="K1381" s="5">
        <f t="shared" si="63"/>
        <v>3.94468</v>
      </c>
      <c r="L1381" s="5">
        <f t="shared" si="64"/>
        <v>116.02</v>
      </c>
      <c r="M1381" s="5" t="s">
        <v>39</v>
      </c>
      <c r="N1381" s="5">
        <v>189.34464</v>
      </c>
      <c r="O1381" s="5" t="s">
        <v>39</v>
      </c>
      <c r="P1381" t="s">
        <v>120</v>
      </c>
      <c r="Q1381" t="s">
        <v>510</v>
      </c>
      <c r="R1381" t="s">
        <v>37</v>
      </c>
      <c r="S1381" t="s">
        <v>511</v>
      </c>
      <c r="T1381" t="s">
        <v>43</v>
      </c>
      <c r="U1381" t="s">
        <v>44</v>
      </c>
      <c r="V1381">
        <v>147</v>
      </c>
      <c r="W1381" t="s">
        <v>45</v>
      </c>
      <c r="X1381" t="s">
        <v>60</v>
      </c>
      <c r="Y1381" t="s">
        <v>512</v>
      </c>
      <c r="Z1381" t="s">
        <v>37</v>
      </c>
      <c r="AA1381" t="s">
        <v>55</v>
      </c>
      <c r="AB1381" t="s">
        <v>37</v>
      </c>
      <c r="AC1381" s="6" t="s">
        <v>37</v>
      </c>
      <c r="AD1381" s="6" t="s">
        <v>37</v>
      </c>
      <c r="AE1381" t="s">
        <v>37</v>
      </c>
      <c r="AF1381" t="s">
        <v>37</v>
      </c>
      <c r="AG1381" s="6" t="s">
        <v>37</v>
      </c>
      <c r="AH1381" t="s">
        <v>37</v>
      </c>
      <c r="AI1381" t="s">
        <v>37</v>
      </c>
      <c r="AJ1381" t="str">
        <f t="shared" si="65"/>
        <v>5MWU8WTDB07W7M4MZP</v>
      </c>
    </row>
    <row r="1382" spans="1:36" ht="15" customHeight="1" x14ac:dyDescent="0.25">
      <c r="A1382" t="s">
        <v>613</v>
      </c>
      <c r="B1382" t="s">
        <v>37</v>
      </c>
      <c r="C1382" t="s">
        <v>37</v>
      </c>
      <c r="D1382" t="s">
        <v>38</v>
      </c>
      <c r="E1382" s="4">
        <v>0</v>
      </c>
      <c r="F1382" s="5">
        <v>0</v>
      </c>
      <c r="G1382" s="5" t="s">
        <v>39</v>
      </c>
      <c r="H1382" s="5">
        <v>0</v>
      </c>
      <c r="I1382" s="5" t="s">
        <v>39</v>
      </c>
      <c r="J1382" s="5">
        <v>0</v>
      </c>
      <c r="K1382" s="5" t="e">
        <f t="shared" si="63"/>
        <v>#DIV/0!</v>
      </c>
      <c r="L1382" s="5" t="e">
        <f t="shared" si="64"/>
        <v>#DIV/0!</v>
      </c>
      <c r="M1382" s="5" t="s">
        <v>39</v>
      </c>
      <c r="N1382" s="5">
        <v>0</v>
      </c>
      <c r="O1382" s="5" t="s">
        <v>39</v>
      </c>
      <c r="P1382" t="s">
        <v>222</v>
      </c>
      <c r="Q1382" t="s">
        <v>687</v>
      </c>
      <c r="R1382" t="s">
        <v>37</v>
      </c>
      <c r="S1382" t="s">
        <v>688</v>
      </c>
      <c r="T1382" t="s">
        <v>43</v>
      </c>
      <c r="U1382" t="s">
        <v>44</v>
      </c>
      <c r="V1382">
        <v>147</v>
      </c>
      <c r="W1382" t="s">
        <v>45</v>
      </c>
      <c r="X1382" t="s">
        <v>53</v>
      </c>
      <c r="Y1382" t="s">
        <v>689</v>
      </c>
      <c r="Z1382" t="s">
        <v>37</v>
      </c>
      <c r="AA1382" t="s">
        <v>48</v>
      </c>
      <c r="AB1382" t="s">
        <v>37</v>
      </c>
      <c r="AC1382" s="6" t="s">
        <v>37</v>
      </c>
      <c r="AD1382" s="6" t="s">
        <v>37</v>
      </c>
      <c r="AE1382" t="s">
        <v>37</v>
      </c>
      <c r="AF1382" t="s">
        <v>37</v>
      </c>
      <c r="AG1382" s="6" t="s">
        <v>37</v>
      </c>
      <c r="AH1382" t="s">
        <v>37</v>
      </c>
      <c r="AI1382" t="s">
        <v>37</v>
      </c>
      <c r="AJ1382" t="str">
        <f t="shared" si="65"/>
        <v>2F7Y5WIXB01K7GEAEI</v>
      </c>
    </row>
    <row r="1383" spans="1:36" ht="15" customHeight="1" x14ac:dyDescent="0.25">
      <c r="A1383" t="s">
        <v>118</v>
      </c>
      <c r="B1383" t="s">
        <v>37</v>
      </c>
      <c r="C1383" t="s">
        <v>37</v>
      </c>
      <c r="D1383" t="s">
        <v>38</v>
      </c>
      <c r="E1383" s="4">
        <v>1071</v>
      </c>
      <c r="F1383" s="5">
        <v>236765.97</v>
      </c>
      <c r="G1383" s="5" t="s">
        <v>39</v>
      </c>
      <c r="H1383" s="5">
        <v>359920.26</v>
      </c>
      <c r="I1383" s="5" t="s">
        <v>39</v>
      </c>
      <c r="J1383" s="5">
        <v>8050.0429800000002</v>
      </c>
      <c r="K1383" s="5">
        <f t="shared" si="63"/>
        <v>7.5163799999999998</v>
      </c>
      <c r="L1383" s="5">
        <f t="shared" si="64"/>
        <v>221.07</v>
      </c>
      <c r="M1383" s="5" t="s">
        <v>39</v>
      </c>
      <c r="N1383" s="5">
        <v>8050.0429800000002</v>
      </c>
      <c r="O1383" s="5" t="s">
        <v>39</v>
      </c>
      <c r="P1383" t="s">
        <v>40</v>
      </c>
      <c r="Q1383" t="s">
        <v>298</v>
      </c>
      <c r="R1383" t="s">
        <v>37</v>
      </c>
      <c r="S1383" t="s">
        <v>299</v>
      </c>
      <c r="T1383" t="s">
        <v>43</v>
      </c>
      <c r="U1383" t="s">
        <v>44</v>
      </c>
      <c r="V1383">
        <v>147</v>
      </c>
      <c r="W1383" t="s">
        <v>45</v>
      </c>
      <c r="X1383" t="s">
        <v>46</v>
      </c>
      <c r="Y1383" t="s">
        <v>300</v>
      </c>
      <c r="Z1383" t="s">
        <v>37</v>
      </c>
      <c r="AA1383" t="s">
        <v>55</v>
      </c>
      <c r="AB1383" t="s">
        <v>37</v>
      </c>
      <c r="AC1383" s="6" t="s">
        <v>37</v>
      </c>
      <c r="AD1383" s="6" t="s">
        <v>37</v>
      </c>
      <c r="AE1383" t="s">
        <v>37</v>
      </c>
      <c r="AF1383" t="s">
        <v>37</v>
      </c>
      <c r="AG1383" s="6" t="s">
        <v>37</v>
      </c>
      <c r="AH1383" t="s">
        <v>37</v>
      </c>
      <c r="AI1383" t="s">
        <v>37</v>
      </c>
      <c r="AJ1383" t="str">
        <f t="shared" si="65"/>
        <v>4A3KDTEZB00YUIM2J0</v>
      </c>
    </row>
    <row r="1384" spans="1:36" ht="15" customHeight="1" x14ac:dyDescent="0.25">
      <c r="A1384" t="s">
        <v>101</v>
      </c>
      <c r="B1384" t="s">
        <v>37</v>
      </c>
      <c r="C1384" t="s">
        <v>37</v>
      </c>
      <c r="D1384" t="s">
        <v>38</v>
      </c>
      <c r="E1384" s="4">
        <v>160</v>
      </c>
      <c r="F1384" s="5">
        <v>1684.8</v>
      </c>
      <c r="G1384" s="5" t="s">
        <v>39</v>
      </c>
      <c r="H1384" s="5">
        <v>2622.4</v>
      </c>
      <c r="I1384" s="5" t="s">
        <v>39</v>
      </c>
      <c r="J1384" s="5">
        <v>57.283200000000001</v>
      </c>
      <c r="K1384" s="5">
        <f t="shared" si="63"/>
        <v>0.35802</v>
      </c>
      <c r="L1384" s="5">
        <f t="shared" si="64"/>
        <v>10.53</v>
      </c>
      <c r="M1384" s="5" t="s">
        <v>39</v>
      </c>
      <c r="N1384" s="5">
        <v>57.283200000000001</v>
      </c>
      <c r="O1384" s="5" t="s">
        <v>39</v>
      </c>
      <c r="P1384" t="s">
        <v>274</v>
      </c>
      <c r="Q1384" t="s">
        <v>1157</v>
      </c>
      <c r="R1384" t="s">
        <v>37</v>
      </c>
      <c r="S1384" t="s">
        <v>1158</v>
      </c>
      <c r="T1384" t="s">
        <v>43</v>
      </c>
      <c r="U1384" t="s">
        <v>44</v>
      </c>
      <c r="V1384">
        <v>147</v>
      </c>
      <c r="W1384" t="s">
        <v>45</v>
      </c>
      <c r="X1384" t="s">
        <v>53</v>
      </c>
      <c r="Y1384" t="s">
        <v>1159</v>
      </c>
      <c r="Z1384" t="s">
        <v>37</v>
      </c>
      <c r="AA1384" t="s">
        <v>55</v>
      </c>
      <c r="AB1384" t="s">
        <v>37</v>
      </c>
      <c r="AC1384" s="6" t="s">
        <v>37</v>
      </c>
      <c r="AD1384" s="6" t="s">
        <v>37</v>
      </c>
      <c r="AE1384" t="s">
        <v>37</v>
      </c>
      <c r="AF1384" t="s">
        <v>37</v>
      </c>
      <c r="AG1384" s="6" t="s">
        <v>37</v>
      </c>
      <c r="AH1384" t="s">
        <v>37</v>
      </c>
      <c r="AI1384" t="s">
        <v>37</v>
      </c>
      <c r="AJ1384" t="str">
        <f t="shared" si="65"/>
        <v>4LYATDUXB07W4DH9CW</v>
      </c>
    </row>
    <row r="1385" spans="1:36" ht="15" customHeight="1" x14ac:dyDescent="0.25">
      <c r="A1385" t="s">
        <v>110</v>
      </c>
      <c r="B1385" t="s">
        <v>37</v>
      </c>
      <c r="C1385" t="s">
        <v>37</v>
      </c>
      <c r="D1385" t="s">
        <v>38</v>
      </c>
      <c r="E1385" s="4">
        <v>10</v>
      </c>
      <c r="F1385" s="5">
        <v>105.3</v>
      </c>
      <c r="G1385" s="5" t="s">
        <v>39</v>
      </c>
      <c r="H1385" s="5">
        <v>163.9</v>
      </c>
      <c r="I1385" s="5" t="s">
        <v>39</v>
      </c>
      <c r="J1385" s="5">
        <v>3.5802</v>
      </c>
      <c r="K1385" s="5">
        <f t="shared" si="63"/>
        <v>0.35802</v>
      </c>
      <c r="L1385" s="5">
        <f t="shared" si="64"/>
        <v>10.53</v>
      </c>
      <c r="M1385" s="5" t="s">
        <v>39</v>
      </c>
      <c r="N1385" s="5">
        <v>3.5802</v>
      </c>
      <c r="O1385" s="5" t="s">
        <v>39</v>
      </c>
      <c r="P1385" t="s">
        <v>274</v>
      </c>
      <c r="Q1385" t="s">
        <v>1157</v>
      </c>
      <c r="R1385" t="s">
        <v>37</v>
      </c>
      <c r="S1385" t="s">
        <v>1158</v>
      </c>
      <c r="T1385" t="s">
        <v>43</v>
      </c>
      <c r="U1385" t="s">
        <v>44</v>
      </c>
      <c r="V1385">
        <v>147</v>
      </c>
      <c r="W1385" t="s">
        <v>45</v>
      </c>
      <c r="X1385" t="s">
        <v>53</v>
      </c>
      <c r="Y1385" t="s">
        <v>1159</v>
      </c>
      <c r="Z1385" t="s">
        <v>37</v>
      </c>
      <c r="AA1385" t="s">
        <v>55</v>
      </c>
      <c r="AB1385" t="s">
        <v>37</v>
      </c>
      <c r="AC1385" s="6" t="s">
        <v>37</v>
      </c>
      <c r="AD1385" s="6" t="s">
        <v>37</v>
      </c>
      <c r="AE1385" t="s">
        <v>37</v>
      </c>
      <c r="AF1385" t="s">
        <v>37</v>
      </c>
      <c r="AG1385" s="6" t="s">
        <v>37</v>
      </c>
      <c r="AH1385" t="s">
        <v>37</v>
      </c>
      <c r="AI1385" t="s">
        <v>37</v>
      </c>
      <c r="AJ1385" t="str">
        <f t="shared" si="65"/>
        <v>4LYATDUXB07W4DH9CW</v>
      </c>
    </row>
    <row r="1386" spans="1:36" ht="15" customHeight="1" x14ac:dyDescent="0.25">
      <c r="A1386" t="s">
        <v>101</v>
      </c>
      <c r="B1386" t="s">
        <v>37</v>
      </c>
      <c r="C1386" t="s">
        <v>37</v>
      </c>
      <c r="D1386" t="s">
        <v>38</v>
      </c>
      <c r="E1386" s="4">
        <v>472</v>
      </c>
      <c r="F1386" s="5">
        <v>17430.96</v>
      </c>
      <c r="G1386" s="5" t="s">
        <v>39</v>
      </c>
      <c r="H1386" s="5">
        <v>29013.84</v>
      </c>
      <c r="I1386" s="5" t="s">
        <v>39</v>
      </c>
      <c r="J1386" s="5">
        <v>592.65264000000002</v>
      </c>
      <c r="K1386" s="5">
        <f t="shared" si="63"/>
        <v>1.25562</v>
      </c>
      <c r="L1386" s="5">
        <f t="shared" si="64"/>
        <v>36.93</v>
      </c>
      <c r="M1386" s="5" t="s">
        <v>39</v>
      </c>
      <c r="N1386" s="5">
        <v>592.65264000000002</v>
      </c>
      <c r="O1386" s="5" t="s">
        <v>39</v>
      </c>
      <c r="P1386" t="s">
        <v>320</v>
      </c>
      <c r="Q1386" t="s">
        <v>908</v>
      </c>
      <c r="R1386" t="s">
        <v>909</v>
      </c>
      <c r="S1386" t="s">
        <v>910</v>
      </c>
      <c r="T1386" t="s">
        <v>43</v>
      </c>
      <c r="U1386" t="s">
        <v>44</v>
      </c>
      <c r="V1386">
        <v>147</v>
      </c>
      <c r="W1386" t="s">
        <v>45</v>
      </c>
      <c r="X1386" t="s">
        <v>46</v>
      </c>
      <c r="Y1386" t="s">
        <v>268</v>
      </c>
      <c r="Z1386" t="s">
        <v>37</v>
      </c>
      <c r="AA1386" t="s">
        <v>55</v>
      </c>
      <c r="AB1386" t="s">
        <v>37</v>
      </c>
      <c r="AC1386" s="6" t="s">
        <v>37</v>
      </c>
      <c r="AD1386" s="6" t="s">
        <v>37</v>
      </c>
      <c r="AE1386" t="s">
        <v>37</v>
      </c>
      <c r="AF1386" t="s">
        <v>37</v>
      </c>
      <c r="AG1386" s="6" t="s">
        <v>37</v>
      </c>
      <c r="AH1386" t="s">
        <v>37</v>
      </c>
      <c r="AI1386" t="s">
        <v>37</v>
      </c>
      <c r="AJ1386" t="str">
        <f t="shared" si="65"/>
        <v>8BG295LIB07CGPZ3ZQ</v>
      </c>
    </row>
    <row r="1387" spans="1:36" ht="15" customHeight="1" x14ac:dyDescent="0.25">
      <c r="A1387" t="s">
        <v>118</v>
      </c>
      <c r="B1387" t="s">
        <v>37</v>
      </c>
      <c r="C1387" t="s">
        <v>37</v>
      </c>
      <c r="D1387" t="s">
        <v>38</v>
      </c>
      <c r="E1387" s="4">
        <v>220</v>
      </c>
      <c r="F1387" s="5">
        <v>3605.8</v>
      </c>
      <c r="G1387" s="5" t="s">
        <v>39</v>
      </c>
      <c r="H1387" s="5">
        <v>5407.6</v>
      </c>
      <c r="I1387" s="5" t="s">
        <v>39</v>
      </c>
      <c r="J1387" s="5">
        <v>122.5972</v>
      </c>
      <c r="K1387" s="5">
        <f t="shared" si="63"/>
        <v>0.55725999999999998</v>
      </c>
      <c r="L1387" s="5">
        <f t="shared" si="64"/>
        <v>16.39</v>
      </c>
      <c r="M1387" s="5" t="s">
        <v>39</v>
      </c>
      <c r="N1387" s="5">
        <v>122.5972</v>
      </c>
      <c r="O1387" s="5" t="s">
        <v>39</v>
      </c>
      <c r="P1387" t="s">
        <v>119</v>
      </c>
      <c r="Q1387" t="s">
        <v>1128</v>
      </c>
      <c r="R1387" t="s">
        <v>37</v>
      </c>
      <c r="S1387" t="s">
        <v>1129</v>
      </c>
      <c r="T1387" t="s">
        <v>43</v>
      </c>
      <c r="U1387" t="s">
        <v>44</v>
      </c>
      <c r="V1387">
        <v>147</v>
      </c>
      <c r="W1387" t="s">
        <v>45</v>
      </c>
      <c r="X1387" t="s">
        <v>53</v>
      </c>
      <c r="Y1387" t="s">
        <v>1130</v>
      </c>
      <c r="Z1387" t="s">
        <v>37</v>
      </c>
      <c r="AA1387" t="s">
        <v>55</v>
      </c>
      <c r="AB1387" t="s">
        <v>37</v>
      </c>
      <c r="AC1387" s="6" t="s">
        <v>37</v>
      </c>
      <c r="AD1387" s="6" t="s">
        <v>37</v>
      </c>
      <c r="AE1387" t="s">
        <v>37</v>
      </c>
      <c r="AF1387" t="s">
        <v>37</v>
      </c>
      <c r="AG1387" s="6" t="s">
        <v>37</v>
      </c>
      <c r="AH1387" t="s">
        <v>37</v>
      </c>
      <c r="AI1387" t="s">
        <v>37</v>
      </c>
      <c r="AJ1387" t="str">
        <f t="shared" si="65"/>
        <v>31DJDC7QB07W4DJ16Z</v>
      </c>
    </row>
    <row r="1388" spans="1:36" ht="15" customHeight="1" x14ac:dyDescent="0.25">
      <c r="A1388" t="s">
        <v>110</v>
      </c>
      <c r="B1388" t="s">
        <v>37</v>
      </c>
      <c r="C1388" t="s">
        <v>37</v>
      </c>
      <c r="D1388" t="s">
        <v>38</v>
      </c>
      <c r="E1388" s="4">
        <v>28</v>
      </c>
      <c r="F1388" s="5">
        <v>1034.04</v>
      </c>
      <c r="G1388" s="5" t="s">
        <v>39</v>
      </c>
      <c r="H1388" s="5">
        <v>1721.16</v>
      </c>
      <c r="I1388" s="5" t="s">
        <v>39</v>
      </c>
      <c r="J1388" s="5">
        <v>35.157359999999997</v>
      </c>
      <c r="K1388" s="5">
        <f t="shared" si="63"/>
        <v>1.25562</v>
      </c>
      <c r="L1388" s="5">
        <f t="shared" si="64"/>
        <v>36.93</v>
      </c>
      <c r="M1388" s="5" t="s">
        <v>39</v>
      </c>
      <c r="N1388" s="5">
        <v>35.157359999999997</v>
      </c>
      <c r="O1388" s="5" t="s">
        <v>39</v>
      </c>
      <c r="P1388" t="s">
        <v>320</v>
      </c>
      <c r="Q1388" t="s">
        <v>908</v>
      </c>
      <c r="R1388" t="s">
        <v>909</v>
      </c>
      <c r="S1388" t="s">
        <v>910</v>
      </c>
      <c r="T1388" t="s">
        <v>43</v>
      </c>
      <c r="U1388" t="s">
        <v>44</v>
      </c>
      <c r="V1388">
        <v>147</v>
      </c>
      <c r="W1388" t="s">
        <v>45</v>
      </c>
      <c r="X1388" t="s">
        <v>46</v>
      </c>
      <c r="Y1388" t="s">
        <v>268</v>
      </c>
      <c r="Z1388" t="s">
        <v>37</v>
      </c>
      <c r="AA1388" t="s">
        <v>55</v>
      </c>
      <c r="AB1388" t="s">
        <v>37</v>
      </c>
      <c r="AC1388" s="6" t="s">
        <v>37</v>
      </c>
      <c r="AD1388" s="6" t="s">
        <v>37</v>
      </c>
      <c r="AE1388" t="s">
        <v>37</v>
      </c>
      <c r="AF1388" t="s">
        <v>37</v>
      </c>
      <c r="AG1388" s="6" t="s">
        <v>37</v>
      </c>
      <c r="AH1388" t="s">
        <v>37</v>
      </c>
      <c r="AI1388" t="s">
        <v>37</v>
      </c>
      <c r="AJ1388" t="str">
        <f t="shared" si="65"/>
        <v>8BG295LIB07CGPZ3ZQ</v>
      </c>
    </row>
    <row r="1389" spans="1:36" ht="15" customHeight="1" x14ac:dyDescent="0.25">
      <c r="A1389" t="s">
        <v>162</v>
      </c>
      <c r="B1389" t="s">
        <v>37</v>
      </c>
      <c r="C1389" t="s">
        <v>37</v>
      </c>
      <c r="D1389" t="s">
        <v>38</v>
      </c>
      <c r="E1389" s="4">
        <v>1</v>
      </c>
      <c r="F1389" s="5">
        <v>34.29</v>
      </c>
      <c r="G1389" s="5" t="s">
        <v>39</v>
      </c>
      <c r="H1389" s="5">
        <v>50.81</v>
      </c>
      <c r="I1389" s="5" t="s">
        <v>39</v>
      </c>
      <c r="J1389" s="5">
        <v>1.1658599999999999</v>
      </c>
      <c r="K1389" s="5">
        <f t="shared" si="63"/>
        <v>1.1658599999999999</v>
      </c>
      <c r="L1389" s="5">
        <f t="shared" si="64"/>
        <v>34.29</v>
      </c>
      <c r="M1389" s="5" t="s">
        <v>39</v>
      </c>
      <c r="N1389" s="5">
        <v>1.1658599999999999</v>
      </c>
      <c r="O1389" s="5" t="s">
        <v>39</v>
      </c>
      <c r="P1389" t="s">
        <v>365</v>
      </c>
      <c r="Q1389" t="s">
        <v>1307</v>
      </c>
      <c r="R1389" t="s">
        <v>37</v>
      </c>
      <c r="S1389" t="s">
        <v>1308</v>
      </c>
      <c r="T1389" t="s">
        <v>43</v>
      </c>
      <c r="U1389" t="s">
        <v>44</v>
      </c>
      <c r="V1389">
        <v>147</v>
      </c>
      <c r="W1389" t="s">
        <v>45</v>
      </c>
      <c r="X1389" t="s">
        <v>46</v>
      </c>
      <c r="Y1389" t="s">
        <v>1309</v>
      </c>
      <c r="Z1389" t="s">
        <v>37</v>
      </c>
      <c r="AA1389" t="s">
        <v>55</v>
      </c>
      <c r="AB1389" t="s">
        <v>37</v>
      </c>
      <c r="AC1389" s="6" t="s">
        <v>37</v>
      </c>
      <c r="AD1389" s="6" t="s">
        <v>37</v>
      </c>
      <c r="AE1389" t="s">
        <v>37</v>
      </c>
      <c r="AF1389" t="s">
        <v>37</v>
      </c>
      <c r="AG1389" s="6" t="s">
        <v>37</v>
      </c>
      <c r="AH1389" t="s">
        <v>37</v>
      </c>
      <c r="AI1389" t="s">
        <v>37</v>
      </c>
      <c r="AJ1389" t="str">
        <f t="shared" si="65"/>
        <v>3KYCEHVHB00ZWOUH4S</v>
      </c>
    </row>
    <row r="1390" spans="1:36" ht="15" customHeight="1" x14ac:dyDescent="0.25">
      <c r="A1390" t="s">
        <v>162</v>
      </c>
      <c r="B1390" t="s">
        <v>37</v>
      </c>
      <c r="C1390" t="s">
        <v>37</v>
      </c>
      <c r="D1390" t="s">
        <v>38</v>
      </c>
      <c r="E1390" s="4">
        <v>20</v>
      </c>
      <c r="F1390" s="5">
        <v>327.8</v>
      </c>
      <c r="G1390" s="5" t="s">
        <v>39</v>
      </c>
      <c r="H1390" s="5">
        <v>491.6</v>
      </c>
      <c r="I1390" s="5" t="s">
        <v>39</v>
      </c>
      <c r="J1390" s="5">
        <v>11.145200000000001</v>
      </c>
      <c r="K1390" s="5">
        <f t="shared" si="63"/>
        <v>0.55726000000000009</v>
      </c>
      <c r="L1390" s="5">
        <f t="shared" si="64"/>
        <v>16.39</v>
      </c>
      <c r="M1390" s="5" t="s">
        <v>39</v>
      </c>
      <c r="N1390" s="5">
        <v>11.145200000000001</v>
      </c>
      <c r="O1390" s="5" t="s">
        <v>39</v>
      </c>
      <c r="P1390" t="s">
        <v>1851</v>
      </c>
      <c r="Q1390" t="s">
        <v>163</v>
      </c>
      <c r="R1390" t="s">
        <v>164</v>
      </c>
      <c r="S1390" t="s">
        <v>165</v>
      </c>
      <c r="T1390" t="s">
        <v>43</v>
      </c>
      <c r="U1390" t="s">
        <v>44</v>
      </c>
      <c r="V1390">
        <v>147</v>
      </c>
      <c r="W1390" t="s">
        <v>45</v>
      </c>
      <c r="X1390" t="s">
        <v>53</v>
      </c>
      <c r="Y1390" t="s">
        <v>166</v>
      </c>
      <c r="Z1390" t="s">
        <v>37</v>
      </c>
      <c r="AA1390" t="s">
        <v>48</v>
      </c>
      <c r="AB1390" t="s">
        <v>37</v>
      </c>
      <c r="AC1390" s="6" t="s">
        <v>37</v>
      </c>
      <c r="AD1390" s="6" t="s">
        <v>37</v>
      </c>
      <c r="AE1390" t="s">
        <v>37</v>
      </c>
      <c r="AF1390" t="s">
        <v>37</v>
      </c>
      <c r="AG1390" s="6" t="s">
        <v>37</v>
      </c>
      <c r="AH1390" t="s">
        <v>37</v>
      </c>
      <c r="AI1390" t="s">
        <v>37</v>
      </c>
      <c r="AJ1390" t="str">
        <f t="shared" si="65"/>
        <v>5PBSTBMJB01K7GEG9W</v>
      </c>
    </row>
    <row r="1391" spans="1:36" ht="15" customHeight="1" x14ac:dyDescent="0.25">
      <c r="A1391" t="s">
        <v>88</v>
      </c>
      <c r="B1391" t="s">
        <v>37</v>
      </c>
      <c r="C1391" t="s">
        <v>37</v>
      </c>
      <c r="D1391" t="s">
        <v>38</v>
      </c>
      <c r="E1391" s="4">
        <v>4</v>
      </c>
      <c r="F1391" s="5">
        <v>230.04</v>
      </c>
      <c r="G1391" s="5" t="s">
        <v>39</v>
      </c>
      <c r="H1391" s="5">
        <v>390.16</v>
      </c>
      <c r="I1391" s="5" t="s">
        <v>39</v>
      </c>
      <c r="J1391" s="5">
        <v>7.8213600000000003</v>
      </c>
      <c r="K1391" s="5">
        <f t="shared" si="63"/>
        <v>1.9553400000000001</v>
      </c>
      <c r="L1391" s="5">
        <f t="shared" si="64"/>
        <v>57.51</v>
      </c>
      <c r="M1391" s="5" t="s">
        <v>39</v>
      </c>
      <c r="N1391" s="5">
        <v>7.8213600000000003</v>
      </c>
      <c r="O1391" s="5" t="s">
        <v>39</v>
      </c>
      <c r="P1391" t="s">
        <v>89</v>
      </c>
      <c r="Q1391" t="s">
        <v>745</v>
      </c>
      <c r="R1391" t="s">
        <v>37</v>
      </c>
      <c r="S1391" t="s">
        <v>746</v>
      </c>
      <c r="T1391" t="s">
        <v>43</v>
      </c>
      <c r="U1391" t="s">
        <v>44</v>
      </c>
      <c r="V1391">
        <v>147</v>
      </c>
      <c r="W1391" t="s">
        <v>45</v>
      </c>
      <c r="X1391" t="s">
        <v>46</v>
      </c>
      <c r="Y1391" t="s">
        <v>747</v>
      </c>
      <c r="Z1391" t="s">
        <v>37</v>
      </c>
      <c r="AA1391" t="s">
        <v>48</v>
      </c>
      <c r="AB1391" t="s">
        <v>37</v>
      </c>
      <c r="AC1391" s="6" t="s">
        <v>37</v>
      </c>
      <c r="AD1391" s="6" t="s">
        <v>37</v>
      </c>
      <c r="AE1391" t="s">
        <v>37</v>
      </c>
      <c r="AF1391" t="s">
        <v>37</v>
      </c>
      <c r="AG1391" s="6" t="s">
        <v>37</v>
      </c>
      <c r="AH1391" t="s">
        <v>37</v>
      </c>
      <c r="AI1391" t="s">
        <v>37</v>
      </c>
      <c r="AJ1391" t="str">
        <f t="shared" si="65"/>
        <v>2W68T8TOB01MFBNN9J</v>
      </c>
    </row>
    <row r="1392" spans="1:36" ht="15" customHeight="1" x14ac:dyDescent="0.25">
      <c r="A1392" t="s">
        <v>36</v>
      </c>
      <c r="B1392" t="s">
        <v>37</v>
      </c>
      <c r="C1392" t="s">
        <v>37</v>
      </c>
      <c r="D1392" t="s">
        <v>38</v>
      </c>
      <c r="E1392" s="4">
        <v>40</v>
      </c>
      <c r="F1392" s="5">
        <v>7166.4</v>
      </c>
      <c r="G1392" s="5" t="s">
        <v>39</v>
      </c>
      <c r="H1392" s="5">
        <v>8492</v>
      </c>
      <c r="I1392" s="5" t="s">
        <v>39</v>
      </c>
      <c r="J1392" s="5">
        <v>243.6576</v>
      </c>
      <c r="K1392" s="5">
        <f t="shared" si="63"/>
        <v>6.0914400000000004</v>
      </c>
      <c r="L1392" s="5">
        <f t="shared" si="64"/>
        <v>179.16</v>
      </c>
      <c r="M1392" s="5" t="s">
        <v>39</v>
      </c>
      <c r="N1392" s="5">
        <v>243.6576</v>
      </c>
      <c r="O1392" s="5" t="s">
        <v>39</v>
      </c>
      <c r="P1392" t="s">
        <v>133</v>
      </c>
      <c r="Q1392" t="s">
        <v>1011</v>
      </c>
      <c r="R1392" t="s">
        <v>37</v>
      </c>
      <c r="S1392" t="s">
        <v>1012</v>
      </c>
      <c r="T1392" t="s">
        <v>43</v>
      </c>
      <c r="U1392" t="s">
        <v>44</v>
      </c>
      <c r="V1392">
        <v>267</v>
      </c>
      <c r="W1392" t="s">
        <v>151</v>
      </c>
      <c r="X1392" t="s">
        <v>152</v>
      </c>
      <c r="Y1392" t="s">
        <v>1013</v>
      </c>
      <c r="Z1392" t="s">
        <v>37</v>
      </c>
      <c r="AA1392" t="s">
        <v>55</v>
      </c>
      <c r="AB1392" t="s">
        <v>37</v>
      </c>
      <c r="AC1392" s="6" t="s">
        <v>37</v>
      </c>
      <c r="AD1392" s="6" t="s">
        <v>37</v>
      </c>
      <c r="AE1392" t="s">
        <v>37</v>
      </c>
      <c r="AF1392" t="s">
        <v>37</v>
      </c>
      <c r="AG1392" s="6" t="s">
        <v>37</v>
      </c>
      <c r="AH1392" t="s">
        <v>37</v>
      </c>
      <c r="AI1392" t="s">
        <v>37</v>
      </c>
      <c r="AJ1392" t="str">
        <f t="shared" si="65"/>
        <v>36BT7GGLB07W6HKDNR</v>
      </c>
    </row>
    <row r="1393" spans="1:36" ht="15" customHeight="1" x14ac:dyDescent="0.25">
      <c r="A1393" t="s">
        <v>110</v>
      </c>
      <c r="B1393" t="s">
        <v>37</v>
      </c>
      <c r="C1393" t="s">
        <v>37</v>
      </c>
      <c r="D1393" t="s">
        <v>38</v>
      </c>
      <c r="E1393" s="4">
        <v>0</v>
      </c>
      <c r="F1393" s="5">
        <v>0</v>
      </c>
      <c r="G1393" s="5" t="s">
        <v>39</v>
      </c>
      <c r="H1393" s="5">
        <v>0</v>
      </c>
      <c r="I1393" s="5" t="s">
        <v>39</v>
      </c>
      <c r="J1393" s="5">
        <v>0</v>
      </c>
      <c r="K1393" s="5" t="e">
        <f t="shared" si="63"/>
        <v>#DIV/0!</v>
      </c>
      <c r="L1393" s="5" t="e">
        <f t="shared" si="64"/>
        <v>#DIV/0!</v>
      </c>
      <c r="M1393" s="5" t="s">
        <v>39</v>
      </c>
      <c r="N1393" s="5">
        <v>0</v>
      </c>
      <c r="O1393" s="5" t="s">
        <v>39</v>
      </c>
      <c r="P1393" t="s">
        <v>1851</v>
      </c>
      <c r="Q1393" t="s">
        <v>163</v>
      </c>
      <c r="R1393" t="s">
        <v>164</v>
      </c>
      <c r="S1393" t="s">
        <v>165</v>
      </c>
      <c r="T1393" t="s">
        <v>43</v>
      </c>
      <c r="U1393" t="s">
        <v>44</v>
      </c>
      <c r="V1393">
        <v>147</v>
      </c>
      <c r="W1393" t="s">
        <v>45</v>
      </c>
      <c r="X1393" t="s">
        <v>53</v>
      </c>
      <c r="Y1393" t="s">
        <v>166</v>
      </c>
      <c r="Z1393" t="s">
        <v>37</v>
      </c>
      <c r="AA1393" t="s">
        <v>48</v>
      </c>
      <c r="AB1393" t="s">
        <v>37</v>
      </c>
      <c r="AC1393" s="6" t="s">
        <v>37</v>
      </c>
      <c r="AD1393" s="6" t="s">
        <v>37</v>
      </c>
      <c r="AE1393" t="s">
        <v>37</v>
      </c>
      <c r="AF1393" t="s">
        <v>37</v>
      </c>
      <c r="AG1393" s="6" t="s">
        <v>37</v>
      </c>
      <c r="AH1393" t="s">
        <v>37</v>
      </c>
      <c r="AI1393" t="s">
        <v>37</v>
      </c>
      <c r="AJ1393" t="str">
        <f t="shared" si="65"/>
        <v>5PBSTBMJB01K7GEG9W</v>
      </c>
    </row>
    <row r="1394" spans="1:36" ht="15" customHeight="1" x14ac:dyDescent="0.25">
      <c r="A1394" t="s">
        <v>118</v>
      </c>
      <c r="B1394" t="s">
        <v>37</v>
      </c>
      <c r="C1394" t="s">
        <v>37</v>
      </c>
      <c r="D1394" t="s">
        <v>38</v>
      </c>
      <c r="E1394" s="4">
        <v>4</v>
      </c>
      <c r="F1394" s="5">
        <v>105.48</v>
      </c>
      <c r="G1394" s="5" t="s">
        <v>39</v>
      </c>
      <c r="H1394" s="5">
        <v>170.44</v>
      </c>
      <c r="I1394" s="5" t="s">
        <v>39</v>
      </c>
      <c r="J1394" s="5">
        <v>3.5863200000000002</v>
      </c>
      <c r="K1394" s="5">
        <f t="shared" si="63"/>
        <v>0.89658000000000004</v>
      </c>
      <c r="L1394" s="5">
        <f t="shared" si="64"/>
        <v>26.37</v>
      </c>
      <c r="M1394" s="5" t="s">
        <v>39</v>
      </c>
      <c r="N1394" s="5">
        <v>3.5863200000000002</v>
      </c>
      <c r="O1394" s="5" t="s">
        <v>39</v>
      </c>
      <c r="P1394" t="s">
        <v>202</v>
      </c>
      <c r="Q1394" t="s">
        <v>678</v>
      </c>
      <c r="R1394" t="s">
        <v>37</v>
      </c>
      <c r="S1394" t="s">
        <v>679</v>
      </c>
      <c r="T1394" t="s">
        <v>43</v>
      </c>
      <c r="U1394" t="s">
        <v>44</v>
      </c>
      <c r="V1394">
        <v>147</v>
      </c>
      <c r="W1394" t="s">
        <v>45</v>
      </c>
      <c r="X1394" t="s">
        <v>590</v>
      </c>
      <c r="Y1394" t="s">
        <v>591</v>
      </c>
      <c r="Z1394" t="s">
        <v>37</v>
      </c>
      <c r="AA1394" t="s">
        <v>55</v>
      </c>
      <c r="AB1394" t="s">
        <v>37</v>
      </c>
      <c r="AC1394" s="6" t="s">
        <v>37</v>
      </c>
      <c r="AD1394" s="6" t="s">
        <v>37</v>
      </c>
      <c r="AE1394" t="s">
        <v>37</v>
      </c>
      <c r="AF1394" t="s">
        <v>37</v>
      </c>
      <c r="AG1394" s="6" t="s">
        <v>37</v>
      </c>
      <c r="AH1394" t="s">
        <v>37</v>
      </c>
      <c r="AI1394" t="s">
        <v>37</v>
      </c>
      <c r="AJ1394" t="str">
        <f t="shared" si="65"/>
        <v>39TAD6PCB07W5JKT4S</v>
      </c>
    </row>
    <row r="1395" spans="1:36" ht="15" customHeight="1" x14ac:dyDescent="0.25">
      <c r="A1395" t="s">
        <v>96</v>
      </c>
      <c r="B1395" t="s">
        <v>37</v>
      </c>
      <c r="C1395" t="s">
        <v>37</v>
      </c>
      <c r="D1395" t="s">
        <v>38</v>
      </c>
      <c r="E1395" s="4">
        <v>32</v>
      </c>
      <c r="F1395" s="5">
        <v>3740.48</v>
      </c>
      <c r="G1395" s="5" t="s">
        <v>39</v>
      </c>
      <c r="H1395" s="5">
        <v>4432.6400000000003</v>
      </c>
      <c r="I1395" s="5" t="s">
        <v>39</v>
      </c>
      <c r="J1395" s="5">
        <v>127.17632</v>
      </c>
      <c r="K1395" s="5">
        <f t="shared" si="63"/>
        <v>3.9742600000000001</v>
      </c>
      <c r="L1395" s="5">
        <f t="shared" si="64"/>
        <v>116.89</v>
      </c>
      <c r="M1395" s="5" t="s">
        <v>39</v>
      </c>
      <c r="N1395" s="5">
        <v>127.17632</v>
      </c>
      <c r="O1395" s="5" t="s">
        <v>39</v>
      </c>
      <c r="P1395" t="s">
        <v>969</v>
      </c>
      <c r="Q1395" t="s">
        <v>1817</v>
      </c>
      <c r="R1395" t="s">
        <v>37</v>
      </c>
      <c r="S1395" t="s">
        <v>1818</v>
      </c>
      <c r="T1395" t="s">
        <v>43</v>
      </c>
      <c r="U1395" t="s">
        <v>44</v>
      </c>
      <c r="V1395">
        <v>147</v>
      </c>
      <c r="W1395" t="s">
        <v>45</v>
      </c>
      <c r="X1395" t="s">
        <v>46</v>
      </c>
      <c r="Y1395" t="s">
        <v>1819</v>
      </c>
      <c r="Z1395" t="s">
        <v>37</v>
      </c>
      <c r="AA1395" t="s">
        <v>55</v>
      </c>
      <c r="AB1395" t="s">
        <v>37</v>
      </c>
      <c r="AC1395" s="6" t="s">
        <v>37</v>
      </c>
      <c r="AD1395" s="6" t="s">
        <v>37</v>
      </c>
      <c r="AE1395" t="s">
        <v>37</v>
      </c>
      <c r="AF1395" t="s">
        <v>37</v>
      </c>
      <c r="AG1395" s="6" t="s">
        <v>37</v>
      </c>
      <c r="AH1395" t="s">
        <v>37</v>
      </c>
      <c r="AI1395" t="s">
        <v>37</v>
      </c>
      <c r="AJ1395" t="str">
        <f t="shared" si="65"/>
        <v>1VBBCE3CB07HR4KVSN</v>
      </c>
    </row>
    <row r="1396" spans="1:36" ht="15" customHeight="1" x14ac:dyDescent="0.25">
      <c r="A1396" t="s">
        <v>118</v>
      </c>
      <c r="B1396" t="s">
        <v>37</v>
      </c>
      <c r="C1396" t="s">
        <v>37</v>
      </c>
      <c r="D1396" t="s">
        <v>38</v>
      </c>
      <c r="E1396" s="4">
        <v>4</v>
      </c>
      <c r="F1396" s="5">
        <v>116.04</v>
      </c>
      <c r="G1396" s="5" t="s">
        <v>39</v>
      </c>
      <c r="H1396" s="5">
        <v>163.92</v>
      </c>
      <c r="I1396" s="5" t="s">
        <v>39</v>
      </c>
      <c r="J1396" s="5">
        <v>3.94536</v>
      </c>
      <c r="K1396" s="5">
        <f t="shared" si="63"/>
        <v>0.98633999999999999</v>
      </c>
      <c r="L1396" s="5">
        <f t="shared" si="64"/>
        <v>29.01</v>
      </c>
      <c r="M1396" s="5" t="s">
        <v>39</v>
      </c>
      <c r="N1396" s="5">
        <v>3.94536</v>
      </c>
      <c r="O1396" s="5" t="s">
        <v>39</v>
      </c>
      <c r="P1396" t="s">
        <v>141</v>
      </c>
      <c r="Q1396" t="s">
        <v>1303</v>
      </c>
      <c r="R1396" t="s">
        <v>1304</v>
      </c>
      <c r="S1396" t="s">
        <v>1305</v>
      </c>
      <c r="T1396" t="s">
        <v>43</v>
      </c>
      <c r="U1396" t="s">
        <v>44</v>
      </c>
      <c r="V1396">
        <v>147</v>
      </c>
      <c r="W1396" t="s">
        <v>45</v>
      </c>
      <c r="X1396" t="s">
        <v>46</v>
      </c>
      <c r="Y1396" t="s">
        <v>1306</v>
      </c>
      <c r="Z1396" t="s">
        <v>37</v>
      </c>
      <c r="AA1396" t="s">
        <v>48</v>
      </c>
      <c r="AB1396" t="s">
        <v>37</v>
      </c>
      <c r="AC1396" s="6" t="s">
        <v>37</v>
      </c>
      <c r="AD1396" s="6" t="s">
        <v>37</v>
      </c>
      <c r="AE1396" t="s">
        <v>37</v>
      </c>
      <c r="AF1396" t="s">
        <v>37</v>
      </c>
      <c r="AG1396" s="6" t="s">
        <v>37</v>
      </c>
      <c r="AH1396" t="s">
        <v>37</v>
      </c>
      <c r="AI1396" t="s">
        <v>37</v>
      </c>
      <c r="AJ1396" t="str">
        <f t="shared" si="65"/>
        <v>56UO2L2IB00CJAEX5M</v>
      </c>
    </row>
    <row r="1397" spans="1:36" ht="15" customHeight="1" x14ac:dyDescent="0.25">
      <c r="A1397" t="s">
        <v>36</v>
      </c>
      <c r="B1397" t="s">
        <v>37</v>
      </c>
      <c r="C1397" t="s">
        <v>37</v>
      </c>
      <c r="D1397" t="s">
        <v>38</v>
      </c>
      <c r="E1397" s="4">
        <v>72</v>
      </c>
      <c r="F1397" s="5">
        <v>3852.72</v>
      </c>
      <c r="G1397" s="5" t="s">
        <v>39</v>
      </c>
      <c r="H1397" s="5">
        <v>5901.12</v>
      </c>
      <c r="I1397" s="5" t="s">
        <v>39</v>
      </c>
      <c r="J1397" s="5">
        <v>130.99248</v>
      </c>
      <c r="K1397" s="5">
        <f t="shared" si="63"/>
        <v>1.81934</v>
      </c>
      <c r="L1397" s="5">
        <f t="shared" si="64"/>
        <v>53.51</v>
      </c>
      <c r="M1397" s="5" t="s">
        <v>39</v>
      </c>
      <c r="N1397" s="5">
        <v>130.99248</v>
      </c>
      <c r="O1397" s="5" t="s">
        <v>39</v>
      </c>
      <c r="P1397" t="s">
        <v>119</v>
      </c>
      <c r="Q1397" t="s">
        <v>1645</v>
      </c>
      <c r="R1397" t="s">
        <v>37</v>
      </c>
      <c r="S1397" t="s">
        <v>1646</v>
      </c>
      <c r="T1397" t="s">
        <v>43</v>
      </c>
      <c r="U1397" t="s">
        <v>44</v>
      </c>
      <c r="V1397">
        <v>23</v>
      </c>
      <c r="W1397" t="s">
        <v>281</v>
      </c>
      <c r="X1397" t="s">
        <v>282</v>
      </c>
      <c r="Y1397" t="s">
        <v>1647</v>
      </c>
      <c r="Z1397" t="s">
        <v>37</v>
      </c>
      <c r="AA1397" t="s">
        <v>95</v>
      </c>
      <c r="AB1397" t="s">
        <v>37</v>
      </c>
      <c r="AC1397" s="6" t="s">
        <v>37</v>
      </c>
      <c r="AD1397" s="6" t="s">
        <v>37</v>
      </c>
      <c r="AE1397" t="s">
        <v>37</v>
      </c>
      <c r="AF1397" t="s">
        <v>37</v>
      </c>
      <c r="AG1397" s="6" t="s">
        <v>37</v>
      </c>
      <c r="AH1397" t="s">
        <v>37</v>
      </c>
      <c r="AI1397" t="s">
        <v>37</v>
      </c>
      <c r="AJ1397" t="str">
        <f t="shared" si="65"/>
        <v>31DJDC7QB07W5JHF97</v>
      </c>
    </row>
    <row r="1398" spans="1:36" ht="15" customHeight="1" x14ac:dyDescent="0.25">
      <c r="A1398" t="s">
        <v>49</v>
      </c>
      <c r="B1398" t="s">
        <v>37</v>
      </c>
      <c r="C1398" t="s">
        <v>37</v>
      </c>
      <c r="D1398" t="s">
        <v>38</v>
      </c>
      <c r="E1398" s="4">
        <v>8</v>
      </c>
      <c r="F1398" s="5">
        <v>935.12</v>
      </c>
      <c r="G1398" s="5" t="s">
        <v>39</v>
      </c>
      <c r="H1398" s="5">
        <v>1108.1600000000001</v>
      </c>
      <c r="I1398" s="5" t="s">
        <v>39</v>
      </c>
      <c r="J1398" s="5">
        <v>31.794080000000001</v>
      </c>
      <c r="K1398" s="5">
        <f t="shared" si="63"/>
        <v>3.9742600000000001</v>
      </c>
      <c r="L1398" s="5">
        <f t="shared" si="64"/>
        <v>116.89</v>
      </c>
      <c r="M1398" s="5" t="s">
        <v>39</v>
      </c>
      <c r="N1398" s="5">
        <v>31.794080000000001</v>
      </c>
      <c r="O1398" s="5" t="s">
        <v>39</v>
      </c>
      <c r="P1398" t="s">
        <v>969</v>
      </c>
      <c r="Q1398" t="s">
        <v>1817</v>
      </c>
      <c r="R1398" t="s">
        <v>37</v>
      </c>
      <c r="S1398" t="s">
        <v>1818</v>
      </c>
      <c r="T1398" t="s">
        <v>43</v>
      </c>
      <c r="U1398" t="s">
        <v>44</v>
      </c>
      <c r="V1398">
        <v>147</v>
      </c>
      <c r="W1398" t="s">
        <v>45</v>
      </c>
      <c r="X1398" t="s">
        <v>46</v>
      </c>
      <c r="Y1398" t="s">
        <v>1819</v>
      </c>
      <c r="Z1398" t="s">
        <v>37</v>
      </c>
      <c r="AA1398" t="s">
        <v>55</v>
      </c>
      <c r="AB1398" t="s">
        <v>37</v>
      </c>
      <c r="AC1398" s="6" t="s">
        <v>37</v>
      </c>
      <c r="AD1398" s="6" t="s">
        <v>37</v>
      </c>
      <c r="AE1398" t="s">
        <v>37</v>
      </c>
      <c r="AF1398" t="s">
        <v>37</v>
      </c>
      <c r="AG1398" s="6" t="s">
        <v>37</v>
      </c>
      <c r="AH1398" t="s">
        <v>37</v>
      </c>
      <c r="AI1398" t="s">
        <v>37</v>
      </c>
      <c r="AJ1398" t="str">
        <f t="shared" si="65"/>
        <v>1VBBCE3CB07HR4KVSN</v>
      </c>
    </row>
    <row r="1399" spans="1:36" ht="15" customHeight="1" x14ac:dyDescent="0.25">
      <c r="A1399" t="s">
        <v>210</v>
      </c>
      <c r="B1399" t="s">
        <v>37</v>
      </c>
      <c r="C1399" t="s">
        <v>37</v>
      </c>
      <c r="D1399" t="s">
        <v>38</v>
      </c>
      <c r="E1399" s="4">
        <v>20</v>
      </c>
      <c r="F1399" s="5">
        <v>2308.8000000000002</v>
      </c>
      <c r="G1399" s="5" t="s">
        <v>39</v>
      </c>
      <c r="H1399" s="5">
        <v>2934.4</v>
      </c>
      <c r="I1399" s="5" t="s">
        <v>39</v>
      </c>
      <c r="J1399" s="5">
        <v>78.499200000000002</v>
      </c>
      <c r="K1399" s="5">
        <f t="shared" si="63"/>
        <v>3.92496</v>
      </c>
      <c r="L1399" s="5">
        <f t="shared" si="64"/>
        <v>115.44000000000001</v>
      </c>
      <c r="M1399" s="5" t="s">
        <v>39</v>
      </c>
      <c r="N1399" s="5">
        <v>78.499200000000002</v>
      </c>
      <c r="O1399" s="5" t="s">
        <v>39</v>
      </c>
      <c r="P1399" t="s">
        <v>211</v>
      </c>
      <c r="Q1399" t="s">
        <v>480</v>
      </c>
      <c r="R1399" t="s">
        <v>481</v>
      </c>
      <c r="S1399" t="s">
        <v>482</v>
      </c>
      <c r="T1399" t="s">
        <v>43</v>
      </c>
      <c r="U1399" t="s">
        <v>44</v>
      </c>
      <c r="V1399">
        <v>147</v>
      </c>
      <c r="W1399" t="s">
        <v>45</v>
      </c>
      <c r="X1399" t="s">
        <v>389</v>
      </c>
      <c r="Y1399" t="s">
        <v>483</v>
      </c>
      <c r="Z1399" t="s">
        <v>37</v>
      </c>
      <c r="AA1399" t="s">
        <v>95</v>
      </c>
      <c r="AB1399" t="s">
        <v>37</v>
      </c>
      <c r="AC1399" s="6" t="s">
        <v>37</v>
      </c>
      <c r="AD1399" s="6" t="s">
        <v>37</v>
      </c>
      <c r="AE1399" t="s">
        <v>37</v>
      </c>
      <c r="AF1399" t="s">
        <v>37</v>
      </c>
      <c r="AG1399" s="6" t="s">
        <v>37</v>
      </c>
      <c r="AH1399" t="s">
        <v>37</v>
      </c>
      <c r="AI1399" t="s">
        <v>37</v>
      </c>
      <c r="AJ1399" t="str">
        <f t="shared" si="65"/>
        <v>7ILTX3HJB003UPJXIC</v>
      </c>
    </row>
    <row r="1400" spans="1:36" ht="15" customHeight="1" x14ac:dyDescent="0.25">
      <c r="A1400" t="s">
        <v>36</v>
      </c>
      <c r="B1400" t="s">
        <v>37</v>
      </c>
      <c r="C1400" t="s">
        <v>37</v>
      </c>
      <c r="D1400" t="s">
        <v>38</v>
      </c>
      <c r="E1400" s="4">
        <v>20</v>
      </c>
      <c r="F1400" s="5">
        <v>1720</v>
      </c>
      <c r="G1400" s="5" t="s">
        <v>39</v>
      </c>
      <c r="H1400" s="5">
        <v>2213</v>
      </c>
      <c r="I1400" s="5" t="s">
        <v>39</v>
      </c>
      <c r="J1400" s="5">
        <v>58.48</v>
      </c>
      <c r="K1400" s="5">
        <f t="shared" si="63"/>
        <v>2.9239999999999999</v>
      </c>
      <c r="L1400" s="5">
        <f t="shared" si="64"/>
        <v>86</v>
      </c>
      <c r="M1400" s="5" t="s">
        <v>39</v>
      </c>
      <c r="N1400" s="5">
        <v>58.48</v>
      </c>
      <c r="O1400" s="5" t="s">
        <v>39</v>
      </c>
      <c r="P1400" t="s">
        <v>119</v>
      </c>
      <c r="Q1400" t="s">
        <v>455</v>
      </c>
      <c r="R1400" t="s">
        <v>456</v>
      </c>
      <c r="S1400" t="s">
        <v>457</v>
      </c>
      <c r="T1400" t="s">
        <v>43</v>
      </c>
      <c r="U1400" t="s">
        <v>44</v>
      </c>
      <c r="V1400">
        <v>147</v>
      </c>
      <c r="W1400" t="s">
        <v>45</v>
      </c>
      <c r="X1400" t="s">
        <v>239</v>
      </c>
      <c r="Y1400" t="s">
        <v>458</v>
      </c>
      <c r="Z1400" t="s">
        <v>37</v>
      </c>
      <c r="AA1400" t="s">
        <v>48</v>
      </c>
      <c r="AB1400" t="s">
        <v>37</v>
      </c>
      <c r="AC1400" s="6" t="s">
        <v>37</v>
      </c>
      <c r="AD1400" s="6" t="s">
        <v>37</v>
      </c>
      <c r="AE1400" t="s">
        <v>37</v>
      </c>
      <c r="AF1400" t="s">
        <v>37</v>
      </c>
      <c r="AG1400" s="6" t="s">
        <v>37</v>
      </c>
      <c r="AH1400" t="s">
        <v>37</v>
      </c>
      <c r="AI1400" t="s">
        <v>37</v>
      </c>
      <c r="AJ1400" t="str">
        <f t="shared" si="65"/>
        <v>31DJDC7QB00G2Y44ZK</v>
      </c>
    </row>
    <row r="1401" spans="1:36" ht="15" customHeight="1" x14ac:dyDescent="0.25">
      <c r="A1401" t="s">
        <v>101</v>
      </c>
      <c r="B1401" t="s">
        <v>37</v>
      </c>
      <c r="C1401" t="s">
        <v>37</v>
      </c>
      <c r="D1401" t="s">
        <v>38</v>
      </c>
      <c r="E1401" s="4">
        <v>10</v>
      </c>
      <c r="F1401" s="5">
        <v>322.10000000000002</v>
      </c>
      <c r="G1401" s="5" t="s">
        <v>39</v>
      </c>
      <c r="H1401" s="5">
        <v>483.5</v>
      </c>
      <c r="I1401" s="5" t="s">
        <v>39</v>
      </c>
      <c r="J1401" s="5">
        <v>10.9514</v>
      </c>
      <c r="K1401" s="5">
        <f t="shared" si="63"/>
        <v>1.09514</v>
      </c>
      <c r="L1401" s="5">
        <f t="shared" si="64"/>
        <v>32.21</v>
      </c>
      <c r="M1401" s="5" t="s">
        <v>39</v>
      </c>
      <c r="N1401" s="5">
        <v>10.9514</v>
      </c>
      <c r="O1401" s="5" t="s">
        <v>39</v>
      </c>
      <c r="P1401" t="s">
        <v>120</v>
      </c>
      <c r="Q1401" t="s">
        <v>616</v>
      </c>
      <c r="R1401" t="s">
        <v>37</v>
      </c>
      <c r="S1401" t="s">
        <v>617</v>
      </c>
      <c r="T1401" t="s">
        <v>43</v>
      </c>
      <c r="U1401" t="s">
        <v>44</v>
      </c>
      <c r="V1401">
        <v>147</v>
      </c>
      <c r="W1401" t="s">
        <v>45</v>
      </c>
      <c r="X1401" t="s">
        <v>60</v>
      </c>
      <c r="Y1401" t="s">
        <v>618</v>
      </c>
      <c r="Z1401" t="s">
        <v>37</v>
      </c>
      <c r="AA1401" t="s">
        <v>48</v>
      </c>
      <c r="AB1401" t="s">
        <v>37</v>
      </c>
      <c r="AC1401" s="6" t="s">
        <v>37</v>
      </c>
      <c r="AD1401" s="6" t="s">
        <v>37</v>
      </c>
      <c r="AE1401" t="s">
        <v>37</v>
      </c>
      <c r="AF1401" t="s">
        <v>37</v>
      </c>
      <c r="AG1401" s="6" t="s">
        <v>37</v>
      </c>
      <c r="AH1401" t="s">
        <v>37</v>
      </c>
      <c r="AI1401" t="s">
        <v>37</v>
      </c>
      <c r="AJ1401" t="str">
        <f t="shared" si="65"/>
        <v>5MWU8WTDB00XJ3LVPI</v>
      </c>
    </row>
    <row r="1402" spans="1:36" ht="15" customHeight="1" x14ac:dyDescent="0.25">
      <c r="A1402" t="s">
        <v>36</v>
      </c>
      <c r="B1402" t="s">
        <v>37</v>
      </c>
      <c r="C1402" t="s">
        <v>37</v>
      </c>
      <c r="D1402" t="s">
        <v>38</v>
      </c>
      <c r="E1402" s="4">
        <v>24</v>
      </c>
      <c r="F1402" s="5">
        <v>1656.72</v>
      </c>
      <c r="G1402" s="5" t="s">
        <v>39</v>
      </c>
      <c r="H1402" s="5">
        <v>2537.7600000000002</v>
      </c>
      <c r="I1402" s="5" t="s">
        <v>39</v>
      </c>
      <c r="J1402" s="5">
        <v>56.328479999999999</v>
      </c>
      <c r="K1402" s="5">
        <f t="shared" si="63"/>
        <v>2.3470200000000001</v>
      </c>
      <c r="L1402" s="5">
        <f t="shared" si="64"/>
        <v>69.03</v>
      </c>
      <c r="M1402" s="5" t="s">
        <v>39</v>
      </c>
      <c r="N1402" s="5">
        <v>56.328479999999999</v>
      </c>
      <c r="O1402" s="5" t="s">
        <v>39</v>
      </c>
      <c r="P1402" t="s">
        <v>270</v>
      </c>
      <c r="Q1402" t="s">
        <v>948</v>
      </c>
      <c r="R1402" t="s">
        <v>37</v>
      </c>
      <c r="S1402" t="s">
        <v>949</v>
      </c>
      <c r="T1402" t="s">
        <v>43</v>
      </c>
      <c r="U1402" t="s">
        <v>44</v>
      </c>
      <c r="V1402">
        <v>147</v>
      </c>
      <c r="W1402" t="s">
        <v>45</v>
      </c>
      <c r="X1402" t="s">
        <v>60</v>
      </c>
      <c r="Y1402" t="s">
        <v>950</v>
      </c>
      <c r="Z1402" t="s">
        <v>37</v>
      </c>
      <c r="AA1402" t="s">
        <v>55</v>
      </c>
      <c r="AB1402" t="s">
        <v>37</v>
      </c>
      <c r="AC1402" s="6" t="s">
        <v>37</v>
      </c>
      <c r="AD1402" s="6" t="s">
        <v>37</v>
      </c>
      <c r="AE1402" t="s">
        <v>37</v>
      </c>
      <c r="AF1402" t="s">
        <v>37</v>
      </c>
      <c r="AG1402" s="6" t="s">
        <v>37</v>
      </c>
      <c r="AH1402" t="s">
        <v>37</v>
      </c>
      <c r="AI1402" t="s">
        <v>37</v>
      </c>
      <c r="AJ1402" t="str">
        <f t="shared" si="65"/>
        <v>1X4DXX4TB07W5JKNB9</v>
      </c>
    </row>
    <row r="1403" spans="1:36" ht="15" customHeight="1" x14ac:dyDescent="0.25">
      <c r="A1403" t="s">
        <v>127</v>
      </c>
      <c r="B1403" t="s">
        <v>37</v>
      </c>
      <c r="C1403" t="s">
        <v>37</v>
      </c>
      <c r="D1403" t="s">
        <v>38</v>
      </c>
      <c r="E1403" s="4">
        <v>8</v>
      </c>
      <c r="F1403" s="5">
        <v>552.24</v>
      </c>
      <c r="G1403" s="5" t="s">
        <v>39</v>
      </c>
      <c r="H1403" s="5">
        <v>845.92</v>
      </c>
      <c r="I1403" s="5" t="s">
        <v>39</v>
      </c>
      <c r="J1403" s="5">
        <v>18.776160000000001</v>
      </c>
      <c r="K1403" s="5">
        <f t="shared" si="63"/>
        <v>2.3470200000000001</v>
      </c>
      <c r="L1403" s="5">
        <f t="shared" si="64"/>
        <v>69.03</v>
      </c>
      <c r="M1403" s="5" t="s">
        <v>39</v>
      </c>
      <c r="N1403" s="5">
        <v>18.776160000000001</v>
      </c>
      <c r="O1403" s="5" t="s">
        <v>39</v>
      </c>
      <c r="P1403" t="s">
        <v>270</v>
      </c>
      <c r="Q1403" t="s">
        <v>948</v>
      </c>
      <c r="R1403" t="s">
        <v>37</v>
      </c>
      <c r="S1403" t="s">
        <v>949</v>
      </c>
      <c r="T1403" t="s">
        <v>43</v>
      </c>
      <c r="U1403" t="s">
        <v>44</v>
      </c>
      <c r="V1403">
        <v>147</v>
      </c>
      <c r="W1403" t="s">
        <v>45</v>
      </c>
      <c r="X1403" t="s">
        <v>60</v>
      </c>
      <c r="Y1403" t="s">
        <v>950</v>
      </c>
      <c r="Z1403" t="s">
        <v>37</v>
      </c>
      <c r="AA1403" t="s">
        <v>55</v>
      </c>
      <c r="AB1403" t="s">
        <v>37</v>
      </c>
      <c r="AC1403" s="6" t="s">
        <v>37</v>
      </c>
      <c r="AD1403" s="6" t="s">
        <v>37</v>
      </c>
      <c r="AE1403" t="s">
        <v>37</v>
      </c>
      <c r="AF1403" t="s">
        <v>37</v>
      </c>
      <c r="AG1403" s="6" t="s">
        <v>37</v>
      </c>
      <c r="AH1403" t="s">
        <v>37</v>
      </c>
      <c r="AI1403" t="s">
        <v>37</v>
      </c>
      <c r="AJ1403" t="str">
        <f t="shared" si="65"/>
        <v>1X4DXX4TB07W5JKNB9</v>
      </c>
    </row>
    <row r="1404" spans="1:36" ht="15" customHeight="1" x14ac:dyDescent="0.25">
      <c r="A1404" t="s">
        <v>101</v>
      </c>
      <c r="B1404" t="s">
        <v>37</v>
      </c>
      <c r="C1404" t="s">
        <v>37</v>
      </c>
      <c r="D1404" t="s">
        <v>38</v>
      </c>
      <c r="E1404" s="4">
        <v>16</v>
      </c>
      <c r="F1404" s="5">
        <v>719.2</v>
      </c>
      <c r="G1404" s="5" t="s">
        <v>39</v>
      </c>
      <c r="H1404" s="5">
        <v>1120</v>
      </c>
      <c r="I1404" s="5" t="s">
        <v>39</v>
      </c>
      <c r="J1404" s="5">
        <v>24.4528</v>
      </c>
      <c r="K1404" s="5">
        <f t="shared" si="63"/>
        <v>1.5283</v>
      </c>
      <c r="L1404" s="5">
        <f t="shared" si="64"/>
        <v>44.95</v>
      </c>
      <c r="M1404" s="5" t="s">
        <v>39</v>
      </c>
      <c r="N1404" s="5">
        <v>24.4528</v>
      </c>
      <c r="O1404" s="5" t="s">
        <v>39</v>
      </c>
      <c r="P1404" t="s">
        <v>320</v>
      </c>
      <c r="Q1404" t="s">
        <v>444</v>
      </c>
      <c r="R1404" t="s">
        <v>445</v>
      </c>
      <c r="S1404" t="s">
        <v>446</v>
      </c>
      <c r="T1404" t="s">
        <v>43</v>
      </c>
      <c r="U1404" t="s">
        <v>44</v>
      </c>
      <c r="V1404">
        <v>147</v>
      </c>
      <c r="W1404" t="s">
        <v>45</v>
      </c>
      <c r="X1404" t="s">
        <v>46</v>
      </c>
      <c r="Y1404" t="s">
        <v>447</v>
      </c>
      <c r="Z1404" t="s">
        <v>37</v>
      </c>
      <c r="AA1404" t="s">
        <v>307</v>
      </c>
      <c r="AB1404" t="s">
        <v>37</v>
      </c>
      <c r="AC1404" s="6" t="s">
        <v>37</v>
      </c>
      <c r="AD1404" s="6" t="s">
        <v>37</v>
      </c>
      <c r="AE1404" t="s">
        <v>37</v>
      </c>
      <c r="AF1404" t="s">
        <v>37</v>
      </c>
      <c r="AG1404" s="6" t="s">
        <v>37</v>
      </c>
      <c r="AH1404" t="s">
        <v>37</v>
      </c>
      <c r="AI1404" t="s">
        <v>37</v>
      </c>
      <c r="AJ1404" t="str">
        <f t="shared" si="65"/>
        <v>8BG295LIB01G3WBH9G</v>
      </c>
    </row>
    <row r="1405" spans="1:36" ht="15" customHeight="1" x14ac:dyDescent="0.25">
      <c r="A1405" t="s">
        <v>36</v>
      </c>
      <c r="B1405" t="s">
        <v>37</v>
      </c>
      <c r="C1405" t="s">
        <v>37</v>
      </c>
      <c r="D1405" t="s">
        <v>38</v>
      </c>
      <c r="E1405" s="4">
        <v>8</v>
      </c>
      <c r="F1405" s="5">
        <v>603.12</v>
      </c>
      <c r="G1405" s="5" t="s">
        <v>39</v>
      </c>
      <c r="H1405" s="5">
        <v>885.2</v>
      </c>
      <c r="I1405" s="5" t="s">
        <v>39</v>
      </c>
      <c r="J1405" s="5">
        <v>20.506080000000001</v>
      </c>
      <c r="K1405" s="5">
        <f t="shared" si="63"/>
        <v>2.5632600000000001</v>
      </c>
      <c r="L1405" s="5">
        <f t="shared" si="64"/>
        <v>75.39</v>
      </c>
      <c r="M1405" s="5" t="s">
        <v>39</v>
      </c>
      <c r="N1405" s="5">
        <v>20.506080000000001</v>
      </c>
      <c r="O1405" s="5" t="s">
        <v>39</v>
      </c>
      <c r="P1405" t="s">
        <v>67</v>
      </c>
      <c r="Q1405" t="s">
        <v>380</v>
      </c>
      <c r="R1405" t="s">
        <v>37</v>
      </c>
      <c r="S1405" t="s">
        <v>381</v>
      </c>
      <c r="T1405" t="s">
        <v>43</v>
      </c>
      <c r="U1405" t="s">
        <v>44</v>
      </c>
      <c r="V1405">
        <v>147</v>
      </c>
      <c r="W1405" t="s">
        <v>45</v>
      </c>
      <c r="X1405" t="s">
        <v>60</v>
      </c>
      <c r="Y1405" t="s">
        <v>382</v>
      </c>
      <c r="Z1405" t="s">
        <v>37</v>
      </c>
      <c r="AA1405" t="s">
        <v>55</v>
      </c>
      <c r="AB1405" t="s">
        <v>37</v>
      </c>
      <c r="AC1405" s="6" t="s">
        <v>37</v>
      </c>
      <c r="AD1405" s="6" t="s">
        <v>37</v>
      </c>
      <c r="AE1405" t="s">
        <v>37</v>
      </c>
      <c r="AF1405" t="s">
        <v>37</v>
      </c>
      <c r="AG1405" s="6" t="s">
        <v>37</v>
      </c>
      <c r="AH1405" t="s">
        <v>37</v>
      </c>
      <c r="AI1405" t="s">
        <v>37</v>
      </c>
      <c r="AJ1405" t="str">
        <f t="shared" si="65"/>
        <v>2TMBDXBKB07W7LW3VS</v>
      </c>
    </row>
    <row r="1406" spans="1:36" ht="15" customHeight="1" x14ac:dyDescent="0.25">
      <c r="A1406" t="s">
        <v>127</v>
      </c>
      <c r="B1406" t="s">
        <v>37</v>
      </c>
      <c r="C1406" t="s">
        <v>37</v>
      </c>
      <c r="D1406" t="s">
        <v>38</v>
      </c>
      <c r="E1406" s="4">
        <v>12</v>
      </c>
      <c r="F1406" s="5">
        <v>527.04</v>
      </c>
      <c r="G1406" s="5" t="s">
        <v>39</v>
      </c>
      <c r="H1406" s="5">
        <v>786.84</v>
      </c>
      <c r="I1406" s="5" t="s">
        <v>39</v>
      </c>
      <c r="J1406" s="5">
        <v>17.919360000000001</v>
      </c>
      <c r="K1406" s="5">
        <f t="shared" si="63"/>
        <v>1.4932800000000002</v>
      </c>
      <c r="L1406" s="5">
        <f t="shared" si="64"/>
        <v>43.919999999999995</v>
      </c>
      <c r="M1406" s="5" t="s">
        <v>39</v>
      </c>
      <c r="N1406" s="5">
        <v>17.919360000000001</v>
      </c>
      <c r="O1406" s="5" t="s">
        <v>39</v>
      </c>
      <c r="P1406" t="s">
        <v>246</v>
      </c>
      <c r="Q1406" t="s">
        <v>560</v>
      </c>
      <c r="R1406" t="s">
        <v>37</v>
      </c>
      <c r="S1406" t="s">
        <v>561</v>
      </c>
      <c r="T1406" t="s">
        <v>43</v>
      </c>
      <c r="U1406" t="s">
        <v>44</v>
      </c>
      <c r="V1406">
        <v>147</v>
      </c>
      <c r="W1406" t="s">
        <v>45</v>
      </c>
      <c r="X1406" t="s">
        <v>60</v>
      </c>
      <c r="Y1406" t="s">
        <v>562</v>
      </c>
      <c r="Z1406" t="s">
        <v>37</v>
      </c>
      <c r="AA1406" t="s">
        <v>48</v>
      </c>
      <c r="AB1406" t="s">
        <v>37</v>
      </c>
      <c r="AC1406" s="6" t="s">
        <v>37</v>
      </c>
      <c r="AD1406" s="6" t="s">
        <v>37</v>
      </c>
      <c r="AE1406" t="s">
        <v>37</v>
      </c>
      <c r="AF1406" t="s">
        <v>37</v>
      </c>
      <c r="AG1406" s="6" t="s">
        <v>37</v>
      </c>
      <c r="AH1406" t="s">
        <v>37</v>
      </c>
      <c r="AI1406" t="s">
        <v>37</v>
      </c>
      <c r="AJ1406" t="str">
        <f t="shared" si="65"/>
        <v>1PSIXGLTB0797G6W5K</v>
      </c>
    </row>
    <row r="1407" spans="1:36" ht="15" customHeight="1" x14ac:dyDescent="0.25">
      <c r="A1407" t="s">
        <v>96</v>
      </c>
      <c r="B1407" t="s">
        <v>37</v>
      </c>
      <c r="C1407" t="s">
        <v>37</v>
      </c>
      <c r="D1407" t="s">
        <v>38</v>
      </c>
      <c r="E1407" s="4">
        <v>24</v>
      </c>
      <c r="F1407" s="5">
        <v>278.39999999999998</v>
      </c>
      <c r="G1407" s="5" t="s">
        <v>39</v>
      </c>
      <c r="H1407" s="5">
        <v>471.84</v>
      </c>
      <c r="I1407" s="5" t="s">
        <v>39</v>
      </c>
      <c r="J1407" s="5">
        <v>9.4656000000000002</v>
      </c>
      <c r="K1407" s="5">
        <f t="shared" si="63"/>
        <v>0.39440000000000003</v>
      </c>
      <c r="L1407" s="5">
        <f t="shared" si="64"/>
        <v>11.6</v>
      </c>
      <c r="M1407" s="5" t="s">
        <v>39</v>
      </c>
      <c r="N1407" s="5">
        <v>9.4656000000000002</v>
      </c>
      <c r="O1407" s="5" t="s">
        <v>39</v>
      </c>
      <c r="P1407" t="s">
        <v>106</v>
      </c>
      <c r="Q1407" t="s">
        <v>1294</v>
      </c>
      <c r="R1407" t="s">
        <v>37</v>
      </c>
      <c r="S1407" t="s">
        <v>1295</v>
      </c>
      <c r="T1407" t="s">
        <v>43</v>
      </c>
      <c r="U1407" t="s">
        <v>44</v>
      </c>
      <c r="V1407">
        <v>147</v>
      </c>
      <c r="W1407" t="s">
        <v>45</v>
      </c>
      <c r="X1407" t="s">
        <v>53</v>
      </c>
      <c r="Y1407" t="s">
        <v>109</v>
      </c>
      <c r="Z1407" t="s">
        <v>37</v>
      </c>
      <c r="AA1407" t="s">
        <v>95</v>
      </c>
      <c r="AB1407" t="s">
        <v>37</v>
      </c>
      <c r="AC1407" s="6" t="s">
        <v>37</v>
      </c>
      <c r="AD1407" s="6" t="s">
        <v>37</v>
      </c>
      <c r="AE1407" t="s">
        <v>37</v>
      </c>
      <c r="AF1407" t="s">
        <v>37</v>
      </c>
      <c r="AG1407" s="6" t="s">
        <v>37</v>
      </c>
      <c r="AH1407" t="s">
        <v>37</v>
      </c>
      <c r="AI1407" t="s">
        <v>37</v>
      </c>
      <c r="AJ1407" t="str">
        <f t="shared" si="65"/>
        <v>2CLMXQWQB07W7LNTMC</v>
      </c>
    </row>
    <row r="1408" spans="1:36" ht="15" customHeight="1" x14ac:dyDescent="0.25">
      <c r="A1408" t="s">
        <v>96</v>
      </c>
      <c r="B1408" t="s">
        <v>37</v>
      </c>
      <c r="C1408" t="s">
        <v>37</v>
      </c>
      <c r="D1408" t="s">
        <v>38</v>
      </c>
      <c r="E1408" s="4">
        <v>4</v>
      </c>
      <c r="F1408" s="5">
        <v>179.8</v>
      </c>
      <c r="G1408" s="5" t="s">
        <v>39</v>
      </c>
      <c r="H1408" s="5">
        <v>213.08</v>
      </c>
      <c r="I1408" s="5" t="s">
        <v>39</v>
      </c>
      <c r="J1408" s="5">
        <v>6.1132</v>
      </c>
      <c r="K1408" s="5">
        <f t="shared" si="63"/>
        <v>1.5283</v>
      </c>
      <c r="L1408" s="5">
        <f t="shared" si="64"/>
        <v>44.95</v>
      </c>
      <c r="M1408" s="5" t="s">
        <v>39</v>
      </c>
      <c r="N1408" s="5">
        <v>6.1132</v>
      </c>
      <c r="O1408" s="5" t="s">
        <v>39</v>
      </c>
      <c r="P1408" t="s">
        <v>969</v>
      </c>
      <c r="Q1408" t="s">
        <v>459</v>
      </c>
      <c r="R1408" t="s">
        <v>37</v>
      </c>
      <c r="S1408" t="s">
        <v>460</v>
      </c>
      <c r="T1408" t="s">
        <v>43</v>
      </c>
      <c r="U1408" t="s">
        <v>44</v>
      </c>
      <c r="V1408">
        <v>23</v>
      </c>
      <c r="W1408" t="s">
        <v>45</v>
      </c>
      <c r="X1408" t="s">
        <v>239</v>
      </c>
      <c r="Y1408" t="s">
        <v>461</v>
      </c>
      <c r="Z1408" t="s">
        <v>37</v>
      </c>
      <c r="AA1408" t="s">
        <v>95</v>
      </c>
      <c r="AB1408" t="s">
        <v>37</v>
      </c>
      <c r="AC1408" s="6" t="s">
        <v>37</v>
      </c>
      <c r="AD1408" s="6" t="s">
        <v>37</v>
      </c>
      <c r="AE1408" t="s">
        <v>37</v>
      </c>
      <c r="AF1408" t="s">
        <v>37</v>
      </c>
      <c r="AG1408" s="6" t="s">
        <v>37</v>
      </c>
      <c r="AH1408" t="s">
        <v>37</v>
      </c>
      <c r="AI1408" t="s">
        <v>37</v>
      </c>
      <c r="AJ1408" t="str">
        <f t="shared" si="65"/>
        <v>1VBBCE3CB07W5JKLRF</v>
      </c>
    </row>
    <row r="1409" spans="1:36" ht="15" customHeight="1" x14ac:dyDescent="0.25">
      <c r="A1409" t="s">
        <v>221</v>
      </c>
      <c r="B1409" t="s">
        <v>37</v>
      </c>
      <c r="C1409" t="s">
        <v>37</v>
      </c>
      <c r="D1409" t="s">
        <v>38</v>
      </c>
      <c r="E1409" s="4">
        <v>4</v>
      </c>
      <c r="F1409" s="5">
        <v>278.44</v>
      </c>
      <c r="G1409" s="5" t="s">
        <v>39</v>
      </c>
      <c r="H1409" s="5">
        <v>409.8</v>
      </c>
      <c r="I1409" s="5" t="s">
        <v>39</v>
      </c>
      <c r="J1409" s="5">
        <v>9.4669600000000003</v>
      </c>
      <c r="K1409" s="5">
        <f t="shared" si="63"/>
        <v>2.3667400000000001</v>
      </c>
      <c r="L1409" s="5">
        <f t="shared" si="64"/>
        <v>69.61</v>
      </c>
      <c r="M1409" s="5" t="s">
        <v>39</v>
      </c>
      <c r="N1409" s="5">
        <v>9.4669600000000003</v>
      </c>
      <c r="O1409" s="5" t="s">
        <v>39</v>
      </c>
      <c r="P1409" t="s">
        <v>120</v>
      </c>
      <c r="Q1409" t="s">
        <v>639</v>
      </c>
      <c r="R1409" t="s">
        <v>37</v>
      </c>
      <c r="S1409" t="s">
        <v>640</v>
      </c>
      <c r="T1409" t="s">
        <v>43</v>
      </c>
      <c r="U1409" t="s">
        <v>44</v>
      </c>
      <c r="V1409">
        <v>147</v>
      </c>
      <c r="W1409" t="s">
        <v>45</v>
      </c>
      <c r="X1409" t="s">
        <v>53</v>
      </c>
      <c r="Y1409" t="s">
        <v>641</v>
      </c>
      <c r="Z1409" t="s">
        <v>37</v>
      </c>
      <c r="AA1409" t="s">
        <v>55</v>
      </c>
      <c r="AB1409" t="s">
        <v>37</v>
      </c>
      <c r="AC1409" s="6" t="s">
        <v>37</v>
      </c>
      <c r="AD1409" s="6" t="s">
        <v>37</v>
      </c>
      <c r="AE1409" t="s">
        <v>37</v>
      </c>
      <c r="AF1409" t="s">
        <v>37</v>
      </c>
      <c r="AG1409" s="6" t="s">
        <v>37</v>
      </c>
      <c r="AH1409" t="s">
        <v>37</v>
      </c>
      <c r="AI1409" t="s">
        <v>37</v>
      </c>
      <c r="AJ1409" t="str">
        <f t="shared" si="65"/>
        <v>5MWU8WTDB07FNHV4MW</v>
      </c>
    </row>
    <row r="1410" spans="1:36" ht="15" customHeight="1" x14ac:dyDescent="0.25">
      <c r="A1410" t="s">
        <v>1436</v>
      </c>
      <c r="B1410" t="s">
        <v>37</v>
      </c>
      <c r="C1410" t="s">
        <v>37</v>
      </c>
      <c r="D1410" t="s">
        <v>38</v>
      </c>
      <c r="E1410" s="4">
        <v>0</v>
      </c>
      <c r="F1410" s="5">
        <v>0</v>
      </c>
      <c r="G1410" s="5" t="s">
        <v>39</v>
      </c>
      <c r="H1410" s="5">
        <v>0</v>
      </c>
      <c r="I1410" s="5" t="s">
        <v>39</v>
      </c>
      <c r="J1410" s="5">
        <v>0</v>
      </c>
      <c r="K1410" s="5" t="e">
        <f t="shared" si="63"/>
        <v>#DIV/0!</v>
      </c>
      <c r="L1410" s="5" t="e">
        <f t="shared" si="64"/>
        <v>#DIV/0!</v>
      </c>
      <c r="M1410" s="5" t="s">
        <v>39</v>
      </c>
      <c r="N1410" s="5">
        <v>0</v>
      </c>
      <c r="O1410" s="5" t="s">
        <v>39</v>
      </c>
      <c r="P1410" t="s">
        <v>141</v>
      </c>
      <c r="Q1410" t="s">
        <v>1759</v>
      </c>
      <c r="R1410" t="s">
        <v>1760</v>
      </c>
      <c r="S1410" t="s">
        <v>1761</v>
      </c>
      <c r="T1410" t="s">
        <v>43</v>
      </c>
      <c r="U1410" t="s">
        <v>44</v>
      </c>
      <c r="V1410">
        <v>147</v>
      </c>
      <c r="W1410" t="s">
        <v>45</v>
      </c>
      <c r="X1410" t="s">
        <v>389</v>
      </c>
      <c r="Y1410" t="s">
        <v>1762</v>
      </c>
      <c r="Z1410" t="s">
        <v>37</v>
      </c>
      <c r="AA1410" t="s">
        <v>48</v>
      </c>
      <c r="AB1410" t="s">
        <v>37</v>
      </c>
      <c r="AC1410" s="6" t="s">
        <v>37</v>
      </c>
      <c r="AD1410" s="6" t="s">
        <v>37</v>
      </c>
      <c r="AE1410" t="s">
        <v>37</v>
      </c>
      <c r="AF1410" t="s">
        <v>37</v>
      </c>
      <c r="AG1410" s="6" t="s">
        <v>37</v>
      </c>
      <c r="AH1410" t="s">
        <v>37</v>
      </c>
      <c r="AI1410" t="s">
        <v>37</v>
      </c>
      <c r="AJ1410" t="str">
        <f t="shared" si="65"/>
        <v>56UO2L2IB0013N474I</v>
      </c>
    </row>
    <row r="1411" spans="1:36" ht="15" customHeight="1" x14ac:dyDescent="0.25">
      <c r="A1411" t="s">
        <v>96</v>
      </c>
      <c r="B1411" t="s">
        <v>37</v>
      </c>
      <c r="C1411" t="s">
        <v>37</v>
      </c>
      <c r="D1411" t="s">
        <v>38</v>
      </c>
      <c r="E1411" s="4">
        <v>28</v>
      </c>
      <c r="F1411" s="5">
        <v>1932.84</v>
      </c>
      <c r="G1411" s="5" t="s">
        <v>39</v>
      </c>
      <c r="H1411" s="5">
        <v>2960.72</v>
      </c>
      <c r="I1411" s="5" t="s">
        <v>39</v>
      </c>
      <c r="J1411" s="5">
        <v>65.716560000000001</v>
      </c>
      <c r="K1411" s="5">
        <f t="shared" ref="K1411:K1474" si="66">J1411/E1411</f>
        <v>2.3470200000000001</v>
      </c>
      <c r="L1411" s="5">
        <f t="shared" ref="L1411:L1474" si="67">F1411/E1411</f>
        <v>69.03</v>
      </c>
      <c r="M1411" s="5" t="s">
        <v>39</v>
      </c>
      <c r="N1411" s="5">
        <v>65.716560000000001</v>
      </c>
      <c r="O1411" s="5" t="s">
        <v>39</v>
      </c>
      <c r="P1411" t="s">
        <v>195</v>
      </c>
      <c r="Q1411" t="s">
        <v>1164</v>
      </c>
      <c r="R1411" t="s">
        <v>37</v>
      </c>
      <c r="S1411" t="s">
        <v>1165</v>
      </c>
      <c r="T1411" t="s">
        <v>43</v>
      </c>
      <c r="U1411" t="s">
        <v>44</v>
      </c>
      <c r="V1411">
        <v>23</v>
      </c>
      <c r="W1411" t="s">
        <v>218</v>
      </c>
      <c r="X1411" t="s">
        <v>219</v>
      </c>
      <c r="Y1411" t="s">
        <v>1166</v>
      </c>
      <c r="Z1411" t="s">
        <v>37</v>
      </c>
      <c r="AA1411" t="s">
        <v>95</v>
      </c>
      <c r="AB1411" t="s">
        <v>37</v>
      </c>
      <c r="AC1411" s="6" t="s">
        <v>37</v>
      </c>
      <c r="AD1411" s="6" t="s">
        <v>37</v>
      </c>
      <c r="AE1411" t="s">
        <v>37</v>
      </c>
      <c r="AF1411" t="s">
        <v>37</v>
      </c>
      <c r="AG1411" s="6" t="s">
        <v>37</v>
      </c>
      <c r="AH1411" t="s">
        <v>37</v>
      </c>
      <c r="AI1411" t="s">
        <v>37</v>
      </c>
      <c r="AJ1411" t="str">
        <f t="shared" ref="AJ1411:AJ1474" si="68">P1411&amp;Q1411</f>
        <v>5X1OU9ZGB07W7JYN4P</v>
      </c>
    </row>
    <row r="1412" spans="1:36" ht="15" customHeight="1" x14ac:dyDescent="0.25">
      <c r="A1412" t="s">
        <v>49</v>
      </c>
      <c r="B1412" t="s">
        <v>37</v>
      </c>
      <c r="C1412" t="s">
        <v>37</v>
      </c>
      <c r="D1412" t="s">
        <v>38</v>
      </c>
      <c r="E1412" s="4">
        <v>10</v>
      </c>
      <c r="F1412" s="5">
        <v>163.9</v>
      </c>
      <c r="G1412" s="5" t="s">
        <v>39</v>
      </c>
      <c r="H1412" s="5">
        <v>245.8</v>
      </c>
      <c r="I1412" s="5" t="s">
        <v>39</v>
      </c>
      <c r="J1412" s="5">
        <v>5.5726000000000004</v>
      </c>
      <c r="K1412" s="5">
        <f t="shared" si="66"/>
        <v>0.55726000000000009</v>
      </c>
      <c r="L1412" s="5">
        <f t="shared" si="67"/>
        <v>16.39</v>
      </c>
      <c r="M1412" s="5" t="s">
        <v>39</v>
      </c>
      <c r="N1412" s="5">
        <v>5.5726000000000004</v>
      </c>
      <c r="O1412" s="5" t="s">
        <v>39</v>
      </c>
      <c r="P1412" t="s">
        <v>479</v>
      </c>
      <c r="Q1412" t="s">
        <v>917</v>
      </c>
      <c r="R1412" t="s">
        <v>37</v>
      </c>
      <c r="S1412" t="s">
        <v>918</v>
      </c>
      <c r="T1412" t="s">
        <v>43</v>
      </c>
      <c r="U1412" t="s">
        <v>44</v>
      </c>
      <c r="V1412">
        <v>147</v>
      </c>
      <c r="W1412" t="s">
        <v>45</v>
      </c>
      <c r="X1412" t="s">
        <v>60</v>
      </c>
      <c r="Y1412" t="s">
        <v>919</v>
      </c>
      <c r="Z1412" t="s">
        <v>37</v>
      </c>
      <c r="AA1412" t="s">
        <v>55</v>
      </c>
      <c r="AB1412" t="s">
        <v>37</v>
      </c>
      <c r="AC1412" s="6" t="s">
        <v>37</v>
      </c>
      <c r="AD1412" s="6" t="s">
        <v>37</v>
      </c>
      <c r="AE1412" t="s">
        <v>37</v>
      </c>
      <c r="AF1412" t="s">
        <v>37</v>
      </c>
      <c r="AG1412" s="6" t="s">
        <v>37</v>
      </c>
      <c r="AH1412" t="s">
        <v>37</v>
      </c>
      <c r="AI1412" t="s">
        <v>37</v>
      </c>
      <c r="AJ1412" t="str">
        <f t="shared" si="68"/>
        <v>7SCVG2OTB00EJ3RMDM</v>
      </c>
    </row>
    <row r="1413" spans="1:36" ht="15" customHeight="1" x14ac:dyDescent="0.25">
      <c r="A1413" t="s">
        <v>118</v>
      </c>
      <c r="B1413" t="s">
        <v>37</v>
      </c>
      <c r="C1413" t="s">
        <v>37</v>
      </c>
      <c r="D1413" t="s">
        <v>38</v>
      </c>
      <c r="E1413" s="4">
        <v>8</v>
      </c>
      <c r="F1413" s="5">
        <v>103.04</v>
      </c>
      <c r="G1413" s="5" t="s">
        <v>39</v>
      </c>
      <c r="H1413" s="5">
        <v>157.28</v>
      </c>
      <c r="I1413" s="5" t="s">
        <v>39</v>
      </c>
      <c r="J1413" s="5">
        <v>3.5033599999999998</v>
      </c>
      <c r="K1413" s="5">
        <f t="shared" si="66"/>
        <v>0.43791999999999998</v>
      </c>
      <c r="L1413" s="5">
        <f t="shared" si="67"/>
        <v>12.88</v>
      </c>
      <c r="M1413" s="5" t="s">
        <v>39</v>
      </c>
      <c r="N1413" s="5">
        <v>3.5033599999999998</v>
      </c>
      <c r="O1413" s="5" t="s">
        <v>39</v>
      </c>
      <c r="P1413" t="s">
        <v>141</v>
      </c>
      <c r="Q1413" t="s">
        <v>358</v>
      </c>
      <c r="R1413" t="s">
        <v>359</v>
      </c>
      <c r="S1413" t="s">
        <v>360</v>
      </c>
      <c r="T1413" t="s">
        <v>43</v>
      </c>
      <c r="U1413" t="s">
        <v>44</v>
      </c>
      <c r="V1413">
        <v>147</v>
      </c>
      <c r="W1413" t="s">
        <v>45</v>
      </c>
      <c r="X1413" t="s">
        <v>53</v>
      </c>
      <c r="Y1413" t="s">
        <v>361</v>
      </c>
      <c r="Z1413" t="s">
        <v>37</v>
      </c>
      <c r="AA1413" t="s">
        <v>48</v>
      </c>
      <c r="AB1413" t="s">
        <v>37</v>
      </c>
      <c r="AC1413" s="6" t="s">
        <v>37</v>
      </c>
      <c r="AD1413" s="6" t="s">
        <v>37</v>
      </c>
      <c r="AE1413" t="s">
        <v>37</v>
      </c>
      <c r="AF1413" t="s">
        <v>37</v>
      </c>
      <c r="AG1413" s="6" t="s">
        <v>37</v>
      </c>
      <c r="AH1413" t="s">
        <v>37</v>
      </c>
      <c r="AI1413" t="s">
        <v>37</v>
      </c>
      <c r="AJ1413" t="str">
        <f t="shared" si="68"/>
        <v>56UO2L2IB00745IE1Q</v>
      </c>
    </row>
    <row r="1414" spans="1:36" ht="15" customHeight="1" x14ac:dyDescent="0.25">
      <c r="A1414" t="s">
        <v>118</v>
      </c>
      <c r="B1414" t="s">
        <v>37</v>
      </c>
      <c r="C1414" t="s">
        <v>37</v>
      </c>
      <c r="D1414" t="s">
        <v>38</v>
      </c>
      <c r="E1414" s="4">
        <v>8</v>
      </c>
      <c r="F1414" s="5">
        <v>603.28</v>
      </c>
      <c r="G1414" s="5" t="s">
        <v>39</v>
      </c>
      <c r="H1414" s="5">
        <v>885.2</v>
      </c>
      <c r="I1414" s="5" t="s">
        <v>39</v>
      </c>
      <c r="J1414" s="5">
        <v>20.511520000000001</v>
      </c>
      <c r="K1414" s="5">
        <f t="shared" si="66"/>
        <v>2.5639400000000001</v>
      </c>
      <c r="L1414" s="5">
        <f t="shared" si="67"/>
        <v>75.41</v>
      </c>
      <c r="M1414" s="5" t="s">
        <v>39</v>
      </c>
      <c r="N1414" s="5">
        <v>20.511520000000001</v>
      </c>
      <c r="O1414" s="5" t="s">
        <v>39</v>
      </c>
      <c r="P1414" t="s">
        <v>877</v>
      </c>
      <c r="Q1414" t="s">
        <v>1002</v>
      </c>
      <c r="R1414" t="s">
        <v>37</v>
      </c>
      <c r="S1414" t="s">
        <v>1003</v>
      </c>
      <c r="T1414" t="s">
        <v>43</v>
      </c>
      <c r="U1414" t="s">
        <v>44</v>
      </c>
      <c r="V1414">
        <v>147</v>
      </c>
      <c r="W1414" t="s">
        <v>45</v>
      </c>
      <c r="X1414" t="s">
        <v>60</v>
      </c>
      <c r="Y1414" t="s">
        <v>1004</v>
      </c>
      <c r="Z1414" t="s">
        <v>37</v>
      </c>
      <c r="AA1414" t="s">
        <v>48</v>
      </c>
      <c r="AB1414" t="s">
        <v>37</v>
      </c>
      <c r="AC1414" s="6" t="s">
        <v>37</v>
      </c>
      <c r="AD1414" s="6" t="s">
        <v>37</v>
      </c>
      <c r="AE1414" t="s">
        <v>37</v>
      </c>
      <c r="AF1414" t="s">
        <v>37</v>
      </c>
      <c r="AG1414" s="6" t="s">
        <v>37</v>
      </c>
      <c r="AH1414" t="s">
        <v>37</v>
      </c>
      <c r="AI1414" t="s">
        <v>37</v>
      </c>
      <c r="AJ1414" t="str">
        <f t="shared" si="68"/>
        <v>4YV2PIQLB01MT5WLHY</v>
      </c>
    </row>
    <row r="1415" spans="1:36" ht="15" customHeight="1" x14ac:dyDescent="0.25">
      <c r="A1415" t="s">
        <v>76</v>
      </c>
      <c r="B1415" t="s">
        <v>37</v>
      </c>
      <c r="C1415" t="s">
        <v>37</v>
      </c>
      <c r="D1415" t="s">
        <v>38</v>
      </c>
      <c r="E1415" s="4">
        <v>40</v>
      </c>
      <c r="F1415" s="5">
        <v>374.4</v>
      </c>
      <c r="G1415" s="5" t="s">
        <v>39</v>
      </c>
      <c r="H1415" s="5">
        <v>488.4</v>
      </c>
      <c r="I1415" s="5" t="s">
        <v>39</v>
      </c>
      <c r="J1415" s="5">
        <v>12.7296</v>
      </c>
      <c r="K1415" s="5">
        <f t="shared" si="66"/>
        <v>0.31823999999999997</v>
      </c>
      <c r="L1415" s="5">
        <f t="shared" si="67"/>
        <v>9.36</v>
      </c>
      <c r="M1415" s="5" t="s">
        <v>39</v>
      </c>
      <c r="N1415" s="5">
        <v>12.7296</v>
      </c>
      <c r="O1415" s="5" t="s">
        <v>39</v>
      </c>
      <c r="P1415" t="s">
        <v>1892</v>
      </c>
      <c r="Q1415" t="s">
        <v>1893</v>
      </c>
      <c r="R1415" t="s">
        <v>37</v>
      </c>
      <c r="S1415" t="s">
        <v>1894</v>
      </c>
      <c r="T1415" t="s">
        <v>43</v>
      </c>
      <c r="U1415" t="s">
        <v>44</v>
      </c>
      <c r="V1415">
        <v>147</v>
      </c>
      <c r="W1415" t="s">
        <v>45</v>
      </c>
      <c r="X1415" t="s">
        <v>60</v>
      </c>
      <c r="Y1415" t="s">
        <v>1895</v>
      </c>
      <c r="Z1415" t="s">
        <v>37</v>
      </c>
      <c r="AA1415" t="s">
        <v>55</v>
      </c>
      <c r="AB1415" t="s">
        <v>37</v>
      </c>
      <c r="AC1415" s="6" t="s">
        <v>37</v>
      </c>
      <c r="AD1415" s="6" t="s">
        <v>37</v>
      </c>
      <c r="AE1415" t="s">
        <v>37</v>
      </c>
      <c r="AF1415" t="s">
        <v>37</v>
      </c>
      <c r="AG1415" s="6" t="s">
        <v>37</v>
      </c>
      <c r="AH1415" t="s">
        <v>37</v>
      </c>
      <c r="AI1415" t="s">
        <v>37</v>
      </c>
      <c r="AJ1415" t="str">
        <f t="shared" si="68"/>
        <v>34SEC9UDB0056C69DO</v>
      </c>
    </row>
    <row r="1416" spans="1:36" ht="15" customHeight="1" x14ac:dyDescent="0.25">
      <c r="A1416" t="s">
        <v>101</v>
      </c>
      <c r="B1416" t="s">
        <v>37</v>
      </c>
      <c r="C1416" t="s">
        <v>37</v>
      </c>
      <c r="D1416" t="s">
        <v>38</v>
      </c>
      <c r="E1416" s="4">
        <v>76</v>
      </c>
      <c r="F1416" s="5">
        <v>5731.16</v>
      </c>
      <c r="G1416" s="5" t="s">
        <v>39</v>
      </c>
      <c r="H1416" s="5">
        <v>8409.4</v>
      </c>
      <c r="I1416" s="5" t="s">
        <v>39</v>
      </c>
      <c r="J1416" s="5">
        <v>194.85944000000001</v>
      </c>
      <c r="K1416" s="5">
        <f t="shared" si="66"/>
        <v>2.5639400000000001</v>
      </c>
      <c r="L1416" s="5">
        <f t="shared" si="67"/>
        <v>75.41</v>
      </c>
      <c r="M1416" s="5" t="s">
        <v>39</v>
      </c>
      <c r="N1416" s="5">
        <v>194.85944000000001</v>
      </c>
      <c r="O1416" s="5" t="s">
        <v>39</v>
      </c>
      <c r="P1416" t="s">
        <v>72</v>
      </c>
      <c r="Q1416" t="s">
        <v>1447</v>
      </c>
      <c r="R1416" t="s">
        <v>37</v>
      </c>
      <c r="S1416" t="s">
        <v>1448</v>
      </c>
      <c r="T1416" t="s">
        <v>43</v>
      </c>
      <c r="U1416" t="s">
        <v>44</v>
      </c>
      <c r="V1416">
        <v>147</v>
      </c>
      <c r="W1416" t="s">
        <v>45</v>
      </c>
      <c r="X1416" t="s">
        <v>53</v>
      </c>
      <c r="Y1416" t="s">
        <v>1449</v>
      </c>
      <c r="Z1416" t="s">
        <v>37</v>
      </c>
      <c r="AA1416" t="s">
        <v>48</v>
      </c>
      <c r="AB1416" t="s">
        <v>37</v>
      </c>
      <c r="AC1416" s="6" t="s">
        <v>37</v>
      </c>
      <c r="AD1416" s="6" t="s">
        <v>37</v>
      </c>
      <c r="AE1416" t="s">
        <v>37</v>
      </c>
      <c r="AF1416" t="s">
        <v>37</v>
      </c>
      <c r="AG1416" s="6" t="s">
        <v>37</v>
      </c>
      <c r="AH1416" t="s">
        <v>37</v>
      </c>
      <c r="AI1416" t="s">
        <v>37</v>
      </c>
      <c r="AJ1416" t="str">
        <f t="shared" si="68"/>
        <v>4GF112AEB07W5JKHFZ</v>
      </c>
    </row>
    <row r="1417" spans="1:36" ht="15" customHeight="1" x14ac:dyDescent="0.25">
      <c r="A1417" t="s">
        <v>127</v>
      </c>
      <c r="B1417" t="s">
        <v>37</v>
      </c>
      <c r="C1417" t="s">
        <v>37</v>
      </c>
      <c r="D1417" t="s">
        <v>38</v>
      </c>
      <c r="E1417" s="4">
        <v>4</v>
      </c>
      <c r="F1417" s="5">
        <v>175.68</v>
      </c>
      <c r="G1417" s="5" t="s">
        <v>39</v>
      </c>
      <c r="H1417" s="5">
        <v>262.27999999999997</v>
      </c>
      <c r="I1417" s="5" t="s">
        <v>39</v>
      </c>
      <c r="J1417" s="5">
        <v>5.9731199999999998</v>
      </c>
      <c r="K1417" s="5">
        <f t="shared" si="66"/>
        <v>1.4932799999999999</v>
      </c>
      <c r="L1417" s="5">
        <f t="shared" si="67"/>
        <v>43.92</v>
      </c>
      <c r="M1417" s="5" t="s">
        <v>39</v>
      </c>
      <c r="N1417" s="5">
        <v>5.9731199999999998</v>
      </c>
      <c r="O1417" s="5" t="s">
        <v>39</v>
      </c>
      <c r="P1417" t="s">
        <v>40</v>
      </c>
      <c r="Q1417" t="s">
        <v>560</v>
      </c>
      <c r="R1417" t="s">
        <v>37</v>
      </c>
      <c r="S1417" t="s">
        <v>561</v>
      </c>
      <c r="T1417" t="s">
        <v>43</v>
      </c>
      <c r="U1417" t="s">
        <v>44</v>
      </c>
      <c r="V1417">
        <v>147</v>
      </c>
      <c r="W1417" t="s">
        <v>45</v>
      </c>
      <c r="X1417" t="s">
        <v>60</v>
      </c>
      <c r="Y1417" t="s">
        <v>562</v>
      </c>
      <c r="Z1417" t="s">
        <v>37</v>
      </c>
      <c r="AA1417" t="s">
        <v>48</v>
      </c>
      <c r="AB1417" t="s">
        <v>37</v>
      </c>
      <c r="AC1417" s="6" t="s">
        <v>37</v>
      </c>
      <c r="AD1417" s="6" t="s">
        <v>37</v>
      </c>
      <c r="AE1417" t="s">
        <v>37</v>
      </c>
      <c r="AF1417" t="s">
        <v>37</v>
      </c>
      <c r="AG1417" s="6" t="s">
        <v>37</v>
      </c>
      <c r="AH1417" t="s">
        <v>37</v>
      </c>
      <c r="AI1417" t="s">
        <v>37</v>
      </c>
      <c r="AJ1417" t="str">
        <f t="shared" si="68"/>
        <v>4A3KDTEZB0797G6W5K</v>
      </c>
    </row>
    <row r="1418" spans="1:36" ht="15" customHeight="1" x14ac:dyDescent="0.25">
      <c r="A1418" t="s">
        <v>96</v>
      </c>
      <c r="B1418" t="s">
        <v>37</v>
      </c>
      <c r="C1418" t="s">
        <v>37</v>
      </c>
      <c r="D1418" t="s">
        <v>38</v>
      </c>
      <c r="E1418" s="4">
        <v>66</v>
      </c>
      <c r="F1418" s="5">
        <v>1914</v>
      </c>
      <c r="G1418" s="5" t="s">
        <v>39</v>
      </c>
      <c r="H1418" s="5">
        <v>2920.5</v>
      </c>
      <c r="I1418" s="5" t="s">
        <v>39</v>
      </c>
      <c r="J1418" s="5">
        <v>65.075999999999993</v>
      </c>
      <c r="K1418" s="5">
        <f t="shared" si="66"/>
        <v>0.98599999999999988</v>
      </c>
      <c r="L1418" s="5">
        <f t="shared" si="67"/>
        <v>29</v>
      </c>
      <c r="M1418" s="5" t="s">
        <v>39</v>
      </c>
      <c r="N1418" s="5">
        <v>65.075999999999993</v>
      </c>
      <c r="O1418" s="5" t="s">
        <v>39</v>
      </c>
      <c r="P1418" t="s">
        <v>479</v>
      </c>
      <c r="Q1418" t="s">
        <v>541</v>
      </c>
      <c r="R1418" t="s">
        <v>37</v>
      </c>
      <c r="S1418" t="s">
        <v>542</v>
      </c>
      <c r="T1418" t="s">
        <v>43</v>
      </c>
      <c r="U1418" t="s">
        <v>44</v>
      </c>
      <c r="V1418">
        <v>147</v>
      </c>
      <c r="W1418" t="s">
        <v>92</v>
      </c>
      <c r="X1418" t="s">
        <v>543</v>
      </c>
      <c r="Y1418" t="s">
        <v>544</v>
      </c>
      <c r="Z1418" t="s">
        <v>37</v>
      </c>
      <c r="AA1418" t="s">
        <v>55</v>
      </c>
      <c r="AB1418" t="s">
        <v>37</v>
      </c>
      <c r="AC1418" s="6" t="s">
        <v>37</v>
      </c>
      <c r="AD1418" s="6" t="s">
        <v>37</v>
      </c>
      <c r="AE1418" t="s">
        <v>37</v>
      </c>
      <c r="AF1418" t="s">
        <v>37</v>
      </c>
      <c r="AG1418" s="6" t="s">
        <v>37</v>
      </c>
      <c r="AH1418" t="s">
        <v>37</v>
      </c>
      <c r="AI1418" t="s">
        <v>37</v>
      </c>
      <c r="AJ1418" t="str">
        <f t="shared" si="68"/>
        <v>7SCVG2OTB07W7LF6F1</v>
      </c>
    </row>
    <row r="1419" spans="1:36" ht="15" customHeight="1" x14ac:dyDescent="0.25">
      <c r="A1419" t="s">
        <v>96</v>
      </c>
      <c r="B1419" t="s">
        <v>37</v>
      </c>
      <c r="C1419" t="s">
        <v>37</v>
      </c>
      <c r="D1419" t="s">
        <v>38</v>
      </c>
      <c r="E1419" s="4">
        <v>12</v>
      </c>
      <c r="F1419" s="5">
        <v>1006.68</v>
      </c>
      <c r="G1419" s="5" t="s">
        <v>39</v>
      </c>
      <c r="H1419" s="5">
        <v>1662.24</v>
      </c>
      <c r="I1419" s="5" t="s">
        <v>39</v>
      </c>
      <c r="J1419" s="5">
        <v>34.227119999999999</v>
      </c>
      <c r="K1419" s="5">
        <f t="shared" si="66"/>
        <v>2.8522599999999998</v>
      </c>
      <c r="L1419" s="5">
        <f t="shared" si="67"/>
        <v>83.89</v>
      </c>
      <c r="M1419" s="5" t="s">
        <v>39</v>
      </c>
      <c r="N1419" s="5">
        <v>34.227119999999999</v>
      </c>
      <c r="O1419" s="5" t="s">
        <v>39</v>
      </c>
      <c r="P1419" t="s">
        <v>638</v>
      </c>
      <c r="Q1419" t="s">
        <v>420</v>
      </c>
      <c r="R1419" t="s">
        <v>37</v>
      </c>
      <c r="S1419" t="s">
        <v>421</v>
      </c>
      <c r="T1419" t="s">
        <v>43</v>
      </c>
      <c r="U1419" t="s">
        <v>44</v>
      </c>
      <c r="V1419">
        <v>147</v>
      </c>
      <c r="W1419" t="s">
        <v>45</v>
      </c>
      <c r="X1419" t="s">
        <v>46</v>
      </c>
      <c r="Y1419" t="s">
        <v>422</v>
      </c>
      <c r="Z1419" t="s">
        <v>37</v>
      </c>
      <c r="AA1419" t="s">
        <v>55</v>
      </c>
      <c r="AB1419" t="s">
        <v>37</v>
      </c>
      <c r="AC1419" s="6" t="s">
        <v>37</v>
      </c>
      <c r="AD1419" s="6" t="s">
        <v>37</v>
      </c>
      <c r="AE1419" t="s">
        <v>37</v>
      </c>
      <c r="AF1419" t="s">
        <v>37</v>
      </c>
      <c r="AG1419" s="6" t="s">
        <v>37</v>
      </c>
      <c r="AH1419" t="s">
        <v>37</v>
      </c>
      <c r="AI1419" t="s">
        <v>37</v>
      </c>
      <c r="AJ1419" t="str">
        <f t="shared" si="68"/>
        <v>7CQW3EPPB07QKC4WWD</v>
      </c>
    </row>
    <row r="1420" spans="1:36" ht="15" customHeight="1" x14ac:dyDescent="0.25">
      <c r="A1420" t="s">
        <v>411</v>
      </c>
      <c r="B1420" t="s">
        <v>37</v>
      </c>
      <c r="C1420" t="s">
        <v>37</v>
      </c>
      <c r="D1420" t="s">
        <v>38</v>
      </c>
      <c r="E1420" s="4">
        <v>277</v>
      </c>
      <c r="F1420" s="5">
        <v>68936.990000000005</v>
      </c>
      <c r="G1420" s="5" t="s">
        <v>39</v>
      </c>
      <c r="H1420" s="5">
        <v>90817.22</v>
      </c>
      <c r="I1420" s="5" t="s">
        <v>39</v>
      </c>
      <c r="J1420" s="5">
        <v>2343.8576600000001</v>
      </c>
      <c r="K1420" s="5">
        <f t="shared" si="66"/>
        <v>8.4615799999999997</v>
      </c>
      <c r="L1420" s="5">
        <f t="shared" si="67"/>
        <v>248.87000000000003</v>
      </c>
      <c r="M1420" s="5" t="s">
        <v>39</v>
      </c>
      <c r="N1420" s="5">
        <v>2343.8576600000001</v>
      </c>
      <c r="O1420" s="5" t="s">
        <v>39</v>
      </c>
      <c r="P1420" t="s">
        <v>820</v>
      </c>
      <c r="Q1420" t="s">
        <v>1896</v>
      </c>
      <c r="R1420" t="s">
        <v>1897</v>
      </c>
      <c r="S1420" t="s">
        <v>1898</v>
      </c>
      <c r="T1420" t="s">
        <v>43</v>
      </c>
      <c r="U1420" t="s">
        <v>44</v>
      </c>
      <c r="V1420">
        <v>147</v>
      </c>
      <c r="W1420" t="s">
        <v>45</v>
      </c>
      <c r="X1420" t="s">
        <v>389</v>
      </c>
      <c r="Y1420" t="s">
        <v>1899</v>
      </c>
      <c r="Z1420" t="s">
        <v>37</v>
      </c>
      <c r="AA1420" t="s">
        <v>95</v>
      </c>
      <c r="AB1420" t="s">
        <v>37</v>
      </c>
      <c r="AC1420" s="6" t="s">
        <v>37</v>
      </c>
      <c r="AD1420" s="6" t="s">
        <v>37</v>
      </c>
      <c r="AE1420" t="s">
        <v>37</v>
      </c>
      <c r="AF1420" t="s">
        <v>37</v>
      </c>
      <c r="AG1420" s="6" t="s">
        <v>37</v>
      </c>
      <c r="AH1420" t="s">
        <v>37</v>
      </c>
      <c r="AI1420" t="s">
        <v>37</v>
      </c>
      <c r="AJ1420" t="str">
        <f t="shared" si="68"/>
        <v>1KYIVKWCB004PGM9KY</v>
      </c>
    </row>
    <row r="1421" spans="1:36" ht="15" customHeight="1" x14ac:dyDescent="0.25">
      <c r="A1421" t="s">
        <v>76</v>
      </c>
      <c r="B1421" t="s">
        <v>37</v>
      </c>
      <c r="C1421" t="s">
        <v>37</v>
      </c>
      <c r="D1421" t="s">
        <v>38</v>
      </c>
      <c r="E1421" s="4">
        <v>32</v>
      </c>
      <c r="F1421" s="5">
        <v>3297.92</v>
      </c>
      <c r="G1421" s="5" t="s">
        <v>39</v>
      </c>
      <c r="H1421" s="5">
        <v>4328</v>
      </c>
      <c r="I1421" s="5" t="s">
        <v>39</v>
      </c>
      <c r="J1421" s="5">
        <v>112.12927999999999</v>
      </c>
      <c r="K1421" s="5">
        <f t="shared" si="66"/>
        <v>3.5040399999999998</v>
      </c>
      <c r="L1421" s="5">
        <f t="shared" si="67"/>
        <v>103.06</v>
      </c>
      <c r="M1421" s="5" t="s">
        <v>39</v>
      </c>
      <c r="N1421" s="5">
        <v>112.12927999999999</v>
      </c>
      <c r="O1421" s="5" t="s">
        <v>39</v>
      </c>
      <c r="P1421" t="s">
        <v>968</v>
      </c>
      <c r="Q1421" t="s">
        <v>142</v>
      </c>
      <c r="R1421" t="s">
        <v>37</v>
      </c>
      <c r="S1421" t="s">
        <v>143</v>
      </c>
      <c r="T1421" t="s">
        <v>43</v>
      </c>
      <c r="U1421" t="s">
        <v>44</v>
      </c>
      <c r="V1421">
        <v>147</v>
      </c>
      <c r="W1421" t="s">
        <v>45</v>
      </c>
      <c r="X1421" t="s">
        <v>46</v>
      </c>
      <c r="Y1421" t="s">
        <v>144</v>
      </c>
      <c r="Z1421" t="s">
        <v>37</v>
      </c>
      <c r="AA1421" t="s">
        <v>55</v>
      </c>
      <c r="AB1421" t="s">
        <v>37</v>
      </c>
      <c r="AC1421" s="6" t="s">
        <v>37</v>
      </c>
      <c r="AD1421" s="6" t="s">
        <v>37</v>
      </c>
      <c r="AE1421" t="s">
        <v>37</v>
      </c>
      <c r="AF1421" t="s">
        <v>37</v>
      </c>
      <c r="AG1421" s="6" t="s">
        <v>37</v>
      </c>
      <c r="AH1421" t="s">
        <v>37</v>
      </c>
      <c r="AI1421" t="s">
        <v>37</v>
      </c>
      <c r="AJ1421" t="str">
        <f t="shared" si="68"/>
        <v>7LA8DZCZB07PPNT9B2</v>
      </c>
    </row>
    <row r="1422" spans="1:36" ht="15" customHeight="1" x14ac:dyDescent="0.25">
      <c r="A1422" t="s">
        <v>49</v>
      </c>
      <c r="B1422" t="s">
        <v>37</v>
      </c>
      <c r="C1422" t="s">
        <v>37</v>
      </c>
      <c r="D1422" t="s">
        <v>38</v>
      </c>
      <c r="E1422" s="4">
        <v>4</v>
      </c>
      <c r="F1422" s="5">
        <v>335.56</v>
      </c>
      <c r="G1422" s="5" t="s">
        <v>39</v>
      </c>
      <c r="H1422" s="5">
        <v>554.08000000000004</v>
      </c>
      <c r="I1422" s="5" t="s">
        <v>39</v>
      </c>
      <c r="J1422" s="5">
        <v>11.409039999999999</v>
      </c>
      <c r="K1422" s="5">
        <f t="shared" si="66"/>
        <v>2.8522599999999998</v>
      </c>
      <c r="L1422" s="5">
        <f t="shared" si="67"/>
        <v>83.89</v>
      </c>
      <c r="M1422" s="5" t="s">
        <v>39</v>
      </c>
      <c r="N1422" s="5">
        <v>11.409039999999999</v>
      </c>
      <c r="O1422" s="5" t="s">
        <v>39</v>
      </c>
      <c r="P1422" t="s">
        <v>638</v>
      </c>
      <c r="Q1422" t="s">
        <v>420</v>
      </c>
      <c r="R1422" t="s">
        <v>37</v>
      </c>
      <c r="S1422" t="s">
        <v>421</v>
      </c>
      <c r="T1422" t="s">
        <v>43</v>
      </c>
      <c r="U1422" t="s">
        <v>44</v>
      </c>
      <c r="V1422">
        <v>147</v>
      </c>
      <c r="W1422" t="s">
        <v>45</v>
      </c>
      <c r="X1422" t="s">
        <v>46</v>
      </c>
      <c r="Y1422" t="s">
        <v>422</v>
      </c>
      <c r="Z1422" t="s">
        <v>37</v>
      </c>
      <c r="AA1422" t="s">
        <v>55</v>
      </c>
      <c r="AB1422" t="s">
        <v>37</v>
      </c>
      <c r="AC1422" s="6" t="s">
        <v>37</v>
      </c>
      <c r="AD1422" s="6" t="s">
        <v>37</v>
      </c>
      <c r="AE1422" t="s">
        <v>37</v>
      </c>
      <c r="AF1422" t="s">
        <v>37</v>
      </c>
      <c r="AG1422" s="6" t="s">
        <v>37</v>
      </c>
      <c r="AH1422" t="s">
        <v>37</v>
      </c>
      <c r="AI1422" t="s">
        <v>37</v>
      </c>
      <c r="AJ1422" t="str">
        <f t="shared" si="68"/>
        <v>7CQW3EPPB07QKC4WWD</v>
      </c>
    </row>
    <row r="1423" spans="1:36" ht="15" customHeight="1" x14ac:dyDescent="0.25">
      <c r="A1423" t="s">
        <v>101</v>
      </c>
      <c r="B1423" t="s">
        <v>37</v>
      </c>
      <c r="C1423" t="s">
        <v>37</v>
      </c>
      <c r="D1423" t="s">
        <v>38</v>
      </c>
      <c r="E1423" s="4">
        <v>8</v>
      </c>
      <c r="F1423" s="5">
        <v>835.28</v>
      </c>
      <c r="G1423" s="5" t="s">
        <v>39</v>
      </c>
      <c r="H1423" s="5">
        <v>1239.3599999999999</v>
      </c>
      <c r="I1423" s="5" t="s">
        <v>39</v>
      </c>
      <c r="J1423" s="5">
        <v>28.399519999999999</v>
      </c>
      <c r="K1423" s="5">
        <f t="shared" si="66"/>
        <v>3.5499399999999999</v>
      </c>
      <c r="L1423" s="5">
        <f t="shared" si="67"/>
        <v>104.41</v>
      </c>
      <c r="M1423" s="5" t="s">
        <v>39</v>
      </c>
      <c r="N1423" s="5">
        <v>28.399519999999999</v>
      </c>
      <c r="O1423" s="5" t="s">
        <v>39</v>
      </c>
      <c r="P1423" t="s">
        <v>120</v>
      </c>
      <c r="Q1423" t="s">
        <v>1834</v>
      </c>
      <c r="R1423" t="s">
        <v>37</v>
      </c>
      <c r="S1423" t="s">
        <v>1835</v>
      </c>
      <c r="T1423" t="s">
        <v>43</v>
      </c>
      <c r="U1423" t="s">
        <v>44</v>
      </c>
      <c r="V1423">
        <v>147</v>
      </c>
      <c r="W1423" t="s">
        <v>45</v>
      </c>
      <c r="X1423" t="s">
        <v>60</v>
      </c>
      <c r="Y1423" t="s">
        <v>1836</v>
      </c>
      <c r="Z1423" t="s">
        <v>37</v>
      </c>
      <c r="AA1423" t="s">
        <v>55</v>
      </c>
      <c r="AB1423" t="s">
        <v>37</v>
      </c>
      <c r="AC1423" s="6" t="s">
        <v>37</v>
      </c>
      <c r="AD1423" s="6" t="s">
        <v>37</v>
      </c>
      <c r="AE1423" t="s">
        <v>37</v>
      </c>
      <c r="AF1423" t="s">
        <v>37</v>
      </c>
      <c r="AG1423" s="6" t="s">
        <v>37</v>
      </c>
      <c r="AH1423" t="s">
        <v>37</v>
      </c>
      <c r="AI1423" t="s">
        <v>37</v>
      </c>
      <c r="AJ1423" t="str">
        <f t="shared" si="68"/>
        <v>5MWU8WTDB07W4DGKZ5</v>
      </c>
    </row>
    <row r="1424" spans="1:36" ht="15" customHeight="1" x14ac:dyDescent="0.25">
      <c r="A1424" t="s">
        <v>118</v>
      </c>
      <c r="B1424" t="s">
        <v>37</v>
      </c>
      <c r="C1424" t="s">
        <v>37</v>
      </c>
      <c r="D1424" t="s">
        <v>38</v>
      </c>
      <c r="E1424" s="4">
        <v>96</v>
      </c>
      <c r="F1424" s="5">
        <v>3372.48</v>
      </c>
      <c r="G1424" s="5" t="s">
        <v>39</v>
      </c>
      <c r="H1424" s="5">
        <v>4877.76</v>
      </c>
      <c r="I1424" s="5" t="s">
        <v>39</v>
      </c>
      <c r="J1424" s="5">
        <v>114.66432</v>
      </c>
      <c r="K1424" s="5">
        <f t="shared" si="66"/>
        <v>1.19442</v>
      </c>
      <c r="L1424" s="5">
        <f t="shared" si="67"/>
        <v>35.130000000000003</v>
      </c>
      <c r="M1424" s="5" t="s">
        <v>39</v>
      </c>
      <c r="N1424" s="5">
        <v>114.66432</v>
      </c>
      <c r="O1424" s="5" t="s">
        <v>39</v>
      </c>
      <c r="P1424" t="s">
        <v>141</v>
      </c>
      <c r="Q1424" t="s">
        <v>837</v>
      </c>
      <c r="R1424" t="s">
        <v>37</v>
      </c>
      <c r="S1424" t="s">
        <v>838</v>
      </c>
      <c r="T1424" t="s">
        <v>43</v>
      </c>
      <c r="U1424" t="s">
        <v>44</v>
      </c>
      <c r="V1424">
        <v>147</v>
      </c>
      <c r="W1424" t="s">
        <v>45</v>
      </c>
      <c r="X1424" t="s">
        <v>60</v>
      </c>
      <c r="Y1424" t="s">
        <v>839</v>
      </c>
      <c r="Z1424" t="s">
        <v>37</v>
      </c>
      <c r="AA1424" t="s">
        <v>55</v>
      </c>
      <c r="AB1424" t="s">
        <v>37</v>
      </c>
      <c r="AC1424" s="6" t="s">
        <v>37</v>
      </c>
      <c r="AD1424" s="6" t="s">
        <v>37</v>
      </c>
      <c r="AE1424" t="s">
        <v>37</v>
      </c>
      <c r="AF1424" t="s">
        <v>37</v>
      </c>
      <c r="AG1424" s="6" t="s">
        <v>37</v>
      </c>
      <c r="AH1424" t="s">
        <v>37</v>
      </c>
      <c r="AI1424" t="s">
        <v>37</v>
      </c>
      <c r="AJ1424" t="str">
        <f t="shared" si="68"/>
        <v>56UO2L2IB07VK1S68S</v>
      </c>
    </row>
    <row r="1425" spans="1:36" ht="15" customHeight="1" x14ac:dyDescent="0.25">
      <c r="A1425" t="s">
        <v>88</v>
      </c>
      <c r="B1425" t="s">
        <v>37</v>
      </c>
      <c r="C1425" t="s">
        <v>37</v>
      </c>
      <c r="D1425" t="s">
        <v>38</v>
      </c>
      <c r="E1425" s="4">
        <v>36</v>
      </c>
      <c r="F1425" s="5">
        <v>759.6</v>
      </c>
      <c r="G1425" s="5" t="s">
        <v>39</v>
      </c>
      <c r="H1425" s="5">
        <v>1298.1600000000001</v>
      </c>
      <c r="I1425" s="5" t="s">
        <v>39</v>
      </c>
      <c r="J1425" s="5">
        <v>25.8264</v>
      </c>
      <c r="K1425" s="5">
        <f t="shared" si="66"/>
        <v>0.71740000000000004</v>
      </c>
      <c r="L1425" s="5">
        <f t="shared" si="67"/>
        <v>21.1</v>
      </c>
      <c r="M1425" s="5" t="s">
        <v>39</v>
      </c>
      <c r="N1425" s="5">
        <v>25.8264</v>
      </c>
      <c r="O1425" s="5" t="s">
        <v>39</v>
      </c>
      <c r="P1425" t="s">
        <v>89</v>
      </c>
      <c r="Q1425" t="s">
        <v>741</v>
      </c>
      <c r="R1425" t="s">
        <v>742</v>
      </c>
      <c r="S1425" t="s">
        <v>743</v>
      </c>
      <c r="T1425" t="s">
        <v>43</v>
      </c>
      <c r="U1425" t="s">
        <v>44</v>
      </c>
      <c r="V1425">
        <v>147</v>
      </c>
      <c r="W1425" t="s">
        <v>45</v>
      </c>
      <c r="X1425" t="s">
        <v>46</v>
      </c>
      <c r="Y1425" t="s">
        <v>744</v>
      </c>
      <c r="Z1425" t="s">
        <v>37</v>
      </c>
      <c r="AA1425" t="s">
        <v>48</v>
      </c>
      <c r="AB1425" t="s">
        <v>37</v>
      </c>
      <c r="AC1425" s="6" t="s">
        <v>37</v>
      </c>
      <c r="AD1425" s="6" t="s">
        <v>37</v>
      </c>
      <c r="AE1425" t="s">
        <v>37</v>
      </c>
      <c r="AF1425" t="s">
        <v>37</v>
      </c>
      <c r="AG1425" s="6" t="s">
        <v>37</v>
      </c>
      <c r="AH1425" t="s">
        <v>37</v>
      </c>
      <c r="AI1425" t="s">
        <v>37</v>
      </c>
      <c r="AJ1425" t="str">
        <f t="shared" si="68"/>
        <v>2W68T8TOB00CJ5FP04</v>
      </c>
    </row>
    <row r="1426" spans="1:36" ht="15" customHeight="1" x14ac:dyDescent="0.25">
      <c r="A1426" t="s">
        <v>96</v>
      </c>
      <c r="B1426" t="s">
        <v>37</v>
      </c>
      <c r="C1426" t="s">
        <v>37</v>
      </c>
      <c r="D1426" t="s">
        <v>38</v>
      </c>
      <c r="E1426" s="4">
        <v>8</v>
      </c>
      <c r="F1426" s="5">
        <v>257.68</v>
      </c>
      <c r="G1426" s="5" t="s">
        <v>39</v>
      </c>
      <c r="H1426" s="5">
        <v>386.8</v>
      </c>
      <c r="I1426" s="5" t="s">
        <v>39</v>
      </c>
      <c r="J1426" s="5">
        <v>8.76112</v>
      </c>
      <c r="K1426" s="5">
        <f t="shared" si="66"/>
        <v>1.09514</v>
      </c>
      <c r="L1426" s="5">
        <f t="shared" si="67"/>
        <v>32.21</v>
      </c>
      <c r="M1426" s="5" t="s">
        <v>39</v>
      </c>
      <c r="N1426" s="5">
        <v>8.76112</v>
      </c>
      <c r="O1426" s="5" t="s">
        <v>39</v>
      </c>
      <c r="P1426" t="s">
        <v>195</v>
      </c>
      <c r="Q1426" t="s">
        <v>192</v>
      </c>
      <c r="R1426" t="s">
        <v>37</v>
      </c>
      <c r="S1426" t="s">
        <v>193</v>
      </c>
      <c r="T1426" t="s">
        <v>43</v>
      </c>
      <c r="U1426" t="s">
        <v>44</v>
      </c>
      <c r="V1426">
        <v>147</v>
      </c>
      <c r="W1426" t="s">
        <v>45</v>
      </c>
      <c r="X1426" t="s">
        <v>60</v>
      </c>
      <c r="Y1426" t="s">
        <v>194</v>
      </c>
      <c r="Z1426" t="s">
        <v>37</v>
      </c>
      <c r="AA1426" t="s">
        <v>55</v>
      </c>
      <c r="AB1426" t="s">
        <v>37</v>
      </c>
      <c r="AC1426" s="6" t="s">
        <v>37</v>
      </c>
      <c r="AD1426" s="6" t="s">
        <v>37</v>
      </c>
      <c r="AE1426" t="s">
        <v>37</v>
      </c>
      <c r="AF1426" t="s">
        <v>37</v>
      </c>
      <c r="AG1426" s="6" t="s">
        <v>37</v>
      </c>
      <c r="AH1426" t="s">
        <v>37</v>
      </c>
      <c r="AI1426" t="s">
        <v>37</v>
      </c>
      <c r="AJ1426" t="str">
        <f t="shared" si="68"/>
        <v>5X1OU9ZGB07W5JKPFG</v>
      </c>
    </row>
    <row r="1427" spans="1:36" ht="15" customHeight="1" x14ac:dyDescent="0.25">
      <c r="A1427" t="s">
        <v>210</v>
      </c>
      <c r="B1427" t="s">
        <v>37</v>
      </c>
      <c r="C1427" t="s">
        <v>37</v>
      </c>
      <c r="D1427" t="s">
        <v>38</v>
      </c>
      <c r="E1427" s="4">
        <v>60</v>
      </c>
      <c r="F1427" s="5">
        <v>1230</v>
      </c>
      <c r="G1427" s="5" t="s">
        <v>39</v>
      </c>
      <c r="H1427" s="5">
        <v>1919.4</v>
      </c>
      <c r="I1427" s="5" t="s">
        <v>39</v>
      </c>
      <c r="J1427" s="5">
        <v>41.82</v>
      </c>
      <c r="K1427" s="5">
        <f t="shared" si="66"/>
        <v>0.69699999999999995</v>
      </c>
      <c r="L1427" s="5">
        <f t="shared" si="67"/>
        <v>20.5</v>
      </c>
      <c r="M1427" s="5" t="s">
        <v>39</v>
      </c>
      <c r="N1427" s="5">
        <v>41.82</v>
      </c>
      <c r="O1427" s="5" t="s">
        <v>39</v>
      </c>
      <c r="P1427" t="s">
        <v>141</v>
      </c>
      <c r="Q1427" t="s">
        <v>1759</v>
      </c>
      <c r="R1427" t="s">
        <v>1760</v>
      </c>
      <c r="S1427" t="s">
        <v>1761</v>
      </c>
      <c r="T1427" t="s">
        <v>43</v>
      </c>
      <c r="U1427" t="s">
        <v>44</v>
      </c>
      <c r="V1427">
        <v>147</v>
      </c>
      <c r="W1427" t="s">
        <v>45</v>
      </c>
      <c r="X1427" t="s">
        <v>389</v>
      </c>
      <c r="Y1427" t="s">
        <v>1762</v>
      </c>
      <c r="Z1427" t="s">
        <v>37</v>
      </c>
      <c r="AA1427" t="s">
        <v>48</v>
      </c>
      <c r="AB1427" t="s">
        <v>37</v>
      </c>
      <c r="AC1427" s="6" t="s">
        <v>37</v>
      </c>
      <c r="AD1427" s="6" t="s">
        <v>37</v>
      </c>
      <c r="AE1427" t="s">
        <v>37</v>
      </c>
      <c r="AF1427" t="s">
        <v>37</v>
      </c>
      <c r="AG1427" s="6" t="s">
        <v>37</v>
      </c>
      <c r="AH1427" t="s">
        <v>37</v>
      </c>
      <c r="AI1427" t="s">
        <v>37</v>
      </c>
      <c r="AJ1427" t="str">
        <f t="shared" si="68"/>
        <v>56UO2L2IB0013N474I</v>
      </c>
    </row>
    <row r="1428" spans="1:36" ht="15" customHeight="1" x14ac:dyDescent="0.25">
      <c r="A1428" t="s">
        <v>96</v>
      </c>
      <c r="B1428" t="s">
        <v>37</v>
      </c>
      <c r="C1428" t="s">
        <v>37</v>
      </c>
      <c r="D1428" t="s">
        <v>38</v>
      </c>
      <c r="E1428" s="4">
        <v>44</v>
      </c>
      <c r="F1428" s="5">
        <v>1803.56</v>
      </c>
      <c r="G1428" s="5" t="s">
        <v>39</v>
      </c>
      <c r="H1428" s="5">
        <v>2596.44</v>
      </c>
      <c r="I1428" s="5" t="s">
        <v>39</v>
      </c>
      <c r="J1428" s="5">
        <v>61.321040000000004</v>
      </c>
      <c r="K1428" s="5">
        <f t="shared" si="66"/>
        <v>1.3936600000000001</v>
      </c>
      <c r="L1428" s="5">
        <f t="shared" si="67"/>
        <v>40.99</v>
      </c>
      <c r="M1428" s="5" t="s">
        <v>39</v>
      </c>
      <c r="N1428" s="5">
        <v>61.321040000000004</v>
      </c>
      <c r="O1428" s="5" t="s">
        <v>39</v>
      </c>
      <c r="P1428" t="s">
        <v>50</v>
      </c>
      <c r="Q1428" t="s">
        <v>1608</v>
      </c>
      <c r="R1428" t="s">
        <v>37</v>
      </c>
      <c r="S1428" t="s">
        <v>1609</v>
      </c>
      <c r="T1428" t="s">
        <v>43</v>
      </c>
      <c r="U1428" t="s">
        <v>44</v>
      </c>
      <c r="V1428">
        <v>147</v>
      </c>
      <c r="W1428" t="s">
        <v>45</v>
      </c>
      <c r="X1428" t="s">
        <v>389</v>
      </c>
      <c r="Y1428" t="s">
        <v>1610</v>
      </c>
      <c r="Z1428" t="s">
        <v>37</v>
      </c>
      <c r="AA1428" t="s">
        <v>95</v>
      </c>
      <c r="AB1428" t="s">
        <v>37</v>
      </c>
      <c r="AC1428" s="6" t="s">
        <v>37</v>
      </c>
      <c r="AD1428" s="6" t="s">
        <v>37</v>
      </c>
      <c r="AE1428" t="s">
        <v>37</v>
      </c>
      <c r="AF1428" t="s">
        <v>37</v>
      </c>
      <c r="AG1428" s="6" t="s">
        <v>37</v>
      </c>
      <c r="AH1428" t="s">
        <v>37</v>
      </c>
      <c r="AI1428" t="s">
        <v>37</v>
      </c>
      <c r="AJ1428" t="str">
        <f t="shared" si="68"/>
        <v>3A946EXYB074N6823V</v>
      </c>
    </row>
    <row r="1429" spans="1:36" ht="15" customHeight="1" x14ac:dyDescent="0.25">
      <c r="A1429" t="s">
        <v>49</v>
      </c>
      <c r="B1429" t="s">
        <v>37</v>
      </c>
      <c r="C1429" t="s">
        <v>37</v>
      </c>
      <c r="D1429" t="s">
        <v>38</v>
      </c>
      <c r="E1429" s="4">
        <v>440</v>
      </c>
      <c r="F1429" s="5">
        <v>9020</v>
      </c>
      <c r="G1429" s="5" t="s">
        <v>39</v>
      </c>
      <c r="H1429" s="5">
        <v>14075.6</v>
      </c>
      <c r="I1429" s="5" t="s">
        <v>39</v>
      </c>
      <c r="J1429" s="5">
        <v>306.68</v>
      </c>
      <c r="K1429" s="5">
        <f t="shared" si="66"/>
        <v>0.69700000000000006</v>
      </c>
      <c r="L1429" s="5">
        <f t="shared" si="67"/>
        <v>20.5</v>
      </c>
      <c r="M1429" s="5" t="s">
        <v>39</v>
      </c>
      <c r="N1429" s="5">
        <v>306.68</v>
      </c>
      <c r="O1429" s="5" t="s">
        <v>39</v>
      </c>
      <c r="P1429" t="s">
        <v>141</v>
      </c>
      <c r="Q1429" t="s">
        <v>1759</v>
      </c>
      <c r="R1429" t="s">
        <v>1760</v>
      </c>
      <c r="S1429" t="s">
        <v>1761</v>
      </c>
      <c r="T1429" t="s">
        <v>43</v>
      </c>
      <c r="U1429" t="s">
        <v>44</v>
      </c>
      <c r="V1429">
        <v>147</v>
      </c>
      <c r="W1429" t="s">
        <v>45</v>
      </c>
      <c r="X1429" t="s">
        <v>389</v>
      </c>
      <c r="Y1429" t="s">
        <v>1762</v>
      </c>
      <c r="Z1429" t="s">
        <v>37</v>
      </c>
      <c r="AA1429" t="s">
        <v>48</v>
      </c>
      <c r="AB1429" t="s">
        <v>37</v>
      </c>
      <c r="AC1429" s="6" t="s">
        <v>37</v>
      </c>
      <c r="AD1429" s="6" t="s">
        <v>37</v>
      </c>
      <c r="AE1429" t="s">
        <v>37</v>
      </c>
      <c r="AF1429" t="s">
        <v>37</v>
      </c>
      <c r="AG1429" s="6" t="s">
        <v>37</v>
      </c>
      <c r="AH1429" t="s">
        <v>37</v>
      </c>
      <c r="AI1429" t="s">
        <v>37</v>
      </c>
      <c r="AJ1429" t="str">
        <f t="shared" si="68"/>
        <v>56UO2L2IB0013N474I</v>
      </c>
    </row>
    <row r="1430" spans="1:36" ht="15" customHeight="1" x14ac:dyDescent="0.25">
      <c r="A1430" t="s">
        <v>383</v>
      </c>
      <c r="B1430" t="s">
        <v>37</v>
      </c>
      <c r="C1430" t="s">
        <v>37</v>
      </c>
      <c r="D1430" t="s">
        <v>38</v>
      </c>
      <c r="E1430" s="4">
        <v>0</v>
      </c>
      <c r="F1430" s="5">
        <v>0</v>
      </c>
      <c r="G1430" s="5" t="s">
        <v>39</v>
      </c>
      <c r="H1430" s="5">
        <v>0</v>
      </c>
      <c r="I1430" s="5" t="s">
        <v>39</v>
      </c>
      <c r="J1430" s="5">
        <v>0</v>
      </c>
      <c r="K1430" s="5" t="e">
        <f t="shared" si="66"/>
        <v>#DIV/0!</v>
      </c>
      <c r="L1430" s="5" t="e">
        <f t="shared" si="67"/>
        <v>#DIV/0!</v>
      </c>
      <c r="M1430" s="5" t="s">
        <v>39</v>
      </c>
      <c r="N1430" s="5">
        <v>0</v>
      </c>
      <c r="O1430" s="5" t="s">
        <v>39</v>
      </c>
      <c r="P1430" t="s">
        <v>141</v>
      </c>
      <c r="Q1430" t="s">
        <v>1759</v>
      </c>
      <c r="R1430" t="s">
        <v>1760</v>
      </c>
      <c r="S1430" t="s">
        <v>1761</v>
      </c>
      <c r="T1430" t="s">
        <v>43</v>
      </c>
      <c r="U1430" t="s">
        <v>44</v>
      </c>
      <c r="V1430">
        <v>147</v>
      </c>
      <c r="W1430" t="s">
        <v>45</v>
      </c>
      <c r="X1430" t="s">
        <v>389</v>
      </c>
      <c r="Y1430" t="s">
        <v>1762</v>
      </c>
      <c r="Z1430" t="s">
        <v>37</v>
      </c>
      <c r="AA1430" t="s">
        <v>48</v>
      </c>
      <c r="AB1430" t="s">
        <v>37</v>
      </c>
      <c r="AC1430" s="6" t="s">
        <v>37</v>
      </c>
      <c r="AD1430" s="6" t="s">
        <v>37</v>
      </c>
      <c r="AE1430" t="s">
        <v>37</v>
      </c>
      <c r="AF1430" t="s">
        <v>37</v>
      </c>
      <c r="AG1430" s="6" t="s">
        <v>37</v>
      </c>
      <c r="AH1430" t="s">
        <v>37</v>
      </c>
      <c r="AI1430" t="s">
        <v>37</v>
      </c>
      <c r="AJ1430" t="str">
        <f t="shared" si="68"/>
        <v>56UO2L2IB0013N474I</v>
      </c>
    </row>
    <row r="1431" spans="1:36" ht="15" customHeight="1" x14ac:dyDescent="0.25">
      <c r="A1431" t="s">
        <v>49</v>
      </c>
      <c r="B1431" t="s">
        <v>37</v>
      </c>
      <c r="C1431" t="s">
        <v>37</v>
      </c>
      <c r="D1431" t="s">
        <v>38</v>
      </c>
      <c r="E1431" s="4">
        <v>4</v>
      </c>
      <c r="F1431" s="5">
        <v>163.96</v>
      </c>
      <c r="G1431" s="5" t="s">
        <v>39</v>
      </c>
      <c r="H1431" s="5">
        <v>236.04</v>
      </c>
      <c r="I1431" s="5" t="s">
        <v>39</v>
      </c>
      <c r="J1431" s="5">
        <v>5.5746399999999996</v>
      </c>
      <c r="K1431" s="5">
        <f t="shared" si="66"/>
        <v>1.3936599999999999</v>
      </c>
      <c r="L1431" s="5">
        <f t="shared" si="67"/>
        <v>40.99</v>
      </c>
      <c r="M1431" s="5" t="s">
        <v>39</v>
      </c>
      <c r="N1431" s="5">
        <v>5.5746399999999996</v>
      </c>
      <c r="O1431" s="5" t="s">
        <v>39</v>
      </c>
      <c r="P1431" t="s">
        <v>50</v>
      </c>
      <c r="Q1431" t="s">
        <v>1608</v>
      </c>
      <c r="R1431" t="s">
        <v>37</v>
      </c>
      <c r="S1431" t="s">
        <v>1609</v>
      </c>
      <c r="T1431" t="s">
        <v>43</v>
      </c>
      <c r="U1431" t="s">
        <v>44</v>
      </c>
      <c r="V1431">
        <v>147</v>
      </c>
      <c r="W1431" t="s">
        <v>45</v>
      </c>
      <c r="X1431" t="s">
        <v>389</v>
      </c>
      <c r="Y1431" t="s">
        <v>1610</v>
      </c>
      <c r="Z1431" t="s">
        <v>37</v>
      </c>
      <c r="AA1431" t="s">
        <v>95</v>
      </c>
      <c r="AB1431" t="s">
        <v>37</v>
      </c>
      <c r="AC1431" s="6" t="s">
        <v>37</v>
      </c>
      <c r="AD1431" s="6" t="s">
        <v>37</v>
      </c>
      <c r="AE1431" t="s">
        <v>37</v>
      </c>
      <c r="AF1431" t="s">
        <v>37</v>
      </c>
      <c r="AG1431" s="6" t="s">
        <v>37</v>
      </c>
      <c r="AH1431" t="s">
        <v>37</v>
      </c>
      <c r="AI1431" t="s">
        <v>37</v>
      </c>
      <c r="AJ1431" t="str">
        <f t="shared" si="68"/>
        <v>3A946EXYB074N6823V</v>
      </c>
    </row>
    <row r="1432" spans="1:36" ht="15" customHeight="1" x14ac:dyDescent="0.25">
      <c r="A1432" t="s">
        <v>284</v>
      </c>
      <c r="B1432" t="s">
        <v>37</v>
      </c>
      <c r="C1432" t="s">
        <v>37</v>
      </c>
      <c r="D1432" t="s">
        <v>38</v>
      </c>
      <c r="E1432" s="4">
        <v>2</v>
      </c>
      <c r="F1432" s="5">
        <v>70.260000000000005</v>
      </c>
      <c r="G1432" s="5" t="s">
        <v>39</v>
      </c>
      <c r="H1432" s="5">
        <v>110</v>
      </c>
      <c r="I1432" s="5" t="s">
        <v>39</v>
      </c>
      <c r="J1432" s="5">
        <v>2.3888400000000001</v>
      </c>
      <c r="K1432" s="5">
        <f t="shared" si="66"/>
        <v>1.19442</v>
      </c>
      <c r="L1432" s="5">
        <f t="shared" si="67"/>
        <v>35.130000000000003</v>
      </c>
      <c r="M1432" s="5" t="s">
        <v>39</v>
      </c>
      <c r="N1432" s="5">
        <v>2.3888400000000001</v>
      </c>
      <c r="O1432" s="5" t="s">
        <v>39</v>
      </c>
      <c r="P1432" t="s">
        <v>167</v>
      </c>
      <c r="Q1432" t="s">
        <v>1900</v>
      </c>
      <c r="R1432" t="s">
        <v>1901</v>
      </c>
      <c r="S1432" t="s">
        <v>1902</v>
      </c>
      <c r="T1432" t="s">
        <v>43</v>
      </c>
      <c r="U1432" t="s">
        <v>44</v>
      </c>
      <c r="V1432">
        <v>147</v>
      </c>
      <c r="W1432" t="s">
        <v>45</v>
      </c>
      <c r="X1432" t="s">
        <v>389</v>
      </c>
      <c r="Y1432" t="s">
        <v>1903</v>
      </c>
      <c r="Z1432" t="s">
        <v>37</v>
      </c>
      <c r="AA1432" t="s">
        <v>55</v>
      </c>
      <c r="AB1432" t="s">
        <v>37</v>
      </c>
      <c r="AC1432" s="6" t="s">
        <v>37</v>
      </c>
      <c r="AD1432" s="6" t="s">
        <v>37</v>
      </c>
      <c r="AE1432" t="s">
        <v>37</v>
      </c>
      <c r="AF1432" t="s">
        <v>37</v>
      </c>
      <c r="AG1432" s="6" t="s">
        <v>37</v>
      </c>
      <c r="AH1432" t="s">
        <v>37</v>
      </c>
      <c r="AI1432" t="s">
        <v>37</v>
      </c>
      <c r="AJ1432" t="str">
        <f t="shared" si="68"/>
        <v>31QWZ6KBB003LNXT7Y</v>
      </c>
    </row>
    <row r="1433" spans="1:36" ht="15" customHeight="1" x14ac:dyDescent="0.25">
      <c r="A1433" t="s">
        <v>118</v>
      </c>
      <c r="B1433" t="s">
        <v>37</v>
      </c>
      <c r="C1433" t="s">
        <v>37</v>
      </c>
      <c r="D1433" t="s">
        <v>38</v>
      </c>
      <c r="E1433" s="4">
        <v>3063</v>
      </c>
      <c r="F1433" s="5">
        <v>105030.27</v>
      </c>
      <c r="G1433" s="5" t="s">
        <v>39</v>
      </c>
      <c r="H1433" s="5">
        <v>155631.03</v>
      </c>
      <c r="I1433" s="5" t="s">
        <v>39</v>
      </c>
      <c r="J1433" s="5">
        <v>3571.02918</v>
      </c>
      <c r="K1433" s="5">
        <f t="shared" si="66"/>
        <v>1.1658599999999999</v>
      </c>
      <c r="L1433" s="5">
        <f t="shared" si="67"/>
        <v>34.29</v>
      </c>
      <c r="M1433" s="5" t="s">
        <v>39</v>
      </c>
      <c r="N1433" s="5">
        <v>3571.02918</v>
      </c>
      <c r="O1433" s="5" t="s">
        <v>39</v>
      </c>
      <c r="P1433" t="s">
        <v>365</v>
      </c>
      <c r="Q1433" t="s">
        <v>1307</v>
      </c>
      <c r="R1433" t="s">
        <v>37</v>
      </c>
      <c r="S1433" t="s">
        <v>1308</v>
      </c>
      <c r="T1433" t="s">
        <v>43</v>
      </c>
      <c r="U1433" t="s">
        <v>44</v>
      </c>
      <c r="V1433">
        <v>147</v>
      </c>
      <c r="W1433" t="s">
        <v>45</v>
      </c>
      <c r="X1433" t="s">
        <v>46</v>
      </c>
      <c r="Y1433" t="s">
        <v>1309</v>
      </c>
      <c r="Z1433" t="s">
        <v>37</v>
      </c>
      <c r="AA1433" t="s">
        <v>55</v>
      </c>
      <c r="AB1433" t="s">
        <v>37</v>
      </c>
      <c r="AC1433" s="6" t="s">
        <v>37</v>
      </c>
      <c r="AD1433" s="6" t="s">
        <v>37</v>
      </c>
      <c r="AE1433" t="s">
        <v>37</v>
      </c>
      <c r="AF1433" t="s">
        <v>37</v>
      </c>
      <c r="AG1433" s="6" t="s">
        <v>37</v>
      </c>
      <c r="AH1433" t="s">
        <v>37</v>
      </c>
      <c r="AI1433" t="s">
        <v>37</v>
      </c>
      <c r="AJ1433" t="str">
        <f t="shared" si="68"/>
        <v>3KYCEHVHB00ZWOUH4S</v>
      </c>
    </row>
    <row r="1434" spans="1:36" ht="15" customHeight="1" x14ac:dyDescent="0.25">
      <c r="A1434" t="s">
        <v>411</v>
      </c>
      <c r="B1434" t="s">
        <v>37</v>
      </c>
      <c r="C1434" t="s">
        <v>37</v>
      </c>
      <c r="D1434" t="s">
        <v>38</v>
      </c>
      <c r="E1434" s="4">
        <v>4</v>
      </c>
      <c r="F1434" s="5">
        <v>230.04</v>
      </c>
      <c r="G1434" s="5" t="s">
        <v>39</v>
      </c>
      <c r="H1434" s="5">
        <v>340.96</v>
      </c>
      <c r="I1434" s="5" t="s">
        <v>39</v>
      </c>
      <c r="J1434" s="5">
        <v>7.8213600000000003</v>
      </c>
      <c r="K1434" s="5">
        <f t="shared" si="66"/>
        <v>1.9553400000000001</v>
      </c>
      <c r="L1434" s="5">
        <f t="shared" si="67"/>
        <v>57.51</v>
      </c>
      <c r="M1434" s="5" t="s">
        <v>39</v>
      </c>
      <c r="N1434" s="5">
        <v>7.8213600000000003</v>
      </c>
      <c r="O1434" s="5" t="s">
        <v>39</v>
      </c>
      <c r="P1434" t="s">
        <v>522</v>
      </c>
      <c r="Q1434" t="s">
        <v>199</v>
      </c>
      <c r="R1434" t="s">
        <v>37</v>
      </c>
      <c r="S1434" t="s">
        <v>200</v>
      </c>
      <c r="T1434" t="s">
        <v>43</v>
      </c>
      <c r="U1434" t="s">
        <v>44</v>
      </c>
      <c r="V1434">
        <v>147</v>
      </c>
      <c r="W1434" t="s">
        <v>45</v>
      </c>
      <c r="X1434" t="s">
        <v>46</v>
      </c>
      <c r="Y1434" t="s">
        <v>201</v>
      </c>
      <c r="Z1434" t="s">
        <v>37</v>
      </c>
      <c r="AA1434" t="s">
        <v>48</v>
      </c>
      <c r="AB1434" t="s">
        <v>37</v>
      </c>
      <c r="AC1434" s="6" t="s">
        <v>37</v>
      </c>
      <c r="AD1434" s="6" t="s">
        <v>37</v>
      </c>
      <c r="AE1434" t="s">
        <v>37</v>
      </c>
      <c r="AF1434" t="s">
        <v>37</v>
      </c>
      <c r="AG1434" s="6" t="s">
        <v>37</v>
      </c>
      <c r="AH1434" t="s">
        <v>37</v>
      </c>
      <c r="AI1434" t="s">
        <v>37</v>
      </c>
      <c r="AJ1434" t="str">
        <f t="shared" si="68"/>
        <v>24EUBTHXB06XPHQW6G</v>
      </c>
    </row>
    <row r="1435" spans="1:36" ht="15" customHeight="1" x14ac:dyDescent="0.25">
      <c r="A1435" t="s">
        <v>1242</v>
      </c>
      <c r="B1435" t="s">
        <v>37</v>
      </c>
      <c r="C1435" t="s">
        <v>37</v>
      </c>
      <c r="D1435" t="s">
        <v>38</v>
      </c>
      <c r="E1435" s="4">
        <v>0</v>
      </c>
      <c r="F1435" s="5">
        <v>0</v>
      </c>
      <c r="G1435" s="5" t="s">
        <v>39</v>
      </c>
      <c r="H1435" s="5">
        <v>0</v>
      </c>
      <c r="I1435" s="5" t="s">
        <v>39</v>
      </c>
      <c r="J1435" s="5">
        <v>0</v>
      </c>
      <c r="K1435" s="5" t="e">
        <f t="shared" si="66"/>
        <v>#DIV/0!</v>
      </c>
      <c r="L1435" s="5" t="e">
        <f t="shared" si="67"/>
        <v>#DIV/0!</v>
      </c>
      <c r="M1435" s="5" t="s">
        <v>39</v>
      </c>
      <c r="N1435" s="5">
        <v>0</v>
      </c>
      <c r="O1435" s="5" t="s">
        <v>39</v>
      </c>
      <c r="P1435" t="s">
        <v>72</v>
      </c>
      <c r="Q1435" t="s">
        <v>1447</v>
      </c>
      <c r="R1435" t="s">
        <v>37</v>
      </c>
      <c r="S1435" t="s">
        <v>1448</v>
      </c>
      <c r="T1435" t="s">
        <v>43</v>
      </c>
      <c r="U1435" t="s">
        <v>44</v>
      </c>
      <c r="V1435">
        <v>147</v>
      </c>
      <c r="W1435" t="s">
        <v>45</v>
      </c>
      <c r="X1435" t="s">
        <v>53</v>
      </c>
      <c r="Y1435" t="s">
        <v>1449</v>
      </c>
      <c r="Z1435" t="s">
        <v>37</v>
      </c>
      <c r="AA1435" t="s">
        <v>48</v>
      </c>
      <c r="AB1435" t="s">
        <v>37</v>
      </c>
      <c r="AC1435" s="6" t="s">
        <v>37</v>
      </c>
      <c r="AD1435" s="6" t="s">
        <v>37</v>
      </c>
      <c r="AE1435" t="s">
        <v>37</v>
      </c>
      <c r="AF1435" t="s">
        <v>37</v>
      </c>
      <c r="AG1435" s="6" t="s">
        <v>37</v>
      </c>
      <c r="AH1435" t="s">
        <v>37</v>
      </c>
      <c r="AI1435" t="s">
        <v>37</v>
      </c>
      <c r="AJ1435" t="str">
        <f t="shared" si="68"/>
        <v>4GF112AEB07W5JKHFZ</v>
      </c>
    </row>
    <row r="1436" spans="1:36" ht="15" customHeight="1" x14ac:dyDescent="0.25">
      <c r="A1436" t="s">
        <v>96</v>
      </c>
      <c r="B1436" t="s">
        <v>37</v>
      </c>
      <c r="C1436" t="s">
        <v>37</v>
      </c>
      <c r="D1436" t="s">
        <v>38</v>
      </c>
      <c r="E1436" s="4">
        <v>19</v>
      </c>
      <c r="F1436" s="5">
        <v>2496.2199999999998</v>
      </c>
      <c r="G1436" s="5" t="s">
        <v>39</v>
      </c>
      <c r="H1436" s="5">
        <v>4033.51</v>
      </c>
      <c r="I1436" s="5" t="s">
        <v>39</v>
      </c>
      <c r="J1436" s="5">
        <v>84.871480000000005</v>
      </c>
      <c r="K1436" s="5">
        <f t="shared" si="66"/>
        <v>4.46692</v>
      </c>
      <c r="L1436" s="5">
        <f t="shared" si="67"/>
        <v>131.38</v>
      </c>
      <c r="M1436" s="5" t="s">
        <v>39</v>
      </c>
      <c r="N1436" s="5">
        <v>84.871480000000005</v>
      </c>
      <c r="O1436" s="5" t="s">
        <v>39</v>
      </c>
      <c r="P1436" t="s">
        <v>522</v>
      </c>
      <c r="Q1436" t="s">
        <v>1148</v>
      </c>
      <c r="R1436" t="s">
        <v>37</v>
      </c>
      <c r="S1436" t="s">
        <v>1149</v>
      </c>
      <c r="T1436" t="s">
        <v>43</v>
      </c>
      <c r="U1436" t="s">
        <v>44</v>
      </c>
      <c r="V1436">
        <v>147</v>
      </c>
      <c r="W1436" t="s">
        <v>45</v>
      </c>
      <c r="X1436" t="s">
        <v>46</v>
      </c>
      <c r="Y1436" t="s">
        <v>1150</v>
      </c>
      <c r="Z1436" t="s">
        <v>37</v>
      </c>
      <c r="AA1436" t="s">
        <v>95</v>
      </c>
      <c r="AB1436" t="s">
        <v>37</v>
      </c>
      <c r="AC1436" s="6" t="s">
        <v>37</v>
      </c>
      <c r="AD1436" s="6" t="s">
        <v>37</v>
      </c>
      <c r="AE1436" t="s">
        <v>37</v>
      </c>
      <c r="AF1436" t="s">
        <v>37</v>
      </c>
      <c r="AG1436" s="6" t="s">
        <v>37</v>
      </c>
      <c r="AH1436" t="s">
        <v>37</v>
      </c>
      <c r="AI1436" t="s">
        <v>37</v>
      </c>
      <c r="AJ1436" t="str">
        <f t="shared" si="68"/>
        <v>24EUBTHXB079VVQS1R</v>
      </c>
    </row>
    <row r="1437" spans="1:36" ht="15" customHeight="1" x14ac:dyDescent="0.25">
      <c r="A1437" t="s">
        <v>96</v>
      </c>
      <c r="B1437" t="s">
        <v>37</v>
      </c>
      <c r="C1437" t="s">
        <v>37</v>
      </c>
      <c r="D1437" t="s">
        <v>38</v>
      </c>
      <c r="E1437" s="4">
        <v>16</v>
      </c>
      <c r="F1437" s="5">
        <v>719.2</v>
      </c>
      <c r="G1437" s="5" t="s">
        <v>39</v>
      </c>
      <c r="H1437" s="5">
        <v>917.92</v>
      </c>
      <c r="I1437" s="5" t="s">
        <v>39</v>
      </c>
      <c r="J1437" s="5">
        <v>24.4528</v>
      </c>
      <c r="K1437" s="5">
        <f t="shared" si="66"/>
        <v>1.5283</v>
      </c>
      <c r="L1437" s="5">
        <f t="shared" si="67"/>
        <v>44.95</v>
      </c>
      <c r="M1437" s="5" t="s">
        <v>39</v>
      </c>
      <c r="N1437" s="5">
        <v>24.4528</v>
      </c>
      <c r="O1437" s="5" t="s">
        <v>39</v>
      </c>
      <c r="P1437" t="s">
        <v>195</v>
      </c>
      <c r="Q1437" t="s">
        <v>1904</v>
      </c>
      <c r="R1437" t="s">
        <v>1905</v>
      </c>
      <c r="S1437" t="s">
        <v>1906</v>
      </c>
      <c r="T1437" t="s">
        <v>43</v>
      </c>
      <c r="U1437" t="s">
        <v>44</v>
      </c>
      <c r="V1437">
        <v>147</v>
      </c>
      <c r="W1437" t="s">
        <v>45</v>
      </c>
      <c r="X1437" t="s">
        <v>46</v>
      </c>
      <c r="Y1437" t="s">
        <v>1907</v>
      </c>
      <c r="Z1437" t="s">
        <v>37</v>
      </c>
      <c r="AA1437" t="s">
        <v>307</v>
      </c>
      <c r="AB1437" t="s">
        <v>37</v>
      </c>
      <c r="AC1437" s="6" t="s">
        <v>37</v>
      </c>
      <c r="AD1437" s="6" t="s">
        <v>37</v>
      </c>
      <c r="AE1437" t="s">
        <v>37</v>
      </c>
      <c r="AF1437" t="s">
        <v>37</v>
      </c>
      <c r="AG1437" s="6" t="s">
        <v>37</v>
      </c>
      <c r="AH1437" t="s">
        <v>37</v>
      </c>
      <c r="AI1437" t="s">
        <v>37</v>
      </c>
      <c r="AJ1437" t="str">
        <f t="shared" si="68"/>
        <v>5X1OU9ZGB01G3WBMZU</v>
      </c>
    </row>
    <row r="1438" spans="1:36" ht="15" customHeight="1" x14ac:dyDescent="0.25">
      <c r="A1438" t="s">
        <v>62</v>
      </c>
      <c r="B1438" t="s">
        <v>37</v>
      </c>
      <c r="C1438" t="s">
        <v>37</v>
      </c>
      <c r="D1438" t="s">
        <v>38</v>
      </c>
      <c r="E1438" s="4">
        <v>384</v>
      </c>
      <c r="F1438" s="5">
        <v>32213.759999999998</v>
      </c>
      <c r="G1438" s="5" t="s">
        <v>39</v>
      </c>
      <c r="H1438" s="5">
        <v>53191.68</v>
      </c>
      <c r="I1438" s="5" t="s">
        <v>39</v>
      </c>
      <c r="J1438" s="5">
        <v>1095.26784</v>
      </c>
      <c r="K1438" s="5">
        <f t="shared" si="66"/>
        <v>2.8522599999999998</v>
      </c>
      <c r="L1438" s="5">
        <f t="shared" si="67"/>
        <v>83.89</v>
      </c>
      <c r="M1438" s="5" t="s">
        <v>39</v>
      </c>
      <c r="N1438" s="5">
        <v>1095.26784</v>
      </c>
      <c r="O1438" s="5" t="s">
        <v>39</v>
      </c>
      <c r="P1438" t="s">
        <v>72</v>
      </c>
      <c r="Q1438" t="s">
        <v>271</v>
      </c>
      <c r="R1438" t="s">
        <v>37</v>
      </c>
      <c r="S1438" t="s">
        <v>272</v>
      </c>
      <c r="T1438" t="s">
        <v>43</v>
      </c>
      <c r="U1438" t="s">
        <v>44</v>
      </c>
      <c r="V1438">
        <v>147</v>
      </c>
      <c r="W1438" t="s">
        <v>45</v>
      </c>
      <c r="X1438" t="s">
        <v>53</v>
      </c>
      <c r="Y1438" t="s">
        <v>273</v>
      </c>
      <c r="Z1438" t="s">
        <v>37</v>
      </c>
      <c r="AA1438" t="s">
        <v>55</v>
      </c>
      <c r="AB1438" t="s">
        <v>37</v>
      </c>
      <c r="AC1438" s="6" t="s">
        <v>37</v>
      </c>
      <c r="AD1438" s="6" t="s">
        <v>37</v>
      </c>
      <c r="AE1438" t="s">
        <v>37</v>
      </c>
      <c r="AF1438" t="s">
        <v>37</v>
      </c>
      <c r="AG1438" s="6" t="s">
        <v>37</v>
      </c>
      <c r="AH1438" t="s">
        <v>37</v>
      </c>
      <c r="AI1438" t="s">
        <v>37</v>
      </c>
      <c r="AJ1438" t="str">
        <f t="shared" si="68"/>
        <v>4GF112AEB07SF1RCYF</v>
      </c>
    </row>
    <row r="1439" spans="1:36" ht="15" customHeight="1" x14ac:dyDescent="0.25">
      <c r="A1439" t="s">
        <v>49</v>
      </c>
      <c r="B1439" t="s">
        <v>37</v>
      </c>
      <c r="C1439" t="s">
        <v>37</v>
      </c>
      <c r="D1439" t="s">
        <v>38</v>
      </c>
      <c r="E1439" s="4">
        <v>8</v>
      </c>
      <c r="F1439" s="5">
        <v>637.84</v>
      </c>
      <c r="G1439" s="5" t="s">
        <v>39</v>
      </c>
      <c r="H1439" s="5">
        <v>982.96</v>
      </c>
      <c r="I1439" s="5" t="s">
        <v>39</v>
      </c>
      <c r="J1439" s="5">
        <v>21.68656</v>
      </c>
      <c r="K1439" s="5">
        <f t="shared" si="66"/>
        <v>2.71082</v>
      </c>
      <c r="L1439" s="5">
        <f t="shared" si="67"/>
        <v>79.73</v>
      </c>
      <c r="M1439" s="5" t="s">
        <v>39</v>
      </c>
      <c r="N1439" s="5">
        <v>21.68656</v>
      </c>
      <c r="O1439" s="5" t="s">
        <v>39</v>
      </c>
      <c r="P1439" t="s">
        <v>195</v>
      </c>
      <c r="Q1439" t="s">
        <v>1908</v>
      </c>
      <c r="R1439" t="s">
        <v>37</v>
      </c>
      <c r="S1439" t="s">
        <v>1909</v>
      </c>
      <c r="T1439" t="s">
        <v>43</v>
      </c>
      <c r="U1439" t="s">
        <v>44</v>
      </c>
      <c r="V1439">
        <v>23</v>
      </c>
      <c r="W1439" t="s">
        <v>281</v>
      </c>
      <c r="X1439" t="s">
        <v>282</v>
      </c>
      <c r="Y1439" t="s">
        <v>1910</v>
      </c>
      <c r="Z1439" t="s">
        <v>37</v>
      </c>
      <c r="AA1439" t="s">
        <v>95</v>
      </c>
      <c r="AB1439" t="s">
        <v>37</v>
      </c>
      <c r="AC1439" s="6" t="s">
        <v>37</v>
      </c>
      <c r="AD1439" s="6" t="s">
        <v>37</v>
      </c>
      <c r="AE1439" t="s">
        <v>37</v>
      </c>
      <c r="AF1439" t="s">
        <v>37</v>
      </c>
      <c r="AG1439" s="6" t="s">
        <v>37</v>
      </c>
      <c r="AH1439" t="s">
        <v>37</v>
      </c>
      <c r="AI1439" t="s">
        <v>37</v>
      </c>
      <c r="AJ1439" t="str">
        <f t="shared" si="68"/>
        <v>5X1OU9ZGB07G6DKDY8</v>
      </c>
    </row>
    <row r="1440" spans="1:36" ht="15" customHeight="1" x14ac:dyDescent="0.25">
      <c r="A1440" t="s">
        <v>76</v>
      </c>
      <c r="B1440" t="s">
        <v>37</v>
      </c>
      <c r="C1440" t="s">
        <v>37</v>
      </c>
      <c r="D1440" t="s">
        <v>38</v>
      </c>
      <c r="E1440" s="4">
        <v>10</v>
      </c>
      <c r="F1440" s="5">
        <v>93.6</v>
      </c>
      <c r="G1440" s="5" t="s">
        <v>39</v>
      </c>
      <c r="H1440" s="5">
        <v>139.30000000000001</v>
      </c>
      <c r="I1440" s="5" t="s">
        <v>39</v>
      </c>
      <c r="J1440" s="5">
        <v>3.1823999999999999</v>
      </c>
      <c r="K1440" s="5">
        <f t="shared" si="66"/>
        <v>0.31823999999999997</v>
      </c>
      <c r="L1440" s="5">
        <f t="shared" si="67"/>
        <v>9.36</v>
      </c>
      <c r="M1440" s="5" t="s">
        <v>39</v>
      </c>
      <c r="N1440" s="5">
        <v>3.1823999999999999</v>
      </c>
      <c r="O1440" s="5" t="s">
        <v>39</v>
      </c>
      <c r="P1440" t="s">
        <v>114</v>
      </c>
      <c r="Q1440" t="s">
        <v>1785</v>
      </c>
      <c r="R1440" t="s">
        <v>37</v>
      </c>
      <c r="S1440" t="s">
        <v>1786</v>
      </c>
      <c r="T1440" t="s">
        <v>43</v>
      </c>
      <c r="U1440" t="s">
        <v>44</v>
      </c>
      <c r="V1440">
        <v>147</v>
      </c>
      <c r="W1440" t="s">
        <v>45</v>
      </c>
      <c r="X1440" t="s">
        <v>60</v>
      </c>
      <c r="Y1440" t="s">
        <v>1787</v>
      </c>
      <c r="Z1440" t="s">
        <v>37</v>
      </c>
      <c r="AA1440" t="s">
        <v>634</v>
      </c>
      <c r="AB1440" t="s">
        <v>37</v>
      </c>
      <c r="AC1440" s="6" t="s">
        <v>37</v>
      </c>
      <c r="AD1440" s="6" t="s">
        <v>37</v>
      </c>
      <c r="AE1440" t="s">
        <v>37</v>
      </c>
      <c r="AF1440" t="s">
        <v>37</v>
      </c>
      <c r="AG1440" s="6" t="s">
        <v>37</v>
      </c>
      <c r="AH1440" t="s">
        <v>37</v>
      </c>
      <c r="AI1440" t="s">
        <v>37</v>
      </c>
      <c r="AJ1440" t="str">
        <f t="shared" si="68"/>
        <v>243WWSUAB0094QSF8U</v>
      </c>
    </row>
    <row r="1441" spans="1:36" ht="15" customHeight="1" x14ac:dyDescent="0.25">
      <c r="A1441" t="s">
        <v>101</v>
      </c>
      <c r="B1441" t="s">
        <v>37</v>
      </c>
      <c r="C1441" t="s">
        <v>37</v>
      </c>
      <c r="D1441" t="s">
        <v>38</v>
      </c>
      <c r="E1441" s="4">
        <v>752</v>
      </c>
      <c r="F1441" s="5">
        <v>56708.32</v>
      </c>
      <c r="G1441" s="5" t="s">
        <v>39</v>
      </c>
      <c r="H1441" s="5">
        <v>83208.800000000003</v>
      </c>
      <c r="I1441" s="5" t="s">
        <v>39</v>
      </c>
      <c r="J1441" s="5">
        <v>1928.0828799999999</v>
      </c>
      <c r="K1441" s="5">
        <f t="shared" si="66"/>
        <v>2.5639400000000001</v>
      </c>
      <c r="L1441" s="5">
        <f t="shared" si="67"/>
        <v>75.41</v>
      </c>
      <c r="M1441" s="5" t="s">
        <v>39</v>
      </c>
      <c r="N1441" s="5">
        <v>1928.0828799999999</v>
      </c>
      <c r="O1441" s="5" t="s">
        <v>39</v>
      </c>
      <c r="P1441" t="s">
        <v>725</v>
      </c>
      <c r="Q1441" t="s">
        <v>492</v>
      </c>
      <c r="R1441" t="s">
        <v>37</v>
      </c>
      <c r="S1441" t="s">
        <v>493</v>
      </c>
      <c r="T1441" t="s">
        <v>43</v>
      </c>
      <c r="U1441" t="s">
        <v>44</v>
      </c>
      <c r="V1441">
        <v>147</v>
      </c>
      <c r="W1441" t="s">
        <v>45</v>
      </c>
      <c r="X1441" t="s">
        <v>60</v>
      </c>
      <c r="Y1441" t="s">
        <v>494</v>
      </c>
      <c r="Z1441" t="s">
        <v>37</v>
      </c>
      <c r="AA1441" t="s">
        <v>55</v>
      </c>
      <c r="AB1441" t="s">
        <v>37</v>
      </c>
      <c r="AC1441" s="6" t="s">
        <v>37</v>
      </c>
      <c r="AD1441" s="6" t="s">
        <v>37</v>
      </c>
      <c r="AE1441" t="s">
        <v>37</v>
      </c>
      <c r="AF1441" t="s">
        <v>37</v>
      </c>
      <c r="AG1441" s="6" t="s">
        <v>37</v>
      </c>
      <c r="AH1441" t="s">
        <v>37</v>
      </c>
      <c r="AI1441" t="s">
        <v>37</v>
      </c>
      <c r="AJ1441" t="str">
        <f t="shared" si="68"/>
        <v>4O4TKA6PB07W7LMCF9</v>
      </c>
    </row>
    <row r="1442" spans="1:36" ht="15" customHeight="1" x14ac:dyDescent="0.25">
      <c r="A1442" t="s">
        <v>36</v>
      </c>
      <c r="B1442" t="s">
        <v>37</v>
      </c>
      <c r="C1442" t="s">
        <v>37</v>
      </c>
      <c r="D1442" t="s">
        <v>38</v>
      </c>
      <c r="E1442" s="4">
        <v>12</v>
      </c>
      <c r="F1442" s="5">
        <v>1006.68</v>
      </c>
      <c r="G1442" s="5" t="s">
        <v>39</v>
      </c>
      <c r="H1442" s="5">
        <v>1662.24</v>
      </c>
      <c r="I1442" s="5" t="s">
        <v>39</v>
      </c>
      <c r="J1442" s="5">
        <v>34.227119999999999</v>
      </c>
      <c r="K1442" s="5">
        <f t="shared" si="66"/>
        <v>2.8522599999999998</v>
      </c>
      <c r="L1442" s="5">
        <f t="shared" si="67"/>
        <v>83.89</v>
      </c>
      <c r="M1442" s="5" t="s">
        <v>39</v>
      </c>
      <c r="N1442" s="5">
        <v>34.227119999999999</v>
      </c>
      <c r="O1442" s="5" t="s">
        <v>39</v>
      </c>
      <c r="P1442" t="s">
        <v>168</v>
      </c>
      <c r="Q1442" t="s">
        <v>420</v>
      </c>
      <c r="R1442" t="s">
        <v>37</v>
      </c>
      <c r="S1442" t="s">
        <v>421</v>
      </c>
      <c r="T1442" t="s">
        <v>43</v>
      </c>
      <c r="U1442" t="s">
        <v>44</v>
      </c>
      <c r="V1442">
        <v>147</v>
      </c>
      <c r="W1442" t="s">
        <v>45</v>
      </c>
      <c r="X1442" t="s">
        <v>46</v>
      </c>
      <c r="Y1442" t="s">
        <v>422</v>
      </c>
      <c r="Z1442" t="s">
        <v>37</v>
      </c>
      <c r="AA1442" t="s">
        <v>55</v>
      </c>
      <c r="AB1442" t="s">
        <v>37</v>
      </c>
      <c r="AC1442" s="6" t="s">
        <v>37</v>
      </c>
      <c r="AD1442" s="6" t="s">
        <v>37</v>
      </c>
      <c r="AE1442" t="s">
        <v>37</v>
      </c>
      <c r="AF1442" t="s">
        <v>37</v>
      </c>
      <c r="AG1442" s="6" t="s">
        <v>37</v>
      </c>
      <c r="AH1442" t="s">
        <v>37</v>
      </c>
      <c r="AI1442" t="s">
        <v>37</v>
      </c>
      <c r="AJ1442" t="str">
        <f t="shared" si="68"/>
        <v>2R6FMUZDB07QKC4WWD</v>
      </c>
    </row>
    <row r="1443" spans="1:36" ht="15" customHeight="1" x14ac:dyDescent="0.25">
      <c r="A1443" t="s">
        <v>101</v>
      </c>
      <c r="B1443" t="s">
        <v>37</v>
      </c>
      <c r="C1443" t="s">
        <v>37</v>
      </c>
      <c r="D1443" t="s">
        <v>38</v>
      </c>
      <c r="E1443" s="4">
        <v>8</v>
      </c>
      <c r="F1443" s="5">
        <v>544.48</v>
      </c>
      <c r="G1443" s="5" t="s">
        <v>39</v>
      </c>
      <c r="H1443" s="5">
        <v>885.2</v>
      </c>
      <c r="I1443" s="5" t="s">
        <v>39</v>
      </c>
      <c r="J1443" s="5">
        <v>18.512319999999999</v>
      </c>
      <c r="K1443" s="5">
        <f t="shared" si="66"/>
        <v>2.3140399999999999</v>
      </c>
      <c r="L1443" s="5">
        <f t="shared" si="67"/>
        <v>68.06</v>
      </c>
      <c r="M1443" s="5" t="s">
        <v>39</v>
      </c>
      <c r="N1443" s="5">
        <v>18.512319999999999</v>
      </c>
      <c r="O1443" s="5" t="s">
        <v>39</v>
      </c>
      <c r="P1443" t="s">
        <v>120</v>
      </c>
      <c r="Q1443" t="s">
        <v>1174</v>
      </c>
      <c r="R1443" t="s">
        <v>37</v>
      </c>
      <c r="S1443" t="s">
        <v>1175</v>
      </c>
      <c r="T1443" t="s">
        <v>43</v>
      </c>
      <c r="U1443" t="s">
        <v>44</v>
      </c>
      <c r="V1443">
        <v>147</v>
      </c>
      <c r="W1443" t="s">
        <v>45</v>
      </c>
      <c r="X1443" t="s">
        <v>46</v>
      </c>
      <c r="Y1443" t="s">
        <v>1176</v>
      </c>
      <c r="Z1443" t="s">
        <v>37</v>
      </c>
      <c r="AA1443" t="s">
        <v>95</v>
      </c>
      <c r="AB1443" t="s">
        <v>37</v>
      </c>
      <c r="AC1443" s="6" t="s">
        <v>37</v>
      </c>
      <c r="AD1443" s="6" t="s">
        <v>37</v>
      </c>
      <c r="AE1443" t="s">
        <v>37</v>
      </c>
      <c r="AF1443" t="s">
        <v>37</v>
      </c>
      <c r="AG1443" s="6" t="s">
        <v>37</v>
      </c>
      <c r="AH1443" t="s">
        <v>37</v>
      </c>
      <c r="AI1443" t="s">
        <v>37</v>
      </c>
      <c r="AJ1443" t="str">
        <f t="shared" si="68"/>
        <v>5MWU8WTDB07W6HJPSW</v>
      </c>
    </row>
    <row r="1444" spans="1:36" ht="15" customHeight="1" x14ac:dyDescent="0.25">
      <c r="A1444" t="s">
        <v>118</v>
      </c>
      <c r="B1444" t="s">
        <v>37</v>
      </c>
      <c r="C1444" t="s">
        <v>37</v>
      </c>
      <c r="D1444" t="s">
        <v>38</v>
      </c>
      <c r="E1444" s="4">
        <v>4</v>
      </c>
      <c r="F1444" s="5">
        <v>272.24</v>
      </c>
      <c r="G1444" s="5" t="s">
        <v>39</v>
      </c>
      <c r="H1444" s="5">
        <v>455.72</v>
      </c>
      <c r="I1444" s="5" t="s">
        <v>39</v>
      </c>
      <c r="J1444" s="5">
        <v>9.2561599999999995</v>
      </c>
      <c r="K1444" s="5">
        <f t="shared" si="66"/>
        <v>2.3140399999999999</v>
      </c>
      <c r="L1444" s="5">
        <f t="shared" si="67"/>
        <v>68.06</v>
      </c>
      <c r="M1444" s="5" t="s">
        <v>39</v>
      </c>
      <c r="N1444" s="5">
        <v>9.2561599999999995</v>
      </c>
      <c r="O1444" s="5" t="s">
        <v>39</v>
      </c>
      <c r="P1444" t="s">
        <v>1911</v>
      </c>
      <c r="Q1444" t="s">
        <v>1912</v>
      </c>
      <c r="R1444" t="s">
        <v>37</v>
      </c>
      <c r="S1444" t="s">
        <v>1913</v>
      </c>
      <c r="T1444" t="s">
        <v>43</v>
      </c>
      <c r="U1444" t="s">
        <v>44</v>
      </c>
      <c r="V1444">
        <v>147</v>
      </c>
      <c r="W1444" t="s">
        <v>45</v>
      </c>
      <c r="X1444" t="s">
        <v>46</v>
      </c>
      <c r="Y1444" t="s">
        <v>1914</v>
      </c>
      <c r="Z1444" t="s">
        <v>37</v>
      </c>
      <c r="AA1444" t="s">
        <v>55</v>
      </c>
      <c r="AB1444" t="s">
        <v>37</v>
      </c>
      <c r="AC1444" s="6" t="s">
        <v>37</v>
      </c>
      <c r="AD1444" s="6" t="s">
        <v>37</v>
      </c>
      <c r="AE1444" t="s">
        <v>37</v>
      </c>
      <c r="AF1444" t="s">
        <v>37</v>
      </c>
      <c r="AG1444" s="6" t="s">
        <v>37</v>
      </c>
      <c r="AH1444" t="s">
        <v>37</v>
      </c>
      <c r="AI1444" t="s">
        <v>37</v>
      </c>
      <c r="AJ1444" t="str">
        <f t="shared" si="68"/>
        <v>27JB88GQB07W7KMLQ9</v>
      </c>
    </row>
    <row r="1445" spans="1:36" ht="15" customHeight="1" x14ac:dyDescent="0.25">
      <c r="A1445" t="s">
        <v>96</v>
      </c>
      <c r="B1445" t="s">
        <v>37</v>
      </c>
      <c r="C1445" t="s">
        <v>37</v>
      </c>
      <c r="D1445" t="s">
        <v>38</v>
      </c>
      <c r="E1445" s="4">
        <v>88</v>
      </c>
      <c r="F1445" s="5">
        <v>7304</v>
      </c>
      <c r="G1445" s="5" t="s">
        <v>39</v>
      </c>
      <c r="H1445" s="5">
        <v>8654.7999999999993</v>
      </c>
      <c r="I1445" s="5" t="s">
        <v>39</v>
      </c>
      <c r="J1445" s="5">
        <v>248.33600000000001</v>
      </c>
      <c r="K1445" s="5">
        <f t="shared" si="66"/>
        <v>2.8220000000000001</v>
      </c>
      <c r="L1445" s="5">
        <f t="shared" si="67"/>
        <v>83</v>
      </c>
      <c r="M1445" s="5" t="s">
        <v>39</v>
      </c>
      <c r="N1445" s="5">
        <v>248.33600000000001</v>
      </c>
      <c r="O1445" s="5" t="s">
        <v>39</v>
      </c>
      <c r="P1445" t="s">
        <v>195</v>
      </c>
      <c r="Q1445" t="s">
        <v>1398</v>
      </c>
      <c r="R1445" t="s">
        <v>37</v>
      </c>
      <c r="S1445" t="s">
        <v>1399</v>
      </c>
      <c r="T1445" t="s">
        <v>43</v>
      </c>
      <c r="U1445" t="s">
        <v>44</v>
      </c>
      <c r="V1445">
        <v>267</v>
      </c>
      <c r="W1445" t="s">
        <v>151</v>
      </c>
      <c r="X1445" t="s">
        <v>152</v>
      </c>
      <c r="Y1445" t="s">
        <v>1400</v>
      </c>
      <c r="Z1445" t="s">
        <v>37</v>
      </c>
      <c r="AA1445" t="s">
        <v>95</v>
      </c>
      <c r="AB1445" t="s">
        <v>37</v>
      </c>
      <c r="AC1445" s="6" t="s">
        <v>37</v>
      </c>
      <c r="AD1445" s="6" t="s">
        <v>37</v>
      </c>
      <c r="AE1445" t="s">
        <v>37</v>
      </c>
      <c r="AF1445" t="s">
        <v>37</v>
      </c>
      <c r="AG1445" s="6" t="s">
        <v>37</v>
      </c>
      <c r="AH1445" t="s">
        <v>37</v>
      </c>
      <c r="AI1445" t="s">
        <v>37</v>
      </c>
      <c r="AJ1445" t="str">
        <f t="shared" si="68"/>
        <v>5X1OU9ZGB07W5JK3M6</v>
      </c>
    </row>
    <row r="1446" spans="1:36" ht="15" customHeight="1" x14ac:dyDescent="0.25">
      <c r="A1446" t="s">
        <v>76</v>
      </c>
      <c r="B1446" t="s">
        <v>37</v>
      </c>
      <c r="C1446" t="s">
        <v>37</v>
      </c>
      <c r="D1446" t="s">
        <v>38</v>
      </c>
      <c r="E1446" s="4">
        <v>0</v>
      </c>
      <c r="F1446" s="5">
        <v>0</v>
      </c>
      <c r="G1446" s="5" t="s">
        <v>39</v>
      </c>
      <c r="H1446" s="5">
        <v>0</v>
      </c>
      <c r="I1446" s="5" t="s">
        <v>39</v>
      </c>
      <c r="J1446" s="5">
        <v>0</v>
      </c>
      <c r="K1446" s="5" t="e">
        <f t="shared" si="66"/>
        <v>#DIV/0!</v>
      </c>
      <c r="L1446" s="5" t="e">
        <f t="shared" si="67"/>
        <v>#DIV/0!</v>
      </c>
      <c r="M1446" s="5" t="s">
        <v>39</v>
      </c>
      <c r="N1446" s="5">
        <v>0</v>
      </c>
      <c r="O1446" s="5" t="s">
        <v>39</v>
      </c>
      <c r="P1446" t="s">
        <v>102</v>
      </c>
      <c r="Q1446" t="s">
        <v>266</v>
      </c>
      <c r="R1446" t="s">
        <v>37</v>
      </c>
      <c r="S1446" t="s">
        <v>267</v>
      </c>
      <c r="T1446" t="s">
        <v>43</v>
      </c>
      <c r="U1446" t="s">
        <v>44</v>
      </c>
      <c r="V1446">
        <v>147</v>
      </c>
      <c r="W1446" t="s">
        <v>45</v>
      </c>
      <c r="X1446" t="s">
        <v>53</v>
      </c>
      <c r="Y1446" t="s">
        <v>268</v>
      </c>
      <c r="Z1446" t="s">
        <v>37</v>
      </c>
      <c r="AA1446" t="s">
        <v>48</v>
      </c>
      <c r="AB1446" t="s">
        <v>37</v>
      </c>
      <c r="AC1446" s="6" t="s">
        <v>37</v>
      </c>
      <c r="AD1446" s="6" t="s">
        <v>37</v>
      </c>
      <c r="AE1446" t="s">
        <v>37</v>
      </c>
      <c r="AF1446" t="s">
        <v>37</v>
      </c>
      <c r="AG1446" s="6" t="s">
        <v>37</v>
      </c>
      <c r="AH1446" t="s">
        <v>37</v>
      </c>
      <c r="AI1446" t="s">
        <v>37</v>
      </c>
      <c r="AJ1446" t="str">
        <f t="shared" si="68"/>
        <v>2M7QFTCOB07CGNDZR3</v>
      </c>
    </row>
    <row r="1447" spans="1:36" ht="15" customHeight="1" x14ac:dyDescent="0.25">
      <c r="A1447" t="s">
        <v>71</v>
      </c>
      <c r="B1447" t="s">
        <v>37</v>
      </c>
      <c r="C1447" t="s">
        <v>37</v>
      </c>
      <c r="D1447" t="s">
        <v>38</v>
      </c>
      <c r="E1447" s="4">
        <v>0</v>
      </c>
      <c r="F1447" s="5">
        <v>0</v>
      </c>
      <c r="G1447" s="5" t="s">
        <v>39</v>
      </c>
      <c r="H1447" s="5">
        <v>0</v>
      </c>
      <c r="I1447" s="5" t="s">
        <v>39</v>
      </c>
      <c r="J1447" s="5">
        <v>0</v>
      </c>
      <c r="K1447" s="5" t="e">
        <f t="shared" si="66"/>
        <v>#DIV/0!</v>
      </c>
      <c r="L1447" s="5" t="e">
        <f t="shared" si="67"/>
        <v>#DIV/0!</v>
      </c>
      <c r="M1447" s="5" t="s">
        <v>39</v>
      </c>
      <c r="N1447" s="5">
        <v>0</v>
      </c>
      <c r="O1447" s="5" t="s">
        <v>39</v>
      </c>
      <c r="P1447" t="s">
        <v>102</v>
      </c>
      <c r="Q1447" t="s">
        <v>266</v>
      </c>
      <c r="R1447" t="s">
        <v>37</v>
      </c>
      <c r="S1447" t="s">
        <v>267</v>
      </c>
      <c r="T1447" t="s">
        <v>43</v>
      </c>
      <c r="U1447" t="s">
        <v>44</v>
      </c>
      <c r="V1447">
        <v>147</v>
      </c>
      <c r="W1447" t="s">
        <v>45</v>
      </c>
      <c r="X1447" t="s">
        <v>53</v>
      </c>
      <c r="Y1447" t="s">
        <v>268</v>
      </c>
      <c r="Z1447" t="s">
        <v>37</v>
      </c>
      <c r="AA1447" t="s">
        <v>48</v>
      </c>
      <c r="AB1447" t="s">
        <v>37</v>
      </c>
      <c r="AC1447" s="6" t="s">
        <v>37</v>
      </c>
      <c r="AD1447" s="6" t="s">
        <v>37</v>
      </c>
      <c r="AE1447" t="s">
        <v>37</v>
      </c>
      <c r="AF1447" t="s">
        <v>37</v>
      </c>
      <c r="AG1447" s="6" t="s">
        <v>37</v>
      </c>
      <c r="AH1447" t="s">
        <v>37</v>
      </c>
      <c r="AI1447" t="s">
        <v>37</v>
      </c>
      <c r="AJ1447" t="str">
        <f t="shared" si="68"/>
        <v>2M7QFTCOB07CGNDZR3</v>
      </c>
    </row>
    <row r="1448" spans="1:36" ht="15" customHeight="1" x14ac:dyDescent="0.25">
      <c r="A1448" t="s">
        <v>101</v>
      </c>
      <c r="B1448" t="s">
        <v>37</v>
      </c>
      <c r="C1448" t="s">
        <v>37</v>
      </c>
      <c r="D1448" t="s">
        <v>38</v>
      </c>
      <c r="E1448" s="4">
        <v>8</v>
      </c>
      <c r="F1448" s="5">
        <v>1067.3599999999999</v>
      </c>
      <c r="G1448" s="5" t="s">
        <v>39</v>
      </c>
      <c r="H1448" s="5">
        <v>1508.16</v>
      </c>
      <c r="I1448" s="5" t="s">
        <v>39</v>
      </c>
      <c r="J1448" s="5">
        <v>36.290239999999997</v>
      </c>
      <c r="K1448" s="5">
        <f t="shared" si="66"/>
        <v>4.5362799999999996</v>
      </c>
      <c r="L1448" s="5">
        <f t="shared" si="67"/>
        <v>133.41999999999999</v>
      </c>
      <c r="M1448" s="5" t="s">
        <v>39</v>
      </c>
      <c r="N1448" s="5">
        <v>36.290239999999997</v>
      </c>
      <c r="O1448" s="5" t="s">
        <v>39</v>
      </c>
      <c r="P1448" t="s">
        <v>102</v>
      </c>
      <c r="Q1448" t="s">
        <v>257</v>
      </c>
      <c r="R1448" t="s">
        <v>37</v>
      </c>
      <c r="S1448" t="s">
        <v>258</v>
      </c>
      <c r="T1448" t="s">
        <v>43</v>
      </c>
      <c r="U1448" t="s">
        <v>44</v>
      </c>
      <c r="V1448">
        <v>147</v>
      </c>
      <c r="W1448" t="s">
        <v>45</v>
      </c>
      <c r="X1448" t="s">
        <v>60</v>
      </c>
      <c r="Y1448" t="s">
        <v>259</v>
      </c>
      <c r="Z1448" t="s">
        <v>37</v>
      </c>
      <c r="AA1448" t="s">
        <v>55</v>
      </c>
      <c r="AB1448" t="s">
        <v>37</v>
      </c>
      <c r="AC1448" s="6" t="s">
        <v>37</v>
      </c>
      <c r="AD1448" s="6" t="s">
        <v>37</v>
      </c>
      <c r="AE1448" t="s">
        <v>37</v>
      </c>
      <c r="AF1448" t="s">
        <v>37</v>
      </c>
      <c r="AG1448" s="6" t="s">
        <v>37</v>
      </c>
      <c r="AH1448" t="s">
        <v>37</v>
      </c>
      <c r="AI1448" t="s">
        <v>37</v>
      </c>
      <c r="AJ1448" t="str">
        <f t="shared" si="68"/>
        <v>2M7QFTCOB07W6JNF81</v>
      </c>
    </row>
    <row r="1449" spans="1:36" ht="15" customHeight="1" x14ac:dyDescent="0.25">
      <c r="A1449" t="s">
        <v>96</v>
      </c>
      <c r="B1449" t="s">
        <v>37</v>
      </c>
      <c r="C1449" t="s">
        <v>37</v>
      </c>
      <c r="D1449" t="s">
        <v>38</v>
      </c>
      <c r="E1449" s="4">
        <v>16</v>
      </c>
      <c r="F1449" s="5">
        <v>1342.24</v>
      </c>
      <c r="G1449" s="5" t="s">
        <v>39</v>
      </c>
      <c r="H1449" s="5">
        <v>2216.3200000000002</v>
      </c>
      <c r="I1449" s="5" t="s">
        <v>39</v>
      </c>
      <c r="J1449" s="5">
        <v>45.636159999999997</v>
      </c>
      <c r="K1449" s="5">
        <f t="shared" si="66"/>
        <v>2.8522599999999998</v>
      </c>
      <c r="L1449" s="5">
        <f t="shared" si="67"/>
        <v>83.89</v>
      </c>
      <c r="M1449" s="5" t="s">
        <v>39</v>
      </c>
      <c r="N1449" s="5">
        <v>45.636159999999997</v>
      </c>
      <c r="O1449" s="5" t="s">
        <v>39</v>
      </c>
      <c r="P1449" t="s">
        <v>106</v>
      </c>
      <c r="Q1449" t="s">
        <v>660</v>
      </c>
      <c r="R1449" t="s">
        <v>37</v>
      </c>
      <c r="S1449" t="s">
        <v>661</v>
      </c>
      <c r="T1449" t="s">
        <v>43</v>
      </c>
      <c r="U1449" t="s">
        <v>44</v>
      </c>
      <c r="V1449">
        <v>147</v>
      </c>
      <c r="W1449" t="s">
        <v>45</v>
      </c>
      <c r="X1449" t="s">
        <v>46</v>
      </c>
      <c r="Y1449" t="s">
        <v>662</v>
      </c>
      <c r="Z1449" t="s">
        <v>37</v>
      </c>
      <c r="AA1449" t="s">
        <v>48</v>
      </c>
      <c r="AB1449" t="s">
        <v>37</v>
      </c>
      <c r="AC1449" s="6" t="s">
        <v>37</v>
      </c>
      <c r="AD1449" s="6" t="s">
        <v>37</v>
      </c>
      <c r="AE1449" t="s">
        <v>37</v>
      </c>
      <c r="AF1449" t="s">
        <v>37</v>
      </c>
      <c r="AG1449" s="6" t="s">
        <v>37</v>
      </c>
      <c r="AH1449" t="s">
        <v>37</v>
      </c>
      <c r="AI1449" t="s">
        <v>37</v>
      </c>
      <c r="AJ1449" t="str">
        <f t="shared" si="68"/>
        <v>2CLMXQWQB01M3TTXMY</v>
      </c>
    </row>
    <row r="1450" spans="1:36" ht="15" customHeight="1" x14ac:dyDescent="0.25">
      <c r="A1450" t="s">
        <v>118</v>
      </c>
      <c r="B1450" t="s">
        <v>37</v>
      </c>
      <c r="C1450" t="s">
        <v>37</v>
      </c>
      <c r="D1450" t="s">
        <v>38</v>
      </c>
      <c r="E1450" s="4">
        <v>58</v>
      </c>
      <c r="F1450" s="5">
        <v>2037.54</v>
      </c>
      <c r="G1450" s="5" t="s">
        <v>39</v>
      </c>
      <c r="H1450" s="5">
        <v>3190</v>
      </c>
      <c r="I1450" s="5" t="s">
        <v>39</v>
      </c>
      <c r="J1450" s="5">
        <v>69.276359999999997</v>
      </c>
      <c r="K1450" s="5">
        <f t="shared" si="66"/>
        <v>1.19442</v>
      </c>
      <c r="L1450" s="5">
        <f t="shared" si="67"/>
        <v>35.130000000000003</v>
      </c>
      <c r="M1450" s="5" t="s">
        <v>39</v>
      </c>
      <c r="N1450" s="5">
        <v>69.276359999999997</v>
      </c>
      <c r="O1450" s="5" t="s">
        <v>39</v>
      </c>
      <c r="P1450" t="s">
        <v>167</v>
      </c>
      <c r="Q1450" t="s">
        <v>1900</v>
      </c>
      <c r="R1450" t="s">
        <v>1901</v>
      </c>
      <c r="S1450" t="s">
        <v>1902</v>
      </c>
      <c r="T1450" t="s">
        <v>43</v>
      </c>
      <c r="U1450" t="s">
        <v>44</v>
      </c>
      <c r="V1450">
        <v>147</v>
      </c>
      <c r="W1450" t="s">
        <v>45</v>
      </c>
      <c r="X1450" t="s">
        <v>389</v>
      </c>
      <c r="Y1450" t="s">
        <v>1903</v>
      </c>
      <c r="Z1450" t="s">
        <v>37</v>
      </c>
      <c r="AA1450" t="s">
        <v>55</v>
      </c>
      <c r="AB1450" t="s">
        <v>37</v>
      </c>
      <c r="AC1450" s="6" t="s">
        <v>37</v>
      </c>
      <c r="AD1450" s="6" t="s">
        <v>37</v>
      </c>
      <c r="AE1450" t="s">
        <v>37</v>
      </c>
      <c r="AF1450" t="s">
        <v>37</v>
      </c>
      <c r="AG1450" s="6" t="s">
        <v>37</v>
      </c>
      <c r="AH1450" t="s">
        <v>37</v>
      </c>
      <c r="AI1450" t="s">
        <v>37</v>
      </c>
      <c r="AJ1450" t="str">
        <f t="shared" si="68"/>
        <v>31QWZ6KBB003LNXT7Y</v>
      </c>
    </row>
    <row r="1451" spans="1:36" ht="15" customHeight="1" x14ac:dyDescent="0.25">
      <c r="A1451" t="s">
        <v>101</v>
      </c>
      <c r="B1451" t="s">
        <v>37</v>
      </c>
      <c r="C1451" t="s">
        <v>37</v>
      </c>
      <c r="D1451" t="s">
        <v>38</v>
      </c>
      <c r="E1451" s="4">
        <v>16</v>
      </c>
      <c r="F1451" s="5">
        <v>387.2</v>
      </c>
      <c r="G1451" s="5" t="s">
        <v>39</v>
      </c>
      <c r="H1451" s="5">
        <v>498.24</v>
      </c>
      <c r="I1451" s="5" t="s">
        <v>39</v>
      </c>
      <c r="J1451" s="5">
        <v>13.1648</v>
      </c>
      <c r="K1451" s="5">
        <f t="shared" si="66"/>
        <v>0.82279999999999998</v>
      </c>
      <c r="L1451" s="5">
        <f t="shared" si="67"/>
        <v>24.2</v>
      </c>
      <c r="M1451" s="5" t="s">
        <v>39</v>
      </c>
      <c r="N1451" s="5">
        <v>13.1648</v>
      </c>
      <c r="O1451" s="5" t="s">
        <v>39</v>
      </c>
      <c r="P1451" t="s">
        <v>320</v>
      </c>
      <c r="Q1451" t="s">
        <v>959</v>
      </c>
      <c r="R1451" t="s">
        <v>37</v>
      </c>
      <c r="S1451" t="s">
        <v>960</v>
      </c>
      <c r="T1451" t="s">
        <v>43</v>
      </c>
      <c r="U1451" t="s">
        <v>44</v>
      </c>
      <c r="V1451">
        <v>267</v>
      </c>
      <c r="W1451" t="s">
        <v>151</v>
      </c>
      <c r="X1451" t="s">
        <v>152</v>
      </c>
      <c r="Y1451" t="s">
        <v>961</v>
      </c>
      <c r="Z1451" t="s">
        <v>37</v>
      </c>
      <c r="AA1451" t="s">
        <v>95</v>
      </c>
      <c r="AB1451" t="s">
        <v>37</v>
      </c>
      <c r="AC1451" s="6" t="s">
        <v>37</v>
      </c>
      <c r="AD1451" s="6" t="s">
        <v>37</v>
      </c>
      <c r="AE1451" t="s">
        <v>37</v>
      </c>
      <c r="AF1451" t="s">
        <v>37</v>
      </c>
      <c r="AG1451" s="6" t="s">
        <v>37</v>
      </c>
      <c r="AH1451" t="s">
        <v>37</v>
      </c>
      <c r="AI1451" t="s">
        <v>37</v>
      </c>
      <c r="AJ1451" t="str">
        <f t="shared" si="68"/>
        <v>8BG295LIB07J9Q68CK</v>
      </c>
    </row>
    <row r="1452" spans="1:36" ht="15" customHeight="1" x14ac:dyDescent="0.25">
      <c r="A1452" t="s">
        <v>88</v>
      </c>
      <c r="B1452" t="s">
        <v>37</v>
      </c>
      <c r="C1452" t="s">
        <v>37</v>
      </c>
      <c r="D1452" t="s">
        <v>38</v>
      </c>
      <c r="E1452" s="4">
        <v>44</v>
      </c>
      <c r="F1452" s="5">
        <v>812.24</v>
      </c>
      <c r="G1452" s="5" t="s">
        <v>39</v>
      </c>
      <c r="H1452" s="5">
        <v>1370.16</v>
      </c>
      <c r="I1452" s="5" t="s">
        <v>39</v>
      </c>
      <c r="J1452" s="5">
        <v>27.616160000000001</v>
      </c>
      <c r="K1452" s="5">
        <f t="shared" si="66"/>
        <v>0.62763999999999998</v>
      </c>
      <c r="L1452" s="5">
        <f t="shared" si="67"/>
        <v>18.46</v>
      </c>
      <c r="M1452" s="5" t="s">
        <v>39</v>
      </c>
      <c r="N1452" s="5">
        <v>27.616160000000001</v>
      </c>
      <c r="O1452" s="5" t="s">
        <v>39</v>
      </c>
      <c r="P1452" t="s">
        <v>168</v>
      </c>
      <c r="Q1452" t="s">
        <v>1731</v>
      </c>
      <c r="R1452" t="s">
        <v>37</v>
      </c>
      <c r="S1452" t="s">
        <v>1732</v>
      </c>
      <c r="T1452" t="s">
        <v>43</v>
      </c>
      <c r="U1452" t="s">
        <v>44</v>
      </c>
      <c r="V1452">
        <v>147</v>
      </c>
      <c r="W1452" t="s">
        <v>45</v>
      </c>
      <c r="X1452" t="s">
        <v>53</v>
      </c>
      <c r="Y1452" t="s">
        <v>964</v>
      </c>
      <c r="Z1452" t="s">
        <v>37</v>
      </c>
      <c r="AA1452" t="s">
        <v>95</v>
      </c>
      <c r="AB1452" t="s">
        <v>37</v>
      </c>
      <c r="AC1452" s="6" t="s">
        <v>37</v>
      </c>
      <c r="AD1452" s="6" t="s">
        <v>37</v>
      </c>
      <c r="AE1452" t="s">
        <v>37</v>
      </c>
      <c r="AF1452" t="s">
        <v>37</v>
      </c>
      <c r="AG1452" s="6" t="s">
        <v>37</v>
      </c>
      <c r="AH1452" t="s">
        <v>37</v>
      </c>
      <c r="AI1452" t="s">
        <v>37</v>
      </c>
      <c r="AJ1452" t="str">
        <f t="shared" si="68"/>
        <v>2R6FMUZDB07W5JKR75</v>
      </c>
    </row>
    <row r="1453" spans="1:36" ht="15" customHeight="1" x14ac:dyDescent="0.25">
      <c r="A1453" t="s">
        <v>96</v>
      </c>
      <c r="B1453" t="s">
        <v>37</v>
      </c>
      <c r="C1453" t="s">
        <v>37</v>
      </c>
      <c r="D1453" t="s">
        <v>38</v>
      </c>
      <c r="E1453" s="4">
        <v>4</v>
      </c>
      <c r="F1453" s="5">
        <v>377.76</v>
      </c>
      <c r="G1453" s="5" t="s">
        <v>39</v>
      </c>
      <c r="H1453" s="5">
        <v>619.67999999999995</v>
      </c>
      <c r="I1453" s="5" t="s">
        <v>39</v>
      </c>
      <c r="J1453" s="5">
        <v>12.84384</v>
      </c>
      <c r="K1453" s="5">
        <f t="shared" si="66"/>
        <v>3.21096</v>
      </c>
      <c r="L1453" s="5">
        <f t="shared" si="67"/>
        <v>94.44</v>
      </c>
      <c r="M1453" s="5" t="s">
        <v>39</v>
      </c>
      <c r="N1453" s="5">
        <v>12.84384</v>
      </c>
      <c r="O1453" s="5" t="s">
        <v>39</v>
      </c>
      <c r="P1453" t="s">
        <v>97</v>
      </c>
      <c r="Q1453" t="s">
        <v>451</v>
      </c>
      <c r="R1453" t="s">
        <v>37</v>
      </c>
      <c r="S1453" t="s">
        <v>452</v>
      </c>
      <c r="T1453" t="s">
        <v>43</v>
      </c>
      <c r="U1453" t="s">
        <v>44</v>
      </c>
      <c r="V1453">
        <v>147</v>
      </c>
      <c r="W1453" t="s">
        <v>45</v>
      </c>
      <c r="X1453" t="s">
        <v>60</v>
      </c>
      <c r="Y1453" t="s">
        <v>453</v>
      </c>
      <c r="Z1453" t="s">
        <v>37</v>
      </c>
      <c r="AA1453" t="s">
        <v>454</v>
      </c>
      <c r="AB1453" t="s">
        <v>37</v>
      </c>
      <c r="AC1453" s="6" t="s">
        <v>37</v>
      </c>
      <c r="AD1453" s="6" t="s">
        <v>37</v>
      </c>
      <c r="AE1453" t="s">
        <v>37</v>
      </c>
      <c r="AF1453" t="s">
        <v>37</v>
      </c>
      <c r="AG1453" s="6" t="s">
        <v>37</v>
      </c>
      <c r="AH1453" t="s">
        <v>37</v>
      </c>
      <c r="AI1453" t="s">
        <v>37</v>
      </c>
      <c r="AJ1453" t="str">
        <f t="shared" si="68"/>
        <v>7EMS2FPGB07W6JMQW4</v>
      </c>
    </row>
    <row r="1454" spans="1:36" ht="15" customHeight="1" x14ac:dyDescent="0.25">
      <c r="A1454" t="s">
        <v>526</v>
      </c>
      <c r="B1454" t="s">
        <v>37</v>
      </c>
      <c r="C1454" t="s">
        <v>37</v>
      </c>
      <c r="D1454" t="s">
        <v>38</v>
      </c>
      <c r="E1454" s="4">
        <v>4</v>
      </c>
      <c r="F1454" s="5">
        <v>335.56</v>
      </c>
      <c r="G1454" s="5" t="s">
        <v>39</v>
      </c>
      <c r="H1454" s="5">
        <v>540.96</v>
      </c>
      <c r="I1454" s="5" t="s">
        <v>39</v>
      </c>
      <c r="J1454" s="5">
        <v>11.409039999999999</v>
      </c>
      <c r="K1454" s="5">
        <f t="shared" si="66"/>
        <v>2.8522599999999998</v>
      </c>
      <c r="L1454" s="5">
        <f t="shared" si="67"/>
        <v>83.89</v>
      </c>
      <c r="M1454" s="5" t="s">
        <v>39</v>
      </c>
      <c r="N1454" s="5">
        <v>11.409039999999999</v>
      </c>
      <c r="O1454" s="5" t="s">
        <v>39</v>
      </c>
      <c r="P1454" t="s">
        <v>1915</v>
      </c>
      <c r="Q1454" t="s">
        <v>223</v>
      </c>
      <c r="R1454" t="s">
        <v>37</v>
      </c>
      <c r="S1454" t="s">
        <v>224</v>
      </c>
      <c r="T1454" t="s">
        <v>43</v>
      </c>
      <c r="U1454" t="s">
        <v>44</v>
      </c>
      <c r="V1454">
        <v>147</v>
      </c>
      <c r="W1454" t="s">
        <v>45</v>
      </c>
      <c r="X1454" t="s">
        <v>53</v>
      </c>
      <c r="Y1454" t="s">
        <v>225</v>
      </c>
      <c r="Z1454" t="s">
        <v>37</v>
      </c>
      <c r="AA1454" t="s">
        <v>55</v>
      </c>
      <c r="AB1454" t="s">
        <v>37</v>
      </c>
      <c r="AC1454" s="6" t="s">
        <v>37</v>
      </c>
      <c r="AD1454" s="6" t="s">
        <v>37</v>
      </c>
      <c r="AE1454" t="s">
        <v>37</v>
      </c>
      <c r="AF1454" t="s">
        <v>37</v>
      </c>
      <c r="AG1454" s="6" t="s">
        <v>37</v>
      </c>
      <c r="AH1454" t="s">
        <v>37</v>
      </c>
      <c r="AI1454" t="s">
        <v>37</v>
      </c>
      <c r="AJ1454" t="str">
        <f t="shared" si="68"/>
        <v>1AKO6RJKB07W4DHKTD</v>
      </c>
    </row>
    <row r="1455" spans="1:36" ht="15" customHeight="1" x14ac:dyDescent="0.25">
      <c r="A1455" t="s">
        <v>36</v>
      </c>
      <c r="B1455" t="s">
        <v>37</v>
      </c>
      <c r="C1455" t="s">
        <v>37</v>
      </c>
      <c r="D1455" t="s">
        <v>38</v>
      </c>
      <c r="E1455" s="4">
        <v>12</v>
      </c>
      <c r="F1455" s="5">
        <v>661.2</v>
      </c>
      <c r="G1455" s="5" t="s">
        <v>39</v>
      </c>
      <c r="H1455" s="5">
        <v>786.84</v>
      </c>
      <c r="I1455" s="5" t="s">
        <v>39</v>
      </c>
      <c r="J1455" s="5">
        <v>22.480799999999999</v>
      </c>
      <c r="K1455" s="5">
        <f t="shared" si="66"/>
        <v>1.8734</v>
      </c>
      <c r="L1455" s="5">
        <f t="shared" si="67"/>
        <v>55.1</v>
      </c>
      <c r="M1455" s="5" t="s">
        <v>39</v>
      </c>
      <c r="N1455" s="5">
        <v>22.480799999999999</v>
      </c>
      <c r="O1455" s="5" t="s">
        <v>39</v>
      </c>
      <c r="P1455" t="s">
        <v>133</v>
      </c>
      <c r="Q1455" t="s">
        <v>1506</v>
      </c>
      <c r="R1455" t="s">
        <v>37</v>
      </c>
      <c r="S1455" t="s">
        <v>1507</v>
      </c>
      <c r="T1455" t="s">
        <v>43</v>
      </c>
      <c r="U1455" t="s">
        <v>44</v>
      </c>
      <c r="V1455">
        <v>147</v>
      </c>
      <c r="W1455" t="s">
        <v>1508</v>
      </c>
      <c r="X1455" t="s">
        <v>1509</v>
      </c>
      <c r="Y1455" t="s">
        <v>1510</v>
      </c>
      <c r="Z1455" t="s">
        <v>37</v>
      </c>
      <c r="AA1455" t="s">
        <v>55</v>
      </c>
      <c r="AB1455" t="s">
        <v>37</v>
      </c>
      <c r="AC1455" s="6" t="s">
        <v>37</v>
      </c>
      <c r="AD1455" s="6" t="s">
        <v>37</v>
      </c>
      <c r="AE1455" t="s">
        <v>37</v>
      </c>
      <c r="AF1455" t="s">
        <v>37</v>
      </c>
      <c r="AG1455" s="6" t="s">
        <v>37</v>
      </c>
      <c r="AH1455" t="s">
        <v>37</v>
      </c>
      <c r="AI1455" t="s">
        <v>37</v>
      </c>
      <c r="AJ1455" t="str">
        <f t="shared" si="68"/>
        <v>36BT7GGLB07W7L3HJP</v>
      </c>
    </row>
    <row r="1456" spans="1:36" ht="15" customHeight="1" x14ac:dyDescent="0.25">
      <c r="A1456" t="s">
        <v>62</v>
      </c>
      <c r="B1456" t="s">
        <v>37</v>
      </c>
      <c r="C1456" t="s">
        <v>37</v>
      </c>
      <c r="D1456" t="s">
        <v>38</v>
      </c>
      <c r="E1456" s="4">
        <v>0</v>
      </c>
      <c r="F1456" s="5">
        <v>0</v>
      </c>
      <c r="G1456" s="5" t="s">
        <v>39</v>
      </c>
      <c r="H1456" s="5">
        <v>0</v>
      </c>
      <c r="I1456" s="5" t="s">
        <v>39</v>
      </c>
      <c r="J1456" s="5">
        <v>0</v>
      </c>
      <c r="K1456" s="5" t="e">
        <f t="shared" si="66"/>
        <v>#DIV/0!</v>
      </c>
      <c r="L1456" s="5" t="e">
        <f t="shared" si="67"/>
        <v>#DIV/0!</v>
      </c>
      <c r="M1456" s="5" t="s">
        <v>39</v>
      </c>
      <c r="N1456" s="5">
        <v>0</v>
      </c>
      <c r="O1456" s="5" t="s">
        <v>39</v>
      </c>
      <c r="P1456" t="s">
        <v>102</v>
      </c>
      <c r="Q1456" t="s">
        <v>266</v>
      </c>
      <c r="R1456" t="s">
        <v>37</v>
      </c>
      <c r="S1456" t="s">
        <v>267</v>
      </c>
      <c r="T1456" t="s">
        <v>43</v>
      </c>
      <c r="U1456" t="s">
        <v>44</v>
      </c>
      <c r="V1456">
        <v>147</v>
      </c>
      <c r="W1456" t="s">
        <v>45</v>
      </c>
      <c r="X1456" t="s">
        <v>53</v>
      </c>
      <c r="Y1456" t="s">
        <v>268</v>
      </c>
      <c r="Z1456" t="s">
        <v>37</v>
      </c>
      <c r="AA1456" t="s">
        <v>48</v>
      </c>
      <c r="AB1456" t="s">
        <v>37</v>
      </c>
      <c r="AC1456" s="6" t="s">
        <v>37</v>
      </c>
      <c r="AD1456" s="6" t="s">
        <v>37</v>
      </c>
      <c r="AE1456" t="s">
        <v>37</v>
      </c>
      <c r="AF1456" t="s">
        <v>37</v>
      </c>
      <c r="AG1456" s="6" t="s">
        <v>37</v>
      </c>
      <c r="AH1456" t="s">
        <v>37</v>
      </c>
      <c r="AI1456" t="s">
        <v>37</v>
      </c>
      <c r="AJ1456" t="str">
        <f t="shared" si="68"/>
        <v>2M7QFTCOB07CGNDZR3</v>
      </c>
    </row>
    <row r="1457" spans="1:36" ht="15" customHeight="1" x14ac:dyDescent="0.25">
      <c r="A1457" t="s">
        <v>96</v>
      </c>
      <c r="B1457" t="s">
        <v>37</v>
      </c>
      <c r="C1457" t="s">
        <v>37</v>
      </c>
      <c r="D1457" t="s">
        <v>38</v>
      </c>
      <c r="E1457" s="4">
        <v>8</v>
      </c>
      <c r="F1457" s="5">
        <v>1067.3599999999999</v>
      </c>
      <c r="G1457" s="5" t="s">
        <v>39</v>
      </c>
      <c r="H1457" s="5">
        <v>1508.16</v>
      </c>
      <c r="I1457" s="5" t="s">
        <v>39</v>
      </c>
      <c r="J1457" s="5">
        <v>36.290239999999997</v>
      </c>
      <c r="K1457" s="5">
        <f t="shared" si="66"/>
        <v>4.5362799999999996</v>
      </c>
      <c r="L1457" s="5">
        <f t="shared" si="67"/>
        <v>133.41999999999999</v>
      </c>
      <c r="M1457" s="5" t="s">
        <v>39</v>
      </c>
      <c r="N1457" s="5">
        <v>36.290239999999997</v>
      </c>
      <c r="O1457" s="5" t="s">
        <v>39</v>
      </c>
      <c r="P1457" t="s">
        <v>195</v>
      </c>
      <c r="Q1457" t="s">
        <v>257</v>
      </c>
      <c r="R1457" t="s">
        <v>37</v>
      </c>
      <c r="S1457" t="s">
        <v>258</v>
      </c>
      <c r="T1457" t="s">
        <v>43</v>
      </c>
      <c r="U1457" t="s">
        <v>44</v>
      </c>
      <c r="V1457">
        <v>147</v>
      </c>
      <c r="W1457" t="s">
        <v>45</v>
      </c>
      <c r="X1457" t="s">
        <v>60</v>
      </c>
      <c r="Y1457" t="s">
        <v>259</v>
      </c>
      <c r="Z1457" t="s">
        <v>37</v>
      </c>
      <c r="AA1457" t="s">
        <v>55</v>
      </c>
      <c r="AB1457" t="s">
        <v>37</v>
      </c>
      <c r="AC1457" s="6" t="s">
        <v>37</v>
      </c>
      <c r="AD1457" s="6" t="s">
        <v>37</v>
      </c>
      <c r="AE1457" t="s">
        <v>37</v>
      </c>
      <c r="AF1457" t="s">
        <v>37</v>
      </c>
      <c r="AG1457" s="6" t="s">
        <v>37</v>
      </c>
      <c r="AH1457" t="s">
        <v>37</v>
      </c>
      <c r="AI1457" t="s">
        <v>37</v>
      </c>
      <c r="AJ1457" t="str">
        <f t="shared" si="68"/>
        <v>5X1OU9ZGB07W6JNF81</v>
      </c>
    </row>
    <row r="1458" spans="1:36" ht="15" customHeight="1" x14ac:dyDescent="0.25">
      <c r="A1458" t="s">
        <v>411</v>
      </c>
      <c r="B1458" t="s">
        <v>37</v>
      </c>
      <c r="C1458" t="s">
        <v>37</v>
      </c>
      <c r="D1458" t="s">
        <v>38</v>
      </c>
      <c r="E1458" s="4">
        <v>6</v>
      </c>
      <c r="F1458" s="5">
        <v>174</v>
      </c>
      <c r="G1458" s="5" t="s">
        <v>39</v>
      </c>
      <c r="H1458" s="5">
        <v>265.5</v>
      </c>
      <c r="I1458" s="5" t="s">
        <v>39</v>
      </c>
      <c r="J1458" s="5">
        <v>5.9160000000000004</v>
      </c>
      <c r="K1458" s="5">
        <f t="shared" si="66"/>
        <v>0.9860000000000001</v>
      </c>
      <c r="L1458" s="5">
        <f t="shared" si="67"/>
        <v>29</v>
      </c>
      <c r="M1458" s="5" t="s">
        <v>39</v>
      </c>
      <c r="N1458" s="5">
        <v>5.9160000000000004</v>
      </c>
      <c r="O1458" s="5" t="s">
        <v>39</v>
      </c>
      <c r="P1458" t="s">
        <v>412</v>
      </c>
      <c r="Q1458" t="s">
        <v>1102</v>
      </c>
      <c r="R1458" t="s">
        <v>37</v>
      </c>
      <c r="S1458" t="s">
        <v>1103</v>
      </c>
      <c r="T1458" t="s">
        <v>43</v>
      </c>
      <c r="U1458" t="s">
        <v>44</v>
      </c>
      <c r="V1458">
        <v>147</v>
      </c>
      <c r="W1458" t="s">
        <v>45</v>
      </c>
      <c r="X1458" t="s">
        <v>60</v>
      </c>
      <c r="Y1458" t="s">
        <v>1104</v>
      </c>
      <c r="Z1458" t="s">
        <v>37</v>
      </c>
      <c r="AA1458" t="s">
        <v>55</v>
      </c>
      <c r="AB1458" t="s">
        <v>37</v>
      </c>
      <c r="AC1458" s="6" t="s">
        <v>37</v>
      </c>
      <c r="AD1458" s="6" t="s">
        <v>37</v>
      </c>
      <c r="AE1458" t="s">
        <v>37</v>
      </c>
      <c r="AF1458" t="s">
        <v>37</v>
      </c>
      <c r="AG1458" s="6" t="s">
        <v>37</v>
      </c>
      <c r="AH1458" t="s">
        <v>37</v>
      </c>
      <c r="AI1458" t="s">
        <v>37</v>
      </c>
      <c r="AJ1458" t="str">
        <f t="shared" si="68"/>
        <v>6JWFV3WKB07W7KJC28</v>
      </c>
    </row>
    <row r="1459" spans="1:36" ht="15" customHeight="1" x14ac:dyDescent="0.25">
      <c r="A1459" t="s">
        <v>101</v>
      </c>
      <c r="B1459" t="s">
        <v>37</v>
      </c>
      <c r="C1459" t="s">
        <v>37</v>
      </c>
      <c r="D1459" t="s">
        <v>38</v>
      </c>
      <c r="E1459" s="4">
        <v>20</v>
      </c>
      <c r="F1459" s="5">
        <v>1380.6</v>
      </c>
      <c r="G1459" s="5" t="s">
        <v>39</v>
      </c>
      <c r="H1459" s="5">
        <v>2114.8000000000002</v>
      </c>
      <c r="I1459" s="5" t="s">
        <v>39</v>
      </c>
      <c r="J1459" s="5">
        <v>46.940399999999997</v>
      </c>
      <c r="K1459" s="5">
        <f t="shared" si="66"/>
        <v>2.3470199999999997</v>
      </c>
      <c r="L1459" s="5">
        <f t="shared" si="67"/>
        <v>69.03</v>
      </c>
      <c r="M1459" s="5" t="s">
        <v>39</v>
      </c>
      <c r="N1459" s="5">
        <v>46.940399999999997</v>
      </c>
      <c r="O1459" s="5" t="s">
        <v>39</v>
      </c>
      <c r="P1459" t="s">
        <v>274</v>
      </c>
      <c r="Q1459" t="s">
        <v>1640</v>
      </c>
      <c r="R1459" t="s">
        <v>37</v>
      </c>
      <c r="S1459" t="s">
        <v>1641</v>
      </c>
      <c r="T1459" t="s">
        <v>43</v>
      </c>
      <c r="U1459" t="s">
        <v>44</v>
      </c>
      <c r="V1459">
        <v>79</v>
      </c>
      <c r="W1459" t="s">
        <v>1642</v>
      </c>
      <c r="X1459" t="s">
        <v>1643</v>
      </c>
      <c r="Y1459" t="s">
        <v>1644</v>
      </c>
      <c r="Z1459" t="s">
        <v>37</v>
      </c>
      <c r="AA1459" t="s">
        <v>55</v>
      </c>
      <c r="AB1459" t="s">
        <v>37</v>
      </c>
      <c r="AC1459" s="6" t="s">
        <v>37</v>
      </c>
      <c r="AD1459" s="6" t="s">
        <v>37</v>
      </c>
      <c r="AE1459" t="s">
        <v>37</v>
      </c>
      <c r="AF1459" t="s">
        <v>37</v>
      </c>
      <c r="AG1459" s="6" t="s">
        <v>37</v>
      </c>
      <c r="AH1459" t="s">
        <v>37</v>
      </c>
      <c r="AI1459" t="s">
        <v>37</v>
      </c>
      <c r="AJ1459" t="str">
        <f t="shared" si="68"/>
        <v>4LYATDUXB07W6HLJJT</v>
      </c>
    </row>
    <row r="1460" spans="1:36" ht="15" customHeight="1" x14ac:dyDescent="0.25">
      <c r="A1460" t="s">
        <v>118</v>
      </c>
      <c r="B1460" t="s">
        <v>37</v>
      </c>
      <c r="C1460" t="s">
        <v>37</v>
      </c>
      <c r="D1460" t="s">
        <v>38</v>
      </c>
      <c r="E1460" s="4">
        <v>4</v>
      </c>
      <c r="F1460" s="5">
        <v>377.76</v>
      </c>
      <c r="G1460" s="5" t="s">
        <v>39</v>
      </c>
      <c r="H1460" s="5">
        <v>606.52</v>
      </c>
      <c r="I1460" s="5" t="s">
        <v>39</v>
      </c>
      <c r="J1460" s="5">
        <v>12.84384</v>
      </c>
      <c r="K1460" s="5">
        <f t="shared" si="66"/>
        <v>3.21096</v>
      </c>
      <c r="L1460" s="5">
        <f t="shared" si="67"/>
        <v>94.44</v>
      </c>
      <c r="M1460" s="5" t="s">
        <v>39</v>
      </c>
      <c r="N1460" s="5">
        <v>12.84384</v>
      </c>
      <c r="O1460" s="5" t="s">
        <v>39</v>
      </c>
      <c r="P1460" t="s">
        <v>141</v>
      </c>
      <c r="Q1460" t="s">
        <v>663</v>
      </c>
      <c r="R1460" t="s">
        <v>37</v>
      </c>
      <c r="S1460" t="s">
        <v>664</v>
      </c>
      <c r="T1460" t="s">
        <v>43</v>
      </c>
      <c r="U1460" t="s">
        <v>44</v>
      </c>
      <c r="V1460">
        <v>147</v>
      </c>
      <c r="W1460" t="s">
        <v>45</v>
      </c>
      <c r="X1460" t="s">
        <v>46</v>
      </c>
      <c r="Y1460" t="s">
        <v>665</v>
      </c>
      <c r="Z1460" t="s">
        <v>37</v>
      </c>
      <c r="AA1460" t="s">
        <v>48</v>
      </c>
      <c r="AB1460" t="s">
        <v>37</v>
      </c>
      <c r="AC1460" s="6" t="s">
        <v>37</v>
      </c>
      <c r="AD1460" s="6" t="s">
        <v>37</v>
      </c>
      <c r="AE1460" t="s">
        <v>37</v>
      </c>
      <c r="AF1460" t="s">
        <v>37</v>
      </c>
      <c r="AG1460" s="6" t="s">
        <v>37</v>
      </c>
      <c r="AH1460" t="s">
        <v>37</v>
      </c>
      <c r="AI1460" t="s">
        <v>37</v>
      </c>
      <c r="AJ1460" t="str">
        <f t="shared" si="68"/>
        <v>56UO2L2IB01M9EWQ2W</v>
      </c>
    </row>
    <row r="1461" spans="1:36" ht="15" customHeight="1" x14ac:dyDescent="0.25">
      <c r="A1461" t="s">
        <v>36</v>
      </c>
      <c r="B1461" t="s">
        <v>37</v>
      </c>
      <c r="C1461" t="s">
        <v>37</v>
      </c>
      <c r="D1461" t="s">
        <v>38</v>
      </c>
      <c r="E1461" s="4">
        <v>8</v>
      </c>
      <c r="F1461" s="5">
        <v>603.28</v>
      </c>
      <c r="G1461" s="5" t="s">
        <v>39</v>
      </c>
      <c r="H1461" s="5">
        <v>885.2</v>
      </c>
      <c r="I1461" s="5" t="s">
        <v>39</v>
      </c>
      <c r="J1461" s="5">
        <v>20.511520000000001</v>
      </c>
      <c r="K1461" s="5">
        <f t="shared" si="66"/>
        <v>2.5639400000000001</v>
      </c>
      <c r="L1461" s="5">
        <f t="shared" si="67"/>
        <v>75.41</v>
      </c>
      <c r="M1461" s="5" t="s">
        <v>39</v>
      </c>
      <c r="N1461" s="5">
        <v>20.511520000000001</v>
      </c>
      <c r="O1461" s="5" t="s">
        <v>39</v>
      </c>
      <c r="P1461" t="s">
        <v>1916</v>
      </c>
      <c r="Q1461" t="s">
        <v>492</v>
      </c>
      <c r="R1461" t="s">
        <v>37</v>
      </c>
      <c r="S1461" t="s">
        <v>493</v>
      </c>
      <c r="T1461" t="s">
        <v>43</v>
      </c>
      <c r="U1461" t="s">
        <v>44</v>
      </c>
      <c r="V1461">
        <v>147</v>
      </c>
      <c r="W1461" t="s">
        <v>45</v>
      </c>
      <c r="X1461" t="s">
        <v>60</v>
      </c>
      <c r="Y1461" t="s">
        <v>494</v>
      </c>
      <c r="Z1461" t="s">
        <v>37</v>
      </c>
      <c r="AA1461" t="s">
        <v>55</v>
      </c>
      <c r="AB1461" t="s">
        <v>37</v>
      </c>
      <c r="AC1461" s="6" t="s">
        <v>37</v>
      </c>
      <c r="AD1461" s="6" t="s">
        <v>37</v>
      </c>
      <c r="AE1461" t="s">
        <v>37</v>
      </c>
      <c r="AF1461" t="s">
        <v>37</v>
      </c>
      <c r="AG1461" s="6" t="s">
        <v>37</v>
      </c>
      <c r="AH1461" t="s">
        <v>37</v>
      </c>
      <c r="AI1461" t="s">
        <v>37</v>
      </c>
      <c r="AJ1461" t="str">
        <f t="shared" si="68"/>
        <v>4JN5J65ZB07W7LMCF9</v>
      </c>
    </row>
    <row r="1462" spans="1:36" ht="15" customHeight="1" x14ac:dyDescent="0.25">
      <c r="A1462" t="s">
        <v>127</v>
      </c>
      <c r="B1462" t="s">
        <v>37</v>
      </c>
      <c r="C1462" t="s">
        <v>37</v>
      </c>
      <c r="D1462" t="s">
        <v>38</v>
      </c>
      <c r="E1462" s="4">
        <v>0</v>
      </c>
      <c r="F1462" s="5">
        <v>0</v>
      </c>
      <c r="G1462" s="5" t="s">
        <v>39</v>
      </c>
      <c r="H1462" s="5">
        <v>0</v>
      </c>
      <c r="I1462" s="5" t="s">
        <v>39</v>
      </c>
      <c r="J1462" s="5">
        <v>0</v>
      </c>
      <c r="K1462" s="5" t="e">
        <f t="shared" si="66"/>
        <v>#DIV/0!</v>
      </c>
      <c r="L1462" s="5" t="e">
        <f t="shared" si="67"/>
        <v>#DIV/0!</v>
      </c>
      <c r="M1462" s="5" t="s">
        <v>39</v>
      </c>
      <c r="N1462" s="5">
        <v>0</v>
      </c>
      <c r="O1462" s="5" t="s">
        <v>39</v>
      </c>
      <c r="P1462" t="s">
        <v>128</v>
      </c>
      <c r="Q1462" t="s">
        <v>469</v>
      </c>
      <c r="R1462" t="s">
        <v>37</v>
      </c>
      <c r="S1462" t="s">
        <v>470</v>
      </c>
      <c r="T1462" t="s">
        <v>43</v>
      </c>
      <c r="U1462" t="s">
        <v>44</v>
      </c>
      <c r="V1462">
        <v>147</v>
      </c>
      <c r="W1462" t="s">
        <v>45</v>
      </c>
      <c r="X1462" t="s">
        <v>389</v>
      </c>
      <c r="Y1462" t="s">
        <v>471</v>
      </c>
      <c r="Z1462" t="s">
        <v>37</v>
      </c>
      <c r="AA1462" t="s">
        <v>95</v>
      </c>
      <c r="AB1462" t="s">
        <v>37</v>
      </c>
      <c r="AC1462" s="6" t="s">
        <v>37</v>
      </c>
      <c r="AD1462" s="6" t="s">
        <v>37</v>
      </c>
      <c r="AE1462" t="s">
        <v>37</v>
      </c>
      <c r="AF1462" t="s">
        <v>37</v>
      </c>
      <c r="AG1462" s="6" t="s">
        <v>37</v>
      </c>
      <c r="AH1462" t="s">
        <v>37</v>
      </c>
      <c r="AI1462" t="s">
        <v>37</v>
      </c>
      <c r="AJ1462" t="str">
        <f t="shared" si="68"/>
        <v>7RAC5F9EB00EUUXBDE</v>
      </c>
    </row>
    <row r="1463" spans="1:36" ht="15" customHeight="1" x14ac:dyDescent="0.25">
      <c r="A1463" t="s">
        <v>127</v>
      </c>
      <c r="B1463" t="s">
        <v>37</v>
      </c>
      <c r="C1463" t="s">
        <v>37</v>
      </c>
      <c r="D1463" t="s">
        <v>38</v>
      </c>
      <c r="E1463" s="4">
        <v>8</v>
      </c>
      <c r="F1463" s="5">
        <v>248.96</v>
      </c>
      <c r="G1463" s="5" t="s">
        <v>39</v>
      </c>
      <c r="H1463" s="5">
        <v>314.72000000000003</v>
      </c>
      <c r="I1463" s="5" t="s">
        <v>39</v>
      </c>
      <c r="J1463" s="5">
        <v>8.4646399999999993</v>
      </c>
      <c r="K1463" s="5">
        <f t="shared" si="66"/>
        <v>1.0580799999999999</v>
      </c>
      <c r="L1463" s="5">
        <f t="shared" si="67"/>
        <v>31.12</v>
      </c>
      <c r="M1463" s="5" t="s">
        <v>39</v>
      </c>
      <c r="N1463" s="5">
        <v>8.4646399999999993</v>
      </c>
      <c r="O1463" s="5" t="s">
        <v>39</v>
      </c>
      <c r="P1463" t="s">
        <v>128</v>
      </c>
      <c r="Q1463" t="s">
        <v>1131</v>
      </c>
      <c r="R1463" t="s">
        <v>37</v>
      </c>
      <c r="S1463" t="s">
        <v>1132</v>
      </c>
      <c r="T1463" t="s">
        <v>43</v>
      </c>
      <c r="U1463" t="s">
        <v>44</v>
      </c>
      <c r="V1463">
        <v>147</v>
      </c>
      <c r="W1463" t="s">
        <v>45</v>
      </c>
      <c r="X1463" t="s">
        <v>239</v>
      </c>
      <c r="Y1463" t="s">
        <v>1133</v>
      </c>
      <c r="Z1463" t="s">
        <v>37</v>
      </c>
      <c r="AA1463" t="s">
        <v>55</v>
      </c>
      <c r="AB1463" t="s">
        <v>37</v>
      </c>
      <c r="AC1463" s="6" t="s">
        <v>37</v>
      </c>
      <c r="AD1463" s="6" t="s">
        <v>37</v>
      </c>
      <c r="AE1463" t="s">
        <v>37</v>
      </c>
      <c r="AF1463" t="s">
        <v>37</v>
      </c>
      <c r="AG1463" s="6" t="s">
        <v>37</v>
      </c>
      <c r="AH1463" t="s">
        <v>37</v>
      </c>
      <c r="AI1463" t="s">
        <v>37</v>
      </c>
      <c r="AJ1463" t="str">
        <f t="shared" si="68"/>
        <v>7RAC5F9EB07W7KBRHZ</v>
      </c>
    </row>
    <row r="1464" spans="1:36" ht="15" customHeight="1" x14ac:dyDescent="0.25">
      <c r="A1464" t="s">
        <v>96</v>
      </c>
      <c r="B1464" t="s">
        <v>37</v>
      </c>
      <c r="C1464" t="s">
        <v>37</v>
      </c>
      <c r="D1464" t="s">
        <v>38</v>
      </c>
      <c r="E1464" s="4">
        <v>52</v>
      </c>
      <c r="F1464" s="5">
        <v>1920.36</v>
      </c>
      <c r="G1464" s="5" t="s">
        <v>39</v>
      </c>
      <c r="H1464" s="5">
        <v>3196.44</v>
      </c>
      <c r="I1464" s="5" t="s">
        <v>39</v>
      </c>
      <c r="J1464" s="5">
        <v>65.292240000000007</v>
      </c>
      <c r="K1464" s="5">
        <f t="shared" si="66"/>
        <v>1.2556200000000002</v>
      </c>
      <c r="L1464" s="5">
        <f t="shared" si="67"/>
        <v>36.93</v>
      </c>
      <c r="M1464" s="5" t="s">
        <v>39</v>
      </c>
      <c r="N1464" s="5">
        <v>65.292240000000007</v>
      </c>
      <c r="O1464" s="5" t="s">
        <v>39</v>
      </c>
      <c r="P1464" t="s">
        <v>106</v>
      </c>
      <c r="Q1464" t="s">
        <v>516</v>
      </c>
      <c r="R1464" t="s">
        <v>37</v>
      </c>
      <c r="S1464" t="s">
        <v>517</v>
      </c>
      <c r="T1464" t="s">
        <v>43</v>
      </c>
      <c r="U1464" t="s">
        <v>44</v>
      </c>
      <c r="V1464">
        <v>147</v>
      </c>
      <c r="W1464" t="s">
        <v>45</v>
      </c>
      <c r="X1464" t="s">
        <v>53</v>
      </c>
      <c r="Y1464" t="s">
        <v>518</v>
      </c>
      <c r="Z1464" t="s">
        <v>37</v>
      </c>
      <c r="AA1464" t="s">
        <v>55</v>
      </c>
      <c r="AB1464" t="s">
        <v>37</v>
      </c>
      <c r="AC1464" s="6" t="s">
        <v>37</v>
      </c>
      <c r="AD1464" s="6" t="s">
        <v>37</v>
      </c>
      <c r="AE1464" t="s">
        <v>37</v>
      </c>
      <c r="AF1464" t="s">
        <v>37</v>
      </c>
      <c r="AG1464" s="6" t="s">
        <v>37</v>
      </c>
      <c r="AH1464" t="s">
        <v>37</v>
      </c>
      <c r="AI1464" t="s">
        <v>37</v>
      </c>
      <c r="AJ1464" t="str">
        <f t="shared" si="68"/>
        <v>2CLMXQWQB07CGNP3RH</v>
      </c>
    </row>
    <row r="1465" spans="1:36" ht="15" customHeight="1" x14ac:dyDescent="0.25">
      <c r="A1465" t="s">
        <v>62</v>
      </c>
      <c r="B1465" t="s">
        <v>37</v>
      </c>
      <c r="C1465" t="s">
        <v>37</v>
      </c>
      <c r="D1465" t="s">
        <v>38</v>
      </c>
      <c r="E1465" s="4">
        <v>40</v>
      </c>
      <c r="F1465" s="5">
        <v>4176.3999999999996</v>
      </c>
      <c r="G1465" s="5" t="s">
        <v>39</v>
      </c>
      <c r="H1465" s="5">
        <v>6196.8</v>
      </c>
      <c r="I1465" s="5" t="s">
        <v>39</v>
      </c>
      <c r="J1465" s="5">
        <v>141.99760000000001</v>
      </c>
      <c r="K1465" s="5">
        <f t="shared" si="66"/>
        <v>3.5499400000000003</v>
      </c>
      <c r="L1465" s="5">
        <f t="shared" si="67"/>
        <v>104.41</v>
      </c>
      <c r="M1465" s="5" t="s">
        <v>39</v>
      </c>
      <c r="N1465" s="5">
        <v>141.99760000000001</v>
      </c>
      <c r="O1465" s="5" t="s">
        <v>39</v>
      </c>
      <c r="P1465" t="s">
        <v>177</v>
      </c>
      <c r="Q1465" t="s">
        <v>1834</v>
      </c>
      <c r="R1465" t="s">
        <v>37</v>
      </c>
      <c r="S1465" t="s">
        <v>1835</v>
      </c>
      <c r="T1465" t="s">
        <v>43</v>
      </c>
      <c r="U1465" t="s">
        <v>44</v>
      </c>
      <c r="V1465">
        <v>147</v>
      </c>
      <c r="W1465" t="s">
        <v>45</v>
      </c>
      <c r="X1465" t="s">
        <v>60</v>
      </c>
      <c r="Y1465" t="s">
        <v>1836</v>
      </c>
      <c r="Z1465" t="s">
        <v>37</v>
      </c>
      <c r="AA1465" t="s">
        <v>55</v>
      </c>
      <c r="AB1465" t="s">
        <v>37</v>
      </c>
      <c r="AC1465" s="6" t="s">
        <v>37</v>
      </c>
      <c r="AD1465" s="6" t="s">
        <v>37</v>
      </c>
      <c r="AE1465" t="s">
        <v>37</v>
      </c>
      <c r="AF1465" t="s">
        <v>37</v>
      </c>
      <c r="AG1465" s="6" t="s">
        <v>37</v>
      </c>
      <c r="AH1465" t="s">
        <v>37</v>
      </c>
      <c r="AI1465" t="s">
        <v>37</v>
      </c>
      <c r="AJ1465" t="str">
        <f t="shared" si="68"/>
        <v>4F3XMHTVB07W4DGKZ5</v>
      </c>
    </row>
    <row r="1466" spans="1:36" ht="15" customHeight="1" x14ac:dyDescent="0.25">
      <c r="A1466" t="s">
        <v>176</v>
      </c>
      <c r="B1466" t="s">
        <v>37</v>
      </c>
      <c r="C1466" t="s">
        <v>37</v>
      </c>
      <c r="D1466" t="s">
        <v>38</v>
      </c>
      <c r="E1466" s="4">
        <v>4</v>
      </c>
      <c r="F1466" s="5">
        <v>94.96</v>
      </c>
      <c r="G1466" s="5" t="s">
        <v>39</v>
      </c>
      <c r="H1466" s="5">
        <v>157.36000000000001</v>
      </c>
      <c r="I1466" s="5" t="s">
        <v>39</v>
      </c>
      <c r="J1466" s="5">
        <v>3.22864</v>
      </c>
      <c r="K1466" s="5">
        <f t="shared" si="66"/>
        <v>0.80715999999999999</v>
      </c>
      <c r="L1466" s="5">
        <f t="shared" si="67"/>
        <v>23.74</v>
      </c>
      <c r="M1466" s="5" t="s">
        <v>39</v>
      </c>
      <c r="N1466" s="5">
        <v>3.22864</v>
      </c>
      <c r="O1466" s="5" t="s">
        <v>39</v>
      </c>
      <c r="P1466" t="s">
        <v>320</v>
      </c>
      <c r="Q1466" t="s">
        <v>825</v>
      </c>
      <c r="R1466" t="s">
        <v>37</v>
      </c>
      <c r="S1466" t="s">
        <v>826</v>
      </c>
      <c r="T1466" t="s">
        <v>43</v>
      </c>
      <c r="U1466" t="s">
        <v>44</v>
      </c>
      <c r="V1466">
        <v>147</v>
      </c>
      <c r="W1466" t="s">
        <v>45</v>
      </c>
      <c r="X1466" t="s">
        <v>53</v>
      </c>
      <c r="Y1466" t="s">
        <v>123</v>
      </c>
      <c r="Z1466" t="s">
        <v>37</v>
      </c>
      <c r="AA1466" t="s">
        <v>95</v>
      </c>
      <c r="AB1466" t="s">
        <v>37</v>
      </c>
      <c r="AC1466" s="6" t="s">
        <v>37</v>
      </c>
      <c r="AD1466" s="6" t="s">
        <v>37</v>
      </c>
      <c r="AE1466" t="s">
        <v>37</v>
      </c>
      <c r="AF1466" t="s">
        <v>37</v>
      </c>
      <c r="AG1466" s="6" t="s">
        <v>37</v>
      </c>
      <c r="AH1466" t="s">
        <v>37</v>
      </c>
      <c r="AI1466" t="s">
        <v>37</v>
      </c>
      <c r="AJ1466" t="str">
        <f t="shared" si="68"/>
        <v>8BG295LIB07W6JPVPF</v>
      </c>
    </row>
    <row r="1467" spans="1:36" ht="15" customHeight="1" x14ac:dyDescent="0.25">
      <c r="A1467" t="s">
        <v>101</v>
      </c>
      <c r="B1467" t="s">
        <v>37</v>
      </c>
      <c r="C1467" t="s">
        <v>37</v>
      </c>
      <c r="D1467" t="s">
        <v>38</v>
      </c>
      <c r="E1467" s="4">
        <v>140</v>
      </c>
      <c r="F1467" s="5">
        <v>3323.6</v>
      </c>
      <c r="G1467" s="5" t="s">
        <v>39</v>
      </c>
      <c r="H1467" s="5">
        <v>5507.6</v>
      </c>
      <c r="I1467" s="5" t="s">
        <v>39</v>
      </c>
      <c r="J1467" s="5">
        <v>113.00239999999999</v>
      </c>
      <c r="K1467" s="5">
        <f t="shared" si="66"/>
        <v>0.80715999999999999</v>
      </c>
      <c r="L1467" s="5">
        <f t="shared" si="67"/>
        <v>23.74</v>
      </c>
      <c r="M1467" s="5" t="s">
        <v>39</v>
      </c>
      <c r="N1467" s="5">
        <v>113.00239999999999</v>
      </c>
      <c r="O1467" s="5" t="s">
        <v>39</v>
      </c>
      <c r="P1467" t="s">
        <v>320</v>
      </c>
      <c r="Q1467" t="s">
        <v>825</v>
      </c>
      <c r="R1467" t="s">
        <v>37</v>
      </c>
      <c r="S1467" t="s">
        <v>826</v>
      </c>
      <c r="T1467" t="s">
        <v>43</v>
      </c>
      <c r="U1467" t="s">
        <v>44</v>
      </c>
      <c r="V1467">
        <v>147</v>
      </c>
      <c r="W1467" t="s">
        <v>45</v>
      </c>
      <c r="X1467" t="s">
        <v>53</v>
      </c>
      <c r="Y1467" t="s">
        <v>123</v>
      </c>
      <c r="Z1467" t="s">
        <v>37</v>
      </c>
      <c r="AA1467" t="s">
        <v>95</v>
      </c>
      <c r="AB1467" t="s">
        <v>37</v>
      </c>
      <c r="AC1467" s="6" t="s">
        <v>37</v>
      </c>
      <c r="AD1467" s="6" t="s">
        <v>37</v>
      </c>
      <c r="AE1467" t="s">
        <v>37</v>
      </c>
      <c r="AF1467" t="s">
        <v>37</v>
      </c>
      <c r="AG1467" s="6" t="s">
        <v>37</v>
      </c>
      <c r="AH1467" t="s">
        <v>37</v>
      </c>
      <c r="AI1467" t="s">
        <v>37</v>
      </c>
      <c r="AJ1467" t="str">
        <f t="shared" si="68"/>
        <v>8BG295LIB07W6JPVPF</v>
      </c>
    </row>
    <row r="1468" spans="1:36" ht="15" customHeight="1" x14ac:dyDescent="0.25">
      <c r="A1468" t="s">
        <v>101</v>
      </c>
      <c r="B1468" t="s">
        <v>37</v>
      </c>
      <c r="C1468" t="s">
        <v>37</v>
      </c>
      <c r="D1468" t="s">
        <v>38</v>
      </c>
      <c r="E1468" s="4">
        <v>44</v>
      </c>
      <c r="F1468" s="5">
        <v>1624.92</v>
      </c>
      <c r="G1468" s="5" t="s">
        <v>39</v>
      </c>
      <c r="H1468" s="5">
        <v>2704.68</v>
      </c>
      <c r="I1468" s="5" t="s">
        <v>39</v>
      </c>
      <c r="J1468" s="5">
        <v>55.247280000000003</v>
      </c>
      <c r="K1468" s="5">
        <f t="shared" si="66"/>
        <v>1.2556200000000002</v>
      </c>
      <c r="L1468" s="5">
        <f t="shared" si="67"/>
        <v>36.93</v>
      </c>
      <c r="M1468" s="5" t="s">
        <v>39</v>
      </c>
      <c r="N1468" s="5">
        <v>55.247280000000003</v>
      </c>
      <c r="O1468" s="5" t="s">
        <v>39</v>
      </c>
      <c r="P1468" t="s">
        <v>102</v>
      </c>
      <c r="Q1468" t="s">
        <v>651</v>
      </c>
      <c r="R1468" t="s">
        <v>37</v>
      </c>
      <c r="S1468" t="s">
        <v>652</v>
      </c>
      <c r="T1468" t="s">
        <v>43</v>
      </c>
      <c r="U1468" t="s">
        <v>44</v>
      </c>
      <c r="V1468">
        <v>147</v>
      </c>
      <c r="W1468" t="s">
        <v>45</v>
      </c>
      <c r="X1468" t="s">
        <v>53</v>
      </c>
      <c r="Y1468" t="s">
        <v>486</v>
      </c>
      <c r="Z1468" t="s">
        <v>37</v>
      </c>
      <c r="AA1468" t="s">
        <v>55</v>
      </c>
      <c r="AB1468" t="s">
        <v>37</v>
      </c>
      <c r="AC1468" s="6" t="s">
        <v>37</v>
      </c>
      <c r="AD1468" s="6" t="s">
        <v>37</v>
      </c>
      <c r="AE1468" t="s">
        <v>37</v>
      </c>
      <c r="AF1468" t="s">
        <v>37</v>
      </c>
      <c r="AG1468" s="6" t="s">
        <v>37</v>
      </c>
      <c r="AH1468" t="s">
        <v>37</v>
      </c>
      <c r="AI1468" t="s">
        <v>37</v>
      </c>
      <c r="AJ1468" t="str">
        <f t="shared" si="68"/>
        <v>2M7QFTCOB07W5JHX84</v>
      </c>
    </row>
    <row r="1469" spans="1:36" ht="15" customHeight="1" x14ac:dyDescent="0.25">
      <c r="A1469" t="s">
        <v>96</v>
      </c>
      <c r="B1469" t="s">
        <v>37</v>
      </c>
      <c r="C1469" t="s">
        <v>37</v>
      </c>
      <c r="D1469" t="s">
        <v>38</v>
      </c>
      <c r="E1469" s="4">
        <v>216</v>
      </c>
      <c r="F1469" s="5">
        <v>15841.44</v>
      </c>
      <c r="G1469" s="5" t="s">
        <v>39</v>
      </c>
      <c r="H1469" s="5">
        <v>25671.599999999999</v>
      </c>
      <c r="I1469" s="5" t="s">
        <v>39</v>
      </c>
      <c r="J1469" s="5">
        <v>538.60896000000002</v>
      </c>
      <c r="K1469" s="5">
        <f t="shared" si="66"/>
        <v>2.49356</v>
      </c>
      <c r="L1469" s="5">
        <f t="shared" si="67"/>
        <v>73.34</v>
      </c>
      <c r="M1469" s="5" t="s">
        <v>39</v>
      </c>
      <c r="N1469" s="5">
        <v>538.60896000000002</v>
      </c>
      <c r="O1469" s="5" t="s">
        <v>39</v>
      </c>
      <c r="P1469" t="s">
        <v>1917</v>
      </c>
      <c r="Q1469" t="s">
        <v>207</v>
      </c>
      <c r="R1469" t="s">
        <v>37</v>
      </c>
      <c r="S1469" t="s">
        <v>208</v>
      </c>
      <c r="T1469" t="s">
        <v>43</v>
      </c>
      <c r="U1469" t="s">
        <v>44</v>
      </c>
      <c r="V1469">
        <v>147</v>
      </c>
      <c r="W1469" t="s">
        <v>45</v>
      </c>
      <c r="X1469" t="s">
        <v>46</v>
      </c>
      <c r="Y1469" t="s">
        <v>209</v>
      </c>
      <c r="Z1469" t="s">
        <v>37</v>
      </c>
      <c r="AA1469" t="s">
        <v>55</v>
      </c>
      <c r="AB1469" t="s">
        <v>37</v>
      </c>
      <c r="AC1469" s="6" t="s">
        <v>37</v>
      </c>
      <c r="AD1469" s="6" t="s">
        <v>37</v>
      </c>
      <c r="AE1469" t="s">
        <v>37</v>
      </c>
      <c r="AF1469" t="s">
        <v>37</v>
      </c>
      <c r="AG1469" s="6" t="s">
        <v>37</v>
      </c>
      <c r="AH1469" t="s">
        <v>37</v>
      </c>
      <c r="AI1469" t="s">
        <v>37</v>
      </c>
      <c r="AJ1469" t="str">
        <f t="shared" si="68"/>
        <v>4939TJ5GB073399S1L</v>
      </c>
    </row>
    <row r="1470" spans="1:36" ht="15" customHeight="1" x14ac:dyDescent="0.25">
      <c r="A1470" t="s">
        <v>118</v>
      </c>
      <c r="B1470" t="s">
        <v>37</v>
      </c>
      <c r="C1470" t="s">
        <v>37</v>
      </c>
      <c r="D1470" t="s">
        <v>38</v>
      </c>
      <c r="E1470" s="4">
        <v>10</v>
      </c>
      <c r="F1470" s="5">
        <v>163.9</v>
      </c>
      <c r="G1470" s="5" t="s">
        <v>39</v>
      </c>
      <c r="H1470" s="5">
        <v>245.8</v>
      </c>
      <c r="I1470" s="5" t="s">
        <v>39</v>
      </c>
      <c r="J1470" s="5">
        <v>5.5726000000000004</v>
      </c>
      <c r="K1470" s="5">
        <f t="shared" si="66"/>
        <v>0.55726000000000009</v>
      </c>
      <c r="L1470" s="5">
        <f t="shared" si="67"/>
        <v>16.39</v>
      </c>
      <c r="M1470" s="5" t="s">
        <v>39</v>
      </c>
      <c r="N1470" s="5">
        <v>5.5726000000000004</v>
      </c>
      <c r="O1470" s="5" t="s">
        <v>39</v>
      </c>
      <c r="P1470" t="s">
        <v>462</v>
      </c>
      <c r="Q1470" t="s">
        <v>173</v>
      </c>
      <c r="R1470" t="s">
        <v>37</v>
      </c>
      <c r="S1470" t="s">
        <v>174</v>
      </c>
      <c r="T1470" t="s">
        <v>43</v>
      </c>
      <c r="U1470" t="s">
        <v>44</v>
      </c>
      <c r="V1470">
        <v>147</v>
      </c>
      <c r="W1470" t="s">
        <v>45</v>
      </c>
      <c r="X1470" t="s">
        <v>60</v>
      </c>
      <c r="Y1470" t="s">
        <v>175</v>
      </c>
      <c r="Z1470" t="s">
        <v>37</v>
      </c>
      <c r="AA1470" t="s">
        <v>55</v>
      </c>
      <c r="AB1470" t="s">
        <v>37</v>
      </c>
      <c r="AC1470" s="6" t="s">
        <v>37</v>
      </c>
      <c r="AD1470" s="6" t="s">
        <v>37</v>
      </c>
      <c r="AE1470" t="s">
        <v>37</v>
      </c>
      <c r="AF1470" t="s">
        <v>37</v>
      </c>
      <c r="AG1470" s="6" t="s">
        <v>37</v>
      </c>
      <c r="AH1470" t="s">
        <v>37</v>
      </c>
      <c r="AI1470" t="s">
        <v>37</v>
      </c>
      <c r="AJ1470" t="str">
        <f t="shared" si="68"/>
        <v>17D6YHERB077BT728N</v>
      </c>
    </row>
    <row r="1471" spans="1:36" ht="15" customHeight="1" x14ac:dyDescent="0.25">
      <c r="A1471" t="s">
        <v>36</v>
      </c>
      <c r="B1471" t="s">
        <v>37</v>
      </c>
      <c r="C1471" t="s">
        <v>37</v>
      </c>
      <c r="D1471" t="s">
        <v>38</v>
      </c>
      <c r="E1471" s="4">
        <v>36</v>
      </c>
      <c r="F1471" s="5">
        <v>2714.76</v>
      </c>
      <c r="G1471" s="5" t="s">
        <v>39</v>
      </c>
      <c r="H1471" s="5">
        <v>3983.4</v>
      </c>
      <c r="I1471" s="5" t="s">
        <v>39</v>
      </c>
      <c r="J1471" s="5">
        <v>92.301839999999999</v>
      </c>
      <c r="K1471" s="5">
        <f t="shared" si="66"/>
        <v>2.5639400000000001</v>
      </c>
      <c r="L1471" s="5">
        <f t="shared" si="67"/>
        <v>75.410000000000011</v>
      </c>
      <c r="M1471" s="5" t="s">
        <v>39</v>
      </c>
      <c r="N1471" s="5">
        <v>92.301839999999999</v>
      </c>
      <c r="O1471" s="5" t="s">
        <v>39</v>
      </c>
      <c r="P1471" t="s">
        <v>119</v>
      </c>
      <c r="Q1471" t="s">
        <v>1724</v>
      </c>
      <c r="R1471" t="s">
        <v>37</v>
      </c>
      <c r="S1471" t="s">
        <v>1725</v>
      </c>
      <c r="T1471" t="s">
        <v>43</v>
      </c>
      <c r="U1471" t="s">
        <v>44</v>
      </c>
      <c r="V1471">
        <v>147</v>
      </c>
      <c r="W1471" t="s">
        <v>45</v>
      </c>
      <c r="X1471" t="s">
        <v>53</v>
      </c>
      <c r="Y1471" t="s">
        <v>1726</v>
      </c>
      <c r="Z1471" t="s">
        <v>37</v>
      </c>
      <c r="AA1471" t="s">
        <v>55</v>
      </c>
      <c r="AB1471" t="s">
        <v>37</v>
      </c>
      <c r="AC1471" s="6" t="s">
        <v>37</v>
      </c>
      <c r="AD1471" s="6" t="s">
        <v>37</v>
      </c>
      <c r="AE1471" t="s">
        <v>37</v>
      </c>
      <c r="AF1471" t="s">
        <v>37</v>
      </c>
      <c r="AG1471" s="6" t="s">
        <v>37</v>
      </c>
      <c r="AH1471" t="s">
        <v>37</v>
      </c>
      <c r="AI1471" t="s">
        <v>37</v>
      </c>
      <c r="AJ1471" t="str">
        <f t="shared" si="68"/>
        <v>31DJDC7QB07W6HXQ9J</v>
      </c>
    </row>
    <row r="1472" spans="1:36" ht="15" customHeight="1" x14ac:dyDescent="0.25">
      <c r="A1472" t="s">
        <v>36</v>
      </c>
      <c r="B1472" t="s">
        <v>37</v>
      </c>
      <c r="C1472" t="s">
        <v>37</v>
      </c>
      <c r="D1472" t="s">
        <v>38</v>
      </c>
      <c r="E1472" s="4">
        <v>28</v>
      </c>
      <c r="F1472" s="5">
        <v>1034.04</v>
      </c>
      <c r="G1472" s="5" t="s">
        <v>39</v>
      </c>
      <c r="H1472" s="5">
        <v>1721.16</v>
      </c>
      <c r="I1472" s="5" t="s">
        <v>39</v>
      </c>
      <c r="J1472" s="5">
        <v>35.157359999999997</v>
      </c>
      <c r="K1472" s="5">
        <f t="shared" si="66"/>
        <v>1.25562</v>
      </c>
      <c r="L1472" s="5">
        <f t="shared" si="67"/>
        <v>36.93</v>
      </c>
      <c r="M1472" s="5" t="s">
        <v>39</v>
      </c>
      <c r="N1472" s="5">
        <v>35.157359999999997</v>
      </c>
      <c r="O1472" s="5" t="s">
        <v>39</v>
      </c>
      <c r="P1472" t="s">
        <v>141</v>
      </c>
      <c r="Q1472" t="s">
        <v>635</v>
      </c>
      <c r="R1472" t="s">
        <v>37</v>
      </c>
      <c r="S1472" t="s">
        <v>636</v>
      </c>
      <c r="T1472" t="s">
        <v>43</v>
      </c>
      <c r="U1472" t="s">
        <v>44</v>
      </c>
      <c r="V1472">
        <v>147</v>
      </c>
      <c r="W1472" t="s">
        <v>45</v>
      </c>
      <c r="X1472" t="s">
        <v>53</v>
      </c>
      <c r="Y1472" t="s">
        <v>637</v>
      </c>
      <c r="Z1472" t="s">
        <v>37</v>
      </c>
      <c r="AA1472" t="s">
        <v>55</v>
      </c>
      <c r="AB1472" t="s">
        <v>37</v>
      </c>
      <c r="AC1472" s="6" t="s">
        <v>37</v>
      </c>
      <c r="AD1472" s="6" t="s">
        <v>37</v>
      </c>
      <c r="AE1472" t="s">
        <v>37</v>
      </c>
      <c r="AF1472" t="s">
        <v>37</v>
      </c>
      <c r="AG1472" s="6" t="s">
        <v>37</v>
      </c>
      <c r="AH1472" t="s">
        <v>37</v>
      </c>
      <c r="AI1472" t="s">
        <v>37</v>
      </c>
      <c r="AJ1472" t="str">
        <f t="shared" si="68"/>
        <v>56UO2L2IB07CGVGMLD</v>
      </c>
    </row>
    <row r="1473" spans="1:36" ht="15" customHeight="1" x14ac:dyDescent="0.25">
      <c r="A1473" t="s">
        <v>62</v>
      </c>
      <c r="B1473" t="s">
        <v>37</v>
      </c>
      <c r="C1473" t="s">
        <v>37</v>
      </c>
      <c r="D1473" t="s">
        <v>38</v>
      </c>
      <c r="E1473" s="4">
        <v>20</v>
      </c>
      <c r="F1473" s="5">
        <v>327.8</v>
      </c>
      <c r="G1473" s="5" t="s">
        <v>39</v>
      </c>
      <c r="H1473" s="5">
        <v>491.6</v>
      </c>
      <c r="I1473" s="5" t="s">
        <v>39</v>
      </c>
      <c r="J1473" s="5">
        <v>11.145200000000001</v>
      </c>
      <c r="K1473" s="5">
        <f t="shared" si="66"/>
        <v>0.55726000000000009</v>
      </c>
      <c r="L1473" s="5">
        <f t="shared" si="67"/>
        <v>16.39</v>
      </c>
      <c r="M1473" s="5" t="s">
        <v>39</v>
      </c>
      <c r="N1473" s="5">
        <v>11.145200000000001</v>
      </c>
      <c r="O1473" s="5" t="s">
        <v>39</v>
      </c>
      <c r="P1473" t="s">
        <v>63</v>
      </c>
      <c r="Q1473" t="s">
        <v>1562</v>
      </c>
      <c r="R1473" t="s">
        <v>37</v>
      </c>
      <c r="S1473" t="s">
        <v>1563</v>
      </c>
      <c r="T1473" t="s">
        <v>43</v>
      </c>
      <c r="U1473" t="s">
        <v>44</v>
      </c>
      <c r="V1473">
        <v>147</v>
      </c>
      <c r="W1473" t="s">
        <v>45</v>
      </c>
      <c r="X1473" t="s">
        <v>53</v>
      </c>
      <c r="Y1473" t="s">
        <v>1564</v>
      </c>
      <c r="Z1473" t="s">
        <v>37</v>
      </c>
      <c r="AA1473" t="s">
        <v>55</v>
      </c>
      <c r="AB1473" t="s">
        <v>37</v>
      </c>
      <c r="AC1473" s="6" t="s">
        <v>37</v>
      </c>
      <c r="AD1473" s="6" t="s">
        <v>37</v>
      </c>
      <c r="AE1473" t="s">
        <v>37</v>
      </c>
      <c r="AF1473" t="s">
        <v>37</v>
      </c>
      <c r="AG1473" s="6" t="s">
        <v>37</v>
      </c>
      <c r="AH1473" t="s">
        <v>37</v>
      </c>
      <c r="AI1473" t="s">
        <v>37</v>
      </c>
      <c r="AJ1473" t="str">
        <f t="shared" si="68"/>
        <v>7H9X1Z6SB07W6GVZFL</v>
      </c>
    </row>
    <row r="1474" spans="1:36" ht="15" customHeight="1" x14ac:dyDescent="0.25">
      <c r="A1474" t="s">
        <v>76</v>
      </c>
      <c r="B1474" t="s">
        <v>37</v>
      </c>
      <c r="C1474" t="s">
        <v>37</v>
      </c>
      <c r="D1474" t="s">
        <v>38</v>
      </c>
      <c r="E1474" s="4">
        <v>28</v>
      </c>
      <c r="F1474" s="5">
        <v>738.36</v>
      </c>
      <c r="G1474" s="5" t="s">
        <v>39</v>
      </c>
      <c r="H1474" s="5">
        <v>1193.08</v>
      </c>
      <c r="I1474" s="5" t="s">
        <v>39</v>
      </c>
      <c r="J1474" s="5">
        <v>25.104240000000001</v>
      </c>
      <c r="K1474" s="5">
        <f t="shared" si="66"/>
        <v>0.89658000000000004</v>
      </c>
      <c r="L1474" s="5">
        <f t="shared" si="67"/>
        <v>26.37</v>
      </c>
      <c r="M1474" s="5" t="s">
        <v>39</v>
      </c>
      <c r="N1474" s="5">
        <v>25.104240000000001</v>
      </c>
      <c r="O1474" s="5" t="s">
        <v>39</v>
      </c>
      <c r="P1474" t="s">
        <v>177</v>
      </c>
      <c r="Q1474" t="s">
        <v>678</v>
      </c>
      <c r="R1474" t="s">
        <v>37</v>
      </c>
      <c r="S1474" t="s">
        <v>679</v>
      </c>
      <c r="T1474" t="s">
        <v>43</v>
      </c>
      <c r="U1474" t="s">
        <v>44</v>
      </c>
      <c r="V1474">
        <v>147</v>
      </c>
      <c r="W1474" t="s">
        <v>45</v>
      </c>
      <c r="X1474" t="s">
        <v>590</v>
      </c>
      <c r="Y1474" t="s">
        <v>591</v>
      </c>
      <c r="Z1474" t="s">
        <v>37</v>
      </c>
      <c r="AA1474" t="s">
        <v>55</v>
      </c>
      <c r="AB1474" t="s">
        <v>37</v>
      </c>
      <c r="AC1474" s="6" t="s">
        <v>37</v>
      </c>
      <c r="AD1474" s="6" t="s">
        <v>37</v>
      </c>
      <c r="AE1474" t="s">
        <v>37</v>
      </c>
      <c r="AF1474" t="s">
        <v>37</v>
      </c>
      <c r="AG1474" s="6" t="s">
        <v>37</v>
      </c>
      <c r="AH1474" t="s">
        <v>37</v>
      </c>
      <c r="AI1474" t="s">
        <v>37</v>
      </c>
      <c r="AJ1474" t="str">
        <f t="shared" si="68"/>
        <v>4F3XMHTVB07W5JKT4S</v>
      </c>
    </row>
    <row r="1475" spans="1:36" ht="15" customHeight="1" x14ac:dyDescent="0.25">
      <c r="A1475" t="s">
        <v>49</v>
      </c>
      <c r="B1475" t="s">
        <v>37</v>
      </c>
      <c r="C1475" t="s">
        <v>37</v>
      </c>
      <c r="D1475" t="s">
        <v>38</v>
      </c>
      <c r="E1475" s="4">
        <v>132</v>
      </c>
      <c r="F1475" s="5">
        <v>3864.96</v>
      </c>
      <c r="G1475" s="5" t="s">
        <v>39</v>
      </c>
      <c r="H1475" s="5">
        <v>3864.96</v>
      </c>
      <c r="I1475" s="5" t="s">
        <v>39</v>
      </c>
      <c r="J1475" s="5">
        <v>131.40863999999999</v>
      </c>
      <c r="K1475" s="5">
        <f t="shared" ref="K1475:K1538" si="69">J1475/E1475</f>
        <v>0.99551999999999996</v>
      </c>
      <c r="L1475" s="5">
        <f t="shared" ref="L1475:L1538" si="70">F1475/E1475</f>
        <v>29.28</v>
      </c>
      <c r="M1475" s="5" t="s">
        <v>39</v>
      </c>
      <c r="N1475" s="5">
        <v>131.40863999999999</v>
      </c>
      <c r="O1475" s="5" t="s">
        <v>39</v>
      </c>
      <c r="P1475" t="s">
        <v>128</v>
      </c>
      <c r="Q1475" t="s">
        <v>469</v>
      </c>
      <c r="R1475" t="s">
        <v>37</v>
      </c>
      <c r="S1475" t="s">
        <v>470</v>
      </c>
      <c r="T1475" t="s">
        <v>43</v>
      </c>
      <c r="U1475" t="s">
        <v>44</v>
      </c>
      <c r="V1475">
        <v>147</v>
      </c>
      <c r="W1475" t="s">
        <v>45</v>
      </c>
      <c r="X1475" t="s">
        <v>389</v>
      </c>
      <c r="Y1475" t="s">
        <v>471</v>
      </c>
      <c r="Z1475" t="s">
        <v>37</v>
      </c>
      <c r="AA1475" t="s">
        <v>95</v>
      </c>
      <c r="AB1475" t="s">
        <v>37</v>
      </c>
      <c r="AC1475" s="6" t="s">
        <v>37</v>
      </c>
      <c r="AD1475" s="6" t="s">
        <v>37</v>
      </c>
      <c r="AE1475" t="s">
        <v>37</v>
      </c>
      <c r="AF1475" t="s">
        <v>37</v>
      </c>
      <c r="AG1475" s="6" t="s">
        <v>37</v>
      </c>
      <c r="AH1475" t="s">
        <v>37</v>
      </c>
      <c r="AI1475" t="s">
        <v>37</v>
      </c>
      <c r="AJ1475" t="str">
        <f t="shared" ref="AJ1475:AJ1538" si="71">P1475&amp;Q1475</f>
        <v>7RAC5F9EB00EUUXBDE</v>
      </c>
    </row>
    <row r="1476" spans="1:36" ht="15" customHeight="1" x14ac:dyDescent="0.25">
      <c r="A1476" t="s">
        <v>96</v>
      </c>
      <c r="B1476" t="s">
        <v>37</v>
      </c>
      <c r="C1476" t="s">
        <v>37</v>
      </c>
      <c r="D1476" t="s">
        <v>38</v>
      </c>
      <c r="E1476" s="4">
        <v>8</v>
      </c>
      <c r="F1476" s="5">
        <v>324.8</v>
      </c>
      <c r="G1476" s="5" t="s">
        <v>39</v>
      </c>
      <c r="H1476" s="5">
        <v>472.08</v>
      </c>
      <c r="I1476" s="5" t="s">
        <v>39</v>
      </c>
      <c r="J1476" s="5">
        <v>11.043200000000001</v>
      </c>
      <c r="K1476" s="5">
        <f t="shared" si="69"/>
        <v>1.3804000000000001</v>
      </c>
      <c r="L1476" s="5">
        <f t="shared" si="70"/>
        <v>40.6</v>
      </c>
      <c r="M1476" s="5" t="s">
        <v>39</v>
      </c>
      <c r="N1476" s="5">
        <v>11.043200000000001</v>
      </c>
      <c r="O1476" s="5" t="s">
        <v>39</v>
      </c>
      <c r="P1476" t="s">
        <v>222</v>
      </c>
      <c r="Q1476" t="s">
        <v>68</v>
      </c>
      <c r="R1476" t="s">
        <v>37</v>
      </c>
      <c r="S1476" t="s">
        <v>69</v>
      </c>
      <c r="T1476" t="s">
        <v>43</v>
      </c>
      <c r="U1476" t="s">
        <v>44</v>
      </c>
      <c r="V1476">
        <v>147</v>
      </c>
      <c r="W1476" t="s">
        <v>45</v>
      </c>
      <c r="X1476" t="s">
        <v>60</v>
      </c>
      <c r="Y1476" t="s">
        <v>70</v>
      </c>
      <c r="Z1476" t="s">
        <v>37</v>
      </c>
      <c r="AA1476" t="s">
        <v>55</v>
      </c>
      <c r="AB1476" t="s">
        <v>37</v>
      </c>
      <c r="AC1476" s="6" t="s">
        <v>37</v>
      </c>
      <c r="AD1476" s="6" t="s">
        <v>37</v>
      </c>
      <c r="AE1476" t="s">
        <v>37</v>
      </c>
      <c r="AF1476" t="s">
        <v>37</v>
      </c>
      <c r="AG1476" s="6" t="s">
        <v>37</v>
      </c>
      <c r="AH1476" t="s">
        <v>37</v>
      </c>
      <c r="AI1476" t="s">
        <v>37</v>
      </c>
      <c r="AJ1476" t="str">
        <f t="shared" si="71"/>
        <v>2F7Y5WIXB07W4DHZLS</v>
      </c>
    </row>
    <row r="1477" spans="1:36" ht="15" customHeight="1" x14ac:dyDescent="0.25">
      <c r="A1477" t="s">
        <v>62</v>
      </c>
      <c r="B1477" t="s">
        <v>37</v>
      </c>
      <c r="C1477" t="s">
        <v>37</v>
      </c>
      <c r="D1477" t="s">
        <v>38</v>
      </c>
      <c r="E1477" s="4">
        <v>40</v>
      </c>
      <c r="F1477" s="5">
        <v>1171.2</v>
      </c>
      <c r="G1477" s="5" t="s">
        <v>39</v>
      </c>
      <c r="H1477" s="5">
        <v>1770</v>
      </c>
      <c r="I1477" s="5" t="s">
        <v>39</v>
      </c>
      <c r="J1477" s="5">
        <v>39.820799999999998</v>
      </c>
      <c r="K1477" s="5">
        <f t="shared" si="69"/>
        <v>0.99551999999999996</v>
      </c>
      <c r="L1477" s="5">
        <f t="shared" si="70"/>
        <v>29.28</v>
      </c>
      <c r="M1477" s="5" t="s">
        <v>39</v>
      </c>
      <c r="N1477" s="5">
        <v>39.820799999999998</v>
      </c>
      <c r="O1477" s="5" t="s">
        <v>39</v>
      </c>
      <c r="P1477" t="s">
        <v>426</v>
      </c>
      <c r="Q1477" t="s">
        <v>803</v>
      </c>
      <c r="R1477" t="s">
        <v>37</v>
      </c>
      <c r="S1477" t="s">
        <v>804</v>
      </c>
      <c r="T1477" t="s">
        <v>43</v>
      </c>
      <c r="U1477" t="s">
        <v>44</v>
      </c>
      <c r="V1477">
        <v>147</v>
      </c>
      <c r="W1477" t="s">
        <v>45</v>
      </c>
      <c r="X1477" t="s">
        <v>53</v>
      </c>
      <c r="Y1477" t="s">
        <v>805</v>
      </c>
      <c r="Z1477" t="s">
        <v>37</v>
      </c>
      <c r="AA1477" t="s">
        <v>55</v>
      </c>
      <c r="AB1477" t="s">
        <v>37</v>
      </c>
      <c r="AC1477" s="6" t="s">
        <v>37</v>
      </c>
      <c r="AD1477" s="6" t="s">
        <v>37</v>
      </c>
      <c r="AE1477" t="s">
        <v>37</v>
      </c>
      <c r="AF1477" t="s">
        <v>37</v>
      </c>
      <c r="AG1477" s="6" t="s">
        <v>37</v>
      </c>
      <c r="AH1477" t="s">
        <v>37</v>
      </c>
      <c r="AI1477" t="s">
        <v>37</v>
      </c>
      <c r="AJ1477" t="str">
        <f t="shared" si="71"/>
        <v>3IQS66UGB07W5JJ85Z</v>
      </c>
    </row>
    <row r="1478" spans="1:36" ht="15" customHeight="1" x14ac:dyDescent="0.25">
      <c r="A1478" t="s">
        <v>49</v>
      </c>
      <c r="B1478" t="s">
        <v>37</v>
      </c>
      <c r="C1478" t="s">
        <v>37</v>
      </c>
      <c r="D1478" t="s">
        <v>38</v>
      </c>
      <c r="E1478" s="4">
        <v>4</v>
      </c>
      <c r="F1478" s="5">
        <v>147.72</v>
      </c>
      <c r="G1478" s="5" t="s">
        <v>39</v>
      </c>
      <c r="H1478" s="5">
        <v>245.88</v>
      </c>
      <c r="I1478" s="5" t="s">
        <v>39</v>
      </c>
      <c r="J1478" s="5">
        <v>5.0224799999999998</v>
      </c>
      <c r="K1478" s="5">
        <f t="shared" si="69"/>
        <v>1.25562</v>
      </c>
      <c r="L1478" s="5">
        <f t="shared" si="70"/>
        <v>36.93</v>
      </c>
      <c r="M1478" s="5" t="s">
        <v>39</v>
      </c>
      <c r="N1478" s="5">
        <v>5.0224799999999998</v>
      </c>
      <c r="O1478" s="5" t="s">
        <v>39</v>
      </c>
      <c r="P1478" t="s">
        <v>106</v>
      </c>
      <c r="Q1478" t="s">
        <v>516</v>
      </c>
      <c r="R1478" t="s">
        <v>37</v>
      </c>
      <c r="S1478" t="s">
        <v>517</v>
      </c>
      <c r="T1478" t="s">
        <v>43</v>
      </c>
      <c r="U1478" t="s">
        <v>44</v>
      </c>
      <c r="V1478">
        <v>147</v>
      </c>
      <c r="W1478" t="s">
        <v>45</v>
      </c>
      <c r="X1478" t="s">
        <v>53</v>
      </c>
      <c r="Y1478" t="s">
        <v>518</v>
      </c>
      <c r="Z1478" t="s">
        <v>37</v>
      </c>
      <c r="AA1478" t="s">
        <v>55</v>
      </c>
      <c r="AB1478" t="s">
        <v>37</v>
      </c>
      <c r="AC1478" s="6" t="s">
        <v>37</v>
      </c>
      <c r="AD1478" s="6" t="s">
        <v>37</v>
      </c>
      <c r="AE1478" t="s">
        <v>37</v>
      </c>
      <c r="AF1478" t="s">
        <v>37</v>
      </c>
      <c r="AG1478" s="6" t="s">
        <v>37</v>
      </c>
      <c r="AH1478" t="s">
        <v>37</v>
      </c>
      <c r="AI1478" t="s">
        <v>37</v>
      </c>
      <c r="AJ1478" t="str">
        <f t="shared" si="71"/>
        <v>2CLMXQWQB07CGNP3RH</v>
      </c>
    </row>
    <row r="1479" spans="1:36" ht="15" customHeight="1" x14ac:dyDescent="0.25">
      <c r="A1479" t="s">
        <v>96</v>
      </c>
      <c r="B1479" t="s">
        <v>37</v>
      </c>
      <c r="C1479" t="s">
        <v>37</v>
      </c>
      <c r="D1479" t="s">
        <v>38</v>
      </c>
      <c r="E1479" s="4">
        <v>30</v>
      </c>
      <c r="F1479" s="5">
        <v>790.5</v>
      </c>
      <c r="G1479" s="5" t="s">
        <v>39</v>
      </c>
      <c r="H1479" s="5">
        <v>1180.2</v>
      </c>
      <c r="I1479" s="5" t="s">
        <v>39</v>
      </c>
      <c r="J1479" s="5">
        <v>26.876999999999999</v>
      </c>
      <c r="K1479" s="5">
        <f t="shared" si="69"/>
        <v>0.89589999999999992</v>
      </c>
      <c r="L1479" s="5">
        <f t="shared" si="70"/>
        <v>26.35</v>
      </c>
      <c r="M1479" s="5" t="s">
        <v>39</v>
      </c>
      <c r="N1479" s="5">
        <v>26.876999999999999</v>
      </c>
      <c r="O1479" s="5" t="s">
        <v>39</v>
      </c>
      <c r="P1479" t="s">
        <v>479</v>
      </c>
      <c r="Q1479" t="s">
        <v>1918</v>
      </c>
      <c r="R1479" t="s">
        <v>1919</v>
      </c>
      <c r="S1479" t="s">
        <v>1920</v>
      </c>
      <c r="T1479" t="s">
        <v>43</v>
      </c>
      <c r="U1479" t="s">
        <v>44</v>
      </c>
      <c r="V1479">
        <v>147</v>
      </c>
      <c r="W1479" t="s">
        <v>45</v>
      </c>
      <c r="X1479" t="s">
        <v>60</v>
      </c>
      <c r="Y1479" t="s">
        <v>1921</v>
      </c>
      <c r="Z1479" t="s">
        <v>37</v>
      </c>
      <c r="AA1479" t="s">
        <v>55</v>
      </c>
      <c r="AB1479" t="s">
        <v>37</v>
      </c>
      <c r="AC1479" s="6" t="s">
        <v>37</v>
      </c>
      <c r="AD1479" s="6" t="s">
        <v>37</v>
      </c>
      <c r="AE1479" t="s">
        <v>37</v>
      </c>
      <c r="AF1479" t="s">
        <v>37</v>
      </c>
      <c r="AG1479" s="6" t="s">
        <v>37</v>
      </c>
      <c r="AH1479" t="s">
        <v>37</v>
      </c>
      <c r="AI1479" t="s">
        <v>37</v>
      </c>
      <c r="AJ1479" t="str">
        <f t="shared" si="71"/>
        <v>7SCVG2OTB00BF5QDZU</v>
      </c>
    </row>
    <row r="1480" spans="1:36" ht="15" customHeight="1" x14ac:dyDescent="0.25">
      <c r="A1480" t="s">
        <v>62</v>
      </c>
      <c r="B1480" t="s">
        <v>37</v>
      </c>
      <c r="C1480" t="s">
        <v>37</v>
      </c>
      <c r="D1480" t="s">
        <v>38</v>
      </c>
      <c r="E1480" s="4">
        <v>4</v>
      </c>
      <c r="F1480" s="5">
        <v>105.48</v>
      </c>
      <c r="G1480" s="5" t="s">
        <v>39</v>
      </c>
      <c r="H1480" s="5">
        <v>170.44</v>
      </c>
      <c r="I1480" s="5" t="s">
        <v>39</v>
      </c>
      <c r="J1480" s="5">
        <v>3.5863200000000002</v>
      </c>
      <c r="K1480" s="5">
        <f t="shared" si="69"/>
        <v>0.89658000000000004</v>
      </c>
      <c r="L1480" s="5">
        <f t="shared" si="70"/>
        <v>26.37</v>
      </c>
      <c r="M1480" s="5" t="s">
        <v>39</v>
      </c>
      <c r="N1480" s="5">
        <v>3.5863200000000002</v>
      </c>
      <c r="O1480" s="5" t="s">
        <v>39</v>
      </c>
      <c r="P1480" t="s">
        <v>177</v>
      </c>
      <c r="Q1480" t="s">
        <v>678</v>
      </c>
      <c r="R1480" t="s">
        <v>37</v>
      </c>
      <c r="S1480" t="s">
        <v>679</v>
      </c>
      <c r="T1480" t="s">
        <v>43</v>
      </c>
      <c r="U1480" t="s">
        <v>44</v>
      </c>
      <c r="V1480">
        <v>147</v>
      </c>
      <c r="W1480" t="s">
        <v>45</v>
      </c>
      <c r="X1480" t="s">
        <v>590</v>
      </c>
      <c r="Y1480" t="s">
        <v>591</v>
      </c>
      <c r="Z1480" t="s">
        <v>37</v>
      </c>
      <c r="AA1480" t="s">
        <v>55</v>
      </c>
      <c r="AB1480" t="s">
        <v>37</v>
      </c>
      <c r="AC1480" s="6" t="s">
        <v>37</v>
      </c>
      <c r="AD1480" s="6" t="s">
        <v>37</v>
      </c>
      <c r="AE1480" t="s">
        <v>37</v>
      </c>
      <c r="AF1480" t="s">
        <v>37</v>
      </c>
      <c r="AG1480" s="6" t="s">
        <v>37</v>
      </c>
      <c r="AH1480" t="s">
        <v>37</v>
      </c>
      <c r="AI1480" t="s">
        <v>37</v>
      </c>
      <c r="AJ1480" t="str">
        <f t="shared" si="71"/>
        <v>4F3XMHTVB07W5JKT4S</v>
      </c>
    </row>
    <row r="1481" spans="1:36" ht="15" customHeight="1" x14ac:dyDescent="0.25">
      <c r="A1481" t="s">
        <v>127</v>
      </c>
      <c r="B1481" t="s">
        <v>37</v>
      </c>
      <c r="C1481" t="s">
        <v>37</v>
      </c>
      <c r="D1481" t="s">
        <v>38</v>
      </c>
      <c r="E1481" s="4">
        <v>10</v>
      </c>
      <c r="F1481" s="5">
        <v>439.2</v>
      </c>
      <c r="G1481" s="5" t="s">
        <v>39</v>
      </c>
      <c r="H1481" s="5">
        <v>655.7</v>
      </c>
      <c r="I1481" s="5" t="s">
        <v>39</v>
      </c>
      <c r="J1481" s="5">
        <v>14.9328</v>
      </c>
      <c r="K1481" s="5">
        <f t="shared" si="69"/>
        <v>1.4932799999999999</v>
      </c>
      <c r="L1481" s="5">
        <f t="shared" si="70"/>
        <v>43.92</v>
      </c>
      <c r="M1481" s="5" t="s">
        <v>39</v>
      </c>
      <c r="N1481" s="5">
        <v>14.9328</v>
      </c>
      <c r="O1481" s="5" t="s">
        <v>39</v>
      </c>
      <c r="P1481" t="s">
        <v>128</v>
      </c>
      <c r="Q1481" t="s">
        <v>1331</v>
      </c>
      <c r="R1481" t="s">
        <v>37</v>
      </c>
      <c r="S1481" t="s">
        <v>1332</v>
      </c>
      <c r="T1481" t="s">
        <v>43</v>
      </c>
      <c r="U1481" t="s">
        <v>44</v>
      </c>
      <c r="V1481">
        <v>147</v>
      </c>
      <c r="W1481" t="s">
        <v>45</v>
      </c>
      <c r="X1481" t="s">
        <v>53</v>
      </c>
      <c r="Y1481" t="s">
        <v>1333</v>
      </c>
      <c r="Z1481" t="s">
        <v>37</v>
      </c>
      <c r="AA1481" t="s">
        <v>48</v>
      </c>
      <c r="AB1481" t="s">
        <v>37</v>
      </c>
      <c r="AC1481" s="6" t="s">
        <v>37</v>
      </c>
      <c r="AD1481" s="6" t="s">
        <v>37</v>
      </c>
      <c r="AE1481" t="s">
        <v>37</v>
      </c>
      <c r="AF1481" t="s">
        <v>37</v>
      </c>
      <c r="AG1481" s="6" t="s">
        <v>37</v>
      </c>
      <c r="AH1481" t="s">
        <v>37</v>
      </c>
      <c r="AI1481" t="s">
        <v>37</v>
      </c>
      <c r="AJ1481" t="str">
        <f t="shared" si="71"/>
        <v>7RAC5F9EB01KZVQB42</v>
      </c>
    </row>
    <row r="1482" spans="1:36" ht="15" customHeight="1" x14ac:dyDescent="0.25">
      <c r="A1482" t="s">
        <v>36</v>
      </c>
      <c r="B1482" t="s">
        <v>37</v>
      </c>
      <c r="C1482" t="s">
        <v>37</v>
      </c>
      <c r="D1482" t="s">
        <v>38</v>
      </c>
      <c r="E1482" s="4">
        <v>60</v>
      </c>
      <c r="F1482" s="5">
        <v>2635.2</v>
      </c>
      <c r="G1482" s="5" t="s">
        <v>39</v>
      </c>
      <c r="H1482" s="5">
        <v>3934.2</v>
      </c>
      <c r="I1482" s="5" t="s">
        <v>39</v>
      </c>
      <c r="J1482" s="5">
        <v>89.596800000000002</v>
      </c>
      <c r="K1482" s="5">
        <f t="shared" si="69"/>
        <v>1.4932799999999999</v>
      </c>
      <c r="L1482" s="5">
        <f t="shared" si="70"/>
        <v>43.919999999999995</v>
      </c>
      <c r="M1482" s="5" t="s">
        <v>39</v>
      </c>
      <c r="N1482" s="5">
        <v>89.596800000000002</v>
      </c>
      <c r="O1482" s="5" t="s">
        <v>39</v>
      </c>
      <c r="P1482" t="s">
        <v>128</v>
      </c>
      <c r="Q1482" t="s">
        <v>1331</v>
      </c>
      <c r="R1482" t="s">
        <v>37</v>
      </c>
      <c r="S1482" t="s">
        <v>1332</v>
      </c>
      <c r="T1482" t="s">
        <v>43</v>
      </c>
      <c r="U1482" t="s">
        <v>44</v>
      </c>
      <c r="V1482">
        <v>147</v>
      </c>
      <c r="W1482" t="s">
        <v>45</v>
      </c>
      <c r="X1482" t="s">
        <v>53</v>
      </c>
      <c r="Y1482" t="s">
        <v>1333</v>
      </c>
      <c r="Z1482" t="s">
        <v>37</v>
      </c>
      <c r="AA1482" t="s">
        <v>48</v>
      </c>
      <c r="AB1482" t="s">
        <v>37</v>
      </c>
      <c r="AC1482" s="6" t="s">
        <v>37</v>
      </c>
      <c r="AD1482" s="6" t="s">
        <v>37</v>
      </c>
      <c r="AE1482" t="s">
        <v>37</v>
      </c>
      <c r="AF1482" t="s">
        <v>37</v>
      </c>
      <c r="AG1482" s="6" t="s">
        <v>37</v>
      </c>
      <c r="AH1482" t="s">
        <v>37</v>
      </c>
      <c r="AI1482" t="s">
        <v>37</v>
      </c>
      <c r="AJ1482" t="str">
        <f t="shared" si="71"/>
        <v>7RAC5F9EB01KZVQB42</v>
      </c>
    </row>
    <row r="1483" spans="1:36" ht="15" customHeight="1" x14ac:dyDescent="0.25">
      <c r="A1483" t="s">
        <v>62</v>
      </c>
      <c r="B1483" t="s">
        <v>37</v>
      </c>
      <c r="C1483" t="s">
        <v>37</v>
      </c>
      <c r="D1483" t="s">
        <v>38</v>
      </c>
      <c r="E1483" s="4">
        <v>4</v>
      </c>
      <c r="F1483" s="5">
        <v>158.24</v>
      </c>
      <c r="G1483" s="5" t="s">
        <v>39</v>
      </c>
      <c r="H1483" s="5">
        <v>236.04</v>
      </c>
      <c r="I1483" s="5" t="s">
        <v>39</v>
      </c>
      <c r="J1483" s="5">
        <v>5.3801600000000001</v>
      </c>
      <c r="K1483" s="5">
        <f t="shared" si="69"/>
        <v>1.34504</v>
      </c>
      <c r="L1483" s="5">
        <f t="shared" si="70"/>
        <v>39.56</v>
      </c>
      <c r="M1483" s="5" t="s">
        <v>39</v>
      </c>
      <c r="N1483" s="5">
        <v>5.3801600000000001</v>
      </c>
      <c r="O1483" s="5" t="s">
        <v>39</v>
      </c>
      <c r="P1483" t="s">
        <v>968</v>
      </c>
      <c r="Q1483" t="s">
        <v>1631</v>
      </c>
      <c r="R1483" t="s">
        <v>37</v>
      </c>
      <c r="S1483" t="s">
        <v>1632</v>
      </c>
      <c r="T1483" t="s">
        <v>43</v>
      </c>
      <c r="U1483" t="s">
        <v>44</v>
      </c>
      <c r="V1483">
        <v>147</v>
      </c>
      <c r="W1483" t="s">
        <v>45</v>
      </c>
      <c r="X1483" t="s">
        <v>53</v>
      </c>
      <c r="Y1483" t="s">
        <v>1633</v>
      </c>
      <c r="Z1483" t="s">
        <v>37</v>
      </c>
      <c r="AA1483" t="s">
        <v>55</v>
      </c>
      <c r="AB1483" t="s">
        <v>37</v>
      </c>
      <c r="AC1483" s="6" t="s">
        <v>37</v>
      </c>
      <c r="AD1483" s="6" t="s">
        <v>37</v>
      </c>
      <c r="AE1483" t="s">
        <v>37</v>
      </c>
      <c r="AF1483" t="s">
        <v>37</v>
      </c>
      <c r="AG1483" s="6" t="s">
        <v>37</v>
      </c>
      <c r="AH1483" t="s">
        <v>37</v>
      </c>
      <c r="AI1483" t="s">
        <v>37</v>
      </c>
      <c r="AJ1483" t="str">
        <f t="shared" si="71"/>
        <v>7LA8DZCZB07S69F4HC</v>
      </c>
    </row>
    <row r="1484" spans="1:36" ht="15" customHeight="1" x14ac:dyDescent="0.25">
      <c r="A1484" t="s">
        <v>118</v>
      </c>
      <c r="B1484" t="s">
        <v>37</v>
      </c>
      <c r="C1484" t="s">
        <v>37</v>
      </c>
      <c r="D1484" t="s">
        <v>38</v>
      </c>
      <c r="E1484" s="4">
        <v>10</v>
      </c>
      <c r="F1484" s="5">
        <v>163.9</v>
      </c>
      <c r="G1484" s="5" t="s">
        <v>39</v>
      </c>
      <c r="H1484" s="5">
        <v>245.8</v>
      </c>
      <c r="I1484" s="5" t="s">
        <v>39</v>
      </c>
      <c r="J1484" s="5">
        <v>5.5726000000000004</v>
      </c>
      <c r="K1484" s="5">
        <f t="shared" si="69"/>
        <v>0.55726000000000009</v>
      </c>
      <c r="L1484" s="5">
        <f t="shared" si="70"/>
        <v>16.39</v>
      </c>
      <c r="M1484" s="5" t="s">
        <v>39</v>
      </c>
      <c r="N1484" s="5">
        <v>5.5726000000000004</v>
      </c>
      <c r="O1484" s="5" t="s">
        <v>39</v>
      </c>
      <c r="P1484" t="s">
        <v>40</v>
      </c>
      <c r="Q1484" t="s">
        <v>917</v>
      </c>
      <c r="R1484" t="s">
        <v>37</v>
      </c>
      <c r="S1484" t="s">
        <v>918</v>
      </c>
      <c r="T1484" t="s">
        <v>43</v>
      </c>
      <c r="U1484" t="s">
        <v>44</v>
      </c>
      <c r="V1484">
        <v>147</v>
      </c>
      <c r="W1484" t="s">
        <v>45</v>
      </c>
      <c r="X1484" t="s">
        <v>60</v>
      </c>
      <c r="Y1484" t="s">
        <v>919</v>
      </c>
      <c r="Z1484" t="s">
        <v>37</v>
      </c>
      <c r="AA1484" t="s">
        <v>55</v>
      </c>
      <c r="AB1484" t="s">
        <v>37</v>
      </c>
      <c r="AC1484" s="6" t="s">
        <v>37</v>
      </c>
      <c r="AD1484" s="6" t="s">
        <v>37</v>
      </c>
      <c r="AE1484" t="s">
        <v>37</v>
      </c>
      <c r="AF1484" t="s">
        <v>37</v>
      </c>
      <c r="AG1484" s="6" t="s">
        <v>37</v>
      </c>
      <c r="AH1484" t="s">
        <v>37</v>
      </c>
      <c r="AI1484" t="s">
        <v>37</v>
      </c>
      <c r="AJ1484" t="str">
        <f t="shared" si="71"/>
        <v>4A3KDTEZB00EJ3RMDM</v>
      </c>
    </row>
    <row r="1485" spans="1:36" ht="15" customHeight="1" x14ac:dyDescent="0.25">
      <c r="A1485" t="s">
        <v>36</v>
      </c>
      <c r="B1485" t="s">
        <v>37</v>
      </c>
      <c r="C1485" t="s">
        <v>37</v>
      </c>
      <c r="D1485" t="s">
        <v>38</v>
      </c>
      <c r="E1485" s="4">
        <v>4</v>
      </c>
      <c r="F1485" s="5">
        <v>525.52</v>
      </c>
      <c r="G1485" s="5" t="s">
        <v>39</v>
      </c>
      <c r="H1485" s="5">
        <v>881.96</v>
      </c>
      <c r="I1485" s="5" t="s">
        <v>39</v>
      </c>
      <c r="J1485" s="5">
        <v>17.86768</v>
      </c>
      <c r="K1485" s="5">
        <f t="shared" si="69"/>
        <v>4.46692</v>
      </c>
      <c r="L1485" s="5">
        <f t="shared" si="70"/>
        <v>131.38</v>
      </c>
      <c r="M1485" s="5" t="s">
        <v>39</v>
      </c>
      <c r="N1485" s="5">
        <v>17.86768</v>
      </c>
      <c r="O1485" s="5" t="s">
        <v>39</v>
      </c>
      <c r="P1485" t="s">
        <v>270</v>
      </c>
      <c r="Q1485" t="s">
        <v>1922</v>
      </c>
      <c r="R1485" t="s">
        <v>37</v>
      </c>
      <c r="S1485" t="s">
        <v>1923</v>
      </c>
      <c r="T1485" t="s">
        <v>43</v>
      </c>
      <c r="U1485" t="s">
        <v>44</v>
      </c>
      <c r="V1485">
        <v>147</v>
      </c>
      <c r="W1485" t="s">
        <v>45</v>
      </c>
      <c r="X1485" t="s">
        <v>356</v>
      </c>
      <c r="Y1485" t="s">
        <v>1924</v>
      </c>
      <c r="Z1485" t="s">
        <v>37</v>
      </c>
      <c r="AA1485" t="s">
        <v>55</v>
      </c>
      <c r="AB1485" t="s">
        <v>37</v>
      </c>
      <c r="AC1485" s="6" t="s">
        <v>37</v>
      </c>
      <c r="AD1485" s="6" t="s">
        <v>37</v>
      </c>
      <c r="AE1485" t="s">
        <v>37</v>
      </c>
      <c r="AF1485" t="s">
        <v>37</v>
      </c>
      <c r="AG1485" s="6" t="s">
        <v>37</v>
      </c>
      <c r="AH1485" t="s">
        <v>37</v>
      </c>
      <c r="AI1485" t="s">
        <v>37</v>
      </c>
      <c r="AJ1485" t="str">
        <f t="shared" si="71"/>
        <v>1X4DXX4TB07W6HYLB3</v>
      </c>
    </row>
    <row r="1486" spans="1:36" ht="15" customHeight="1" x14ac:dyDescent="0.25">
      <c r="A1486" t="s">
        <v>101</v>
      </c>
      <c r="B1486" t="s">
        <v>37</v>
      </c>
      <c r="C1486" t="s">
        <v>37</v>
      </c>
      <c r="D1486" t="s">
        <v>38</v>
      </c>
      <c r="E1486" s="4">
        <v>40</v>
      </c>
      <c r="F1486" s="5">
        <v>2784.4</v>
      </c>
      <c r="G1486" s="5" t="s">
        <v>39</v>
      </c>
      <c r="H1486" s="5">
        <v>4229.6000000000004</v>
      </c>
      <c r="I1486" s="5" t="s">
        <v>39</v>
      </c>
      <c r="J1486" s="5">
        <v>94.669600000000003</v>
      </c>
      <c r="K1486" s="5">
        <f t="shared" si="69"/>
        <v>2.3667400000000001</v>
      </c>
      <c r="L1486" s="5">
        <f t="shared" si="70"/>
        <v>69.61</v>
      </c>
      <c r="M1486" s="5" t="s">
        <v>39</v>
      </c>
      <c r="N1486" s="5">
        <v>94.669600000000003</v>
      </c>
      <c r="O1486" s="5" t="s">
        <v>39</v>
      </c>
      <c r="P1486" t="s">
        <v>320</v>
      </c>
      <c r="Q1486" t="s">
        <v>1925</v>
      </c>
      <c r="R1486" t="s">
        <v>37</v>
      </c>
      <c r="S1486" t="s">
        <v>1926</v>
      </c>
      <c r="T1486" t="s">
        <v>43</v>
      </c>
      <c r="U1486" t="s">
        <v>44</v>
      </c>
      <c r="V1486">
        <v>147</v>
      </c>
      <c r="W1486" t="s">
        <v>45</v>
      </c>
      <c r="X1486" t="s">
        <v>60</v>
      </c>
      <c r="Y1486" t="s">
        <v>1927</v>
      </c>
      <c r="Z1486" t="s">
        <v>37</v>
      </c>
      <c r="AA1486" t="s">
        <v>55</v>
      </c>
      <c r="AB1486" t="s">
        <v>37</v>
      </c>
      <c r="AC1486" s="6" t="s">
        <v>37</v>
      </c>
      <c r="AD1486" s="6" t="s">
        <v>37</v>
      </c>
      <c r="AE1486" t="s">
        <v>37</v>
      </c>
      <c r="AF1486" t="s">
        <v>37</v>
      </c>
      <c r="AG1486" s="6" t="s">
        <v>37</v>
      </c>
      <c r="AH1486" t="s">
        <v>37</v>
      </c>
      <c r="AI1486" t="s">
        <v>37</v>
      </c>
      <c r="AJ1486" t="str">
        <f t="shared" si="71"/>
        <v>8BG295LIB07W6H29GS</v>
      </c>
    </row>
    <row r="1487" spans="1:36" ht="15" customHeight="1" x14ac:dyDescent="0.25">
      <c r="A1487" t="s">
        <v>96</v>
      </c>
      <c r="B1487" t="s">
        <v>37</v>
      </c>
      <c r="C1487" t="s">
        <v>37</v>
      </c>
      <c r="D1487" t="s">
        <v>38</v>
      </c>
      <c r="E1487" s="4">
        <v>4</v>
      </c>
      <c r="F1487" s="5">
        <v>276.12</v>
      </c>
      <c r="G1487" s="5" t="s">
        <v>39</v>
      </c>
      <c r="H1487" s="5">
        <v>422.96</v>
      </c>
      <c r="I1487" s="5" t="s">
        <v>39</v>
      </c>
      <c r="J1487" s="5">
        <v>9.3880800000000004</v>
      </c>
      <c r="K1487" s="5">
        <f t="shared" si="69"/>
        <v>2.3470200000000001</v>
      </c>
      <c r="L1487" s="5">
        <f t="shared" si="70"/>
        <v>69.03</v>
      </c>
      <c r="M1487" s="5" t="s">
        <v>39</v>
      </c>
      <c r="N1487" s="5">
        <v>9.3880800000000004</v>
      </c>
      <c r="O1487" s="5" t="s">
        <v>39</v>
      </c>
      <c r="P1487" t="s">
        <v>241</v>
      </c>
      <c r="Q1487" t="s">
        <v>1164</v>
      </c>
      <c r="R1487" t="s">
        <v>37</v>
      </c>
      <c r="S1487" t="s">
        <v>1165</v>
      </c>
      <c r="T1487" t="s">
        <v>43</v>
      </c>
      <c r="U1487" t="s">
        <v>44</v>
      </c>
      <c r="V1487">
        <v>23</v>
      </c>
      <c r="W1487" t="s">
        <v>218</v>
      </c>
      <c r="X1487" t="s">
        <v>219</v>
      </c>
      <c r="Y1487" t="s">
        <v>1166</v>
      </c>
      <c r="Z1487" t="s">
        <v>37</v>
      </c>
      <c r="AA1487" t="s">
        <v>95</v>
      </c>
      <c r="AB1487" t="s">
        <v>37</v>
      </c>
      <c r="AC1487" s="6" t="s">
        <v>37</v>
      </c>
      <c r="AD1487" s="6" t="s">
        <v>37</v>
      </c>
      <c r="AE1487" t="s">
        <v>37</v>
      </c>
      <c r="AF1487" t="s">
        <v>37</v>
      </c>
      <c r="AG1487" s="6" t="s">
        <v>37</v>
      </c>
      <c r="AH1487" t="s">
        <v>37</v>
      </c>
      <c r="AI1487" t="s">
        <v>37</v>
      </c>
      <c r="AJ1487" t="str">
        <f t="shared" si="71"/>
        <v>6451M4NBB07W7JYN4P</v>
      </c>
    </row>
    <row r="1488" spans="1:36" ht="15" customHeight="1" x14ac:dyDescent="0.25">
      <c r="A1488" t="s">
        <v>96</v>
      </c>
      <c r="B1488" t="s">
        <v>37</v>
      </c>
      <c r="C1488" t="s">
        <v>37</v>
      </c>
      <c r="D1488" t="s">
        <v>38</v>
      </c>
      <c r="E1488" s="4">
        <v>20</v>
      </c>
      <c r="F1488" s="5">
        <v>585.6</v>
      </c>
      <c r="G1488" s="5" t="s">
        <v>39</v>
      </c>
      <c r="H1488" s="5">
        <v>885</v>
      </c>
      <c r="I1488" s="5" t="s">
        <v>39</v>
      </c>
      <c r="J1488" s="5">
        <v>19.910399999999999</v>
      </c>
      <c r="K1488" s="5">
        <f t="shared" si="69"/>
        <v>0.99551999999999996</v>
      </c>
      <c r="L1488" s="5">
        <f t="shared" si="70"/>
        <v>29.28</v>
      </c>
      <c r="M1488" s="5" t="s">
        <v>39</v>
      </c>
      <c r="N1488" s="5">
        <v>19.910399999999999</v>
      </c>
      <c r="O1488" s="5" t="s">
        <v>39</v>
      </c>
      <c r="P1488" t="s">
        <v>195</v>
      </c>
      <c r="Q1488" t="s">
        <v>794</v>
      </c>
      <c r="R1488" t="s">
        <v>37</v>
      </c>
      <c r="S1488" t="s">
        <v>795</v>
      </c>
      <c r="T1488" t="s">
        <v>43</v>
      </c>
      <c r="U1488" t="s">
        <v>44</v>
      </c>
      <c r="V1488">
        <v>147</v>
      </c>
      <c r="W1488" t="s">
        <v>45</v>
      </c>
      <c r="X1488" t="s">
        <v>53</v>
      </c>
      <c r="Y1488" t="s">
        <v>796</v>
      </c>
      <c r="Z1488" t="s">
        <v>37</v>
      </c>
      <c r="AA1488" t="s">
        <v>55</v>
      </c>
      <c r="AB1488" t="s">
        <v>37</v>
      </c>
      <c r="AC1488" s="6" t="s">
        <v>37</v>
      </c>
      <c r="AD1488" s="6" t="s">
        <v>37</v>
      </c>
      <c r="AE1488" t="s">
        <v>37</v>
      </c>
      <c r="AF1488" t="s">
        <v>37</v>
      </c>
      <c r="AG1488" s="6" t="s">
        <v>37</v>
      </c>
      <c r="AH1488" t="s">
        <v>37</v>
      </c>
      <c r="AI1488" t="s">
        <v>37</v>
      </c>
      <c r="AJ1488" t="str">
        <f t="shared" si="71"/>
        <v>5X1OU9ZGB07W7JR6BZ</v>
      </c>
    </row>
    <row r="1489" spans="1:36" ht="15" customHeight="1" x14ac:dyDescent="0.25">
      <c r="A1489" t="s">
        <v>101</v>
      </c>
      <c r="B1489" t="s">
        <v>37</v>
      </c>
      <c r="C1489" t="s">
        <v>37</v>
      </c>
      <c r="D1489" t="s">
        <v>38</v>
      </c>
      <c r="E1489" s="4">
        <v>12</v>
      </c>
      <c r="F1489" s="5">
        <v>835.32</v>
      </c>
      <c r="G1489" s="5" t="s">
        <v>39</v>
      </c>
      <c r="H1489" s="5">
        <v>1229.4000000000001</v>
      </c>
      <c r="I1489" s="5" t="s">
        <v>39</v>
      </c>
      <c r="J1489" s="5">
        <v>28.400880000000001</v>
      </c>
      <c r="K1489" s="5">
        <f t="shared" si="69"/>
        <v>2.3667400000000001</v>
      </c>
      <c r="L1489" s="5">
        <f t="shared" si="70"/>
        <v>69.61</v>
      </c>
      <c r="M1489" s="5" t="s">
        <v>39</v>
      </c>
      <c r="N1489" s="5">
        <v>28.400880000000001</v>
      </c>
      <c r="O1489" s="5" t="s">
        <v>39</v>
      </c>
      <c r="P1489" t="s">
        <v>120</v>
      </c>
      <c r="Q1489" t="s">
        <v>639</v>
      </c>
      <c r="R1489" t="s">
        <v>37</v>
      </c>
      <c r="S1489" t="s">
        <v>640</v>
      </c>
      <c r="T1489" t="s">
        <v>43</v>
      </c>
      <c r="U1489" t="s">
        <v>44</v>
      </c>
      <c r="V1489">
        <v>147</v>
      </c>
      <c r="W1489" t="s">
        <v>45</v>
      </c>
      <c r="X1489" t="s">
        <v>53</v>
      </c>
      <c r="Y1489" t="s">
        <v>641</v>
      </c>
      <c r="Z1489" t="s">
        <v>37</v>
      </c>
      <c r="AA1489" t="s">
        <v>55</v>
      </c>
      <c r="AB1489" t="s">
        <v>37</v>
      </c>
      <c r="AC1489" s="6" t="s">
        <v>37</v>
      </c>
      <c r="AD1489" s="6" t="s">
        <v>37</v>
      </c>
      <c r="AE1489" t="s">
        <v>37</v>
      </c>
      <c r="AF1489" t="s">
        <v>37</v>
      </c>
      <c r="AG1489" s="6" t="s">
        <v>37</v>
      </c>
      <c r="AH1489" t="s">
        <v>37</v>
      </c>
      <c r="AI1489" t="s">
        <v>37</v>
      </c>
      <c r="AJ1489" t="str">
        <f t="shared" si="71"/>
        <v>5MWU8WTDB07FNHV4MW</v>
      </c>
    </row>
    <row r="1490" spans="1:36" ht="15" customHeight="1" x14ac:dyDescent="0.25">
      <c r="A1490" t="s">
        <v>101</v>
      </c>
      <c r="B1490" t="s">
        <v>37</v>
      </c>
      <c r="C1490" t="s">
        <v>37</v>
      </c>
      <c r="D1490" t="s">
        <v>38</v>
      </c>
      <c r="E1490" s="4">
        <v>160</v>
      </c>
      <c r="F1490" s="5">
        <v>7596.8</v>
      </c>
      <c r="G1490" s="5" t="s">
        <v>39</v>
      </c>
      <c r="H1490" s="5">
        <v>12195.2</v>
      </c>
      <c r="I1490" s="5" t="s">
        <v>39</v>
      </c>
      <c r="J1490" s="5">
        <v>258.2912</v>
      </c>
      <c r="K1490" s="5">
        <f t="shared" si="69"/>
        <v>1.61432</v>
      </c>
      <c r="L1490" s="5">
        <f t="shared" si="70"/>
        <v>47.480000000000004</v>
      </c>
      <c r="M1490" s="5" t="s">
        <v>39</v>
      </c>
      <c r="N1490" s="5">
        <v>258.2912</v>
      </c>
      <c r="O1490" s="5" t="s">
        <v>39</v>
      </c>
      <c r="P1490" t="s">
        <v>102</v>
      </c>
      <c r="Q1490" t="s">
        <v>1928</v>
      </c>
      <c r="R1490" t="s">
        <v>37</v>
      </c>
      <c r="S1490" t="s">
        <v>1929</v>
      </c>
      <c r="T1490" t="s">
        <v>43</v>
      </c>
      <c r="U1490" t="s">
        <v>44</v>
      </c>
      <c r="V1490">
        <v>147</v>
      </c>
      <c r="W1490" t="s">
        <v>45</v>
      </c>
      <c r="X1490" t="s">
        <v>53</v>
      </c>
      <c r="Y1490" t="s">
        <v>1078</v>
      </c>
      <c r="Z1490" t="s">
        <v>37</v>
      </c>
      <c r="AA1490" t="s">
        <v>55</v>
      </c>
      <c r="AB1490" t="s">
        <v>37</v>
      </c>
      <c r="AC1490" s="6" t="s">
        <v>37</v>
      </c>
      <c r="AD1490" s="6" t="s">
        <v>37</v>
      </c>
      <c r="AE1490" t="s">
        <v>37</v>
      </c>
      <c r="AF1490" t="s">
        <v>37</v>
      </c>
      <c r="AG1490" s="6" t="s">
        <v>37</v>
      </c>
      <c r="AH1490" t="s">
        <v>37</v>
      </c>
      <c r="AI1490" t="s">
        <v>37</v>
      </c>
      <c r="AJ1490" t="str">
        <f t="shared" si="71"/>
        <v>2M7QFTCOB07GS6ZS8J</v>
      </c>
    </row>
    <row r="1491" spans="1:36" ht="15" customHeight="1" x14ac:dyDescent="0.25">
      <c r="A1491" t="s">
        <v>118</v>
      </c>
      <c r="B1491" t="s">
        <v>37</v>
      </c>
      <c r="C1491" t="s">
        <v>37</v>
      </c>
      <c r="D1491" t="s">
        <v>38</v>
      </c>
      <c r="E1491" s="4">
        <v>60</v>
      </c>
      <c r="F1491" s="5">
        <v>2107.8000000000002</v>
      </c>
      <c r="G1491" s="5" t="s">
        <v>39</v>
      </c>
      <c r="H1491" s="5">
        <v>3048.6</v>
      </c>
      <c r="I1491" s="5" t="s">
        <v>39</v>
      </c>
      <c r="J1491" s="5">
        <v>71.665199999999999</v>
      </c>
      <c r="K1491" s="5">
        <f t="shared" si="69"/>
        <v>1.19442</v>
      </c>
      <c r="L1491" s="5">
        <f t="shared" si="70"/>
        <v>35.130000000000003</v>
      </c>
      <c r="M1491" s="5" t="s">
        <v>39</v>
      </c>
      <c r="N1491" s="5">
        <v>71.665199999999999</v>
      </c>
      <c r="O1491" s="5" t="s">
        <v>39</v>
      </c>
      <c r="P1491" t="s">
        <v>141</v>
      </c>
      <c r="Q1491" t="s">
        <v>423</v>
      </c>
      <c r="R1491" t="s">
        <v>37</v>
      </c>
      <c r="S1491" t="s">
        <v>424</v>
      </c>
      <c r="T1491" t="s">
        <v>43</v>
      </c>
      <c r="U1491" t="s">
        <v>44</v>
      </c>
      <c r="V1491">
        <v>147</v>
      </c>
      <c r="W1491" t="s">
        <v>45</v>
      </c>
      <c r="X1491" t="s">
        <v>60</v>
      </c>
      <c r="Y1491" t="s">
        <v>425</v>
      </c>
      <c r="Z1491" t="s">
        <v>37</v>
      </c>
      <c r="AA1491" t="s">
        <v>55</v>
      </c>
      <c r="AB1491" t="s">
        <v>37</v>
      </c>
      <c r="AC1491" s="6" t="s">
        <v>37</v>
      </c>
      <c r="AD1491" s="6" t="s">
        <v>37</v>
      </c>
      <c r="AE1491" t="s">
        <v>37</v>
      </c>
      <c r="AF1491" t="s">
        <v>37</v>
      </c>
      <c r="AG1491" s="6" t="s">
        <v>37</v>
      </c>
      <c r="AH1491" t="s">
        <v>37</v>
      </c>
      <c r="AI1491" t="s">
        <v>37</v>
      </c>
      <c r="AJ1491" t="str">
        <f t="shared" si="71"/>
        <v>56UO2L2IB07VL9YHC9</v>
      </c>
    </row>
    <row r="1492" spans="1:36" ht="15" customHeight="1" x14ac:dyDescent="0.25">
      <c r="A1492" t="s">
        <v>62</v>
      </c>
      <c r="B1492" t="s">
        <v>37</v>
      </c>
      <c r="C1492" t="s">
        <v>37</v>
      </c>
      <c r="D1492" t="s">
        <v>38</v>
      </c>
      <c r="E1492" s="4">
        <v>160</v>
      </c>
      <c r="F1492" s="5">
        <v>5153.6000000000004</v>
      </c>
      <c r="G1492" s="5" t="s">
        <v>39</v>
      </c>
      <c r="H1492" s="5">
        <v>7736</v>
      </c>
      <c r="I1492" s="5" t="s">
        <v>39</v>
      </c>
      <c r="J1492" s="5">
        <v>175.22239999999999</v>
      </c>
      <c r="K1492" s="5">
        <f t="shared" si="69"/>
        <v>1.09514</v>
      </c>
      <c r="L1492" s="5">
        <f t="shared" si="70"/>
        <v>32.21</v>
      </c>
      <c r="M1492" s="5" t="s">
        <v>39</v>
      </c>
      <c r="N1492" s="5">
        <v>175.22239999999999</v>
      </c>
      <c r="O1492" s="5" t="s">
        <v>39</v>
      </c>
      <c r="P1492" t="s">
        <v>574</v>
      </c>
      <c r="Q1492" t="s">
        <v>1543</v>
      </c>
      <c r="R1492" t="s">
        <v>37</v>
      </c>
      <c r="S1492" t="s">
        <v>1544</v>
      </c>
      <c r="T1492" t="s">
        <v>43</v>
      </c>
      <c r="U1492" t="s">
        <v>44</v>
      </c>
      <c r="V1492">
        <v>147</v>
      </c>
      <c r="W1492" t="s">
        <v>45</v>
      </c>
      <c r="X1492" t="s">
        <v>53</v>
      </c>
      <c r="Y1492" t="s">
        <v>1545</v>
      </c>
      <c r="Z1492" t="s">
        <v>37</v>
      </c>
      <c r="AA1492" t="s">
        <v>55</v>
      </c>
      <c r="AB1492" t="s">
        <v>37</v>
      </c>
      <c r="AC1492" s="6" t="s">
        <v>37</v>
      </c>
      <c r="AD1492" s="6" t="s">
        <v>37</v>
      </c>
      <c r="AE1492" t="s">
        <v>37</v>
      </c>
      <c r="AF1492" t="s">
        <v>37</v>
      </c>
      <c r="AG1492" s="6" t="s">
        <v>37</v>
      </c>
      <c r="AH1492" t="s">
        <v>37</v>
      </c>
      <c r="AI1492" t="s">
        <v>37</v>
      </c>
      <c r="AJ1492" t="str">
        <f t="shared" si="71"/>
        <v>5P193OUGB07W4DHT47</v>
      </c>
    </row>
    <row r="1493" spans="1:36" ht="15" customHeight="1" x14ac:dyDescent="0.25">
      <c r="A1493" t="s">
        <v>101</v>
      </c>
      <c r="B1493" t="s">
        <v>37</v>
      </c>
      <c r="C1493" t="s">
        <v>37</v>
      </c>
      <c r="D1493" t="s">
        <v>38</v>
      </c>
      <c r="E1493" s="4">
        <v>24</v>
      </c>
      <c r="F1493" s="5">
        <v>1670.64</v>
      </c>
      <c r="G1493" s="5" t="s">
        <v>39</v>
      </c>
      <c r="H1493" s="5">
        <v>2537.7600000000002</v>
      </c>
      <c r="I1493" s="5" t="s">
        <v>39</v>
      </c>
      <c r="J1493" s="5">
        <v>56.801760000000002</v>
      </c>
      <c r="K1493" s="5">
        <f t="shared" si="69"/>
        <v>2.3667400000000001</v>
      </c>
      <c r="L1493" s="5">
        <f t="shared" si="70"/>
        <v>69.61</v>
      </c>
      <c r="M1493" s="5" t="s">
        <v>39</v>
      </c>
      <c r="N1493" s="5">
        <v>56.801760000000002</v>
      </c>
      <c r="O1493" s="5" t="s">
        <v>39</v>
      </c>
      <c r="P1493" t="s">
        <v>120</v>
      </c>
      <c r="Q1493" t="s">
        <v>169</v>
      </c>
      <c r="R1493" t="s">
        <v>37</v>
      </c>
      <c r="S1493" t="s">
        <v>170</v>
      </c>
      <c r="T1493" t="s">
        <v>43</v>
      </c>
      <c r="U1493" t="s">
        <v>44</v>
      </c>
      <c r="V1493">
        <v>147</v>
      </c>
      <c r="W1493" t="s">
        <v>45</v>
      </c>
      <c r="X1493" t="s">
        <v>60</v>
      </c>
      <c r="Y1493" t="s">
        <v>171</v>
      </c>
      <c r="Z1493" t="s">
        <v>37</v>
      </c>
      <c r="AA1493" t="s">
        <v>55</v>
      </c>
      <c r="AB1493" t="s">
        <v>37</v>
      </c>
      <c r="AC1493" s="6" t="s">
        <v>37</v>
      </c>
      <c r="AD1493" s="6" t="s">
        <v>37</v>
      </c>
      <c r="AE1493" t="s">
        <v>37</v>
      </c>
      <c r="AF1493" t="s">
        <v>37</v>
      </c>
      <c r="AG1493" s="6" t="s">
        <v>37</v>
      </c>
      <c r="AH1493" t="s">
        <v>37</v>
      </c>
      <c r="AI1493" t="s">
        <v>37</v>
      </c>
      <c r="AJ1493" t="str">
        <f t="shared" si="71"/>
        <v>5MWU8WTDB07W4DH65R</v>
      </c>
    </row>
    <row r="1494" spans="1:36" ht="15" customHeight="1" x14ac:dyDescent="0.25">
      <c r="A1494" t="s">
        <v>88</v>
      </c>
      <c r="B1494" t="s">
        <v>37</v>
      </c>
      <c r="C1494" t="s">
        <v>37</v>
      </c>
      <c r="D1494" t="s">
        <v>38</v>
      </c>
      <c r="E1494" s="4">
        <v>72</v>
      </c>
      <c r="F1494" s="5">
        <v>2319.12</v>
      </c>
      <c r="G1494" s="5" t="s">
        <v>39</v>
      </c>
      <c r="H1494" s="5">
        <v>3481.2</v>
      </c>
      <c r="I1494" s="5" t="s">
        <v>39</v>
      </c>
      <c r="J1494" s="5">
        <v>78.850080000000005</v>
      </c>
      <c r="K1494" s="5">
        <f t="shared" si="69"/>
        <v>1.09514</v>
      </c>
      <c r="L1494" s="5">
        <f t="shared" si="70"/>
        <v>32.21</v>
      </c>
      <c r="M1494" s="5" t="s">
        <v>39</v>
      </c>
      <c r="N1494" s="5">
        <v>78.850080000000005</v>
      </c>
      <c r="O1494" s="5" t="s">
        <v>39</v>
      </c>
      <c r="P1494" t="s">
        <v>133</v>
      </c>
      <c r="Q1494" t="s">
        <v>1503</v>
      </c>
      <c r="R1494" t="s">
        <v>37</v>
      </c>
      <c r="S1494" t="s">
        <v>1504</v>
      </c>
      <c r="T1494" t="s">
        <v>43</v>
      </c>
      <c r="U1494" t="s">
        <v>44</v>
      </c>
      <c r="V1494">
        <v>147</v>
      </c>
      <c r="W1494" t="s">
        <v>45</v>
      </c>
      <c r="X1494" t="s">
        <v>60</v>
      </c>
      <c r="Y1494" t="s">
        <v>1505</v>
      </c>
      <c r="Z1494" t="s">
        <v>37</v>
      </c>
      <c r="AA1494" t="s">
        <v>48</v>
      </c>
      <c r="AB1494" t="s">
        <v>37</v>
      </c>
      <c r="AC1494" s="6" t="s">
        <v>37</v>
      </c>
      <c r="AD1494" s="6" t="s">
        <v>37</v>
      </c>
      <c r="AE1494" t="s">
        <v>37</v>
      </c>
      <c r="AF1494" t="s">
        <v>37</v>
      </c>
      <c r="AG1494" s="6" t="s">
        <v>37</v>
      </c>
      <c r="AH1494" t="s">
        <v>37</v>
      </c>
      <c r="AI1494" t="s">
        <v>37</v>
      </c>
      <c r="AJ1494" t="str">
        <f t="shared" si="71"/>
        <v>36BT7GGLB013SL2050</v>
      </c>
    </row>
    <row r="1495" spans="1:36" ht="15" customHeight="1" x14ac:dyDescent="0.25">
      <c r="A1495" t="s">
        <v>36</v>
      </c>
      <c r="B1495" t="s">
        <v>37</v>
      </c>
      <c r="C1495" t="s">
        <v>37</v>
      </c>
      <c r="D1495" t="s">
        <v>38</v>
      </c>
      <c r="E1495" s="4">
        <v>36</v>
      </c>
      <c r="F1495" s="5">
        <v>8441.2800000000007</v>
      </c>
      <c r="G1495" s="5" t="s">
        <v>39</v>
      </c>
      <c r="H1495" s="5">
        <v>10593.36</v>
      </c>
      <c r="I1495" s="5" t="s">
        <v>39</v>
      </c>
      <c r="J1495" s="5">
        <v>287.00351999999998</v>
      </c>
      <c r="K1495" s="5">
        <f t="shared" si="69"/>
        <v>7.9723199999999999</v>
      </c>
      <c r="L1495" s="5">
        <f t="shared" si="70"/>
        <v>234.48000000000002</v>
      </c>
      <c r="M1495" s="5" t="s">
        <v>39</v>
      </c>
      <c r="N1495" s="5">
        <v>287.00351999999998</v>
      </c>
      <c r="O1495" s="5" t="s">
        <v>39</v>
      </c>
      <c r="P1495" t="s">
        <v>270</v>
      </c>
      <c r="Q1495" t="s">
        <v>1063</v>
      </c>
      <c r="R1495" t="s">
        <v>37</v>
      </c>
      <c r="S1495" t="s">
        <v>1064</v>
      </c>
      <c r="T1495" t="s">
        <v>43</v>
      </c>
      <c r="U1495" t="s">
        <v>44</v>
      </c>
      <c r="V1495">
        <v>147</v>
      </c>
      <c r="W1495" t="s">
        <v>45</v>
      </c>
      <c r="X1495" t="s">
        <v>46</v>
      </c>
      <c r="Y1495" t="s">
        <v>1065</v>
      </c>
      <c r="Z1495" t="s">
        <v>37</v>
      </c>
      <c r="AA1495" t="s">
        <v>55</v>
      </c>
      <c r="AB1495" t="s">
        <v>37</v>
      </c>
      <c r="AC1495" s="6" t="s">
        <v>37</v>
      </c>
      <c r="AD1495" s="6" t="s">
        <v>37</v>
      </c>
      <c r="AE1495" t="s">
        <v>37</v>
      </c>
      <c r="AF1495" t="s">
        <v>37</v>
      </c>
      <c r="AG1495" s="6" t="s">
        <v>37</v>
      </c>
      <c r="AH1495" t="s">
        <v>37</v>
      </c>
      <c r="AI1495" t="s">
        <v>37</v>
      </c>
      <c r="AJ1495" t="str">
        <f t="shared" si="71"/>
        <v>1X4DXX4TB07TTB3SR2</v>
      </c>
    </row>
    <row r="1496" spans="1:36" ht="15" customHeight="1" x14ac:dyDescent="0.25">
      <c r="A1496" t="s">
        <v>62</v>
      </c>
      <c r="B1496" t="s">
        <v>37</v>
      </c>
      <c r="C1496" t="s">
        <v>37</v>
      </c>
      <c r="D1496" t="s">
        <v>38</v>
      </c>
      <c r="E1496" s="4">
        <v>1</v>
      </c>
      <c r="F1496" s="5">
        <v>221.07</v>
      </c>
      <c r="G1496" s="5" t="s">
        <v>39</v>
      </c>
      <c r="H1496" s="5">
        <v>336.06</v>
      </c>
      <c r="I1496" s="5" t="s">
        <v>39</v>
      </c>
      <c r="J1496" s="5">
        <v>7.5163799999999998</v>
      </c>
      <c r="K1496" s="5">
        <f t="shared" si="69"/>
        <v>7.5163799999999998</v>
      </c>
      <c r="L1496" s="5">
        <f t="shared" si="70"/>
        <v>221.07</v>
      </c>
      <c r="M1496" s="5" t="s">
        <v>39</v>
      </c>
      <c r="N1496" s="5">
        <v>7.5163799999999998</v>
      </c>
      <c r="O1496" s="5" t="s">
        <v>39</v>
      </c>
      <c r="P1496" t="s">
        <v>172</v>
      </c>
      <c r="Q1496" t="s">
        <v>298</v>
      </c>
      <c r="R1496" t="s">
        <v>37</v>
      </c>
      <c r="S1496" t="s">
        <v>299</v>
      </c>
      <c r="T1496" t="s">
        <v>43</v>
      </c>
      <c r="U1496" t="s">
        <v>44</v>
      </c>
      <c r="V1496">
        <v>147</v>
      </c>
      <c r="W1496" t="s">
        <v>45</v>
      </c>
      <c r="X1496" t="s">
        <v>46</v>
      </c>
      <c r="Y1496" t="s">
        <v>300</v>
      </c>
      <c r="Z1496" t="s">
        <v>37</v>
      </c>
      <c r="AA1496" t="s">
        <v>55</v>
      </c>
      <c r="AB1496" t="s">
        <v>37</v>
      </c>
      <c r="AC1496" s="6" t="s">
        <v>37</v>
      </c>
      <c r="AD1496" s="6" t="s">
        <v>37</v>
      </c>
      <c r="AE1496" t="s">
        <v>37</v>
      </c>
      <c r="AF1496" t="s">
        <v>37</v>
      </c>
      <c r="AG1496" s="6" t="s">
        <v>37</v>
      </c>
      <c r="AH1496" t="s">
        <v>37</v>
      </c>
      <c r="AI1496" t="s">
        <v>37</v>
      </c>
      <c r="AJ1496" t="str">
        <f t="shared" si="71"/>
        <v>2LZI7R4TB00YUIM2J0</v>
      </c>
    </row>
    <row r="1497" spans="1:36" ht="15" customHeight="1" x14ac:dyDescent="0.25">
      <c r="A1497" t="s">
        <v>101</v>
      </c>
      <c r="B1497" t="s">
        <v>37</v>
      </c>
      <c r="C1497" t="s">
        <v>37</v>
      </c>
      <c r="D1497" t="s">
        <v>38</v>
      </c>
      <c r="E1497" s="4">
        <v>6</v>
      </c>
      <c r="F1497" s="5">
        <v>399.96</v>
      </c>
      <c r="G1497" s="5" t="s">
        <v>39</v>
      </c>
      <c r="H1497" s="5">
        <v>511.44</v>
      </c>
      <c r="I1497" s="5" t="s">
        <v>39</v>
      </c>
      <c r="J1497" s="5">
        <v>13.59864</v>
      </c>
      <c r="K1497" s="5">
        <f t="shared" si="69"/>
        <v>2.2664399999999998</v>
      </c>
      <c r="L1497" s="5">
        <f t="shared" si="70"/>
        <v>66.66</v>
      </c>
      <c r="M1497" s="5" t="s">
        <v>39</v>
      </c>
      <c r="N1497" s="5">
        <v>13.59864</v>
      </c>
      <c r="O1497" s="5" t="s">
        <v>39</v>
      </c>
      <c r="P1497" t="s">
        <v>320</v>
      </c>
      <c r="Q1497" t="s">
        <v>1027</v>
      </c>
      <c r="R1497" t="s">
        <v>1028</v>
      </c>
      <c r="S1497" t="s">
        <v>1029</v>
      </c>
      <c r="T1497" t="s">
        <v>43</v>
      </c>
      <c r="U1497" t="s">
        <v>44</v>
      </c>
      <c r="V1497">
        <v>147</v>
      </c>
      <c r="W1497" t="s">
        <v>45</v>
      </c>
      <c r="X1497" t="s">
        <v>53</v>
      </c>
      <c r="Y1497" t="s">
        <v>1030</v>
      </c>
      <c r="Z1497" t="s">
        <v>37</v>
      </c>
      <c r="AA1497" t="s">
        <v>55</v>
      </c>
      <c r="AB1497" t="s">
        <v>37</v>
      </c>
      <c r="AC1497" s="6" t="s">
        <v>37</v>
      </c>
      <c r="AD1497" s="6" t="s">
        <v>37</v>
      </c>
      <c r="AE1497" t="s">
        <v>37</v>
      </c>
      <c r="AF1497" t="s">
        <v>37</v>
      </c>
      <c r="AG1497" s="6" t="s">
        <v>37</v>
      </c>
      <c r="AH1497" t="s">
        <v>37</v>
      </c>
      <c r="AI1497" t="s">
        <v>37</v>
      </c>
      <c r="AJ1497" t="str">
        <f t="shared" si="71"/>
        <v>8BG295LIB071ZFMC9Q</v>
      </c>
    </row>
    <row r="1498" spans="1:36" ht="15" customHeight="1" x14ac:dyDescent="0.25">
      <c r="A1498" t="s">
        <v>118</v>
      </c>
      <c r="B1498" t="s">
        <v>37</v>
      </c>
      <c r="C1498" t="s">
        <v>37</v>
      </c>
      <c r="D1498" t="s">
        <v>38</v>
      </c>
      <c r="E1498" s="4">
        <v>4</v>
      </c>
      <c r="F1498" s="5">
        <v>371.24</v>
      </c>
      <c r="G1498" s="5" t="s">
        <v>39</v>
      </c>
      <c r="H1498" s="5">
        <v>524.55999999999995</v>
      </c>
      <c r="I1498" s="5" t="s">
        <v>39</v>
      </c>
      <c r="J1498" s="5">
        <v>12.622159999999999</v>
      </c>
      <c r="K1498" s="5">
        <f t="shared" si="69"/>
        <v>3.1555399999999998</v>
      </c>
      <c r="L1498" s="5">
        <f t="shared" si="70"/>
        <v>92.81</v>
      </c>
      <c r="M1498" s="5" t="s">
        <v>39</v>
      </c>
      <c r="N1498" s="5">
        <v>12.622159999999999</v>
      </c>
      <c r="O1498" s="5" t="s">
        <v>39</v>
      </c>
      <c r="P1498" t="s">
        <v>141</v>
      </c>
      <c r="Q1498" t="s">
        <v>1180</v>
      </c>
      <c r="R1498" t="s">
        <v>37</v>
      </c>
      <c r="S1498" t="s">
        <v>1181</v>
      </c>
      <c r="T1498" t="s">
        <v>43</v>
      </c>
      <c r="U1498" t="s">
        <v>44</v>
      </c>
      <c r="V1498">
        <v>147</v>
      </c>
      <c r="W1498" t="s">
        <v>45</v>
      </c>
      <c r="X1498" t="s">
        <v>60</v>
      </c>
      <c r="Y1498" t="s">
        <v>1182</v>
      </c>
      <c r="Z1498" t="s">
        <v>37</v>
      </c>
      <c r="AA1498" t="s">
        <v>55</v>
      </c>
      <c r="AB1498" t="s">
        <v>37</v>
      </c>
      <c r="AC1498" s="6" t="s">
        <v>37</v>
      </c>
      <c r="AD1498" s="6" t="s">
        <v>37</v>
      </c>
      <c r="AE1498" t="s">
        <v>37</v>
      </c>
      <c r="AF1498" t="s">
        <v>37</v>
      </c>
      <c r="AG1498" s="6" t="s">
        <v>37</v>
      </c>
      <c r="AH1498" t="s">
        <v>37</v>
      </c>
      <c r="AI1498" t="s">
        <v>37</v>
      </c>
      <c r="AJ1498" t="str">
        <f t="shared" si="71"/>
        <v>56UO2L2IB07W7KV4GH</v>
      </c>
    </row>
    <row r="1499" spans="1:36" ht="15" customHeight="1" x14ac:dyDescent="0.25">
      <c r="A1499" t="s">
        <v>101</v>
      </c>
      <c r="B1499" t="s">
        <v>37</v>
      </c>
      <c r="C1499" t="s">
        <v>37</v>
      </c>
      <c r="D1499" t="s">
        <v>38</v>
      </c>
      <c r="E1499" s="4">
        <v>170</v>
      </c>
      <c r="F1499" s="5">
        <v>1591.2</v>
      </c>
      <c r="G1499" s="5" t="s">
        <v>39</v>
      </c>
      <c r="H1499" s="5">
        <v>2368.1</v>
      </c>
      <c r="I1499" s="5" t="s">
        <v>39</v>
      </c>
      <c r="J1499" s="5">
        <v>54.1008</v>
      </c>
      <c r="K1499" s="5">
        <f t="shared" si="69"/>
        <v>0.31824000000000002</v>
      </c>
      <c r="L1499" s="5">
        <f t="shared" si="70"/>
        <v>9.36</v>
      </c>
      <c r="M1499" s="5" t="s">
        <v>39</v>
      </c>
      <c r="N1499" s="5">
        <v>54.1008</v>
      </c>
      <c r="O1499" s="5" t="s">
        <v>39</v>
      </c>
      <c r="P1499" t="s">
        <v>274</v>
      </c>
      <c r="Q1499" t="s">
        <v>1751</v>
      </c>
      <c r="R1499" t="s">
        <v>1752</v>
      </c>
      <c r="S1499" t="s">
        <v>1753</v>
      </c>
      <c r="T1499" t="s">
        <v>43</v>
      </c>
      <c r="U1499" t="s">
        <v>44</v>
      </c>
      <c r="V1499">
        <v>147</v>
      </c>
      <c r="W1499" t="s">
        <v>45</v>
      </c>
      <c r="X1499" t="s">
        <v>53</v>
      </c>
      <c r="Y1499" t="s">
        <v>1754</v>
      </c>
      <c r="Z1499" t="s">
        <v>37</v>
      </c>
      <c r="AA1499" t="s">
        <v>48</v>
      </c>
      <c r="AB1499" t="s">
        <v>37</v>
      </c>
      <c r="AC1499" s="6" t="s">
        <v>37</v>
      </c>
      <c r="AD1499" s="6" t="s">
        <v>37</v>
      </c>
      <c r="AE1499" t="s">
        <v>37</v>
      </c>
      <c r="AF1499" t="s">
        <v>37</v>
      </c>
      <c r="AG1499" s="6" t="s">
        <v>37</v>
      </c>
      <c r="AH1499" t="s">
        <v>37</v>
      </c>
      <c r="AI1499" t="s">
        <v>37</v>
      </c>
      <c r="AJ1499" t="str">
        <f t="shared" si="71"/>
        <v>4LYATDUXB01A9GXMW2</v>
      </c>
    </row>
    <row r="1500" spans="1:36" ht="15" customHeight="1" x14ac:dyDescent="0.25">
      <c r="A1500" t="s">
        <v>340</v>
      </c>
      <c r="B1500" t="s">
        <v>37</v>
      </c>
      <c r="C1500" t="s">
        <v>37</v>
      </c>
      <c r="D1500" t="s">
        <v>38</v>
      </c>
      <c r="E1500" s="4">
        <v>8</v>
      </c>
      <c r="F1500" s="5">
        <v>257.68</v>
      </c>
      <c r="G1500" s="5" t="s">
        <v>39</v>
      </c>
      <c r="H1500" s="5">
        <v>386.8</v>
      </c>
      <c r="I1500" s="5" t="s">
        <v>39</v>
      </c>
      <c r="J1500" s="5">
        <v>8.76112</v>
      </c>
      <c r="K1500" s="5">
        <f t="shared" si="69"/>
        <v>1.09514</v>
      </c>
      <c r="L1500" s="5">
        <f t="shared" si="70"/>
        <v>32.21</v>
      </c>
      <c r="M1500" s="5" t="s">
        <v>39</v>
      </c>
      <c r="N1500" s="5">
        <v>8.76112</v>
      </c>
      <c r="O1500" s="5" t="s">
        <v>39</v>
      </c>
      <c r="P1500" t="s">
        <v>128</v>
      </c>
      <c r="Q1500" t="s">
        <v>1503</v>
      </c>
      <c r="R1500" t="s">
        <v>37</v>
      </c>
      <c r="S1500" t="s">
        <v>1504</v>
      </c>
      <c r="T1500" t="s">
        <v>43</v>
      </c>
      <c r="U1500" t="s">
        <v>44</v>
      </c>
      <c r="V1500">
        <v>147</v>
      </c>
      <c r="W1500" t="s">
        <v>45</v>
      </c>
      <c r="X1500" t="s">
        <v>60</v>
      </c>
      <c r="Y1500" t="s">
        <v>1505</v>
      </c>
      <c r="Z1500" t="s">
        <v>37</v>
      </c>
      <c r="AA1500" t="s">
        <v>48</v>
      </c>
      <c r="AB1500" t="s">
        <v>37</v>
      </c>
      <c r="AC1500" s="6" t="s">
        <v>37</v>
      </c>
      <c r="AD1500" s="6" t="s">
        <v>37</v>
      </c>
      <c r="AE1500" t="s">
        <v>37</v>
      </c>
      <c r="AF1500" t="s">
        <v>37</v>
      </c>
      <c r="AG1500" s="6" t="s">
        <v>37</v>
      </c>
      <c r="AH1500" t="s">
        <v>37</v>
      </c>
      <c r="AI1500" t="s">
        <v>37</v>
      </c>
      <c r="AJ1500" t="str">
        <f t="shared" si="71"/>
        <v>7RAC5F9EB013SL2050</v>
      </c>
    </row>
    <row r="1501" spans="1:36" ht="15" customHeight="1" x14ac:dyDescent="0.25">
      <c r="A1501" t="s">
        <v>647</v>
      </c>
      <c r="B1501" t="s">
        <v>37</v>
      </c>
      <c r="C1501" t="s">
        <v>37</v>
      </c>
      <c r="D1501" t="s">
        <v>38</v>
      </c>
      <c r="E1501" s="4">
        <v>0</v>
      </c>
      <c r="F1501" s="5">
        <v>0</v>
      </c>
      <c r="G1501" s="5" t="s">
        <v>39</v>
      </c>
      <c r="H1501" s="5">
        <v>0</v>
      </c>
      <c r="I1501" s="5" t="s">
        <v>39</v>
      </c>
      <c r="J1501" s="5">
        <v>0</v>
      </c>
      <c r="K1501" s="5" t="e">
        <f t="shared" si="69"/>
        <v>#DIV/0!</v>
      </c>
      <c r="L1501" s="5" t="e">
        <f t="shared" si="70"/>
        <v>#DIV/0!</v>
      </c>
      <c r="M1501" s="5" t="s">
        <v>39</v>
      </c>
      <c r="N1501" s="5">
        <v>0</v>
      </c>
      <c r="O1501" s="5" t="s">
        <v>39</v>
      </c>
      <c r="P1501" t="s">
        <v>274</v>
      </c>
      <c r="Q1501" t="s">
        <v>1751</v>
      </c>
      <c r="R1501" t="s">
        <v>1752</v>
      </c>
      <c r="S1501" t="s">
        <v>1753</v>
      </c>
      <c r="T1501" t="s">
        <v>43</v>
      </c>
      <c r="U1501" t="s">
        <v>44</v>
      </c>
      <c r="V1501">
        <v>147</v>
      </c>
      <c r="W1501" t="s">
        <v>45</v>
      </c>
      <c r="X1501" t="s">
        <v>53</v>
      </c>
      <c r="Y1501" t="s">
        <v>1754</v>
      </c>
      <c r="Z1501" t="s">
        <v>37</v>
      </c>
      <c r="AA1501" t="s">
        <v>48</v>
      </c>
      <c r="AB1501" t="s">
        <v>37</v>
      </c>
      <c r="AC1501" s="6" t="s">
        <v>37</v>
      </c>
      <c r="AD1501" s="6" t="s">
        <v>37</v>
      </c>
      <c r="AE1501" t="s">
        <v>37</v>
      </c>
      <c r="AF1501" t="s">
        <v>37</v>
      </c>
      <c r="AG1501" s="6" t="s">
        <v>37</v>
      </c>
      <c r="AH1501" t="s">
        <v>37</v>
      </c>
      <c r="AI1501" t="s">
        <v>37</v>
      </c>
      <c r="AJ1501" t="str">
        <f t="shared" si="71"/>
        <v>4LYATDUXB01A9GXMW2</v>
      </c>
    </row>
    <row r="1502" spans="1:36" ht="15" customHeight="1" x14ac:dyDescent="0.25">
      <c r="A1502" t="s">
        <v>56</v>
      </c>
      <c r="B1502" t="s">
        <v>37</v>
      </c>
      <c r="C1502" t="s">
        <v>37</v>
      </c>
      <c r="D1502" t="s">
        <v>38</v>
      </c>
      <c r="E1502" s="4">
        <v>0</v>
      </c>
      <c r="F1502" s="5">
        <v>0</v>
      </c>
      <c r="G1502" s="5" t="s">
        <v>39</v>
      </c>
      <c r="H1502" s="5">
        <v>0</v>
      </c>
      <c r="I1502" s="5" t="s">
        <v>39</v>
      </c>
      <c r="J1502" s="5">
        <v>0</v>
      </c>
      <c r="K1502" s="5" t="e">
        <f t="shared" si="69"/>
        <v>#DIV/0!</v>
      </c>
      <c r="L1502" s="5" t="e">
        <f t="shared" si="70"/>
        <v>#DIV/0!</v>
      </c>
      <c r="M1502" s="5" t="s">
        <v>39</v>
      </c>
      <c r="N1502" s="5">
        <v>0</v>
      </c>
      <c r="O1502" s="5" t="s">
        <v>39</v>
      </c>
      <c r="P1502" t="s">
        <v>67</v>
      </c>
      <c r="Q1502" t="s">
        <v>1142</v>
      </c>
      <c r="R1502" t="s">
        <v>37</v>
      </c>
      <c r="S1502" t="s">
        <v>1143</v>
      </c>
      <c r="T1502" t="s">
        <v>43</v>
      </c>
      <c r="U1502" t="s">
        <v>44</v>
      </c>
      <c r="V1502">
        <v>147</v>
      </c>
      <c r="W1502" t="s">
        <v>45</v>
      </c>
      <c r="X1502" t="s">
        <v>60</v>
      </c>
      <c r="Y1502" t="s">
        <v>1144</v>
      </c>
      <c r="Z1502" t="s">
        <v>37</v>
      </c>
      <c r="AA1502" t="s">
        <v>55</v>
      </c>
      <c r="AB1502" t="s">
        <v>37</v>
      </c>
      <c r="AC1502" s="6" t="s">
        <v>37</v>
      </c>
      <c r="AD1502" s="6" t="s">
        <v>37</v>
      </c>
      <c r="AE1502" t="s">
        <v>37</v>
      </c>
      <c r="AF1502" t="s">
        <v>37</v>
      </c>
      <c r="AG1502" s="6" t="s">
        <v>37</v>
      </c>
      <c r="AH1502" t="s">
        <v>37</v>
      </c>
      <c r="AI1502" t="s">
        <v>37</v>
      </c>
      <c r="AJ1502" t="str">
        <f t="shared" si="71"/>
        <v>2TMBDXBKB07W7LFHH9</v>
      </c>
    </row>
    <row r="1503" spans="1:36" ht="15" customHeight="1" x14ac:dyDescent="0.25">
      <c r="A1503" t="s">
        <v>118</v>
      </c>
      <c r="B1503" t="s">
        <v>37</v>
      </c>
      <c r="C1503" t="s">
        <v>37</v>
      </c>
      <c r="D1503" t="s">
        <v>38</v>
      </c>
      <c r="E1503" s="4">
        <v>220</v>
      </c>
      <c r="F1503" s="5">
        <v>6846.4</v>
      </c>
      <c r="G1503" s="5" t="s">
        <v>39</v>
      </c>
      <c r="H1503" s="5">
        <v>8654.7999999999993</v>
      </c>
      <c r="I1503" s="5" t="s">
        <v>39</v>
      </c>
      <c r="J1503" s="5">
        <v>232.77760000000001</v>
      </c>
      <c r="K1503" s="5">
        <f t="shared" si="69"/>
        <v>1.0580800000000001</v>
      </c>
      <c r="L1503" s="5">
        <f t="shared" si="70"/>
        <v>31.119999999999997</v>
      </c>
      <c r="M1503" s="5" t="s">
        <v>39</v>
      </c>
      <c r="N1503" s="5">
        <v>232.77760000000001</v>
      </c>
      <c r="O1503" s="5" t="s">
        <v>39</v>
      </c>
      <c r="P1503" t="s">
        <v>202</v>
      </c>
      <c r="Q1503" t="s">
        <v>90</v>
      </c>
      <c r="R1503" t="s">
        <v>37</v>
      </c>
      <c r="S1503" t="s">
        <v>91</v>
      </c>
      <c r="T1503" t="s">
        <v>43</v>
      </c>
      <c r="U1503" t="s">
        <v>44</v>
      </c>
      <c r="V1503">
        <v>147</v>
      </c>
      <c r="W1503" t="s">
        <v>92</v>
      </c>
      <c r="X1503" t="s">
        <v>93</v>
      </c>
      <c r="Y1503" t="s">
        <v>94</v>
      </c>
      <c r="Z1503" t="s">
        <v>37</v>
      </c>
      <c r="AA1503" t="s">
        <v>95</v>
      </c>
      <c r="AB1503" t="s">
        <v>37</v>
      </c>
      <c r="AC1503" s="6" t="s">
        <v>37</v>
      </c>
      <c r="AD1503" s="6" t="s">
        <v>37</v>
      </c>
      <c r="AE1503" t="s">
        <v>37</v>
      </c>
      <c r="AF1503" t="s">
        <v>37</v>
      </c>
      <c r="AG1503" s="6" t="s">
        <v>37</v>
      </c>
      <c r="AH1503" t="s">
        <v>37</v>
      </c>
      <c r="AI1503" t="s">
        <v>37</v>
      </c>
      <c r="AJ1503" t="str">
        <f t="shared" si="71"/>
        <v>39TAD6PCB07W5JKBMG</v>
      </c>
    </row>
    <row r="1504" spans="1:36" ht="15" customHeight="1" x14ac:dyDescent="0.25">
      <c r="A1504" t="s">
        <v>118</v>
      </c>
      <c r="B1504" t="s">
        <v>37</v>
      </c>
      <c r="C1504" t="s">
        <v>37</v>
      </c>
      <c r="D1504" t="s">
        <v>38</v>
      </c>
      <c r="E1504" s="4">
        <v>24</v>
      </c>
      <c r="F1504" s="5">
        <v>443.04</v>
      </c>
      <c r="G1504" s="5" t="s">
        <v>39</v>
      </c>
      <c r="H1504" s="5">
        <v>747.36</v>
      </c>
      <c r="I1504" s="5" t="s">
        <v>39</v>
      </c>
      <c r="J1504" s="5">
        <v>15.063359999999999</v>
      </c>
      <c r="K1504" s="5">
        <f t="shared" si="69"/>
        <v>0.62763999999999998</v>
      </c>
      <c r="L1504" s="5">
        <f t="shared" si="70"/>
        <v>18.46</v>
      </c>
      <c r="M1504" s="5" t="s">
        <v>39</v>
      </c>
      <c r="N1504" s="5">
        <v>15.063359999999999</v>
      </c>
      <c r="O1504" s="5" t="s">
        <v>39</v>
      </c>
      <c r="P1504" t="s">
        <v>537</v>
      </c>
      <c r="Q1504" t="s">
        <v>962</v>
      </c>
      <c r="R1504" t="s">
        <v>37</v>
      </c>
      <c r="S1504" t="s">
        <v>963</v>
      </c>
      <c r="T1504" t="s">
        <v>43</v>
      </c>
      <c r="U1504" t="s">
        <v>44</v>
      </c>
      <c r="V1504">
        <v>147</v>
      </c>
      <c r="W1504" t="s">
        <v>45</v>
      </c>
      <c r="X1504" t="s">
        <v>53</v>
      </c>
      <c r="Y1504" t="s">
        <v>964</v>
      </c>
      <c r="Z1504" t="s">
        <v>37</v>
      </c>
      <c r="AA1504" t="s">
        <v>95</v>
      </c>
      <c r="AB1504" t="s">
        <v>37</v>
      </c>
      <c r="AC1504" s="6" t="s">
        <v>37</v>
      </c>
      <c r="AD1504" s="6" t="s">
        <v>37</v>
      </c>
      <c r="AE1504" t="s">
        <v>37</v>
      </c>
      <c r="AF1504" t="s">
        <v>37</v>
      </c>
      <c r="AG1504" s="6" t="s">
        <v>37</v>
      </c>
      <c r="AH1504" t="s">
        <v>37</v>
      </c>
      <c r="AI1504" t="s">
        <v>37</v>
      </c>
      <c r="AJ1504" t="str">
        <f t="shared" si="71"/>
        <v>1LQM129ZB07W6H83LD</v>
      </c>
    </row>
    <row r="1505" spans="1:36" ht="15" customHeight="1" x14ac:dyDescent="0.25">
      <c r="A1505" t="s">
        <v>411</v>
      </c>
      <c r="B1505" t="s">
        <v>37</v>
      </c>
      <c r="C1505" t="s">
        <v>37</v>
      </c>
      <c r="D1505" t="s">
        <v>38</v>
      </c>
      <c r="E1505" s="4">
        <v>32</v>
      </c>
      <c r="F1505" s="5">
        <v>2346.88</v>
      </c>
      <c r="G1505" s="5" t="s">
        <v>39</v>
      </c>
      <c r="H1505" s="5">
        <v>3803.2</v>
      </c>
      <c r="I1505" s="5" t="s">
        <v>39</v>
      </c>
      <c r="J1505" s="5">
        <v>79.79392</v>
      </c>
      <c r="K1505" s="5">
        <f t="shared" si="69"/>
        <v>2.49356</v>
      </c>
      <c r="L1505" s="5">
        <f t="shared" si="70"/>
        <v>73.34</v>
      </c>
      <c r="M1505" s="5" t="s">
        <v>39</v>
      </c>
      <c r="N1505" s="5">
        <v>79.79392</v>
      </c>
      <c r="O1505" s="5" t="s">
        <v>39</v>
      </c>
      <c r="P1505" t="s">
        <v>1930</v>
      </c>
      <c r="Q1505" t="s">
        <v>207</v>
      </c>
      <c r="R1505" t="s">
        <v>37</v>
      </c>
      <c r="S1505" t="s">
        <v>208</v>
      </c>
      <c r="T1505" t="s">
        <v>43</v>
      </c>
      <c r="U1505" t="s">
        <v>44</v>
      </c>
      <c r="V1505">
        <v>147</v>
      </c>
      <c r="W1505" t="s">
        <v>45</v>
      </c>
      <c r="X1505" t="s">
        <v>46</v>
      </c>
      <c r="Y1505" t="s">
        <v>209</v>
      </c>
      <c r="Z1505" t="s">
        <v>37</v>
      </c>
      <c r="AA1505" t="s">
        <v>55</v>
      </c>
      <c r="AB1505" t="s">
        <v>37</v>
      </c>
      <c r="AC1505" s="6" t="s">
        <v>37</v>
      </c>
      <c r="AD1505" s="6" t="s">
        <v>37</v>
      </c>
      <c r="AE1505" t="s">
        <v>37</v>
      </c>
      <c r="AF1505" t="s">
        <v>37</v>
      </c>
      <c r="AG1505" s="6" t="s">
        <v>37</v>
      </c>
      <c r="AH1505" t="s">
        <v>37</v>
      </c>
      <c r="AI1505" t="s">
        <v>37</v>
      </c>
      <c r="AJ1505" t="str">
        <f t="shared" si="71"/>
        <v>548AEZALB073399S1L</v>
      </c>
    </row>
    <row r="1506" spans="1:36" ht="15" customHeight="1" x14ac:dyDescent="0.25">
      <c r="A1506" t="s">
        <v>96</v>
      </c>
      <c r="B1506" t="s">
        <v>37</v>
      </c>
      <c r="C1506" t="s">
        <v>37</v>
      </c>
      <c r="D1506" t="s">
        <v>38</v>
      </c>
      <c r="E1506" s="4">
        <v>20</v>
      </c>
      <c r="F1506" s="5">
        <v>1594.6</v>
      </c>
      <c r="G1506" s="5" t="s">
        <v>39</v>
      </c>
      <c r="H1506" s="5">
        <v>2457.4</v>
      </c>
      <c r="I1506" s="5" t="s">
        <v>39</v>
      </c>
      <c r="J1506" s="5">
        <v>54.2164</v>
      </c>
      <c r="K1506" s="5">
        <f t="shared" si="69"/>
        <v>2.71082</v>
      </c>
      <c r="L1506" s="5">
        <f t="shared" si="70"/>
        <v>79.72999999999999</v>
      </c>
      <c r="M1506" s="5" t="s">
        <v>39</v>
      </c>
      <c r="N1506" s="5">
        <v>54.2164</v>
      </c>
      <c r="O1506" s="5" t="s">
        <v>39</v>
      </c>
      <c r="P1506" t="s">
        <v>241</v>
      </c>
      <c r="Q1506" t="s">
        <v>1908</v>
      </c>
      <c r="R1506" t="s">
        <v>37</v>
      </c>
      <c r="S1506" t="s">
        <v>1909</v>
      </c>
      <c r="T1506" t="s">
        <v>43</v>
      </c>
      <c r="U1506" t="s">
        <v>44</v>
      </c>
      <c r="V1506">
        <v>23</v>
      </c>
      <c r="W1506" t="s">
        <v>281</v>
      </c>
      <c r="X1506" t="s">
        <v>282</v>
      </c>
      <c r="Y1506" t="s">
        <v>1910</v>
      </c>
      <c r="Z1506" t="s">
        <v>37</v>
      </c>
      <c r="AA1506" t="s">
        <v>95</v>
      </c>
      <c r="AB1506" t="s">
        <v>37</v>
      </c>
      <c r="AC1506" s="6" t="s">
        <v>37</v>
      </c>
      <c r="AD1506" s="6" t="s">
        <v>37</v>
      </c>
      <c r="AE1506" t="s">
        <v>37</v>
      </c>
      <c r="AF1506" t="s">
        <v>37</v>
      </c>
      <c r="AG1506" s="6" t="s">
        <v>37</v>
      </c>
      <c r="AH1506" t="s">
        <v>37</v>
      </c>
      <c r="AI1506" t="s">
        <v>37</v>
      </c>
      <c r="AJ1506" t="str">
        <f t="shared" si="71"/>
        <v>6451M4NBB07G6DKDY8</v>
      </c>
    </row>
    <row r="1507" spans="1:36" ht="15" customHeight="1" x14ac:dyDescent="0.25">
      <c r="A1507" t="s">
        <v>76</v>
      </c>
      <c r="B1507" t="s">
        <v>37</v>
      </c>
      <c r="C1507" t="s">
        <v>37</v>
      </c>
      <c r="D1507" t="s">
        <v>38</v>
      </c>
      <c r="E1507" s="4">
        <v>140</v>
      </c>
      <c r="F1507" s="5">
        <v>4099.2</v>
      </c>
      <c r="G1507" s="5" t="s">
        <v>39</v>
      </c>
      <c r="H1507" s="5">
        <v>6195</v>
      </c>
      <c r="I1507" s="5" t="s">
        <v>39</v>
      </c>
      <c r="J1507" s="5">
        <v>139.37280000000001</v>
      </c>
      <c r="K1507" s="5">
        <f t="shared" si="69"/>
        <v>0.99552000000000007</v>
      </c>
      <c r="L1507" s="5">
        <f t="shared" si="70"/>
        <v>29.279999999999998</v>
      </c>
      <c r="M1507" s="5" t="s">
        <v>39</v>
      </c>
      <c r="N1507" s="5">
        <v>139.37280000000001</v>
      </c>
      <c r="O1507" s="5" t="s">
        <v>39</v>
      </c>
      <c r="P1507" t="s">
        <v>426</v>
      </c>
      <c r="Q1507" t="s">
        <v>803</v>
      </c>
      <c r="R1507" t="s">
        <v>37</v>
      </c>
      <c r="S1507" t="s">
        <v>804</v>
      </c>
      <c r="T1507" t="s">
        <v>43</v>
      </c>
      <c r="U1507" t="s">
        <v>44</v>
      </c>
      <c r="V1507">
        <v>147</v>
      </c>
      <c r="W1507" t="s">
        <v>45</v>
      </c>
      <c r="X1507" t="s">
        <v>53</v>
      </c>
      <c r="Y1507" t="s">
        <v>805</v>
      </c>
      <c r="Z1507" t="s">
        <v>37</v>
      </c>
      <c r="AA1507" t="s">
        <v>55</v>
      </c>
      <c r="AB1507" t="s">
        <v>37</v>
      </c>
      <c r="AC1507" s="6" t="s">
        <v>37</v>
      </c>
      <c r="AD1507" s="6" t="s">
        <v>37</v>
      </c>
      <c r="AE1507" t="s">
        <v>37</v>
      </c>
      <c r="AF1507" t="s">
        <v>37</v>
      </c>
      <c r="AG1507" s="6" t="s">
        <v>37</v>
      </c>
      <c r="AH1507" t="s">
        <v>37</v>
      </c>
      <c r="AI1507" t="s">
        <v>37</v>
      </c>
      <c r="AJ1507" t="str">
        <f t="shared" si="71"/>
        <v>3IQS66UGB07W5JJ85Z</v>
      </c>
    </row>
    <row r="1508" spans="1:36" ht="15" customHeight="1" x14ac:dyDescent="0.25">
      <c r="A1508" t="s">
        <v>76</v>
      </c>
      <c r="B1508" t="s">
        <v>37</v>
      </c>
      <c r="C1508" t="s">
        <v>37</v>
      </c>
      <c r="D1508" t="s">
        <v>38</v>
      </c>
      <c r="E1508" s="4">
        <v>32</v>
      </c>
      <c r="F1508" s="5">
        <v>5733.12</v>
      </c>
      <c r="G1508" s="5" t="s">
        <v>39</v>
      </c>
      <c r="H1508" s="5">
        <v>6793.6</v>
      </c>
      <c r="I1508" s="5" t="s">
        <v>39</v>
      </c>
      <c r="J1508" s="5">
        <v>194.92608000000001</v>
      </c>
      <c r="K1508" s="5">
        <f t="shared" si="69"/>
        <v>6.0914400000000004</v>
      </c>
      <c r="L1508" s="5">
        <f t="shared" si="70"/>
        <v>179.16</v>
      </c>
      <c r="M1508" s="5" t="s">
        <v>39</v>
      </c>
      <c r="N1508" s="5">
        <v>194.92608000000001</v>
      </c>
      <c r="O1508" s="5" t="s">
        <v>39</v>
      </c>
      <c r="P1508" t="s">
        <v>63</v>
      </c>
      <c r="Q1508" t="s">
        <v>1011</v>
      </c>
      <c r="R1508" t="s">
        <v>37</v>
      </c>
      <c r="S1508" t="s">
        <v>1012</v>
      </c>
      <c r="T1508" t="s">
        <v>43</v>
      </c>
      <c r="U1508" t="s">
        <v>44</v>
      </c>
      <c r="V1508">
        <v>267</v>
      </c>
      <c r="W1508" t="s">
        <v>151</v>
      </c>
      <c r="X1508" t="s">
        <v>152</v>
      </c>
      <c r="Y1508" t="s">
        <v>1013</v>
      </c>
      <c r="Z1508" t="s">
        <v>37</v>
      </c>
      <c r="AA1508" t="s">
        <v>55</v>
      </c>
      <c r="AB1508" t="s">
        <v>37</v>
      </c>
      <c r="AC1508" s="6" t="s">
        <v>37</v>
      </c>
      <c r="AD1508" s="6" t="s">
        <v>37</v>
      </c>
      <c r="AE1508" t="s">
        <v>37</v>
      </c>
      <c r="AF1508" t="s">
        <v>37</v>
      </c>
      <c r="AG1508" s="6" t="s">
        <v>37</v>
      </c>
      <c r="AH1508" t="s">
        <v>37</v>
      </c>
      <c r="AI1508" t="s">
        <v>37</v>
      </c>
      <c r="AJ1508" t="str">
        <f t="shared" si="71"/>
        <v>7H9X1Z6SB07W6HKDNR</v>
      </c>
    </row>
    <row r="1509" spans="1:36" ht="15" customHeight="1" x14ac:dyDescent="0.25">
      <c r="A1509" t="s">
        <v>49</v>
      </c>
      <c r="B1509" t="s">
        <v>37</v>
      </c>
      <c r="C1509" t="s">
        <v>37</v>
      </c>
      <c r="D1509" t="s">
        <v>38</v>
      </c>
      <c r="E1509" s="4">
        <v>10</v>
      </c>
      <c r="F1509" s="5">
        <v>580</v>
      </c>
      <c r="G1509" s="5" t="s">
        <v>39</v>
      </c>
      <c r="H1509" s="5">
        <v>852.4</v>
      </c>
      <c r="I1509" s="5" t="s">
        <v>39</v>
      </c>
      <c r="J1509" s="5">
        <v>19.72</v>
      </c>
      <c r="K1509" s="5">
        <f t="shared" si="69"/>
        <v>1.972</v>
      </c>
      <c r="L1509" s="5">
        <f t="shared" si="70"/>
        <v>58</v>
      </c>
      <c r="M1509" s="5" t="s">
        <v>39</v>
      </c>
      <c r="N1509" s="5">
        <v>19.72</v>
      </c>
      <c r="O1509" s="5" t="s">
        <v>39</v>
      </c>
      <c r="P1509" t="s">
        <v>195</v>
      </c>
      <c r="Q1509" t="s">
        <v>575</v>
      </c>
      <c r="R1509" t="s">
        <v>37</v>
      </c>
      <c r="S1509" t="s">
        <v>576</v>
      </c>
      <c r="T1509" t="s">
        <v>43</v>
      </c>
      <c r="U1509" t="s">
        <v>44</v>
      </c>
      <c r="V1509">
        <v>147</v>
      </c>
      <c r="W1509" t="s">
        <v>45</v>
      </c>
      <c r="X1509" t="s">
        <v>53</v>
      </c>
      <c r="Y1509" t="s">
        <v>577</v>
      </c>
      <c r="Z1509" t="s">
        <v>37</v>
      </c>
      <c r="AA1509" t="s">
        <v>55</v>
      </c>
      <c r="AB1509" t="s">
        <v>37</v>
      </c>
      <c r="AC1509" s="6" t="s">
        <v>37</v>
      </c>
      <c r="AD1509" s="6" t="s">
        <v>37</v>
      </c>
      <c r="AE1509" t="s">
        <v>37</v>
      </c>
      <c r="AF1509" t="s">
        <v>37</v>
      </c>
      <c r="AG1509" s="6" t="s">
        <v>37</v>
      </c>
      <c r="AH1509" t="s">
        <v>37</v>
      </c>
      <c r="AI1509" t="s">
        <v>37</v>
      </c>
      <c r="AJ1509" t="str">
        <f t="shared" si="71"/>
        <v>5X1OU9ZGB07W7KCF3W</v>
      </c>
    </row>
    <row r="1510" spans="1:36" ht="15" customHeight="1" x14ac:dyDescent="0.25">
      <c r="A1510" t="s">
        <v>118</v>
      </c>
      <c r="B1510" t="s">
        <v>37</v>
      </c>
      <c r="C1510" t="s">
        <v>37</v>
      </c>
      <c r="D1510" t="s">
        <v>38</v>
      </c>
      <c r="E1510" s="4">
        <v>8</v>
      </c>
      <c r="F1510" s="5">
        <v>603.12</v>
      </c>
      <c r="G1510" s="5" t="s">
        <v>39</v>
      </c>
      <c r="H1510" s="5">
        <v>885.2</v>
      </c>
      <c r="I1510" s="5" t="s">
        <v>39</v>
      </c>
      <c r="J1510" s="5">
        <v>20.506080000000001</v>
      </c>
      <c r="K1510" s="5">
        <f t="shared" si="69"/>
        <v>2.5632600000000001</v>
      </c>
      <c r="L1510" s="5">
        <f t="shared" si="70"/>
        <v>75.39</v>
      </c>
      <c r="M1510" s="5" t="s">
        <v>39</v>
      </c>
      <c r="N1510" s="5">
        <v>20.506080000000001</v>
      </c>
      <c r="O1510" s="5" t="s">
        <v>39</v>
      </c>
      <c r="P1510" t="s">
        <v>141</v>
      </c>
      <c r="Q1510" t="s">
        <v>1665</v>
      </c>
      <c r="R1510" t="s">
        <v>37</v>
      </c>
      <c r="S1510" t="s">
        <v>1666</v>
      </c>
      <c r="T1510" t="s">
        <v>43</v>
      </c>
      <c r="U1510" t="s">
        <v>44</v>
      </c>
      <c r="V1510">
        <v>147</v>
      </c>
      <c r="W1510" t="s">
        <v>92</v>
      </c>
      <c r="X1510" t="s">
        <v>433</v>
      </c>
      <c r="Y1510" t="s">
        <v>1667</v>
      </c>
      <c r="Z1510" t="s">
        <v>37</v>
      </c>
      <c r="AA1510" t="s">
        <v>55</v>
      </c>
      <c r="AB1510" t="s">
        <v>37</v>
      </c>
      <c r="AC1510" s="6" t="s">
        <v>37</v>
      </c>
      <c r="AD1510" s="6" t="s">
        <v>37</v>
      </c>
      <c r="AE1510" t="s">
        <v>37</v>
      </c>
      <c r="AF1510" t="s">
        <v>37</v>
      </c>
      <c r="AG1510" s="6" t="s">
        <v>37</v>
      </c>
      <c r="AH1510" t="s">
        <v>37</v>
      </c>
      <c r="AI1510" t="s">
        <v>37</v>
      </c>
      <c r="AJ1510" t="str">
        <f t="shared" si="71"/>
        <v>56UO2L2IB07W6JQ52X</v>
      </c>
    </row>
    <row r="1511" spans="1:36" ht="15" customHeight="1" x14ac:dyDescent="0.25">
      <c r="A1511" t="s">
        <v>49</v>
      </c>
      <c r="B1511" t="s">
        <v>37</v>
      </c>
      <c r="C1511" t="s">
        <v>37</v>
      </c>
      <c r="D1511" t="s">
        <v>38</v>
      </c>
      <c r="E1511" s="4">
        <v>32</v>
      </c>
      <c r="F1511" s="5">
        <v>1030.72</v>
      </c>
      <c r="G1511" s="5" t="s">
        <v>39</v>
      </c>
      <c r="H1511" s="5">
        <v>1547.2</v>
      </c>
      <c r="I1511" s="5" t="s">
        <v>39</v>
      </c>
      <c r="J1511" s="5">
        <v>35.04448</v>
      </c>
      <c r="K1511" s="5">
        <f t="shared" si="69"/>
        <v>1.09514</v>
      </c>
      <c r="L1511" s="5">
        <f t="shared" si="70"/>
        <v>32.21</v>
      </c>
      <c r="M1511" s="5" t="s">
        <v>39</v>
      </c>
      <c r="N1511" s="5">
        <v>35.04448</v>
      </c>
      <c r="O1511" s="5" t="s">
        <v>39</v>
      </c>
      <c r="P1511" t="s">
        <v>128</v>
      </c>
      <c r="Q1511" t="s">
        <v>1503</v>
      </c>
      <c r="R1511" t="s">
        <v>37</v>
      </c>
      <c r="S1511" t="s">
        <v>1504</v>
      </c>
      <c r="T1511" t="s">
        <v>43</v>
      </c>
      <c r="U1511" t="s">
        <v>44</v>
      </c>
      <c r="V1511">
        <v>147</v>
      </c>
      <c r="W1511" t="s">
        <v>45</v>
      </c>
      <c r="X1511" t="s">
        <v>60</v>
      </c>
      <c r="Y1511" t="s">
        <v>1505</v>
      </c>
      <c r="Z1511" t="s">
        <v>37</v>
      </c>
      <c r="AA1511" t="s">
        <v>48</v>
      </c>
      <c r="AB1511" t="s">
        <v>37</v>
      </c>
      <c r="AC1511" s="6" t="s">
        <v>37</v>
      </c>
      <c r="AD1511" s="6" t="s">
        <v>37</v>
      </c>
      <c r="AE1511" t="s">
        <v>37</v>
      </c>
      <c r="AF1511" t="s">
        <v>37</v>
      </c>
      <c r="AG1511" s="6" t="s">
        <v>37</v>
      </c>
      <c r="AH1511" t="s">
        <v>37</v>
      </c>
      <c r="AI1511" t="s">
        <v>37</v>
      </c>
      <c r="AJ1511" t="str">
        <f t="shared" si="71"/>
        <v>7RAC5F9EB013SL2050</v>
      </c>
    </row>
    <row r="1512" spans="1:36" ht="15" customHeight="1" x14ac:dyDescent="0.25">
      <c r="A1512" t="s">
        <v>62</v>
      </c>
      <c r="B1512" t="s">
        <v>37</v>
      </c>
      <c r="C1512" t="s">
        <v>37</v>
      </c>
      <c r="D1512" t="s">
        <v>38</v>
      </c>
      <c r="E1512" s="4">
        <v>0</v>
      </c>
      <c r="F1512" s="5">
        <v>0</v>
      </c>
      <c r="G1512" s="5" t="s">
        <v>39</v>
      </c>
      <c r="H1512" s="5">
        <v>0</v>
      </c>
      <c r="I1512" s="5" t="s">
        <v>39</v>
      </c>
      <c r="J1512" s="5">
        <v>0</v>
      </c>
      <c r="K1512" s="5" t="e">
        <f t="shared" si="69"/>
        <v>#DIV/0!</v>
      </c>
      <c r="L1512" s="5" t="e">
        <f t="shared" si="70"/>
        <v>#DIV/0!</v>
      </c>
      <c r="M1512" s="5" t="s">
        <v>39</v>
      </c>
      <c r="N1512" s="5">
        <v>0</v>
      </c>
      <c r="O1512" s="5" t="s">
        <v>39</v>
      </c>
      <c r="P1512" t="s">
        <v>274</v>
      </c>
      <c r="Q1512" t="s">
        <v>1751</v>
      </c>
      <c r="R1512" t="s">
        <v>1752</v>
      </c>
      <c r="S1512" t="s">
        <v>1753</v>
      </c>
      <c r="T1512" t="s">
        <v>43</v>
      </c>
      <c r="U1512" t="s">
        <v>44</v>
      </c>
      <c r="V1512">
        <v>147</v>
      </c>
      <c r="W1512" t="s">
        <v>45</v>
      </c>
      <c r="X1512" t="s">
        <v>53</v>
      </c>
      <c r="Y1512" t="s">
        <v>1754</v>
      </c>
      <c r="Z1512" t="s">
        <v>37</v>
      </c>
      <c r="AA1512" t="s">
        <v>48</v>
      </c>
      <c r="AB1512" t="s">
        <v>37</v>
      </c>
      <c r="AC1512" s="6" t="s">
        <v>37</v>
      </c>
      <c r="AD1512" s="6" t="s">
        <v>37</v>
      </c>
      <c r="AE1512" t="s">
        <v>37</v>
      </c>
      <c r="AF1512" t="s">
        <v>37</v>
      </c>
      <c r="AG1512" s="6" t="s">
        <v>37</v>
      </c>
      <c r="AH1512" t="s">
        <v>37</v>
      </c>
      <c r="AI1512" t="s">
        <v>37</v>
      </c>
      <c r="AJ1512" t="str">
        <f t="shared" si="71"/>
        <v>4LYATDUXB01A9GXMW2</v>
      </c>
    </row>
    <row r="1513" spans="1:36" ht="15" customHeight="1" x14ac:dyDescent="0.25">
      <c r="A1513" t="s">
        <v>1436</v>
      </c>
      <c r="B1513" t="s">
        <v>37</v>
      </c>
      <c r="C1513" t="s">
        <v>37</v>
      </c>
      <c r="D1513" t="s">
        <v>38</v>
      </c>
      <c r="E1513" s="4">
        <v>0</v>
      </c>
      <c r="F1513" s="5">
        <v>0</v>
      </c>
      <c r="G1513" s="5" t="s">
        <v>39</v>
      </c>
      <c r="H1513" s="5">
        <v>0</v>
      </c>
      <c r="I1513" s="5" t="s">
        <v>39</v>
      </c>
      <c r="J1513" s="5">
        <v>0</v>
      </c>
      <c r="K1513" s="5" t="e">
        <f t="shared" si="69"/>
        <v>#DIV/0!</v>
      </c>
      <c r="L1513" s="5" t="e">
        <f t="shared" si="70"/>
        <v>#DIV/0!</v>
      </c>
      <c r="M1513" s="5" t="s">
        <v>39</v>
      </c>
      <c r="N1513" s="5">
        <v>0</v>
      </c>
      <c r="O1513" s="5" t="s">
        <v>39</v>
      </c>
      <c r="P1513" t="s">
        <v>222</v>
      </c>
      <c r="Q1513" t="s">
        <v>1063</v>
      </c>
      <c r="R1513" t="s">
        <v>37</v>
      </c>
      <c r="S1513" t="s">
        <v>1064</v>
      </c>
      <c r="T1513" t="s">
        <v>43</v>
      </c>
      <c r="U1513" t="s">
        <v>44</v>
      </c>
      <c r="V1513">
        <v>147</v>
      </c>
      <c r="W1513" t="s">
        <v>45</v>
      </c>
      <c r="X1513" t="s">
        <v>46</v>
      </c>
      <c r="Y1513" t="s">
        <v>1065</v>
      </c>
      <c r="Z1513" t="s">
        <v>37</v>
      </c>
      <c r="AA1513" t="s">
        <v>55</v>
      </c>
      <c r="AB1513" t="s">
        <v>37</v>
      </c>
      <c r="AC1513" s="6" t="s">
        <v>37</v>
      </c>
      <c r="AD1513" s="6" t="s">
        <v>37</v>
      </c>
      <c r="AE1513" t="s">
        <v>37</v>
      </c>
      <c r="AF1513" t="s">
        <v>37</v>
      </c>
      <c r="AG1513" s="6" t="s">
        <v>37</v>
      </c>
      <c r="AH1513" t="s">
        <v>37</v>
      </c>
      <c r="AI1513" t="s">
        <v>37</v>
      </c>
      <c r="AJ1513" t="str">
        <f t="shared" si="71"/>
        <v>2F7Y5WIXB07TTB3SR2</v>
      </c>
    </row>
    <row r="1514" spans="1:36" ht="15" customHeight="1" x14ac:dyDescent="0.25">
      <c r="A1514" t="s">
        <v>118</v>
      </c>
      <c r="B1514" t="s">
        <v>37</v>
      </c>
      <c r="C1514" t="s">
        <v>37</v>
      </c>
      <c r="D1514" t="s">
        <v>38</v>
      </c>
      <c r="E1514" s="4">
        <v>8</v>
      </c>
      <c r="F1514" s="5">
        <v>755.52</v>
      </c>
      <c r="G1514" s="5" t="s">
        <v>39</v>
      </c>
      <c r="H1514" s="5">
        <v>1239.3599999999999</v>
      </c>
      <c r="I1514" s="5" t="s">
        <v>39</v>
      </c>
      <c r="J1514" s="5">
        <v>25.68768</v>
      </c>
      <c r="K1514" s="5">
        <f t="shared" si="69"/>
        <v>3.21096</v>
      </c>
      <c r="L1514" s="5">
        <f t="shared" si="70"/>
        <v>94.44</v>
      </c>
      <c r="M1514" s="5" t="s">
        <v>39</v>
      </c>
      <c r="N1514" s="5">
        <v>25.68768</v>
      </c>
      <c r="O1514" s="5" t="s">
        <v>39</v>
      </c>
      <c r="P1514" t="s">
        <v>462</v>
      </c>
      <c r="Q1514" t="s">
        <v>1279</v>
      </c>
      <c r="R1514" t="s">
        <v>37</v>
      </c>
      <c r="S1514" t="s">
        <v>1280</v>
      </c>
      <c r="T1514" t="s">
        <v>43</v>
      </c>
      <c r="U1514" t="s">
        <v>44</v>
      </c>
      <c r="V1514">
        <v>147</v>
      </c>
      <c r="W1514" t="s">
        <v>45</v>
      </c>
      <c r="X1514" t="s">
        <v>60</v>
      </c>
      <c r="Y1514" t="s">
        <v>1281</v>
      </c>
      <c r="Z1514" t="s">
        <v>37</v>
      </c>
      <c r="AA1514" t="s">
        <v>55</v>
      </c>
      <c r="AB1514" t="s">
        <v>37</v>
      </c>
      <c r="AC1514" s="6" t="s">
        <v>37</v>
      </c>
      <c r="AD1514" s="6" t="s">
        <v>37</v>
      </c>
      <c r="AE1514" t="s">
        <v>37</v>
      </c>
      <c r="AF1514" t="s">
        <v>37</v>
      </c>
      <c r="AG1514" s="6" t="s">
        <v>37</v>
      </c>
      <c r="AH1514" t="s">
        <v>37</v>
      </c>
      <c r="AI1514" t="s">
        <v>37</v>
      </c>
      <c r="AJ1514" t="str">
        <f t="shared" si="71"/>
        <v>17D6YHERB07W7KNWK5</v>
      </c>
    </row>
    <row r="1515" spans="1:36" ht="15" customHeight="1" x14ac:dyDescent="0.25">
      <c r="A1515" t="s">
        <v>101</v>
      </c>
      <c r="B1515" t="s">
        <v>37</v>
      </c>
      <c r="C1515" t="s">
        <v>37</v>
      </c>
      <c r="D1515" t="s">
        <v>38</v>
      </c>
      <c r="E1515" s="4">
        <v>10</v>
      </c>
      <c r="F1515" s="5">
        <v>319</v>
      </c>
      <c r="G1515" s="5" t="s">
        <v>39</v>
      </c>
      <c r="H1515" s="5">
        <v>483.5</v>
      </c>
      <c r="I1515" s="5" t="s">
        <v>39</v>
      </c>
      <c r="J1515" s="5">
        <v>10.846</v>
      </c>
      <c r="K1515" s="5">
        <f t="shared" si="69"/>
        <v>1.0846</v>
      </c>
      <c r="L1515" s="5">
        <f t="shared" si="70"/>
        <v>31.9</v>
      </c>
      <c r="M1515" s="5" t="s">
        <v>39</v>
      </c>
      <c r="N1515" s="5">
        <v>10.846</v>
      </c>
      <c r="O1515" s="5" t="s">
        <v>39</v>
      </c>
      <c r="P1515" t="s">
        <v>102</v>
      </c>
      <c r="Q1515" t="s">
        <v>1412</v>
      </c>
      <c r="R1515" t="s">
        <v>37</v>
      </c>
      <c r="S1515" t="s">
        <v>1413</v>
      </c>
      <c r="T1515" t="s">
        <v>43</v>
      </c>
      <c r="U1515" t="s">
        <v>44</v>
      </c>
      <c r="V1515">
        <v>147</v>
      </c>
      <c r="W1515" t="s">
        <v>45</v>
      </c>
      <c r="X1515" t="s">
        <v>53</v>
      </c>
      <c r="Y1515" t="s">
        <v>1414</v>
      </c>
      <c r="Z1515" t="s">
        <v>37</v>
      </c>
      <c r="AA1515" t="s">
        <v>55</v>
      </c>
      <c r="AB1515" t="s">
        <v>37</v>
      </c>
      <c r="AC1515" s="6" t="s">
        <v>37</v>
      </c>
      <c r="AD1515" s="6" t="s">
        <v>37</v>
      </c>
      <c r="AE1515" t="s">
        <v>37</v>
      </c>
      <c r="AF1515" t="s">
        <v>37</v>
      </c>
      <c r="AG1515" s="6" t="s">
        <v>37</v>
      </c>
      <c r="AH1515" t="s">
        <v>37</v>
      </c>
      <c r="AI1515" t="s">
        <v>37</v>
      </c>
      <c r="AJ1515" t="str">
        <f t="shared" si="71"/>
        <v>2M7QFTCOB07W4DHQJ9</v>
      </c>
    </row>
    <row r="1516" spans="1:36" ht="15" customHeight="1" x14ac:dyDescent="0.25">
      <c r="A1516" t="s">
        <v>36</v>
      </c>
      <c r="B1516" t="s">
        <v>37</v>
      </c>
      <c r="C1516" t="s">
        <v>37</v>
      </c>
      <c r="D1516" t="s">
        <v>38</v>
      </c>
      <c r="E1516" s="4">
        <v>16</v>
      </c>
      <c r="F1516" s="5">
        <v>856.16</v>
      </c>
      <c r="G1516" s="5" t="s">
        <v>39</v>
      </c>
      <c r="H1516" s="5">
        <v>1311.36</v>
      </c>
      <c r="I1516" s="5" t="s">
        <v>39</v>
      </c>
      <c r="J1516" s="5">
        <v>29.109439999999999</v>
      </c>
      <c r="K1516" s="5">
        <f t="shared" si="69"/>
        <v>1.81934</v>
      </c>
      <c r="L1516" s="5">
        <f t="shared" si="70"/>
        <v>53.51</v>
      </c>
      <c r="M1516" s="5" t="s">
        <v>39</v>
      </c>
      <c r="N1516" s="5">
        <v>29.109439999999999</v>
      </c>
      <c r="O1516" s="5" t="s">
        <v>39</v>
      </c>
      <c r="P1516" t="s">
        <v>1916</v>
      </c>
      <c r="Q1516" t="s">
        <v>1645</v>
      </c>
      <c r="R1516" t="s">
        <v>37</v>
      </c>
      <c r="S1516" t="s">
        <v>1646</v>
      </c>
      <c r="T1516" t="s">
        <v>43</v>
      </c>
      <c r="U1516" t="s">
        <v>44</v>
      </c>
      <c r="V1516">
        <v>23</v>
      </c>
      <c r="W1516" t="s">
        <v>281</v>
      </c>
      <c r="X1516" t="s">
        <v>282</v>
      </c>
      <c r="Y1516" t="s">
        <v>1647</v>
      </c>
      <c r="Z1516" t="s">
        <v>37</v>
      </c>
      <c r="AA1516" t="s">
        <v>95</v>
      </c>
      <c r="AB1516" t="s">
        <v>37</v>
      </c>
      <c r="AC1516" s="6" t="s">
        <v>37</v>
      </c>
      <c r="AD1516" s="6" t="s">
        <v>37</v>
      </c>
      <c r="AE1516" t="s">
        <v>37</v>
      </c>
      <c r="AF1516" t="s">
        <v>37</v>
      </c>
      <c r="AG1516" s="6" t="s">
        <v>37</v>
      </c>
      <c r="AH1516" t="s">
        <v>37</v>
      </c>
      <c r="AI1516" t="s">
        <v>37</v>
      </c>
      <c r="AJ1516" t="str">
        <f t="shared" si="71"/>
        <v>4JN5J65ZB07W5JHF97</v>
      </c>
    </row>
    <row r="1517" spans="1:36" ht="15" customHeight="1" x14ac:dyDescent="0.25">
      <c r="A1517" t="s">
        <v>36</v>
      </c>
      <c r="B1517" t="s">
        <v>37</v>
      </c>
      <c r="C1517" t="s">
        <v>37</v>
      </c>
      <c r="D1517" t="s">
        <v>38</v>
      </c>
      <c r="E1517" s="4">
        <v>12</v>
      </c>
      <c r="F1517" s="5">
        <v>281.04000000000002</v>
      </c>
      <c r="G1517" s="5" t="s">
        <v>39</v>
      </c>
      <c r="H1517" s="5">
        <v>432.72</v>
      </c>
      <c r="I1517" s="5" t="s">
        <v>39</v>
      </c>
      <c r="J1517" s="5">
        <v>9.5553600000000003</v>
      </c>
      <c r="K1517" s="5">
        <f t="shared" si="69"/>
        <v>0.79627999999999999</v>
      </c>
      <c r="L1517" s="5">
        <f t="shared" si="70"/>
        <v>23.42</v>
      </c>
      <c r="M1517" s="5" t="s">
        <v>39</v>
      </c>
      <c r="N1517" s="5">
        <v>9.5553600000000003</v>
      </c>
      <c r="O1517" s="5" t="s">
        <v>39</v>
      </c>
      <c r="P1517" t="s">
        <v>40</v>
      </c>
      <c r="Q1517" t="s">
        <v>761</v>
      </c>
      <c r="R1517" t="s">
        <v>762</v>
      </c>
      <c r="S1517" t="s">
        <v>763</v>
      </c>
      <c r="T1517" t="s">
        <v>43</v>
      </c>
      <c r="U1517" t="s">
        <v>44</v>
      </c>
      <c r="V1517">
        <v>147</v>
      </c>
      <c r="W1517" t="s">
        <v>45</v>
      </c>
      <c r="X1517" t="s">
        <v>60</v>
      </c>
      <c r="Y1517" t="s">
        <v>764</v>
      </c>
      <c r="Z1517" t="s">
        <v>37</v>
      </c>
      <c r="AA1517" t="s">
        <v>55</v>
      </c>
      <c r="AB1517" t="s">
        <v>37</v>
      </c>
      <c r="AC1517" s="6" t="s">
        <v>37</v>
      </c>
      <c r="AD1517" s="6" t="s">
        <v>37</v>
      </c>
      <c r="AE1517" t="s">
        <v>37</v>
      </c>
      <c r="AF1517" t="s">
        <v>37</v>
      </c>
      <c r="AG1517" s="6" t="s">
        <v>37</v>
      </c>
      <c r="AH1517" t="s">
        <v>37</v>
      </c>
      <c r="AI1517" t="s">
        <v>37</v>
      </c>
      <c r="AJ1517" t="str">
        <f t="shared" si="71"/>
        <v>4A3KDTEZB0074486GA</v>
      </c>
    </row>
    <row r="1518" spans="1:36" ht="15" customHeight="1" x14ac:dyDescent="0.25">
      <c r="A1518" t="s">
        <v>96</v>
      </c>
      <c r="B1518" t="s">
        <v>37</v>
      </c>
      <c r="C1518" t="s">
        <v>37</v>
      </c>
      <c r="D1518" t="s">
        <v>38</v>
      </c>
      <c r="E1518" s="4">
        <v>16</v>
      </c>
      <c r="F1518" s="5">
        <v>379.84</v>
      </c>
      <c r="G1518" s="5" t="s">
        <v>39</v>
      </c>
      <c r="H1518" s="5">
        <v>629.44000000000005</v>
      </c>
      <c r="I1518" s="5" t="s">
        <v>39</v>
      </c>
      <c r="J1518" s="5">
        <v>12.91456</v>
      </c>
      <c r="K1518" s="5">
        <f t="shared" si="69"/>
        <v>0.80715999999999999</v>
      </c>
      <c r="L1518" s="5">
        <f t="shared" si="70"/>
        <v>23.74</v>
      </c>
      <c r="M1518" s="5" t="s">
        <v>39</v>
      </c>
      <c r="N1518" s="5">
        <v>12.91456</v>
      </c>
      <c r="O1518" s="5" t="s">
        <v>39</v>
      </c>
      <c r="P1518" t="s">
        <v>106</v>
      </c>
      <c r="Q1518" t="s">
        <v>825</v>
      </c>
      <c r="R1518" t="s">
        <v>37</v>
      </c>
      <c r="S1518" t="s">
        <v>826</v>
      </c>
      <c r="T1518" t="s">
        <v>43</v>
      </c>
      <c r="U1518" t="s">
        <v>44</v>
      </c>
      <c r="V1518">
        <v>147</v>
      </c>
      <c r="W1518" t="s">
        <v>45</v>
      </c>
      <c r="X1518" t="s">
        <v>53</v>
      </c>
      <c r="Y1518" t="s">
        <v>123</v>
      </c>
      <c r="Z1518" t="s">
        <v>37</v>
      </c>
      <c r="AA1518" t="s">
        <v>95</v>
      </c>
      <c r="AB1518" t="s">
        <v>37</v>
      </c>
      <c r="AC1518" s="6" t="s">
        <v>37</v>
      </c>
      <c r="AD1518" s="6" t="s">
        <v>37</v>
      </c>
      <c r="AE1518" t="s">
        <v>37</v>
      </c>
      <c r="AF1518" t="s">
        <v>37</v>
      </c>
      <c r="AG1518" s="6" t="s">
        <v>37</v>
      </c>
      <c r="AH1518" t="s">
        <v>37</v>
      </c>
      <c r="AI1518" t="s">
        <v>37</v>
      </c>
      <c r="AJ1518" t="str">
        <f t="shared" si="71"/>
        <v>2CLMXQWQB07W6JPVPF</v>
      </c>
    </row>
    <row r="1519" spans="1:36" ht="15" customHeight="1" x14ac:dyDescent="0.25">
      <c r="A1519" t="s">
        <v>36</v>
      </c>
      <c r="B1519" t="s">
        <v>37</v>
      </c>
      <c r="C1519" t="s">
        <v>37</v>
      </c>
      <c r="D1519" t="s">
        <v>38</v>
      </c>
      <c r="E1519" s="4">
        <v>60</v>
      </c>
      <c r="F1519" s="5">
        <v>7249.8</v>
      </c>
      <c r="G1519" s="5" t="s">
        <v>39</v>
      </c>
      <c r="H1519" s="5">
        <v>11802.6</v>
      </c>
      <c r="I1519" s="5" t="s">
        <v>39</v>
      </c>
      <c r="J1519" s="5">
        <v>246.4932</v>
      </c>
      <c r="K1519" s="5">
        <f t="shared" si="69"/>
        <v>4.1082200000000002</v>
      </c>
      <c r="L1519" s="5">
        <f t="shared" si="70"/>
        <v>120.83</v>
      </c>
      <c r="M1519" s="5" t="s">
        <v>39</v>
      </c>
      <c r="N1519" s="5">
        <v>246.4932</v>
      </c>
      <c r="O1519" s="5" t="s">
        <v>39</v>
      </c>
      <c r="P1519" t="s">
        <v>119</v>
      </c>
      <c r="Q1519" t="s">
        <v>250</v>
      </c>
      <c r="R1519" t="s">
        <v>37</v>
      </c>
      <c r="S1519" t="s">
        <v>251</v>
      </c>
      <c r="T1519" t="s">
        <v>43</v>
      </c>
      <c r="U1519" t="s">
        <v>44</v>
      </c>
      <c r="V1519">
        <v>23</v>
      </c>
      <c r="W1519" t="s">
        <v>218</v>
      </c>
      <c r="X1519" t="s">
        <v>219</v>
      </c>
      <c r="Y1519" t="s">
        <v>252</v>
      </c>
      <c r="Z1519" t="s">
        <v>37</v>
      </c>
      <c r="AA1519" t="s">
        <v>95</v>
      </c>
      <c r="AB1519" t="s">
        <v>37</v>
      </c>
      <c r="AC1519" s="6" t="s">
        <v>37</v>
      </c>
      <c r="AD1519" s="6" t="s">
        <v>37</v>
      </c>
      <c r="AE1519" t="s">
        <v>37</v>
      </c>
      <c r="AF1519" t="s">
        <v>37</v>
      </c>
      <c r="AG1519" s="6" t="s">
        <v>37</v>
      </c>
      <c r="AH1519" t="s">
        <v>37</v>
      </c>
      <c r="AI1519" t="s">
        <v>37</v>
      </c>
      <c r="AJ1519" t="str">
        <f t="shared" si="71"/>
        <v>31DJDC7QB07W4DJF29</v>
      </c>
    </row>
    <row r="1520" spans="1:36" ht="15" customHeight="1" x14ac:dyDescent="0.25">
      <c r="A1520" t="s">
        <v>62</v>
      </c>
      <c r="B1520" t="s">
        <v>37</v>
      </c>
      <c r="C1520" t="s">
        <v>37</v>
      </c>
      <c r="D1520" t="s">
        <v>38</v>
      </c>
      <c r="E1520" s="4">
        <v>12</v>
      </c>
      <c r="F1520" s="5">
        <v>316.44</v>
      </c>
      <c r="G1520" s="5" t="s">
        <v>39</v>
      </c>
      <c r="H1520" s="5">
        <v>511.32</v>
      </c>
      <c r="I1520" s="5" t="s">
        <v>39</v>
      </c>
      <c r="J1520" s="5">
        <v>10.75896</v>
      </c>
      <c r="K1520" s="5">
        <f t="shared" si="69"/>
        <v>0.89658000000000004</v>
      </c>
      <c r="L1520" s="5">
        <f t="shared" si="70"/>
        <v>26.37</v>
      </c>
      <c r="M1520" s="5" t="s">
        <v>39</v>
      </c>
      <c r="N1520" s="5">
        <v>10.75896</v>
      </c>
      <c r="O1520" s="5" t="s">
        <v>39</v>
      </c>
      <c r="P1520" t="s">
        <v>177</v>
      </c>
      <c r="Q1520" t="s">
        <v>914</v>
      </c>
      <c r="R1520" t="s">
        <v>37</v>
      </c>
      <c r="S1520" t="s">
        <v>915</v>
      </c>
      <c r="T1520" t="s">
        <v>43</v>
      </c>
      <c r="U1520" t="s">
        <v>44</v>
      </c>
      <c r="V1520">
        <v>147</v>
      </c>
      <c r="W1520" t="s">
        <v>45</v>
      </c>
      <c r="X1520" t="s">
        <v>53</v>
      </c>
      <c r="Y1520" t="s">
        <v>916</v>
      </c>
      <c r="Z1520" t="s">
        <v>37</v>
      </c>
      <c r="AA1520" t="s">
        <v>95</v>
      </c>
      <c r="AB1520" t="s">
        <v>37</v>
      </c>
      <c r="AC1520" s="6" t="s">
        <v>37</v>
      </c>
      <c r="AD1520" s="6" t="s">
        <v>37</v>
      </c>
      <c r="AE1520" t="s">
        <v>37</v>
      </c>
      <c r="AF1520" t="s">
        <v>37</v>
      </c>
      <c r="AG1520" s="6" t="s">
        <v>37</v>
      </c>
      <c r="AH1520" t="s">
        <v>37</v>
      </c>
      <c r="AI1520" t="s">
        <v>37</v>
      </c>
      <c r="AJ1520" t="str">
        <f t="shared" si="71"/>
        <v>4F3XMHTVB07W4DHG24</v>
      </c>
    </row>
    <row r="1521" spans="1:36" ht="15" customHeight="1" x14ac:dyDescent="0.25">
      <c r="A1521" t="s">
        <v>101</v>
      </c>
      <c r="B1521" t="s">
        <v>37</v>
      </c>
      <c r="C1521" t="s">
        <v>37</v>
      </c>
      <c r="D1521" t="s">
        <v>38</v>
      </c>
      <c r="E1521" s="4">
        <v>10</v>
      </c>
      <c r="F1521" s="5">
        <v>322.10000000000002</v>
      </c>
      <c r="G1521" s="5" t="s">
        <v>39</v>
      </c>
      <c r="H1521" s="5">
        <v>483.5</v>
      </c>
      <c r="I1521" s="5" t="s">
        <v>39</v>
      </c>
      <c r="J1521" s="5">
        <v>10.9514</v>
      </c>
      <c r="K1521" s="5">
        <f t="shared" si="69"/>
        <v>1.09514</v>
      </c>
      <c r="L1521" s="5">
        <f t="shared" si="70"/>
        <v>32.21</v>
      </c>
      <c r="M1521" s="5" t="s">
        <v>39</v>
      </c>
      <c r="N1521" s="5">
        <v>10.9514</v>
      </c>
      <c r="O1521" s="5" t="s">
        <v>39</v>
      </c>
      <c r="P1521" t="s">
        <v>320</v>
      </c>
      <c r="Q1521" t="s">
        <v>1386</v>
      </c>
      <c r="R1521" t="s">
        <v>1387</v>
      </c>
      <c r="S1521" t="s">
        <v>1388</v>
      </c>
      <c r="T1521" t="s">
        <v>43</v>
      </c>
      <c r="U1521" t="s">
        <v>44</v>
      </c>
      <c r="V1521">
        <v>147</v>
      </c>
      <c r="W1521" t="s">
        <v>45</v>
      </c>
      <c r="X1521" t="s">
        <v>53</v>
      </c>
      <c r="Y1521" t="s">
        <v>1389</v>
      </c>
      <c r="Z1521" t="s">
        <v>37</v>
      </c>
      <c r="AA1521" t="s">
        <v>55</v>
      </c>
      <c r="AB1521" t="s">
        <v>37</v>
      </c>
      <c r="AC1521" s="6" t="s">
        <v>37</v>
      </c>
      <c r="AD1521" s="6" t="s">
        <v>37</v>
      </c>
      <c r="AE1521" t="s">
        <v>37</v>
      </c>
      <c r="AF1521" t="s">
        <v>37</v>
      </c>
      <c r="AG1521" s="6" t="s">
        <v>37</v>
      </c>
      <c r="AH1521" t="s">
        <v>37</v>
      </c>
      <c r="AI1521" t="s">
        <v>37</v>
      </c>
      <c r="AJ1521" t="str">
        <f t="shared" si="71"/>
        <v>8BG295LIB003STDR1E</v>
      </c>
    </row>
    <row r="1522" spans="1:36" ht="15" customHeight="1" x14ac:dyDescent="0.25">
      <c r="A1522" t="s">
        <v>411</v>
      </c>
      <c r="B1522" t="s">
        <v>37</v>
      </c>
      <c r="C1522" t="s">
        <v>37</v>
      </c>
      <c r="D1522" t="s">
        <v>38</v>
      </c>
      <c r="E1522" s="4">
        <v>4</v>
      </c>
      <c r="F1522" s="5">
        <v>314.48</v>
      </c>
      <c r="G1522" s="5" t="s">
        <v>39</v>
      </c>
      <c r="H1522" s="5">
        <v>508.16</v>
      </c>
      <c r="I1522" s="5" t="s">
        <v>39</v>
      </c>
      <c r="J1522" s="5">
        <v>10.69232</v>
      </c>
      <c r="K1522" s="5">
        <f t="shared" si="69"/>
        <v>2.6730800000000001</v>
      </c>
      <c r="L1522" s="5">
        <f t="shared" si="70"/>
        <v>78.62</v>
      </c>
      <c r="M1522" s="5" t="s">
        <v>39</v>
      </c>
      <c r="N1522" s="5">
        <v>10.69232</v>
      </c>
      <c r="O1522" s="5" t="s">
        <v>39</v>
      </c>
      <c r="P1522" t="s">
        <v>522</v>
      </c>
      <c r="Q1522" t="s">
        <v>1222</v>
      </c>
      <c r="R1522" t="s">
        <v>37</v>
      </c>
      <c r="S1522" t="s">
        <v>1223</v>
      </c>
      <c r="T1522" t="s">
        <v>43</v>
      </c>
      <c r="U1522" t="s">
        <v>44</v>
      </c>
      <c r="V1522">
        <v>147</v>
      </c>
      <c r="W1522" t="s">
        <v>45</v>
      </c>
      <c r="X1522" t="s">
        <v>46</v>
      </c>
      <c r="Y1522" t="s">
        <v>1224</v>
      </c>
      <c r="Z1522" t="s">
        <v>37</v>
      </c>
      <c r="AA1522" t="s">
        <v>48</v>
      </c>
      <c r="AB1522" t="s">
        <v>37</v>
      </c>
      <c r="AC1522" s="6" t="s">
        <v>37</v>
      </c>
      <c r="AD1522" s="6" t="s">
        <v>37</v>
      </c>
      <c r="AE1522" t="s">
        <v>37</v>
      </c>
      <c r="AF1522" t="s">
        <v>37</v>
      </c>
      <c r="AG1522" s="6" t="s">
        <v>37</v>
      </c>
      <c r="AH1522" t="s">
        <v>37</v>
      </c>
      <c r="AI1522" t="s">
        <v>37</v>
      </c>
      <c r="AJ1522" t="str">
        <f t="shared" si="71"/>
        <v>24EUBTHXB074C9LZVX</v>
      </c>
    </row>
    <row r="1523" spans="1:36" ht="15" customHeight="1" x14ac:dyDescent="0.25">
      <c r="A1523" t="s">
        <v>118</v>
      </c>
      <c r="B1523" t="s">
        <v>37</v>
      </c>
      <c r="C1523" t="s">
        <v>37</v>
      </c>
      <c r="D1523" t="s">
        <v>38</v>
      </c>
      <c r="E1523" s="4">
        <v>42</v>
      </c>
      <c r="F1523" s="5">
        <v>1218</v>
      </c>
      <c r="G1523" s="5" t="s">
        <v>39</v>
      </c>
      <c r="H1523" s="5">
        <v>1858.5</v>
      </c>
      <c r="I1523" s="5" t="s">
        <v>39</v>
      </c>
      <c r="J1523" s="5">
        <v>41.411999999999999</v>
      </c>
      <c r="K1523" s="5">
        <f t="shared" si="69"/>
        <v>0.98599999999999999</v>
      </c>
      <c r="L1523" s="5">
        <f t="shared" si="70"/>
        <v>29</v>
      </c>
      <c r="M1523" s="5" t="s">
        <v>39</v>
      </c>
      <c r="N1523" s="5">
        <v>41.411999999999999</v>
      </c>
      <c r="O1523" s="5" t="s">
        <v>39</v>
      </c>
      <c r="P1523" t="s">
        <v>877</v>
      </c>
      <c r="Q1523" t="s">
        <v>1493</v>
      </c>
      <c r="R1523" t="s">
        <v>37</v>
      </c>
      <c r="S1523" t="s">
        <v>1494</v>
      </c>
      <c r="T1523" t="s">
        <v>43</v>
      </c>
      <c r="U1523" t="s">
        <v>44</v>
      </c>
      <c r="V1523">
        <v>147</v>
      </c>
      <c r="W1523" t="s">
        <v>45</v>
      </c>
      <c r="X1523" t="s">
        <v>356</v>
      </c>
      <c r="Y1523" t="s">
        <v>1495</v>
      </c>
      <c r="Z1523" t="s">
        <v>37</v>
      </c>
      <c r="AA1523" t="s">
        <v>55</v>
      </c>
      <c r="AB1523" t="s">
        <v>37</v>
      </c>
      <c r="AC1523" s="6" t="s">
        <v>37</v>
      </c>
      <c r="AD1523" s="6" t="s">
        <v>37</v>
      </c>
      <c r="AE1523" t="s">
        <v>37</v>
      </c>
      <c r="AF1523" t="s">
        <v>37</v>
      </c>
      <c r="AG1523" s="6" t="s">
        <v>37</v>
      </c>
      <c r="AH1523" t="s">
        <v>37</v>
      </c>
      <c r="AI1523" t="s">
        <v>37</v>
      </c>
      <c r="AJ1523" t="str">
        <f t="shared" si="71"/>
        <v>4YV2PIQLB07W4DGZ54</v>
      </c>
    </row>
    <row r="1524" spans="1:36" ht="15" customHeight="1" x14ac:dyDescent="0.25">
      <c r="A1524" t="s">
        <v>231</v>
      </c>
      <c r="B1524" t="s">
        <v>37</v>
      </c>
      <c r="C1524" t="s">
        <v>37</v>
      </c>
      <c r="D1524" t="s">
        <v>38</v>
      </c>
      <c r="E1524" s="4">
        <v>0</v>
      </c>
      <c r="F1524" s="5">
        <v>0</v>
      </c>
      <c r="G1524" s="5" t="s">
        <v>39</v>
      </c>
      <c r="H1524" s="5">
        <v>0</v>
      </c>
      <c r="I1524" s="5" t="s">
        <v>39</v>
      </c>
      <c r="J1524" s="5">
        <v>0</v>
      </c>
      <c r="K1524" s="5" t="e">
        <f t="shared" si="69"/>
        <v>#DIV/0!</v>
      </c>
      <c r="L1524" s="5" t="e">
        <f t="shared" si="70"/>
        <v>#DIV/0!</v>
      </c>
      <c r="M1524" s="5" t="s">
        <v>39</v>
      </c>
      <c r="N1524" s="5">
        <v>0</v>
      </c>
      <c r="O1524" s="5" t="s">
        <v>39</v>
      </c>
      <c r="P1524" t="s">
        <v>638</v>
      </c>
      <c r="Q1524" t="s">
        <v>401</v>
      </c>
      <c r="R1524" t="s">
        <v>37</v>
      </c>
      <c r="S1524" t="s">
        <v>402</v>
      </c>
      <c r="T1524" t="s">
        <v>43</v>
      </c>
      <c r="U1524" t="s">
        <v>44</v>
      </c>
      <c r="V1524">
        <v>147</v>
      </c>
      <c r="W1524" t="s">
        <v>45</v>
      </c>
      <c r="X1524" t="s">
        <v>46</v>
      </c>
      <c r="Y1524" t="s">
        <v>403</v>
      </c>
      <c r="Z1524" t="s">
        <v>37</v>
      </c>
      <c r="AA1524" t="s">
        <v>55</v>
      </c>
      <c r="AB1524" t="s">
        <v>37</v>
      </c>
      <c r="AC1524" s="6" t="s">
        <v>37</v>
      </c>
      <c r="AD1524" s="6" t="s">
        <v>37</v>
      </c>
      <c r="AE1524" t="s">
        <v>37</v>
      </c>
      <c r="AF1524" t="s">
        <v>37</v>
      </c>
      <c r="AG1524" s="6" t="s">
        <v>37</v>
      </c>
      <c r="AH1524" t="s">
        <v>37</v>
      </c>
      <c r="AI1524" t="s">
        <v>37</v>
      </c>
      <c r="AJ1524" t="str">
        <f t="shared" si="71"/>
        <v>7CQW3EPPB07G5XJLWK</v>
      </c>
    </row>
    <row r="1525" spans="1:36" ht="15" customHeight="1" x14ac:dyDescent="0.25">
      <c r="A1525" t="s">
        <v>62</v>
      </c>
      <c r="B1525" t="s">
        <v>37</v>
      </c>
      <c r="C1525" t="s">
        <v>37</v>
      </c>
      <c r="D1525" t="s">
        <v>38</v>
      </c>
      <c r="E1525" s="4">
        <v>100</v>
      </c>
      <c r="F1525" s="5">
        <v>761</v>
      </c>
      <c r="G1525" s="5" t="s">
        <v>39</v>
      </c>
      <c r="H1525" s="5">
        <v>1106</v>
      </c>
      <c r="I1525" s="5" t="s">
        <v>39</v>
      </c>
      <c r="J1525" s="5">
        <v>25.873999999999999</v>
      </c>
      <c r="K1525" s="5">
        <f t="shared" si="69"/>
        <v>0.25873999999999997</v>
      </c>
      <c r="L1525" s="5">
        <f t="shared" si="70"/>
        <v>7.61</v>
      </c>
      <c r="M1525" s="5" t="s">
        <v>39</v>
      </c>
      <c r="N1525" s="5">
        <v>25.873999999999999</v>
      </c>
      <c r="O1525" s="5" t="s">
        <v>39</v>
      </c>
      <c r="P1525" t="s">
        <v>63</v>
      </c>
      <c r="Q1525" t="s">
        <v>1425</v>
      </c>
      <c r="R1525" t="s">
        <v>37</v>
      </c>
      <c r="S1525" t="s">
        <v>1426</v>
      </c>
      <c r="T1525" t="s">
        <v>43</v>
      </c>
      <c r="U1525" t="s">
        <v>44</v>
      </c>
      <c r="V1525">
        <v>147</v>
      </c>
      <c r="W1525" t="s">
        <v>45</v>
      </c>
      <c r="X1525" t="s">
        <v>53</v>
      </c>
      <c r="Y1525" t="s">
        <v>1427</v>
      </c>
      <c r="Z1525" t="s">
        <v>37</v>
      </c>
      <c r="AA1525" t="s">
        <v>48</v>
      </c>
      <c r="AB1525" t="s">
        <v>37</v>
      </c>
      <c r="AC1525" s="6" t="s">
        <v>37</v>
      </c>
      <c r="AD1525" s="6" t="s">
        <v>37</v>
      </c>
      <c r="AE1525" t="s">
        <v>37</v>
      </c>
      <c r="AF1525" t="s">
        <v>37</v>
      </c>
      <c r="AG1525" s="6" t="s">
        <v>37</v>
      </c>
      <c r="AH1525" t="s">
        <v>37</v>
      </c>
      <c r="AI1525" t="s">
        <v>37</v>
      </c>
      <c r="AJ1525" t="str">
        <f t="shared" si="71"/>
        <v>7H9X1Z6SB07W7L6HHN</v>
      </c>
    </row>
    <row r="1526" spans="1:36" ht="15" customHeight="1" x14ac:dyDescent="0.25">
      <c r="A1526" t="s">
        <v>36</v>
      </c>
      <c r="B1526" t="s">
        <v>37</v>
      </c>
      <c r="C1526" t="s">
        <v>37</v>
      </c>
      <c r="D1526" t="s">
        <v>38</v>
      </c>
      <c r="E1526" s="4">
        <v>16</v>
      </c>
      <c r="F1526" s="5">
        <v>1328</v>
      </c>
      <c r="G1526" s="5" t="s">
        <v>39</v>
      </c>
      <c r="H1526" s="5">
        <v>1573.6</v>
      </c>
      <c r="I1526" s="5" t="s">
        <v>39</v>
      </c>
      <c r="J1526" s="5">
        <v>45.152000000000001</v>
      </c>
      <c r="K1526" s="5">
        <f t="shared" si="69"/>
        <v>2.8220000000000001</v>
      </c>
      <c r="L1526" s="5">
        <f t="shared" si="70"/>
        <v>83</v>
      </c>
      <c r="M1526" s="5" t="s">
        <v>39</v>
      </c>
      <c r="N1526" s="5">
        <v>45.152000000000001</v>
      </c>
      <c r="O1526" s="5" t="s">
        <v>39</v>
      </c>
      <c r="P1526" t="s">
        <v>67</v>
      </c>
      <c r="Q1526" t="s">
        <v>1044</v>
      </c>
      <c r="R1526" t="s">
        <v>1045</v>
      </c>
      <c r="S1526" t="s">
        <v>1046</v>
      </c>
      <c r="T1526" t="s">
        <v>43</v>
      </c>
      <c r="U1526" t="s">
        <v>44</v>
      </c>
      <c r="V1526">
        <v>267</v>
      </c>
      <c r="W1526" t="s">
        <v>151</v>
      </c>
      <c r="X1526" t="s">
        <v>152</v>
      </c>
      <c r="Y1526" t="s">
        <v>1047</v>
      </c>
      <c r="Z1526" t="s">
        <v>37</v>
      </c>
      <c r="AA1526" t="s">
        <v>95</v>
      </c>
      <c r="AB1526" t="s">
        <v>37</v>
      </c>
      <c r="AC1526" s="6" t="s">
        <v>37</v>
      </c>
      <c r="AD1526" s="6" t="s">
        <v>37</v>
      </c>
      <c r="AE1526" t="s">
        <v>37</v>
      </c>
      <c r="AF1526" t="s">
        <v>37</v>
      </c>
      <c r="AG1526" s="6" t="s">
        <v>37</v>
      </c>
      <c r="AH1526" t="s">
        <v>37</v>
      </c>
      <c r="AI1526" t="s">
        <v>37</v>
      </c>
      <c r="AJ1526" t="str">
        <f t="shared" si="71"/>
        <v>2TMBDXBKB07DTTGZ7M</v>
      </c>
    </row>
    <row r="1527" spans="1:36" ht="15" customHeight="1" x14ac:dyDescent="0.25">
      <c r="A1527" t="s">
        <v>504</v>
      </c>
      <c r="B1527" t="s">
        <v>37</v>
      </c>
      <c r="C1527" t="s">
        <v>37</v>
      </c>
      <c r="D1527" t="s">
        <v>38</v>
      </c>
      <c r="E1527" s="4">
        <v>130</v>
      </c>
      <c r="F1527" s="5">
        <v>2130.6999999999998</v>
      </c>
      <c r="G1527" s="5" t="s">
        <v>39</v>
      </c>
      <c r="H1527" s="5">
        <v>3814.2</v>
      </c>
      <c r="I1527" s="5" t="s">
        <v>39</v>
      </c>
      <c r="J1527" s="5">
        <v>72.443799999999996</v>
      </c>
      <c r="K1527" s="5">
        <f t="shared" si="69"/>
        <v>0.55725999999999998</v>
      </c>
      <c r="L1527" s="5">
        <f t="shared" si="70"/>
        <v>16.389999999999997</v>
      </c>
      <c r="M1527" s="5" t="s">
        <v>39</v>
      </c>
      <c r="N1527" s="5">
        <v>72.443799999999996</v>
      </c>
      <c r="O1527" s="5" t="s">
        <v>39</v>
      </c>
      <c r="P1527" t="s">
        <v>820</v>
      </c>
      <c r="Q1527" t="s">
        <v>1586</v>
      </c>
      <c r="R1527" t="s">
        <v>37</v>
      </c>
      <c r="S1527" t="s">
        <v>1587</v>
      </c>
      <c r="T1527" t="s">
        <v>43</v>
      </c>
      <c r="U1527" t="s">
        <v>44</v>
      </c>
      <c r="V1527">
        <v>147</v>
      </c>
      <c r="W1527" t="s">
        <v>45</v>
      </c>
      <c r="X1527" t="s">
        <v>60</v>
      </c>
      <c r="Y1527" t="s">
        <v>1588</v>
      </c>
      <c r="Z1527" t="s">
        <v>37</v>
      </c>
      <c r="AA1527" t="s">
        <v>55</v>
      </c>
      <c r="AB1527" t="s">
        <v>37</v>
      </c>
      <c r="AC1527" s="6" t="s">
        <v>37</v>
      </c>
      <c r="AD1527" s="6" t="s">
        <v>37</v>
      </c>
      <c r="AE1527" t="s">
        <v>37</v>
      </c>
      <c r="AF1527" t="s">
        <v>37</v>
      </c>
      <c r="AG1527" s="6" t="s">
        <v>37</v>
      </c>
      <c r="AH1527" t="s">
        <v>37</v>
      </c>
      <c r="AI1527" t="s">
        <v>37</v>
      </c>
      <c r="AJ1527" t="str">
        <f t="shared" si="71"/>
        <v>1KYIVKWCB01I252A34</v>
      </c>
    </row>
    <row r="1528" spans="1:36" ht="15" customHeight="1" x14ac:dyDescent="0.25">
      <c r="A1528" t="s">
        <v>36</v>
      </c>
      <c r="B1528" t="s">
        <v>37</v>
      </c>
      <c r="C1528" t="s">
        <v>37</v>
      </c>
      <c r="D1528" t="s">
        <v>38</v>
      </c>
      <c r="E1528" s="4">
        <v>84</v>
      </c>
      <c r="F1528" s="5">
        <v>3766.56</v>
      </c>
      <c r="G1528" s="5" t="s">
        <v>39</v>
      </c>
      <c r="H1528" s="5">
        <v>6058.08</v>
      </c>
      <c r="I1528" s="5" t="s">
        <v>39</v>
      </c>
      <c r="J1528" s="5">
        <v>128.06304</v>
      </c>
      <c r="K1528" s="5">
        <f t="shared" si="69"/>
        <v>1.5245599999999999</v>
      </c>
      <c r="L1528" s="5">
        <f t="shared" si="70"/>
        <v>44.839999999999996</v>
      </c>
      <c r="M1528" s="5" t="s">
        <v>39</v>
      </c>
      <c r="N1528" s="5">
        <v>128.06304</v>
      </c>
      <c r="O1528" s="5" t="s">
        <v>39</v>
      </c>
      <c r="P1528" t="s">
        <v>297</v>
      </c>
      <c r="Q1528" t="s">
        <v>1357</v>
      </c>
      <c r="R1528" t="s">
        <v>37</v>
      </c>
      <c r="S1528" t="s">
        <v>1358</v>
      </c>
      <c r="T1528" t="s">
        <v>43</v>
      </c>
      <c r="U1528" t="s">
        <v>44</v>
      </c>
      <c r="V1528">
        <v>147</v>
      </c>
      <c r="W1528" t="s">
        <v>45</v>
      </c>
      <c r="X1528" t="s">
        <v>60</v>
      </c>
      <c r="Y1528" t="s">
        <v>1359</v>
      </c>
      <c r="Z1528" t="s">
        <v>37</v>
      </c>
      <c r="AA1528" t="s">
        <v>55</v>
      </c>
      <c r="AB1528" t="s">
        <v>37</v>
      </c>
      <c r="AC1528" s="6" t="s">
        <v>37</v>
      </c>
      <c r="AD1528" s="6" t="s">
        <v>37</v>
      </c>
      <c r="AE1528" t="s">
        <v>37</v>
      </c>
      <c r="AF1528" t="s">
        <v>37</v>
      </c>
      <c r="AG1528" s="6" t="s">
        <v>37</v>
      </c>
      <c r="AH1528" t="s">
        <v>37</v>
      </c>
      <c r="AI1528" t="s">
        <v>37</v>
      </c>
      <c r="AJ1528" t="str">
        <f t="shared" si="71"/>
        <v>5KUAVFPZB07W6GVS5C</v>
      </c>
    </row>
    <row r="1529" spans="1:36" ht="15" customHeight="1" x14ac:dyDescent="0.25">
      <c r="A1529" t="s">
        <v>101</v>
      </c>
      <c r="B1529" t="s">
        <v>37</v>
      </c>
      <c r="C1529" t="s">
        <v>37</v>
      </c>
      <c r="D1529" t="s">
        <v>38</v>
      </c>
      <c r="E1529" s="4">
        <v>8</v>
      </c>
      <c r="F1529" s="5">
        <v>586.72</v>
      </c>
      <c r="G1529" s="5" t="s">
        <v>39</v>
      </c>
      <c r="H1529" s="5">
        <v>950.8</v>
      </c>
      <c r="I1529" s="5" t="s">
        <v>39</v>
      </c>
      <c r="J1529" s="5">
        <v>19.94848</v>
      </c>
      <c r="K1529" s="5">
        <f t="shared" si="69"/>
        <v>2.49356</v>
      </c>
      <c r="L1529" s="5">
        <f t="shared" si="70"/>
        <v>73.34</v>
      </c>
      <c r="M1529" s="5" t="s">
        <v>39</v>
      </c>
      <c r="N1529" s="5">
        <v>19.94848</v>
      </c>
      <c r="O1529" s="5" t="s">
        <v>39</v>
      </c>
      <c r="P1529" t="s">
        <v>72</v>
      </c>
      <c r="Q1529" t="s">
        <v>145</v>
      </c>
      <c r="R1529" t="s">
        <v>37</v>
      </c>
      <c r="S1529" t="s">
        <v>146</v>
      </c>
      <c r="T1529" t="s">
        <v>43</v>
      </c>
      <c r="U1529" t="s">
        <v>44</v>
      </c>
      <c r="V1529">
        <v>147</v>
      </c>
      <c r="W1529" t="s">
        <v>45</v>
      </c>
      <c r="X1529" t="s">
        <v>60</v>
      </c>
      <c r="Y1529" t="s">
        <v>147</v>
      </c>
      <c r="Z1529" t="s">
        <v>37</v>
      </c>
      <c r="AA1529" t="s">
        <v>55</v>
      </c>
      <c r="AB1529" t="s">
        <v>37</v>
      </c>
      <c r="AC1529" s="6" t="s">
        <v>37</v>
      </c>
      <c r="AD1529" s="6" t="s">
        <v>37</v>
      </c>
      <c r="AE1529" t="s">
        <v>37</v>
      </c>
      <c r="AF1529" t="s">
        <v>37</v>
      </c>
      <c r="AG1529" s="6" t="s">
        <v>37</v>
      </c>
      <c r="AH1529" t="s">
        <v>37</v>
      </c>
      <c r="AI1529" t="s">
        <v>37</v>
      </c>
      <c r="AJ1529" t="str">
        <f t="shared" si="71"/>
        <v>4GF112AEB07W6JNQ82</v>
      </c>
    </row>
    <row r="1530" spans="1:36" ht="15" customHeight="1" x14ac:dyDescent="0.25">
      <c r="A1530" t="s">
        <v>36</v>
      </c>
      <c r="B1530" t="s">
        <v>37</v>
      </c>
      <c r="C1530" t="s">
        <v>37</v>
      </c>
      <c r="D1530" t="s">
        <v>38</v>
      </c>
      <c r="E1530" s="4">
        <v>10</v>
      </c>
      <c r="F1530" s="5">
        <v>322.10000000000002</v>
      </c>
      <c r="G1530" s="5" t="s">
        <v>39</v>
      </c>
      <c r="H1530" s="5">
        <v>483.5</v>
      </c>
      <c r="I1530" s="5" t="s">
        <v>39</v>
      </c>
      <c r="J1530" s="5">
        <v>10.9514</v>
      </c>
      <c r="K1530" s="5">
        <f t="shared" si="69"/>
        <v>1.09514</v>
      </c>
      <c r="L1530" s="5">
        <f t="shared" si="70"/>
        <v>32.21</v>
      </c>
      <c r="M1530" s="5" t="s">
        <v>39</v>
      </c>
      <c r="N1530" s="5">
        <v>10.9514</v>
      </c>
      <c r="O1530" s="5" t="s">
        <v>39</v>
      </c>
      <c r="P1530" t="s">
        <v>119</v>
      </c>
      <c r="Q1530" t="s">
        <v>1931</v>
      </c>
      <c r="R1530" t="s">
        <v>37</v>
      </c>
      <c r="S1530" t="s">
        <v>1932</v>
      </c>
      <c r="T1530" t="s">
        <v>43</v>
      </c>
      <c r="U1530" t="s">
        <v>44</v>
      </c>
      <c r="V1530">
        <v>147</v>
      </c>
      <c r="W1530" t="s">
        <v>45</v>
      </c>
      <c r="X1530" t="s">
        <v>46</v>
      </c>
      <c r="Y1530" t="s">
        <v>1933</v>
      </c>
      <c r="Z1530" t="s">
        <v>37</v>
      </c>
      <c r="AA1530" t="s">
        <v>55</v>
      </c>
      <c r="AB1530" t="s">
        <v>37</v>
      </c>
      <c r="AC1530" s="6" t="s">
        <v>37</v>
      </c>
      <c r="AD1530" s="6" t="s">
        <v>37</v>
      </c>
      <c r="AE1530" t="s">
        <v>37</v>
      </c>
      <c r="AF1530" t="s">
        <v>37</v>
      </c>
      <c r="AG1530" s="6" t="s">
        <v>37</v>
      </c>
      <c r="AH1530" t="s">
        <v>37</v>
      </c>
      <c r="AI1530" t="s">
        <v>37</v>
      </c>
      <c r="AJ1530" t="str">
        <f t="shared" si="71"/>
        <v>31DJDC7QB0166J6EFS</v>
      </c>
    </row>
    <row r="1531" spans="1:36" ht="15" customHeight="1" x14ac:dyDescent="0.25">
      <c r="A1531" t="s">
        <v>118</v>
      </c>
      <c r="B1531" t="s">
        <v>37</v>
      </c>
      <c r="C1531" t="s">
        <v>37</v>
      </c>
      <c r="D1531" t="s">
        <v>38</v>
      </c>
      <c r="E1531" s="4">
        <v>4</v>
      </c>
      <c r="F1531" s="5">
        <v>301.64</v>
      </c>
      <c r="G1531" s="5" t="s">
        <v>39</v>
      </c>
      <c r="H1531" s="5">
        <v>442.6</v>
      </c>
      <c r="I1531" s="5" t="s">
        <v>39</v>
      </c>
      <c r="J1531" s="5">
        <v>10.25576</v>
      </c>
      <c r="K1531" s="5">
        <f t="shared" si="69"/>
        <v>2.5639400000000001</v>
      </c>
      <c r="L1531" s="5">
        <f t="shared" si="70"/>
        <v>75.41</v>
      </c>
      <c r="M1531" s="5" t="s">
        <v>39</v>
      </c>
      <c r="N1531" s="5">
        <v>10.25576</v>
      </c>
      <c r="O1531" s="5" t="s">
        <v>39</v>
      </c>
      <c r="P1531" t="s">
        <v>479</v>
      </c>
      <c r="Q1531" t="s">
        <v>417</v>
      </c>
      <c r="R1531" t="s">
        <v>37</v>
      </c>
      <c r="S1531" t="s">
        <v>418</v>
      </c>
      <c r="T1531" t="s">
        <v>43</v>
      </c>
      <c r="U1531" t="s">
        <v>44</v>
      </c>
      <c r="V1531">
        <v>147</v>
      </c>
      <c r="W1531" t="s">
        <v>45</v>
      </c>
      <c r="X1531" t="s">
        <v>60</v>
      </c>
      <c r="Y1531" t="s">
        <v>419</v>
      </c>
      <c r="Z1531" t="s">
        <v>37</v>
      </c>
      <c r="AA1531" t="s">
        <v>48</v>
      </c>
      <c r="AB1531" t="s">
        <v>37</v>
      </c>
      <c r="AC1531" s="6" t="s">
        <v>37</v>
      </c>
      <c r="AD1531" s="6" t="s">
        <v>37</v>
      </c>
      <c r="AE1531" t="s">
        <v>37</v>
      </c>
      <c r="AF1531" t="s">
        <v>37</v>
      </c>
      <c r="AG1531" s="6" t="s">
        <v>37</v>
      </c>
      <c r="AH1531" t="s">
        <v>37</v>
      </c>
      <c r="AI1531" t="s">
        <v>37</v>
      </c>
      <c r="AJ1531" t="str">
        <f t="shared" si="71"/>
        <v>7SCVG2OTB01N6NGNQ8</v>
      </c>
    </row>
    <row r="1532" spans="1:36" ht="15" customHeight="1" x14ac:dyDescent="0.25">
      <c r="A1532" t="s">
        <v>76</v>
      </c>
      <c r="B1532" t="s">
        <v>37</v>
      </c>
      <c r="C1532" t="s">
        <v>37</v>
      </c>
      <c r="D1532" t="s">
        <v>38</v>
      </c>
      <c r="E1532" s="4">
        <v>182</v>
      </c>
      <c r="F1532" s="5">
        <v>7460.18</v>
      </c>
      <c r="G1532" s="5" t="s">
        <v>39</v>
      </c>
      <c r="H1532" s="5">
        <v>10739.82</v>
      </c>
      <c r="I1532" s="5" t="s">
        <v>39</v>
      </c>
      <c r="J1532" s="5">
        <v>253.64612</v>
      </c>
      <c r="K1532" s="5">
        <f t="shared" si="69"/>
        <v>1.3936599999999999</v>
      </c>
      <c r="L1532" s="5">
        <f t="shared" si="70"/>
        <v>40.99</v>
      </c>
      <c r="M1532" s="5" t="s">
        <v>39</v>
      </c>
      <c r="N1532" s="5">
        <v>253.64612</v>
      </c>
      <c r="O1532" s="5" t="s">
        <v>39</v>
      </c>
      <c r="P1532" t="s">
        <v>1934</v>
      </c>
      <c r="Q1532" t="s">
        <v>1711</v>
      </c>
      <c r="R1532" t="s">
        <v>37</v>
      </c>
      <c r="S1532" t="s">
        <v>1712</v>
      </c>
      <c r="T1532" t="s">
        <v>43</v>
      </c>
      <c r="U1532" t="s">
        <v>44</v>
      </c>
      <c r="V1532">
        <v>147</v>
      </c>
      <c r="W1532" t="s">
        <v>45</v>
      </c>
      <c r="X1532" t="s">
        <v>60</v>
      </c>
      <c r="Y1532" t="s">
        <v>1713</v>
      </c>
      <c r="Z1532" t="s">
        <v>37</v>
      </c>
      <c r="AA1532" t="s">
        <v>55</v>
      </c>
      <c r="AB1532" t="s">
        <v>37</v>
      </c>
      <c r="AC1532" s="6" t="s">
        <v>37</v>
      </c>
      <c r="AD1532" s="6" t="s">
        <v>37</v>
      </c>
      <c r="AE1532" t="s">
        <v>37</v>
      </c>
      <c r="AF1532" t="s">
        <v>37</v>
      </c>
      <c r="AG1532" s="6" t="s">
        <v>37</v>
      </c>
      <c r="AH1532" t="s">
        <v>37</v>
      </c>
      <c r="AI1532" t="s">
        <v>37</v>
      </c>
      <c r="AJ1532" t="str">
        <f t="shared" si="71"/>
        <v>3MGBDEKKB009N6WMOY</v>
      </c>
    </row>
    <row r="1533" spans="1:36" ht="15" customHeight="1" x14ac:dyDescent="0.25">
      <c r="A1533" t="s">
        <v>36</v>
      </c>
      <c r="B1533" t="s">
        <v>37</v>
      </c>
      <c r="C1533" t="s">
        <v>37</v>
      </c>
      <c r="D1533" t="s">
        <v>38</v>
      </c>
      <c r="E1533" s="4">
        <v>200</v>
      </c>
      <c r="F1533" s="5">
        <v>5274</v>
      </c>
      <c r="G1533" s="5" t="s">
        <v>39</v>
      </c>
      <c r="H1533" s="5">
        <v>8850</v>
      </c>
      <c r="I1533" s="5" t="s">
        <v>39</v>
      </c>
      <c r="J1533" s="5">
        <v>179.316</v>
      </c>
      <c r="K1533" s="5">
        <f t="shared" si="69"/>
        <v>0.89658000000000004</v>
      </c>
      <c r="L1533" s="5">
        <f t="shared" si="70"/>
        <v>26.37</v>
      </c>
      <c r="M1533" s="5" t="s">
        <v>39</v>
      </c>
      <c r="N1533" s="5">
        <v>179.316</v>
      </c>
      <c r="O1533" s="5" t="s">
        <v>39</v>
      </c>
      <c r="P1533" t="s">
        <v>270</v>
      </c>
      <c r="Q1533" t="s">
        <v>1935</v>
      </c>
      <c r="R1533" t="s">
        <v>37</v>
      </c>
      <c r="S1533" t="s">
        <v>1936</v>
      </c>
      <c r="T1533" t="s">
        <v>43</v>
      </c>
      <c r="U1533" t="s">
        <v>44</v>
      </c>
      <c r="V1533">
        <v>147</v>
      </c>
      <c r="W1533" t="s">
        <v>45</v>
      </c>
      <c r="X1533" t="s">
        <v>46</v>
      </c>
      <c r="Y1533" t="s">
        <v>66</v>
      </c>
      <c r="Z1533" t="s">
        <v>37</v>
      </c>
      <c r="AA1533" t="s">
        <v>48</v>
      </c>
      <c r="AB1533" t="s">
        <v>37</v>
      </c>
      <c r="AC1533" s="6" t="s">
        <v>37</v>
      </c>
      <c r="AD1533" s="6" t="s">
        <v>37</v>
      </c>
      <c r="AE1533" t="s">
        <v>37</v>
      </c>
      <c r="AF1533" t="s">
        <v>37</v>
      </c>
      <c r="AG1533" s="6" t="s">
        <v>37</v>
      </c>
      <c r="AH1533" t="s">
        <v>37</v>
      </c>
      <c r="AI1533" t="s">
        <v>37</v>
      </c>
      <c r="AJ1533" t="str">
        <f t="shared" si="71"/>
        <v>1X4DXX4TB00PVWZH78</v>
      </c>
    </row>
    <row r="1534" spans="1:36" ht="15" customHeight="1" x14ac:dyDescent="0.25">
      <c r="A1534" t="s">
        <v>36</v>
      </c>
      <c r="B1534" t="s">
        <v>37</v>
      </c>
      <c r="C1534" t="s">
        <v>37</v>
      </c>
      <c r="D1534" t="s">
        <v>38</v>
      </c>
      <c r="E1534" s="4">
        <v>172</v>
      </c>
      <c r="F1534" s="5">
        <v>12614.48</v>
      </c>
      <c r="G1534" s="5" t="s">
        <v>39</v>
      </c>
      <c r="H1534" s="5">
        <v>20442.2</v>
      </c>
      <c r="I1534" s="5" t="s">
        <v>39</v>
      </c>
      <c r="J1534" s="5">
        <v>428.89231999999998</v>
      </c>
      <c r="K1534" s="5">
        <f t="shared" si="69"/>
        <v>2.49356</v>
      </c>
      <c r="L1534" s="5">
        <f t="shared" si="70"/>
        <v>73.34</v>
      </c>
      <c r="M1534" s="5" t="s">
        <v>39</v>
      </c>
      <c r="N1534" s="5">
        <v>428.89231999999998</v>
      </c>
      <c r="O1534" s="5" t="s">
        <v>39</v>
      </c>
      <c r="P1534" t="s">
        <v>168</v>
      </c>
      <c r="Q1534" t="s">
        <v>401</v>
      </c>
      <c r="R1534" t="s">
        <v>37</v>
      </c>
      <c r="S1534" t="s">
        <v>402</v>
      </c>
      <c r="T1534" t="s">
        <v>43</v>
      </c>
      <c r="U1534" t="s">
        <v>44</v>
      </c>
      <c r="V1534">
        <v>147</v>
      </c>
      <c r="W1534" t="s">
        <v>45</v>
      </c>
      <c r="X1534" t="s">
        <v>46</v>
      </c>
      <c r="Y1534" t="s">
        <v>403</v>
      </c>
      <c r="Z1534" t="s">
        <v>37</v>
      </c>
      <c r="AA1534" t="s">
        <v>55</v>
      </c>
      <c r="AB1534" t="s">
        <v>37</v>
      </c>
      <c r="AC1534" s="6" t="s">
        <v>37</v>
      </c>
      <c r="AD1534" s="6" t="s">
        <v>37</v>
      </c>
      <c r="AE1534" t="s">
        <v>37</v>
      </c>
      <c r="AF1534" t="s">
        <v>37</v>
      </c>
      <c r="AG1534" s="6" t="s">
        <v>37</v>
      </c>
      <c r="AH1534" t="s">
        <v>37</v>
      </c>
      <c r="AI1534" t="s">
        <v>37</v>
      </c>
      <c r="AJ1534" t="str">
        <f t="shared" si="71"/>
        <v>2R6FMUZDB07G5XJLWK</v>
      </c>
    </row>
    <row r="1535" spans="1:36" ht="15" customHeight="1" x14ac:dyDescent="0.25">
      <c r="A1535" t="s">
        <v>36</v>
      </c>
      <c r="B1535" t="s">
        <v>37</v>
      </c>
      <c r="C1535" t="s">
        <v>37</v>
      </c>
      <c r="D1535" t="s">
        <v>38</v>
      </c>
      <c r="E1535" s="4">
        <v>4</v>
      </c>
      <c r="F1535" s="5">
        <v>937.92</v>
      </c>
      <c r="G1535" s="5" t="s">
        <v>39</v>
      </c>
      <c r="H1535" s="5">
        <v>1177.04</v>
      </c>
      <c r="I1535" s="5" t="s">
        <v>39</v>
      </c>
      <c r="J1535" s="5">
        <v>31.889279999999999</v>
      </c>
      <c r="K1535" s="5">
        <f t="shared" si="69"/>
        <v>7.9723199999999999</v>
      </c>
      <c r="L1535" s="5">
        <f t="shared" si="70"/>
        <v>234.48</v>
      </c>
      <c r="M1535" s="5" t="s">
        <v>39</v>
      </c>
      <c r="N1535" s="5">
        <v>31.889279999999999</v>
      </c>
      <c r="O1535" s="5" t="s">
        <v>39</v>
      </c>
      <c r="P1535" t="s">
        <v>270</v>
      </c>
      <c r="Q1535" t="s">
        <v>1171</v>
      </c>
      <c r="R1535" t="s">
        <v>37</v>
      </c>
      <c r="S1535" t="s">
        <v>1172</v>
      </c>
      <c r="T1535" t="s">
        <v>43</v>
      </c>
      <c r="U1535" t="s">
        <v>44</v>
      </c>
      <c r="V1535">
        <v>147</v>
      </c>
      <c r="W1535" t="s">
        <v>45</v>
      </c>
      <c r="X1535" t="s">
        <v>46</v>
      </c>
      <c r="Y1535" t="s">
        <v>1173</v>
      </c>
      <c r="Z1535" t="s">
        <v>37</v>
      </c>
      <c r="AA1535" t="s">
        <v>55</v>
      </c>
      <c r="AB1535" t="s">
        <v>37</v>
      </c>
      <c r="AC1535" s="6" t="s">
        <v>37</v>
      </c>
      <c r="AD1535" s="6" t="s">
        <v>37</v>
      </c>
      <c r="AE1535" t="s">
        <v>37</v>
      </c>
      <c r="AF1535" t="s">
        <v>37</v>
      </c>
      <c r="AG1535" s="6" t="s">
        <v>37</v>
      </c>
      <c r="AH1535" t="s">
        <v>37</v>
      </c>
      <c r="AI1535" t="s">
        <v>37</v>
      </c>
      <c r="AJ1535" t="str">
        <f t="shared" si="71"/>
        <v>1X4DXX4TB07TTB3SRB</v>
      </c>
    </row>
    <row r="1536" spans="1:36" ht="15" customHeight="1" x14ac:dyDescent="0.25">
      <c r="A1536" t="s">
        <v>101</v>
      </c>
      <c r="B1536" t="s">
        <v>37</v>
      </c>
      <c r="C1536" t="s">
        <v>37</v>
      </c>
      <c r="D1536" t="s">
        <v>38</v>
      </c>
      <c r="E1536" s="4">
        <v>8</v>
      </c>
      <c r="F1536" s="5">
        <v>1051.04</v>
      </c>
      <c r="G1536" s="5" t="s">
        <v>39</v>
      </c>
      <c r="H1536" s="5">
        <v>2152</v>
      </c>
      <c r="I1536" s="5" t="s">
        <v>39</v>
      </c>
      <c r="J1536" s="5">
        <v>35.73536</v>
      </c>
      <c r="K1536" s="5">
        <f t="shared" si="69"/>
        <v>4.46692</v>
      </c>
      <c r="L1536" s="5">
        <f t="shared" si="70"/>
        <v>131.38</v>
      </c>
      <c r="M1536" s="5" t="s">
        <v>39</v>
      </c>
      <c r="N1536" s="5">
        <v>35.73536</v>
      </c>
      <c r="O1536" s="5" t="s">
        <v>39</v>
      </c>
      <c r="P1536" t="s">
        <v>72</v>
      </c>
      <c r="Q1536" t="s">
        <v>1937</v>
      </c>
      <c r="R1536" t="s">
        <v>37</v>
      </c>
      <c r="S1536" t="s">
        <v>1938</v>
      </c>
      <c r="T1536" t="s">
        <v>43</v>
      </c>
      <c r="U1536" t="s">
        <v>44</v>
      </c>
      <c r="V1536">
        <v>147</v>
      </c>
      <c r="W1536" t="s">
        <v>293</v>
      </c>
      <c r="X1536" t="s">
        <v>294</v>
      </c>
      <c r="Y1536" t="s">
        <v>1939</v>
      </c>
      <c r="Z1536" t="s">
        <v>37</v>
      </c>
      <c r="AA1536" t="s">
        <v>95</v>
      </c>
      <c r="AB1536" t="s">
        <v>37</v>
      </c>
      <c r="AC1536" s="6" t="s">
        <v>37</v>
      </c>
      <c r="AD1536" s="6" t="s">
        <v>37</v>
      </c>
      <c r="AE1536" t="s">
        <v>37</v>
      </c>
      <c r="AF1536" t="s">
        <v>37</v>
      </c>
      <c r="AG1536" s="6" t="s">
        <v>37</v>
      </c>
      <c r="AH1536" t="s">
        <v>37</v>
      </c>
      <c r="AI1536" t="s">
        <v>37</v>
      </c>
      <c r="AJ1536" t="str">
        <f t="shared" si="71"/>
        <v>4GF112AEB07W5JJP7Q</v>
      </c>
    </row>
    <row r="1537" spans="1:36" ht="15" customHeight="1" x14ac:dyDescent="0.25">
      <c r="A1537" t="s">
        <v>62</v>
      </c>
      <c r="B1537" t="s">
        <v>37</v>
      </c>
      <c r="C1537" t="s">
        <v>37</v>
      </c>
      <c r="D1537" t="s">
        <v>38</v>
      </c>
      <c r="E1537" s="4">
        <v>12</v>
      </c>
      <c r="F1537" s="5">
        <v>539.4</v>
      </c>
      <c r="G1537" s="5" t="s">
        <v>39</v>
      </c>
      <c r="H1537" s="5">
        <v>639.24</v>
      </c>
      <c r="I1537" s="5" t="s">
        <v>39</v>
      </c>
      <c r="J1537" s="5">
        <v>18.339600000000001</v>
      </c>
      <c r="K1537" s="5">
        <f t="shared" si="69"/>
        <v>1.5283</v>
      </c>
      <c r="L1537" s="5">
        <f t="shared" si="70"/>
        <v>44.949999999999996</v>
      </c>
      <c r="M1537" s="5" t="s">
        <v>39</v>
      </c>
      <c r="N1537" s="5">
        <v>18.339600000000001</v>
      </c>
      <c r="O1537" s="5" t="s">
        <v>39</v>
      </c>
      <c r="P1537" t="s">
        <v>177</v>
      </c>
      <c r="Q1537" t="s">
        <v>237</v>
      </c>
      <c r="R1537" t="s">
        <v>37</v>
      </c>
      <c r="S1537" t="s">
        <v>238</v>
      </c>
      <c r="T1537" t="s">
        <v>43</v>
      </c>
      <c r="U1537" t="s">
        <v>44</v>
      </c>
      <c r="V1537">
        <v>23</v>
      </c>
      <c r="W1537" t="s">
        <v>45</v>
      </c>
      <c r="X1537" t="s">
        <v>239</v>
      </c>
      <c r="Y1537" t="s">
        <v>240</v>
      </c>
      <c r="Z1537" t="s">
        <v>37</v>
      </c>
      <c r="AA1537" t="s">
        <v>95</v>
      </c>
      <c r="AB1537" t="s">
        <v>37</v>
      </c>
      <c r="AC1537" s="6" t="s">
        <v>37</v>
      </c>
      <c r="AD1537" s="6" t="s">
        <v>37</v>
      </c>
      <c r="AE1537" t="s">
        <v>37</v>
      </c>
      <c r="AF1537" t="s">
        <v>37</v>
      </c>
      <c r="AG1537" s="6" t="s">
        <v>37</v>
      </c>
      <c r="AH1537" t="s">
        <v>37</v>
      </c>
      <c r="AI1537" t="s">
        <v>37</v>
      </c>
      <c r="AJ1537" t="str">
        <f t="shared" si="71"/>
        <v>4F3XMHTVB07W6HDNPG</v>
      </c>
    </row>
    <row r="1538" spans="1:36" ht="15" customHeight="1" x14ac:dyDescent="0.25">
      <c r="A1538" t="s">
        <v>62</v>
      </c>
      <c r="B1538" t="s">
        <v>37</v>
      </c>
      <c r="C1538" t="s">
        <v>37</v>
      </c>
      <c r="D1538" t="s">
        <v>38</v>
      </c>
      <c r="E1538" s="4">
        <v>4</v>
      </c>
      <c r="F1538" s="5">
        <v>179.8</v>
      </c>
      <c r="G1538" s="5" t="s">
        <v>39</v>
      </c>
      <c r="H1538" s="5">
        <v>213.08</v>
      </c>
      <c r="I1538" s="5" t="s">
        <v>39</v>
      </c>
      <c r="J1538" s="5">
        <v>6.1132</v>
      </c>
      <c r="K1538" s="5">
        <f t="shared" si="69"/>
        <v>1.5283</v>
      </c>
      <c r="L1538" s="5">
        <f t="shared" si="70"/>
        <v>44.95</v>
      </c>
      <c r="M1538" s="5" t="s">
        <v>39</v>
      </c>
      <c r="N1538" s="5">
        <v>6.1132</v>
      </c>
      <c r="O1538" s="5" t="s">
        <v>39</v>
      </c>
      <c r="P1538" t="s">
        <v>177</v>
      </c>
      <c r="Q1538" t="s">
        <v>1005</v>
      </c>
      <c r="R1538" t="s">
        <v>37</v>
      </c>
      <c r="S1538" t="s">
        <v>1006</v>
      </c>
      <c r="T1538" t="s">
        <v>43</v>
      </c>
      <c r="U1538" t="s">
        <v>44</v>
      </c>
      <c r="V1538">
        <v>23</v>
      </c>
      <c r="W1538" t="s">
        <v>45</v>
      </c>
      <c r="X1538" t="s">
        <v>239</v>
      </c>
      <c r="Y1538" t="s">
        <v>1007</v>
      </c>
      <c r="Z1538" t="s">
        <v>37</v>
      </c>
      <c r="AA1538" t="s">
        <v>95</v>
      </c>
      <c r="AB1538" t="s">
        <v>37</v>
      </c>
      <c r="AC1538" s="6" t="s">
        <v>37</v>
      </c>
      <c r="AD1538" s="6" t="s">
        <v>37</v>
      </c>
      <c r="AE1538" t="s">
        <v>37</v>
      </c>
      <c r="AF1538" t="s">
        <v>37</v>
      </c>
      <c r="AG1538" s="6" t="s">
        <v>37</v>
      </c>
      <c r="AH1538" t="s">
        <v>37</v>
      </c>
      <c r="AI1538" t="s">
        <v>37</v>
      </c>
      <c r="AJ1538" t="str">
        <f t="shared" si="71"/>
        <v>4F3XMHTVB07W6HDNPF</v>
      </c>
    </row>
    <row r="1539" spans="1:36" ht="15" customHeight="1" x14ac:dyDescent="0.25">
      <c r="A1539" t="s">
        <v>96</v>
      </c>
      <c r="B1539" t="s">
        <v>37</v>
      </c>
      <c r="C1539" t="s">
        <v>37</v>
      </c>
      <c r="D1539" t="s">
        <v>38</v>
      </c>
      <c r="E1539" s="4">
        <v>50</v>
      </c>
      <c r="F1539" s="5">
        <v>1610.5</v>
      </c>
      <c r="G1539" s="5" t="s">
        <v>39</v>
      </c>
      <c r="H1539" s="5">
        <v>2417.5</v>
      </c>
      <c r="I1539" s="5" t="s">
        <v>39</v>
      </c>
      <c r="J1539" s="5">
        <v>54.756999999999998</v>
      </c>
      <c r="K1539" s="5">
        <f t="shared" ref="K1539:K1589" si="72">J1539/E1539</f>
        <v>1.09514</v>
      </c>
      <c r="L1539" s="5">
        <f t="shared" ref="L1539:L1589" si="73">F1539/E1539</f>
        <v>32.21</v>
      </c>
      <c r="M1539" s="5" t="s">
        <v>39</v>
      </c>
      <c r="N1539" s="5">
        <v>54.756999999999998</v>
      </c>
      <c r="O1539" s="5" t="s">
        <v>39</v>
      </c>
      <c r="P1539" t="s">
        <v>195</v>
      </c>
      <c r="Q1539" t="s">
        <v>1348</v>
      </c>
      <c r="R1539" t="s">
        <v>37</v>
      </c>
      <c r="S1539" t="s">
        <v>1349</v>
      </c>
      <c r="T1539" t="s">
        <v>43</v>
      </c>
      <c r="U1539" t="s">
        <v>44</v>
      </c>
      <c r="V1539">
        <v>147</v>
      </c>
      <c r="W1539" t="s">
        <v>45</v>
      </c>
      <c r="X1539" t="s">
        <v>60</v>
      </c>
      <c r="Y1539" t="s">
        <v>1350</v>
      </c>
      <c r="Z1539" t="s">
        <v>37</v>
      </c>
      <c r="AA1539" t="s">
        <v>55</v>
      </c>
      <c r="AB1539" t="s">
        <v>37</v>
      </c>
      <c r="AC1539" s="6" t="s">
        <v>37</v>
      </c>
      <c r="AD1539" s="6" t="s">
        <v>37</v>
      </c>
      <c r="AE1539" t="s">
        <v>37</v>
      </c>
      <c r="AF1539" t="s">
        <v>37</v>
      </c>
      <c r="AG1539" s="6" t="s">
        <v>37</v>
      </c>
      <c r="AH1539" t="s">
        <v>37</v>
      </c>
      <c r="AI1539" t="s">
        <v>37</v>
      </c>
      <c r="AJ1539" t="str">
        <f t="shared" ref="AJ1539:AJ1589" si="74">P1539&amp;Q1539</f>
        <v>5X1OU9ZGB010EPT2X6</v>
      </c>
    </row>
    <row r="1540" spans="1:36" ht="15" customHeight="1" x14ac:dyDescent="0.25">
      <c r="A1540" t="s">
        <v>118</v>
      </c>
      <c r="B1540" t="s">
        <v>37</v>
      </c>
      <c r="C1540" t="s">
        <v>37</v>
      </c>
      <c r="D1540" t="s">
        <v>38</v>
      </c>
      <c r="E1540" s="4">
        <v>0</v>
      </c>
      <c r="F1540" s="5">
        <v>0</v>
      </c>
      <c r="G1540" s="5" t="s">
        <v>39</v>
      </c>
      <c r="H1540" s="5">
        <v>0</v>
      </c>
      <c r="I1540" s="5" t="s">
        <v>39</v>
      </c>
      <c r="J1540" s="5">
        <v>0</v>
      </c>
      <c r="K1540" s="5" t="e">
        <f t="shared" si="72"/>
        <v>#DIV/0!</v>
      </c>
      <c r="L1540" s="5" t="e">
        <f t="shared" si="73"/>
        <v>#DIV/0!</v>
      </c>
      <c r="M1540" s="5" t="s">
        <v>39</v>
      </c>
      <c r="N1540" s="5">
        <v>0</v>
      </c>
      <c r="O1540" s="5" t="s">
        <v>39</v>
      </c>
      <c r="P1540" t="s">
        <v>148</v>
      </c>
      <c r="Q1540" t="s">
        <v>1571</v>
      </c>
      <c r="R1540" t="s">
        <v>37</v>
      </c>
      <c r="S1540" t="s">
        <v>1572</v>
      </c>
      <c r="T1540" t="s">
        <v>43</v>
      </c>
      <c r="U1540" t="s">
        <v>44</v>
      </c>
      <c r="V1540">
        <v>147</v>
      </c>
      <c r="W1540" t="s">
        <v>45</v>
      </c>
      <c r="X1540" t="s">
        <v>60</v>
      </c>
      <c r="Y1540" t="s">
        <v>1573</v>
      </c>
      <c r="Z1540" t="s">
        <v>37</v>
      </c>
      <c r="AA1540" t="s">
        <v>55</v>
      </c>
      <c r="AB1540" t="s">
        <v>37</v>
      </c>
      <c r="AC1540" s="6" t="s">
        <v>37</v>
      </c>
      <c r="AD1540" s="6" t="s">
        <v>37</v>
      </c>
      <c r="AE1540" t="s">
        <v>37</v>
      </c>
      <c r="AF1540" t="s">
        <v>37</v>
      </c>
      <c r="AG1540" s="6" t="s">
        <v>37</v>
      </c>
      <c r="AH1540" t="s">
        <v>37</v>
      </c>
      <c r="AI1540" t="s">
        <v>37</v>
      </c>
      <c r="AJ1540" t="str">
        <f t="shared" si="74"/>
        <v>5FPQ9KSZB07W5JK221</v>
      </c>
    </row>
    <row r="1541" spans="1:36" ht="15" customHeight="1" x14ac:dyDescent="0.25">
      <c r="A1541" t="s">
        <v>162</v>
      </c>
      <c r="B1541" t="s">
        <v>37</v>
      </c>
      <c r="C1541" t="s">
        <v>37</v>
      </c>
      <c r="D1541" t="s">
        <v>38</v>
      </c>
      <c r="E1541" s="4">
        <v>4</v>
      </c>
      <c r="F1541" s="5">
        <v>94.96</v>
      </c>
      <c r="G1541" s="5" t="s">
        <v>39</v>
      </c>
      <c r="H1541" s="5">
        <v>134.4</v>
      </c>
      <c r="I1541" s="5" t="s">
        <v>39</v>
      </c>
      <c r="J1541" s="5">
        <v>3.22864</v>
      </c>
      <c r="K1541" s="5">
        <f t="shared" si="72"/>
        <v>0.80715999999999999</v>
      </c>
      <c r="L1541" s="5">
        <f t="shared" si="73"/>
        <v>23.74</v>
      </c>
      <c r="M1541" s="5" t="s">
        <v>39</v>
      </c>
      <c r="N1541" s="5">
        <v>3.22864</v>
      </c>
      <c r="O1541" s="5" t="s">
        <v>39</v>
      </c>
      <c r="P1541" t="s">
        <v>202</v>
      </c>
      <c r="Q1541" t="s">
        <v>657</v>
      </c>
      <c r="R1541" t="s">
        <v>37</v>
      </c>
      <c r="S1541" t="s">
        <v>658</v>
      </c>
      <c r="T1541" t="s">
        <v>43</v>
      </c>
      <c r="U1541" t="s">
        <v>44</v>
      </c>
      <c r="V1541">
        <v>147</v>
      </c>
      <c r="W1541" t="s">
        <v>45</v>
      </c>
      <c r="X1541" t="s">
        <v>53</v>
      </c>
      <c r="Y1541" t="s">
        <v>659</v>
      </c>
      <c r="Z1541" t="s">
        <v>37</v>
      </c>
      <c r="AA1541" t="s">
        <v>55</v>
      </c>
      <c r="AB1541" t="s">
        <v>37</v>
      </c>
      <c r="AC1541" s="6" t="s">
        <v>37</v>
      </c>
      <c r="AD1541" s="6" t="s">
        <v>37</v>
      </c>
      <c r="AE1541" t="s">
        <v>37</v>
      </c>
      <c r="AF1541" t="s">
        <v>37</v>
      </c>
      <c r="AG1541" s="6" t="s">
        <v>37</v>
      </c>
      <c r="AH1541" t="s">
        <v>37</v>
      </c>
      <c r="AI1541" t="s">
        <v>37</v>
      </c>
      <c r="AJ1541" t="str">
        <f t="shared" si="74"/>
        <v>39TAD6PCB07W5JKFQC</v>
      </c>
    </row>
    <row r="1542" spans="1:36" ht="15" customHeight="1" x14ac:dyDescent="0.25">
      <c r="A1542" t="s">
        <v>1242</v>
      </c>
      <c r="B1542" t="s">
        <v>37</v>
      </c>
      <c r="C1542" t="s">
        <v>37</v>
      </c>
      <c r="D1542" t="s">
        <v>38</v>
      </c>
      <c r="E1542" s="4">
        <v>4</v>
      </c>
      <c r="F1542" s="5">
        <v>301.64</v>
      </c>
      <c r="G1542" s="5" t="s">
        <v>39</v>
      </c>
      <c r="H1542" s="5">
        <v>442.6</v>
      </c>
      <c r="I1542" s="5" t="s">
        <v>39</v>
      </c>
      <c r="J1542" s="5">
        <v>10.25576</v>
      </c>
      <c r="K1542" s="5">
        <f t="shared" si="72"/>
        <v>2.5639400000000001</v>
      </c>
      <c r="L1542" s="5">
        <f t="shared" si="73"/>
        <v>75.41</v>
      </c>
      <c r="M1542" s="5" t="s">
        <v>39</v>
      </c>
      <c r="N1542" s="5">
        <v>10.25576</v>
      </c>
      <c r="O1542" s="5" t="s">
        <v>39</v>
      </c>
      <c r="P1542" t="s">
        <v>968</v>
      </c>
      <c r="Q1542" t="s">
        <v>1940</v>
      </c>
      <c r="R1542" t="s">
        <v>37</v>
      </c>
      <c r="S1542" t="s">
        <v>1941</v>
      </c>
      <c r="T1542" t="s">
        <v>43</v>
      </c>
      <c r="U1542" t="s">
        <v>44</v>
      </c>
      <c r="V1542">
        <v>147</v>
      </c>
      <c r="W1542" t="s">
        <v>45</v>
      </c>
      <c r="X1542" t="s">
        <v>46</v>
      </c>
      <c r="Y1542" t="s">
        <v>1942</v>
      </c>
      <c r="Z1542" t="s">
        <v>37</v>
      </c>
      <c r="AA1542" t="s">
        <v>55</v>
      </c>
      <c r="AB1542" t="s">
        <v>37</v>
      </c>
      <c r="AC1542" s="6" t="s">
        <v>37</v>
      </c>
      <c r="AD1542" s="6" t="s">
        <v>37</v>
      </c>
      <c r="AE1542" t="s">
        <v>37</v>
      </c>
      <c r="AF1542" t="s">
        <v>37</v>
      </c>
      <c r="AG1542" s="6" t="s">
        <v>37</v>
      </c>
      <c r="AH1542" t="s">
        <v>37</v>
      </c>
      <c r="AI1542" t="s">
        <v>37</v>
      </c>
      <c r="AJ1542" t="str">
        <f t="shared" si="74"/>
        <v>7LA8DZCZB07W5JK5MW</v>
      </c>
    </row>
    <row r="1543" spans="1:36" ht="15" customHeight="1" x14ac:dyDescent="0.25">
      <c r="A1543" t="s">
        <v>176</v>
      </c>
      <c r="B1543" t="s">
        <v>37</v>
      </c>
      <c r="C1543" t="s">
        <v>37</v>
      </c>
      <c r="D1543" t="s">
        <v>38</v>
      </c>
      <c r="E1543" s="4">
        <v>0</v>
      </c>
      <c r="F1543" s="5">
        <v>0</v>
      </c>
      <c r="G1543" s="5" t="s">
        <v>39</v>
      </c>
      <c r="H1543" s="5">
        <v>0</v>
      </c>
      <c r="I1543" s="5" t="s">
        <v>39</v>
      </c>
      <c r="J1543" s="5">
        <v>0</v>
      </c>
      <c r="K1543" s="5" t="e">
        <f t="shared" si="72"/>
        <v>#DIV/0!</v>
      </c>
      <c r="L1543" s="5" t="e">
        <f t="shared" si="73"/>
        <v>#DIV/0!</v>
      </c>
      <c r="M1543" s="5" t="s">
        <v>39</v>
      </c>
      <c r="N1543" s="5">
        <v>0</v>
      </c>
      <c r="O1543" s="5" t="s">
        <v>39</v>
      </c>
      <c r="P1543" t="s">
        <v>202</v>
      </c>
      <c r="Q1543" t="s">
        <v>657</v>
      </c>
      <c r="R1543" t="s">
        <v>37</v>
      </c>
      <c r="S1543" t="s">
        <v>658</v>
      </c>
      <c r="T1543" t="s">
        <v>43</v>
      </c>
      <c r="U1543" t="s">
        <v>44</v>
      </c>
      <c r="V1543">
        <v>147</v>
      </c>
      <c r="W1543" t="s">
        <v>45</v>
      </c>
      <c r="X1543" t="s">
        <v>53</v>
      </c>
      <c r="Y1543" t="s">
        <v>659</v>
      </c>
      <c r="Z1543" t="s">
        <v>37</v>
      </c>
      <c r="AA1543" t="s">
        <v>55</v>
      </c>
      <c r="AB1543" t="s">
        <v>37</v>
      </c>
      <c r="AC1543" s="6" t="s">
        <v>37</v>
      </c>
      <c r="AD1543" s="6" t="s">
        <v>37</v>
      </c>
      <c r="AE1543" t="s">
        <v>37</v>
      </c>
      <c r="AF1543" t="s">
        <v>37</v>
      </c>
      <c r="AG1543" s="6" t="s">
        <v>37</v>
      </c>
      <c r="AH1543" t="s">
        <v>37</v>
      </c>
      <c r="AI1543" t="s">
        <v>37</v>
      </c>
      <c r="AJ1543" t="str">
        <f t="shared" si="74"/>
        <v>39TAD6PCB07W5JKFQC</v>
      </c>
    </row>
    <row r="1544" spans="1:36" ht="15" customHeight="1" x14ac:dyDescent="0.25">
      <c r="A1544" t="s">
        <v>62</v>
      </c>
      <c r="B1544" t="s">
        <v>37</v>
      </c>
      <c r="C1544" t="s">
        <v>37</v>
      </c>
      <c r="D1544" t="s">
        <v>38</v>
      </c>
      <c r="E1544" s="4">
        <v>20</v>
      </c>
      <c r="F1544" s="5">
        <v>738.6</v>
      </c>
      <c r="G1544" s="5" t="s">
        <v>39</v>
      </c>
      <c r="H1544" s="5">
        <v>1229.4000000000001</v>
      </c>
      <c r="I1544" s="5" t="s">
        <v>39</v>
      </c>
      <c r="J1544" s="5">
        <v>25.112400000000001</v>
      </c>
      <c r="K1544" s="5">
        <f t="shared" si="72"/>
        <v>1.25562</v>
      </c>
      <c r="L1544" s="5">
        <f t="shared" si="73"/>
        <v>36.93</v>
      </c>
      <c r="M1544" s="5" t="s">
        <v>39</v>
      </c>
      <c r="N1544" s="5">
        <v>25.112400000000001</v>
      </c>
      <c r="O1544" s="5" t="s">
        <v>39</v>
      </c>
      <c r="P1544" t="s">
        <v>426</v>
      </c>
      <c r="Q1544" t="s">
        <v>651</v>
      </c>
      <c r="R1544" t="s">
        <v>37</v>
      </c>
      <c r="S1544" t="s">
        <v>652</v>
      </c>
      <c r="T1544" t="s">
        <v>43</v>
      </c>
      <c r="U1544" t="s">
        <v>44</v>
      </c>
      <c r="V1544">
        <v>147</v>
      </c>
      <c r="W1544" t="s">
        <v>45</v>
      </c>
      <c r="X1544" t="s">
        <v>53</v>
      </c>
      <c r="Y1544" t="s">
        <v>486</v>
      </c>
      <c r="Z1544" t="s">
        <v>37</v>
      </c>
      <c r="AA1544" t="s">
        <v>55</v>
      </c>
      <c r="AB1544" t="s">
        <v>37</v>
      </c>
      <c r="AC1544" s="6" t="s">
        <v>37</v>
      </c>
      <c r="AD1544" s="6" t="s">
        <v>37</v>
      </c>
      <c r="AE1544" t="s">
        <v>37</v>
      </c>
      <c r="AF1544" t="s">
        <v>37</v>
      </c>
      <c r="AG1544" s="6" t="s">
        <v>37</v>
      </c>
      <c r="AH1544" t="s">
        <v>37</v>
      </c>
      <c r="AI1544" t="s">
        <v>37</v>
      </c>
      <c r="AJ1544" t="str">
        <f t="shared" si="74"/>
        <v>3IQS66UGB07W5JHX84</v>
      </c>
    </row>
    <row r="1545" spans="1:36" ht="15" customHeight="1" x14ac:dyDescent="0.25">
      <c r="A1545" t="s">
        <v>62</v>
      </c>
      <c r="B1545" t="s">
        <v>37</v>
      </c>
      <c r="C1545" t="s">
        <v>37</v>
      </c>
      <c r="D1545" t="s">
        <v>38</v>
      </c>
      <c r="E1545" s="4">
        <v>356</v>
      </c>
      <c r="F1545" s="5">
        <v>26845.96</v>
      </c>
      <c r="G1545" s="5" t="s">
        <v>39</v>
      </c>
      <c r="H1545" s="5">
        <v>39391.4</v>
      </c>
      <c r="I1545" s="5" t="s">
        <v>39</v>
      </c>
      <c r="J1545" s="5">
        <v>912.76264000000003</v>
      </c>
      <c r="K1545" s="5">
        <f t="shared" si="72"/>
        <v>2.5639400000000001</v>
      </c>
      <c r="L1545" s="5">
        <f t="shared" si="73"/>
        <v>75.41</v>
      </c>
      <c r="M1545" s="5" t="s">
        <v>39</v>
      </c>
      <c r="N1545" s="5">
        <v>912.76264000000003</v>
      </c>
      <c r="O1545" s="5" t="s">
        <v>39</v>
      </c>
      <c r="P1545" t="s">
        <v>968</v>
      </c>
      <c r="Q1545" t="s">
        <v>1940</v>
      </c>
      <c r="R1545" t="s">
        <v>37</v>
      </c>
      <c r="S1545" t="s">
        <v>1941</v>
      </c>
      <c r="T1545" t="s">
        <v>43</v>
      </c>
      <c r="U1545" t="s">
        <v>44</v>
      </c>
      <c r="V1545">
        <v>147</v>
      </c>
      <c r="W1545" t="s">
        <v>45</v>
      </c>
      <c r="X1545" t="s">
        <v>46</v>
      </c>
      <c r="Y1545" t="s">
        <v>1942</v>
      </c>
      <c r="Z1545" t="s">
        <v>37</v>
      </c>
      <c r="AA1545" t="s">
        <v>55</v>
      </c>
      <c r="AB1545" t="s">
        <v>37</v>
      </c>
      <c r="AC1545" s="6" t="s">
        <v>37</v>
      </c>
      <c r="AD1545" s="6" t="s">
        <v>37</v>
      </c>
      <c r="AE1545" t="s">
        <v>37</v>
      </c>
      <c r="AF1545" t="s">
        <v>37</v>
      </c>
      <c r="AG1545" s="6" t="s">
        <v>37</v>
      </c>
      <c r="AH1545" t="s">
        <v>37</v>
      </c>
      <c r="AI1545" t="s">
        <v>37</v>
      </c>
      <c r="AJ1545" t="str">
        <f t="shared" si="74"/>
        <v>7LA8DZCZB07W5JK5MW</v>
      </c>
    </row>
    <row r="1546" spans="1:36" ht="15" customHeight="1" x14ac:dyDescent="0.25">
      <c r="A1546" t="s">
        <v>127</v>
      </c>
      <c r="B1546" t="s">
        <v>37</v>
      </c>
      <c r="C1546" t="s">
        <v>37</v>
      </c>
      <c r="D1546" t="s">
        <v>38</v>
      </c>
      <c r="E1546" s="4">
        <v>8</v>
      </c>
      <c r="F1546" s="5">
        <v>50.56</v>
      </c>
      <c r="G1546" s="5" t="s">
        <v>39</v>
      </c>
      <c r="H1546" s="5">
        <v>85.2</v>
      </c>
      <c r="I1546" s="5" t="s">
        <v>39</v>
      </c>
      <c r="J1546" s="5">
        <v>1.7190399999999999</v>
      </c>
      <c r="K1546" s="5">
        <f t="shared" si="72"/>
        <v>0.21487999999999999</v>
      </c>
      <c r="L1546" s="5">
        <f t="shared" si="73"/>
        <v>6.32</v>
      </c>
      <c r="M1546" s="5" t="s">
        <v>39</v>
      </c>
      <c r="N1546" s="5">
        <v>1.7190399999999999</v>
      </c>
      <c r="O1546" s="5" t="s">
        <v>39</v>
      </c>
      <c r="P1546" t="s">
        <v>365</v>
      </c>
      <c r="Q1546" t="s">
        <v>981</v>
      </c>
      <c r="R1546" t="s">
        <v>37</v>
      </c>
      <c r="S1546" t="s">
        <v>982</v>
      </c>
      <c r="T1546" t="s">
        <v>43</v>
      </c>
      <c r="U1546" t="s">
        <v>44</v>
      </c>
      <c r="V1546">
        <v>147</v>
      </c>
      <c r="W1546" t="s">
        <v>45</v>
      </c>
      <c r="X1546" t="s">
        <v>53</v>
      </c>
      <c r="Y1546" t="s">
        <v>983</v>
      </c>
      <c r="Z1546" t="s">
        <v>37</v>
      </c>
      <c r="AA1546" t="s">
        <v>95</v>
      </c>
      <c r="AB1546" t="s">
        <v>37</v>
      </c>
      <c r="AC1546" s="6" t="s">
        <v>37</v>
      </c>
      <c r="AD1546" s="6" t="s">
        <v>37</v>
      </c>
      <c r="AE1546" t="s">
        <v>37</v>
      </c>
      <c r="AF1546" t="s">
        <v>37</v>
      </c>
      <c r="AG1546" s="6" t="s">
        <v>37</v>
      </c>
      <c r="AH1546" t="s">
        <v>37</v>
      </c>
      <c r="AI1546" t="s">
        <v>37</v>
      </c>
      <c r="AJ1546" t="str">
        <f t="shared" si="74"/>
        <v>3KYCEHVHB07W6JPM9P</v>
      </c>
    </row>
    <row r="1547" spans="1:36" ht="15" customHeight="1" x14ac:dyDescent="0.25">
      <c r="A1547" t="s">
        <v>36</v>
      </c>
      <c r="B1547" t="s">
        <v>37</v>
      </c>
      <c r="C1547" t="s">
        <v>37</v>
      </c>
      <c r="D1547" t="s">
        <v>38</v>
      </c>
      <c r="E1547" s="4">
        <v>44</v>
      </c>
      <c r="F1547" s="5">
        <v>4620</v>
      </c>
      <c r="G1547" s="5" t="s">
        <v>39</v>
      </c>
      <c r="H1547" s="5">
        <v>7754.12</v>
      </c>
      <c r="I1547" s="5" t="s">
        <v>39</v>
      </c>
      <c r="J1547" s="5">
        <v>157.08000000000001</v>
      </c>
      <c r="K1547" s="5">
        <f t="shared" si="72"/>
        <v>3.5700000000000003</v>
      </c>
      <c r="L1547" s="5">
        <f t="shared" si="73"/>
        <v>105</v>
      </c>
      <c r="M1547" s="5" t="s">
        <v>39</v>
      </c>
      <c r="N1547" s="5">
        <v>157.08000000000001</v>
      </c>
      <c r="O1547" s="5" t="s">
        <v>39</v>
      </c>
      <c r="P1547" t="s">
        <v>270</v>
      </c>
      <c r="Q1547" t="s">
        <v>196</v>
      </c>
      <c r="R1547" t="s">
        <v>37</v>
      </c>
      <c r="S1547" t="s">
        <v>197</v>
      </c>
      <c r="T1547" t="s">
        <v>43</v>
      </c>
      <c r="U1547" t="s">
        <v>44</v>
      </c>
      <c r="V1547">
        <v>147</v>
      </c>
      <c r="W1547" t="s">
        <v>45</v>
      </c>
      <c r="X1547" t="s">
        <v>46</v>
      </c>
      <c r="Y1547" t="s">
        <v>198</v>
      </c>
      <c r="Z1547" t="s">
        <v>37</v>
      </c>
      <c r="AA1547" t="s">
        <v>95</v>
      </c>
      <c r="AB1547" t="s">
        <v>37</v>
      </c>
      <c r="AC1547" s="6" t="s">
        <v>37</v>
      </c>
      <c r="AD1547" s="6" t="s">
        <v>37</v>
      </c>
      <c r="AE1547" t="s">
        <v>37</v>
      </c>
      <c r="AF1547" t="s">
        <v>37</v>
      </c>
      <c r="AG1547" s="6" t="s">
        <v>37</v>
      </c>
      <c r="AH1547" t="s">
        <v>37</v>
      </c>
      <c r="AI1547" t="s">
        <v>37</v>
      </c>
      <c r="AJ1547" t="str">
        <f t="shared" si="74"/>
        <v>1X4DXX4TB07MTY7N22</v>
      </c>
    </row>
    <row r="1548" spans="1:36" ht="15" customHeight="1" x14ac:dyDescent="0.25">
      <c r="A1548" t="s">
        <v>36</v>
      </c>
      <c r="B1548" t="s">
        <v>37</v>
      </c>
      <c r="C1548" t="s">
        <v>37</v>
      </c>
      <c r="D1548" t="s">
        <v>38</v>
      </c>
      <c r="E1548" s="4">
        <v>44</v>
      </c>
      <c r="F1548" s="5">
        <v>278.08</v>
      </c>
      <c r="G1548" s="5" t="s">
        <v>39</v>
      </c>
      <c r="H1548" s="5">
        <v>468.6</v>
      </c>
      <c r="I1548" s="5" t="s">
        <v>39</v>
      </c>
      <c r="J1548" s="5">
        <v>9.45472</v>
      </c>
      <c r="K1548" s="5">
        <f t="shared" si="72"/>
        <v>0.21487999999999999</v>
      </c>
      <c r="L1548" s="5">
        <f t="shared" si="73"/>
        <v>6.3199999999999994</v>
      </c>
      <c r="M1548" s="5" t="s">
        <v>39</v>
      </c>
      <c r="N1548" s="5">
        <v>9.45472</v>
      </c>
      <c r="O1548" s="5" t="s">
        <v>39</v>
      </c>
      <c r="P1548" t="s">
        <v>365</v>
      </c>
      <c r="Q1548" t="s">
        <v>981</v>
      </c>
      <c r="R1548" t="s">
        <v>37</v>
      </c>
      <c r="S1548" t="s">
        <v>982</v>
      </c>
      <c r="T1548" t="s">
        <v>43</v>
      </c>
      <c r="U1548" t="s">
        <v>44</v>
      </c>
      <c r="V1548">
        <v>147</v>
      </c>
      <c r="W1548" t="s">
        <v>45</v>
      </c>
      <c r="X1548" t="s">
        <v>53</v>
      </c>
      <c r="Y1548" t="s">
        <v>983</v>
      </c>
      <c r="Z1548" t="s">
        <v>37</v>
      </c>
      <c r="AA1548" t="s">
        <v>95</v>
      </c>
      <c r="AB1548" t="s">
        <v>37</v>
      </c>
      <c r="AC1548" s="6" t="s">
        <v>37</v>
      </c>
      <c r="AD1548" s="6" t="s">
        <v>37</v>
      </c>
      <c r="AE1548" t="s">
        <v>37</v>
      </c>
      <c r="AF1548" t="s">
        <v>37</v>
      </c>
      <c r="AG1548" s="6" t="s">
        <v>37</v>
      </c>
      <c r="AH1548" t="s">
        <v>37</v>
      </c>
      <c r="AI1548" t="s">
        <v>37</v>
      </c>
      <c r="AJ1548" t="str">
        <f t="shared" si="74"/>
        <v>3KYCEHVHB07W6JPM9P</v>
      </c>
    </row>
    <row r="1549" spans="1:36" ht="15" customHeight="1" x14ac:dyDescent="0.25">
      <c r="A1549" t="s">
        <v>76</v>
      </c>
      <c r="B1549" t="s">
        <v>37</v>
      </c>
      <c r="C1549" t="s">
        <v>37</v>
      </c>
      <c r="D1549" t="s">
        <v>38</v>
      </c>
      <c r="E1549" s="4">
        <v>184</v>
      </c>
      <c r="F1549" s="5">
        <v>6795.12</v>
      </c>
      <c r="G1549" s="5" t="s">
        <v>39</v>
      </c>
      <c r="H1549" s="5">
        <v>11310.48</v>
      </c>
      <c r="I1549" s="5" t="s">
        <v>39</v>
      </c>
      <c r="J1549" s="5">
        <v>231.03407999999999</v>
      </c>
      <c r="K1549" s="5">
        <f t="shared" si="72"/>
        <v>1.25562</v>
      </c>
      <c r="L1549" s="5">
        <f t="shared" si="73"/>
        <v>36.93</v>
      </c>
      <c r="M1549" s="5" t="s">
        <v>39</v>
      </c>
      <c r="N1549" s="5">
        <v>231.03407999999999</v>
      </c>
      <c r="O1549" s="5" t="s">
        <v>39</v>
      </c>
      <c r="P1549" t="s">
        <v>426</v>
      </c>
      <c r="Q1549" t="s">
        <v>651</v>
      </c>
      <c r="R1549" t="s">
        <v>37</v>
      </c>
      <c r="S1549" t="s">
        <v>652</v>
      </c>
      <c r="T1549" t="s">
        <v>43</v>
      </c>
      <c r="U1549" t="s">
        <v>44</v>
      </c>
      <c r="V1549">
        <v>147</v>
      </c>
      <c r="W1549" t="s">
        <v>45</v>
      </c>
      <c r="X1549" t="s">
        <v>53</v>
      </c>
      <c r="Y1549" t="s">
        <v>486</v>
      </c>
      <c r="Z1549" t="s">
        <v>37</v>
      </c>
      <c r="AA1549" t="s">
        <v>55</v>
      </c>
      <c r="AB1549" t="s">
        <v>37</v>
      </c>
      <c r="AC1549" s="6" t="s">
        <v>37</v>
      </c>
      <c r="AD1549" s="6" t="s">
        <v>37</v>
      </c>
      <c r="AE1549" t="s">
        <v>37</v>
      </c>
      <c r="AF1549" t="s">
        <v>37</v>
      </c>
      <c r="AG1549" s="6" t="s">
        <v>37</v>
      </c>
      <c r="AH1549" t="s">
        <v>37</v>
      </c>
      <c r="AI1549" t="s">
        <v>37</v>
      </c>
      <c r="AJ1549" t="str">
        <f t="shared" si="74"/>
        <v>3IQS66UGB07W5JHX84</v>
      </c>
    </row>
    <row r="1550" spans="1:36" ht="15" customHeight="1" x14ac:dyDescent="0.25">
      <c r="A1550" t="s">
        <v>62</v>
      </c>
      <c r="B1550" t="s">
        <v>37</v>
      </c>
      <c r="C1550" t="s">
        <v>37</v>
      </c>
      <c r="D1550" t="s">
        <v>38</v>
      </c>
      <c r="E1550" s="4">
        <v>4</v>
      </c>
      <c r="F1550" s="5">
        <v>179.8</v>
      </c>
      <c r="G1550" s="5" t="s">
        <v>39</v>
      </c>
      <c r="H1550" s="5">
        <v>213.08</v>
      </c>
      <c r="I1550" s="5" t="s">
        <v>39</v>
      </c>
      <c r="J1550" s="5">
        <v>6.1132</v>
      </c>
      <c r="K1550" s="5">
        <f t="shared" si="72"/>
        <v>1.5283</v>
      </c>
      <c r="L1550" s="5">
        <f t="shared" si="73"/>
        <v>44.95</v>
      </c>
      <c r="M1550" s="5" t="s">
        <v>39</v>
      </c>
      <c r="N1550" s="5">
        <v>6.1132</v>
      </c>
      <c r="O1550" s="5" t="s">
        <v>39</v>
      </c>
      <c r="P1550" t="s">
        <v>177</v>
      </c>
      <c r="Q1550" t="s">
        <v>1943</v>
      </c>
      <c r="R1550" t="s">
        <v>37</v>
      </c>
      <c r="S1550" t="s">
        <v>1944</v>
      </c>
      <c r="T1550" t="s">
        <v>43</v>
      </c>
      <c r="U1550" t="s">
        <v>44</v>
      </c>
      <c r="V1550">
        <v>23</v>
      </c>
      <c r="W1550" t="s">
        <v>45</v>
      </c>
      <c r="X1550" t="s">
        <v>239</v>
      </c>
      <c r="Y1550" t="s">
        <v>1945</v>
      </c>
      <c r="Z1550" t="s">
        <v>37</v>
      </c>
      <c r="AA1550" t="s">
        <v>95</v>
      </c>
      <c r="AB1550" t="s">
        <v>37</v>
      </c>
      <c r="AC1550" s="6" t="s">
        <v>37</v>
      </c>
      <c r="AD1550" s="6" t="s">
        <v>37</v>
      </c>
      <c r="AE1550" t="s">
        <v>37</v>
      </c>
      <c r="AF1550" t="s">
        <v>37</v>
      </c>
      <c r="AG1550" s="6" t="s">
        <v>37</v>
      </c>
      <c r="AH1550" t="s">
        <v>37</v>
      </c>
      <c r="AI1550" t="s">
        <v>37</v>
      </c>
      <c r="AJ1550" t="str">
        <f t="shared" si="74"/>
        <v>4F3XMHTVB07W6HLN9H</v>
      </c>
    </row>
    <row r="1551" spans="1:36" ht="15" customHeight="1" x14ac:dyDescent="0.25">
      <c r="A1551" t="s">
        <v>36</v>
      </c>
      <c r="B1551" t="s">
        <v>37</v>
      </c>
      <c r="C1551" t="s">
        <v>37</v>
      </c>
      <c r="D1551" t="s">
        <v>38</v>
      </c>
      <c r="E1551" s="4">
        <v>20</v>
      </c>
      <c r="F1551" s="5">
        <v>4689.6000000000004</v>
      </c>
      <c r="G1551" s="5" t="s">
        <v>39</v>
      </c>
      <c r="H1551" s="5">
        <v>5885.2</v>
      </c>
      <c r="I1551" s="5" t="s">
        <v>39</v>
      </c>
      <c r="J1551" s="5">
        <v>159.44640000000001</v>
      </c>
      <c r="K1551" s="5">
        <f t="shared" si="72"/>
        <v>7.9723200000000007</v>
      </c>
      <c r="L1551" s="5">
        <f t="shared" si="73"/>
        <v>234.48000000000002</v>
      </c>
      <c r="M1551" s="5" t="s">
        <v>39</v>
      </c>
      <c r="N1551" s="5">
        <v>159.44640000000001</v>
      </c>
      <c r="O1551" s="5" t="s">
        <v>39</v>
      </c>
      <c r="P1551" t="s">
        <v>67</v>
      </c>
      <c r="Q1551" t="s">
        <v>1063</v>
      </c>
      <c r="R1551" t="s">
        <v>37</v>
      </c>
      <c r="S1551" t="s">
        <v>1064</v>
      </c>
      <c r="T1551" t="s">
        <v>43</v>
      </c>
      <c r="U1551" t="s">
        <v>44</v>
      </c>
      <c r="V1551">
        <v>147</v>
      </c>
      <c r="W1551" t="s">
        <v>45</v>
      </c>
      <c r="X1551" t="s">
        <v>46</v>
      </c>
      <c r="Y1551" t="s">
        <v>1065</v>
      </c>
      <c r="Z1551" t="s">
        <v>37</v>
      </c>
      <c r="AA1551" t="s">
        <v>55</v>
      </c>
      <c r="AB1551" t="s">
        <v>37</v>
      </c>
      <c r="AC1551" s="6" t="s">
        <v>37</v>
      </c>
      <c r="AD1551" s="6" t="s">
        <v>37</v>
      </c>
      <c r="AE1551" t="s">
        <v>37</v>
      </c>
      <c r="AF1551" t="s">
        <v>37</v>
      </c>
      <c r="AG1551" s="6" t="s">
        <v>37</v>
      </c>
      <c r="AH1551" t="s">
        <v>37</v>
      </c>
      <c r="AI1551" t="s">
        <v>37</v>
      </c>
      <c r="AJ1551" t="str">
        <f t="shared" si="74"/>
        <v>2TMBDXBKB07TTB3SR2</v>
      </c>
    </row>
    <row r="1552" spans="1:36" ht="15" customHeight="1" x14ac:dyDescent="0.25">
      <c r="A1552" t="s">
        <v>504</v>
      </c>
      <c r="B1552" t="s">
        <v>37</v>
      </c>
      <c r="C1552" t="s">
        <v>37</v>
      </c>
      <c r="D1552" t="s">
        <v>38</v>
      </c>
      <c r="E1552" s="4">
        <v>660</v>
      </c>
      <c r="F1552" s="5">
        <v>145906.20000000001</v>
      </c>
      <c r="G1552" s="5" t="s">
        <v>39</v>
      </c>
      <c r="H1552" s="5">
        <v>221799.6</v>
      </c>
      <c r="I1552" s="5" t="s">
        <v>39</v>
      </c>
      <c r="J1552" s="5">
        <v>4960.8108000000002</v>
      </c>
      <c r="K1552" s="5">
        <f t="shared" si="72"/>
        <v>7.5163800000000007</v>
      </c>
      <c r="L1552" s="5">
        <f t="shared" si="73"/>
        <v>221.07000000000002</v>
      </c>
      <c r="M1552" s="5" t="s">
        <v>39</v>
      </c>
      <c r="N1552" s="5">
        <v>4960.8108000000002</v>
      </c>
      <c r="O1552" s="5" t="s">
        <v>39</v>
      </c>
      <c r="P1552" t="s">
        <v>97</v>
      </c>
      <c r="Q1552" t="s">
        <v>298</v>
      </c>
      <c r="R1552" t="s">
        <v>37</v>
      </c>
      <c r="S1552" t="s">
        <v>299</v>
      </c>
      <c r="T1552" t="s">
        <v>43</v>
      </c>
      <c r="U1552" t="s">
        <v>44</v>
      </c>
      <c r="V1552">
        <v>147</v>
      </c>
      <c r="W1552" t="s">
        <v>45</v>
      </c>
      <c r="X1552" t="s">
        <v>46</v>
      </c>
      <c r="Y1552" t="s">
        <v>300</v>
      </c>
      <c r="Z1552" t="s">
        <v>37</v>
      </c>
      <c r="AA1552" t="s">
        <v>55</v>
      </c>
      <c r="AB1552" t="s">
        <v>37</v>
      </c>
      <c r="AC1552" s="6" t="s">
        <v>37</v>
      </c>
      <c r="AD1552" s="6" t="s">
        <v>37</v>
      </c>
      <c r="AE1552" t="s">
        <v>37</v>
      </c>
      <c r="AF1552" t="s">
        <v>37</v>
      </c>
      <c r="AG1552" s="6" t="s">
        <v>37</v>
      </c>
      <c r="AH1552" t="s">
        <v>37</v>
      </c>
      <c r="AI1552" t="s">
        <v>37</v>
      </c>
      <c r="AJ1552" t="str">
        <f t="shared" si="74"/>
        <v>7EMS2FPGB00YUIM2J0</v>
      </c>
    </row>
    <row r="1553" spans="1:36" ht="15" customHeight="1" x14ac:dyDescent="0.25">
      <c r="A1553" t="s">
        <v>36</v>
      </c>
      <c r="B1553" t="s">
        <v>37</v>
      </c>
      <c r="C1553" t="s">
        <v>37</v>
      </c>
      <c r="D1553" t="s">
        <v>38</v>
      </c>
      <c r="E1553" s="4">
        <v>4</v>
      </c>
      <c r="F1553" s="5">
        <v>230.04</v>
      </c>
      <c r="G1553" s="5" t="s">
        <v>39</v>
      </c>
      <c r="H1553" s="5">
        <v>390.16</v>
      </c>
      <c r="I1553" s="5" t="s">
        <v>39</v>
      </c>
      <c r="J1553" s="5">
        <v>7.8213600000000003</v>
      </c>
      <c r="K1553" s="5">
        <f t="shared" si="72"/>
        <v>1.9553400000000001</v>
      </c>
      <c r="L1553" s="5">
        <f t="shared" si="73"/>
        <v>57.51</v>
      </c>
      <c r="M1553" s="5" t="s">
        <v>39</v>
      </c>
      <c r="N1553" s="5">
        <v>7.8213600000000003</v>
      </c>
      <c r="O1553" s="5" t="s">
        <v>39</v>
      </c>
      <c r="P1553" t="s">
        <v>365</v>
      </c>
      <c r="Q1553" t="s">
        <v>745</v>
      </c>
      <c r="R1553" t="s">
        <v>37</v>
      </c>
      <c r="S1553" t="s">
        <v>746</v>
      </c>
      <c r="T1553" t="s">
        <v>43</v>
      </c>
      <c r="U1553" t="s">
        <v>44</v>
      </c>
      <c r="V1553">
        <v>147</v>
      </c>
      <c r="W1553" t="s">
        <v>45</v>
      </c>
      <c r="X1553" t="s">
        <v>46</v>
      </c>
      <c r="Y1553" t="s">
        <v>747</v>
      </c>
      <c r="Z1553" t="s">
        <v>37</v>
      </c>
      <c r="AA1553" t="s">
        <v>48</v>
      </c>
      <c r="AB1553" t="s">
        <v>37</v>
      </c>
      <c r="AC1553" s="6" t="s">
        <v>37</v>
      </c>
      <c r="AD1553" s="6" t="s">
        <v>37</v>
      </c>
      <c r="AE1553" t="s">
        <v>37</v>
      </c>
      <c r="AF1553" t="s">
        <v>37</v>
      </c>
      <c r="AG1553" s="6" t="s">
        <v>37</v>
      </c>
      <c r="AH1553" t="s">
        <v>37</v>
      </c>
      <c r="AI1553" t="s">
        <v>37</v>
      </c>
      <c r="AJ1553" t="str">
        <f t="shared" si="74"/>
        <v>3KYCEHVHB01MFBNN9J</v>
      </c>
    </row>
    <row r="1554" spans="1:36" ht="15" customHeight="1" x14ac:dyDescent="0.25">
      <c r="A1554" t="s">
        <v>96</v>
      </c>
      <c r="B1554" t="s">
        <v>37</v>
      </c>
      <c r="C1554" t="s">
        <v>37</v>
      </c>
      <c r="D1554" t="s">
        <v>38</v>
      </c>
      <c r="E1554" s="4">
        <v>60</v>
      </c>
      <c r="F1554" s="5">
        <v>13264.2</v>
      </c>
      <c r="G1554" s="5" t="s">
        <v>39</v>
      </c>
      <c r="H1554" s="5">
        <v>20163.599999999999</v>
      </c>
      <c r="I1554" s="5" t="s">
        <v>39</v>
      </c>
      <c r="J1554" s="5">
        <v>450.9828</v>
      </c>
      <c r="K1554" s="5">
        <f t="shared" si="72"/>
        <v>7.5163799999999998</v>
      </c>
      <c r="L1554" s="5">
        <f t="shared" si="73"/>
        <v>221.07000000000002</v>
      </c>
      <c r="M1554" s="5" t="s">
        <v>39</v>
      </c>
      <c r="N1554" s="5">
        <v>450.9828</v>
      </c>
      <c r="O1554" s="5" t="s">
        <v>39</v>
      </c>
      <c r="P1554" t="s">
        <v>97</v>
      </c>
      <c r="Q1554" t="s">
        <v>298</v>
      </c>
      <c r="R1554" t="s">
        <v>37</v>
      </c>
      <c r="S1554" t="s">
        <v>299</v>
      </c>
      <c r="T1554" t="s">
        <v>43</v>
      </c>
      <c r="U1554" t="s">
        <v>44</v>
      </c>
      <c r="V1554">
        <v>147</v>
      </c>
      <c r="W1554" t="s">
        <v>45</v>
      </c>
      <c r="X1554" t="s">
        <v>46</v>
      </c>
      <c r="Y1554" t="s">
        <v>300</v>
      </c>
      <c r="Z1554" t="s">
        <v>37</v>
      </c>
      <c r="AA1554" t="s">
        <v>55</v>
      </c>
      <c r="AB1554" t="s">
        <v>37</v>
      </c>
      <c r="AC1554" s="6" t="s">
        <v>37</v>
      </c>
      <c r="AD1554" s="6" t="s">
        <v>37</v>
      </c>
      <c r="AE1554" t="s">
        <v>37</v>
      </c>
      <c r="AF1554" t="s">
        <v>37</v>
      </c>
      <c r="AG1554" s="6" t="s">
        <v>37</v>
      </c>
      <c r="AH1554" t="s">
        <v>37</v>
      </c>
      <c r="AI1554" t="s">
        <v>37</v>
      </c>
      <c r="AJ1554" t="str">
        <f t="shared" si="74"/>
        <v>7EMS2FPGB00YUIM2J0</v>
      </c>
    </row>
    <row r="1555" spans="1:36" ht="15" customHeight="1" x14ac:dyDescent="0.25">
      <c r="A1555" t="s">
        <v>36</v>
      </c>
      <c r="B1555" t="s">
        <v>37</v>
      </c>
      <c r="C1555" t="s">
        <v>37</v>
      </c>
      <c r="D1555" t="s">
        <v>38</v>
      </c>
      <c r="E1555" s="4">
        <v>496</v>
      </c>
      <c r="F1555" s="5">
        <v>11775.04</v>
      </c>
      <c r="G1555" s="5" t="s">
        <v>39</v>
      </c>
      <c r="H1555" s="5">
        <v>16665.599999999999</v>
      </c>
      <c r="I1555" s="5" t="s">
        <v>39</v>
      </c>
      <c r="J1555" s="5">
        <v>400.35136</v>
      </c>
      <c r="K1555" s="5">
        <f t="shared" si="72"/>
        <v>0.80715999999999999</v>
      </c>
      <c r="L1555" s="5">
        <f t="shared" si="73"/>
        <v>23.740000000000002</v>
      </c>
      <c r="M1555" s="5" t="s">
        <v>39</v>
      </c>
      <c r="N1555" s="5">
        <v>400.35136</v>
      </c>
      <c r="O1555" s="5" t="s">
        <v>39</v>
      </c>
      <c r="P1555" t="s">
        <v>202</v>
      </c>
      <c r="Q1555" t="s">
        <v>657</v>
      </c>
      <c r="R1555" t="s">
        <v>37</v>
      </c>
      <c r="S1555" t="s">
        <v>658</v>
      </c>
      <c r="T1555" t="s">
        <v>43</v>
      </c>
      <c r="U1555" t="s">
        <v>44</v>
      </c>
      <c r="V1555">
        <v>147</v>
      </c>
      <c r="W1555" t="s">
        <v>45</v>
      </c>
      <c r="X1555" t="s">
        <v>53</v>
      </c>
      <c r="Y1555" t="s">
        <v>659</v>
      </c>
      <c r="Z1555" t="s">
        <v>37</v>
      </c>
      <c r="AA1555" t="s">
        <v>55</v>
      </c>
      <c r="AB1555" t="s">
        <v>37</v>
      </c>
      <c r="AC1555" s="6" t="s">
        <v>37</v>
      </c>
      <c r="AD1555" s="6" t="s">
        <v>37</v>
      </c>
      <c r="AE1555" t="s">
        <v>37</v>
      </c>
      <c r="AF1555" t="s">
        <v>37</v>
      </c>
      <c r="AG1555" s="6" t="s">
        <v>37</v>
      </c>
      <c r="AH1555" t="s">
        <v>37</v>
      </c>
      <c r="AI1555" t="s">
        <v>37</v>
      </c>
      <c r="AJ1555" t="str">
        <f t="shared" si="74"/>
        <v>39TAD6PCB07W5JKFQC</v>
      </c>
    </row>
    <row r="1556" spans="1:36" ht="15" customHeight="1" x14ac:dyDescent="0.25">
      <c r="A1556" t="s">
        <v>127</v>
      </c>
      <c r="B1556" t="s">
        <v>37</v>
      </c>
      <c r="C1556" t="s">
        <v>37</v>
      </c>
      <c r="D1556" t="s">
        <v>38</v>
      </c>
      <c r="E1556" s="4">
        <v>12</v>
      </c>
      <c r="F1556" s="5">
        <v>284.88</v>
      </c>
      <c r="G1556" s="5" t="s">
        <v>39</v>
      </c>
      <c r="H1556" s="5">
        <v>403.2</v>
      </c>
      <c r="I1556" s="5" t="s">
        <v>39</v>
      </c>
      <c r="J1556" s="5">
        <v>9.6859199999999994</v>
      </c>
      <c r="K1556" s="5">
        <f t="shared" si="72"/>
        <v>0.80715999999999999</v>
      </c>
      <c r="L1556" s="5">
        <f t="shared" si="73"/>
        <v>23.74</v>
      </c>
      <c r="M1556" s="5" t="s">
        <v>39</v>
      </c>
      <c r="N1556" s="5">
        <v>9.6859199999999994</v>
      </c>
      <c r="O1556" s="5" t="s">
        <v>39</v>
      </c>
      <c r="P1556" t="s">
        <v>202</v>
      </c>
      <c r="Q1556" t="s">
        <v>657</v>
      </c>
      <c r="R1556" t="s">
        <v>37</v>
      </c>
      <c r="S1556" t="s">
        <v>658</v>
      </c>
      <c r="T1556" t="s">
        <v>43</v>
      </c>
      <c r="U1556" t="s">
        <v>44</v>
      </c>
      <c r="V1556">
        <v>147</v>
      </c>
      <c r="W1556" t="s">
        <v>45</v>
      </c>
      <c r="X1556" t="s">
        <v>53</v>
      </c>
      <c r="Y1556" t="s">
        <v>659</v>
      </c>
      <c r="Z1556" t="s">
        <v>37</v>
      </c>
      <c r="AA1556" t="s">
        <v>55</v>
      </c>
      <c r="AB1556" t="s">
        <v>37</v>
      </c>
      <c r="AC1556" s="6" t="s">
        <v>37</v>
      </c>
      <c r="AD1556" s="6" t="s">
        <v>37</v>
      </c>
      <c r="AE1556" t="s">
        <v>37</v>
      </c>
      <c r="AF1556" t="s">
        <v>37</v>
      </c>
      <c r="AG1556" s="6" t="s">
        <v>37</v>
      </c>
      <c r="AH1556" t="s">
        <v>37</v>
      </c>
      <c r="AI1556" t="s">
        <v>37</v>
      </c>
      <c r="AJ1556" t="str">
        <f t="shared" si="74"/>
        <v>39TAD6PCB07W5JKFQC</v>
      </c>
    </row>
    <row r="1557" spans="1:36" ht="15" customHeight="1" x14ac:dyDescent="0.25">
      <c r="A1557" t="s">
        <v>101</v>
      </c>
      <c r="B1557" t="s">
        <v>37</v>
      </c>
      <c r="C1557" t="s">
        <v>37</v>
      </c>
      <c r="D1557" t="s">
        <v>38</v>
      </c>
      <c r="E1557" s="4">
        <v>20</v>
      </c>
      <c r="F1557" s="5">
        <v>1160</v>
      </c>
      <c r="G1557" s="5" t="s">
        <v>39</v>
      </c>
      <c r="H1557" s="5">
        <v>1704.8</v>
      </c>
      <c r="I1557" s="5" t="s">
        <v>39</v>
      </c>
      <c r="J1557" s="5">
        <v>39.44</v>
      </c>
      <c r="K1557" s="5">
        <f t="shared" si="72"/>
        <v>1.972</v>
      </c>
      <c r="L1557" s="5">
        <f t="shared" si="73"/>
        <v>58</v>
      </c>
      <c r="M1557" s="5" t="s">
        <v>39</v>
      </c>
      <c r="N1557" s="5">
        <v>39.44</v>
      </c>
      <c r="O1557" s="5" t="s">
        <v>39</v>
      </c>
      <c r="P1557" t="s">
        <v>274</v>
      </c>
      <c r="Q1557" t="s">
        <v>575</v>
      </c>
      <c r="R1557" t="s">
        <v>37</v>
      </c>
      <c r="S1557" t="s">
        <v>576</v>
      </c>
      <c r="T1557" t="s">
        <v>43</v>
      </c>
      <c r="U1557" t="s">
        <v>44</v>
      </c>
      <c r="V1557">
        <v>147</v>
      </c>
      <c r="W1557" t="s">
        <v>45</v>
      </c>
      <c r="X1557" t="s">
        <v>53</v>
      </c>
      <c r="Y1557" t="s">
        <v>577</v>
      </c>
      <c r="Z1557" t="s">
        <v>37</v>
      </c>
      <c r="AA1557" t="s">
        <v>55</v>
      </c>
      <c r="AB1557" t="s">
        <v>37</v>
      </c>
      <c r="AC1557" s="6" t="s">
        <v>37</v>
      </c>
      <c r="AD1557" s="6" t="s">
        <v>37</v>
      </c>
      <c r="AE1557" t="s">
        <v>37</v>
      </c>
      <c r="AF1557" t="s">
        <v>37</v>
      </c>
      <c r="AG1557" s="6" t="s">
        <v>37</v>
      </c>
      <c r="AH1557" t="s">
        <v>37</v>
      </c>
      <c r="AI1557" t="s">
        <v>37</v>
      </c>
      <c r="AJ1557" t="str">
        <f t="shared" si="74"/>
        <v>4LYATDUXB07W7KCF3W</v>
      </c>
    </row>
    <row r="1558" spans="1:36" ht="15" customHeight="1" x14ac:dyDescent="0.25">
      <c r="A1558" t="s">
        <v>101</v>
      </c>
      <c r="B1558" t="s">
        <v>37</v>
      </c>
      <c r="C1558" t="s">
        <v>37</v>
      </c>
      <c r="D1558" t="s">
        <v>38</v>
      </c>
      <c r="E1558" s="4">
        <v>24</v>
      </c>
      <c r="F1558" s="5">
        <v>562.08000000000004</v>
      </c>
      <c r="G1558" s="5" t="s">
        <v>39</v>
      </c>
      <c r="H1558" s="5">
        <v>865.44</v>
      </c>
      <c r="I1558" s="5" t="s">
        <v>39</v>
      </c>
      <c r="J1558" s="5">
        <v>19.110720000000001</v>
      </c>
      <c r="K1558" s="5">
        <f t="shared" si="72"/>
        <v>0.79627999999999999</v>
      </c>
      <c r="L1558" s="5">
        <f t="shared" si="73"/>
        <v>23.42</v>
      </c>
      <c r="M1558" s="5" t="s">
        <v>39</v>
      </c>
      <c r="N1558" s="5">
        <v>19.110720000000001</v>
      </c>
      <c r="O1558" s="5" t="s">
        <v>39</v>
      </c>
      <c r="P1558" t="s">
        <v>748</v>
      </c>
      <c r="Q1558" t="s">
        <v>362</v>
      </c>
      <c r="R1558" t="s">
        <v>37</v>
      </c>
      <c r="S1558" t="s">
        <v>363</v>
      </c>
      <c r="T1558" t="s">
        <v>43</v>
      </c>
      <c r="U1558" t="s">
        <v>44</v>
      </c>
      <c r="V1558">
        <v>147</v>
      </c>
      <c r="W1558" t="s">
        <v>45</v>
      </c>
      <c r="X1558" t="s">
        <v>60</v>
      </c>
      <c r="Y1558" t="s">
        <v>364</v>
      </c>
      <c r="Z1558" t="s">
        <v>37</v>
      </c>
      <c r="AA1558" t="s">
        <v>55</v>
      </c>
      <c r="AB1558" t="s">
        <v>37</v>
      </c>
      <c r="AC1558" s="6" t="s">
        <v>37</v>
      </c>
      <c r="AD1558" s="6" t="s">
        <v>37</v>
      </c>
      <c r="AE1558" t="s">
        <v>37</v>
      </c>
      <c r="AF1558" t="s">
        <v>37</v>
      </c>
      <c r="AG1558" s="6" t="s">
        <v>37</v>
      </c>
      <c r="AH1558" t="s">
        <v>37</v>
      </c>
      <c r="AI1558" t="s">
        <v>37</v>
      </c>
      <c r="AJ1558" t="str">
        <f t="shared" si="74"/>
        <v>74WI6EYDB01DKGAQNG</v>
      </c>
    </row>
    <row r="1559" spans="1:36" ht="15" customHeight="1" x14ac:dyDescent="0.25">
      <c r="A1559" t="s">
        <v>62</v>
      </c>
      <c r="B1559" t="s">
        <v>37</v>
      </c>
      <c r="C1559" t="s">
        <v>37</v>
      </c>
      <c r="D1559" t="s">
        <v>38</v>
      </c>
      <c r="E1559" s="4">
        <v>50</v>
      </c>
      <c r="F1559" s="5">
        <v>1610.5</v>
      </c>
      <c r="G1559" s="5" t="s">
        <v>39</v>
      </c>
      <c r="H1559" s="5">
        <v>2417.5</v>
      </c>
      <c r="I1559" s="5" t="s">
        <v>39</v>
      </c>
      <c r="J1559" s="5">
        <v>54.756999999999998</v>
      </c>
      <c r="K1559" s="5">
        <f t="shared" si="72"/>
        <v>1.09514</v>
      </c>
      <c r="L1559" s="5">
        <f t="shared" si="73"/>
        <v>32.21</v>
      </c>
      <c r="M1559" s="5" t="s">
        <v>39</v>
      </c>
      <c r="N1559" s="5">
        <v>54.756999999999998</v>
      </c>
      <c r="O1559" s="5" t="s">
        <v>39</v>
      </c>
      <c r="P1559" t="s">
        <v>177</v>
      </c>
      <c r="Q1559" t="s">
        <v>616</v>
      </c>
      <c r="R1559" t="s">
        <v>37</v>
      </c>
      <c r="S1559" t="s">
        <v>617</v>
      </c>
      <c r="T1559" t="s">
        <v>43</v>
      </c>
      <c r="U1559" t="s">
        <v>44</v>
      </c>
      <c r="V1559">
        <v>147</v>
      </c>
      <c r="W1559" t="s">
        <v>45</v>
      </c>
      <c r="X1559" t="s">
        <v>60</v>
      </c>
      <c r="Y1559" t="s">
        <v>618</v>
      </c>
      <c r="Z1559" t="s">
        <v>37</v>
      </c>
      <c r="AA1559" t="s">
        <v>48</v>
      </c>
      <c r="AB1559" t="s">
        <v>37</v>
      </c>
      <c r="AC1559" s="6" t="s">
        <v>37</v>
      </c>
      <c r="AD1559" s="6" t="s">
        <v>37</v>
      </c>
      <c r="AE1559" t="s">
        <v>37</v>
      </c>
      <c r="AF1559" t="s">
        <v>37</v>
      </c>
      <c r="AG1559" s="6" t="s">
        <v>37</v>
      </c>
      <c r="AH1559" t="s">
        <v>37</v>
      </c>
      <c r="AI1559" t="s">
        <v>37</v>
      </c>
      <c r="AJ1559" t="str">
        <f t="shared" si="74"/>
        <v>4F3XMHTVB00XJ3LVPI</v>
      </c>
    </row>
    <row r="1560" spans="1:36" ht="15" customHeight="1" x14ac:dyDescent="0.25">
      <c r="A1560" t="s">
        <v>411</v>
      </c>
      <c r="B1560" t="s">
        <v>37</v>
      </c>
      <c r="C1560" t="s">
        <v>37</v>
      </c>
      <c r="D1560" t="s">
        <v>38</v>
      </c>
      <c r="E1560" s="4">
        <v>8</v>
      </c>
      <c r="F1560" s="5">
        <v>598.72</v>
      </c>
      <c r="G1560" s="5" t="s">
        <v>39</v>
      </c>
      <c r="H1560" s="5">
        <v>911.44</v>
      </c>
      <c r="I1560" s="5" t="s">
        <v>39</v>
      </c>
      <c r="J1560" s="5">
        <v>20.356480000000001</v>
      </c>
      <c r="K1560" s="5">
        <f t="shared" si="72"/>
        <v>2.5445600000000002</v>
      </c>
      <c r="L1560" s="5">
        <f t="shared" si="73"/>
        <v>74.84</v>
      </c>
      <c r="M1560" s="5" t="s">
        <v>39</v>
      </c>
      <c r="N1560" s="5">
        <v>20.356480000000001</v>
      </c>
      <c r="O1560" s="5" t="s">
        <v>39</v>
      </c>
      <c r="P1560" t="s">
        <v>336</v>
      </c>
      <c r="Q1560" t="s">
        <v>1788</v>
      </c>
      <c r="R1560" t="s">
        <v>37</v>
      </c>
      <c r="S1560" t="s">
        <v>1789</v>
      </c>
      <c r="T1560" t="s">
        <v>43</v>
      </c>
      <c r="U1560" t="s">
        <v>44</v>
      </c>
      <c r="V1560">
        <v>147</v>
      </c>
      <c r="W1560" t="s">
        <v>45</v>
      </c>
      <c r="X1560" t="s">
        <v>46</v>
      </c>
      <c r="Y1560" t="s">
        <v>1790</v>
      </c>
      <c r="Z1560" t="s">
        <v>37</v>
      </c>
      <c r="AA1560" t="s">
        <v>55</v>
      </c>
      <c r="AB1560" t="s">
        <v>37</v>
      </c>
      <c r="AC1560" s="6" t="s">
        <v>37</v>
      </c>
      <c r="AD1560" s="6" t="s">
        <v>37</v>
      </c>
      <c r="AE1560" t="s">
        <v>37</v>
      </c>
      <c r="AF1560" t="s">
        <v>37</v>
      </c>
      <c r="AG1560" s="6" t="s">
        <v>37</v>
      </c>
      <c r="AH1560" t="s">
        <v>37</v>
      </c>
      <c r="AI1560" t="s">
        <v>37</v>
      </c>
      <c r="AJ1560" t="str">
        <f t="shared" si="74"/>
        <v>3OB2IUIKB07W7LB4T7</v>
      </c>
    </row>
    <row r="1561" spans="1:36" ht="15" customHeight="1" x14ac:dyDescent="0.25">
      <c r="A1561" t="s">
        <v>411</v>
      </c>
      <c r="B1561" t="s">
        <v>37</v>
      </c>
      <c r="C1561" t="s">
        <v>37</v>
      </c>
      <c r="D1561" t="s">
        <v>38</v>
      </c>
      <c r="E1561" s="4">
        <v>4</v>
      </c>
      <c r="F1561" s="5">
        <v>179.36</v>
      </c>
      <c r="G1561" s="5" t="s">
        <v>39</v>
      </c>
      <c r="H1561" s="5">
        <v>288.48</v>
      </c>
      <c r="I1561" s="5" t="s">
        <v>39</v>
      </c>
      <c r="J1561" s="5">
        <v>6.0982399999999997</v>
      </c>
      <c r="K1561" s="5">
        <f t="shared" si="72"/>
        <v>1.5245599999999999</v>
      </c>
      <c r="L1561" s="5">
        <f t="shared" si="73"/>
        <v>44.84</v>
      </c>
      <c r="M1561" s="5" t="s">
        <v>39</v>
      </c>
      <c r="N1561" s="5">
        <v>6.0982399999999997</v>
      </c>
      <c r="O1561" s="5" t="s">
        <v>39</v>
      </c>
      <c r="P1561" t="s">
        <v>412</v>
      </c>
      <c r="Q1561" t="s">
        <v>878</v>
      </c>
      <c r="R1561" t="s">
        <v>37</v>
      </c>
      <c r="S1561" t="s">
        <v>879</v>
      </c>
      <c r="T1561" t="s">
        <v>43</v>
      </c>
      <c r="U1561" t="s">
        <v>44</v>
      </c>
      <c r="V1561">
        <v>147</v>
      </c>
      <c r="W1561" t="s">
        <v>45</v>
      </c>
      <c r="X1561" t="s">
        <v>60</v>
      </c>
      <c r="Y1561" t="s">
        <v>880</v>
      </c>
      <c r="Z1561" t="s">
        <v>37</v>
      </c>
      <c r="AA1561" t="s">
        <v>48</v>
      </c>
      <c r="AB1561" t="s">
        <v>37</v>
      </c>
      <c r="AC1561" s="6" t="s">
        <v>37</v>
      </c>
      <c r="AD1561" s="6" t="s">
        <v>37</v>
      </c>
      <c r="AE1561" t="s">
        <v>37</v>
      </c>
      <c r="AF1561" t="s">
        <v>37</v>
      </c>
      <c r="AG1561" s="6" t="s">
        <v>37</v>
      </c>
      <c r="AH1561" t="s">
        <v>37</v>
      </c>
      <c r="AI1561" t="s">
        <v>37</v>
      </c>
      <c r="AJ1561" t="str">
        <f t="shared" si="74"/>
        <v>6JWFV3WKB01L6L46LK</v>
      </c>
    </row>
    <row r="1562" spans="1:36" ht="15" customHeight="1" x14ac:dyDescent="0.25">
      <c r="A1562" t="s">
        <v>101</v>
      </c>
      <c r="B1562" t="s">
        <v>37</v>
      </c>
      <c r="C1562" t="s">
        <v>37</v>
      </c>
      <c r="D1562" t="s">
        <v>38</v>
      </c>
      <c r="E1562" s="4">
        <v>8</v>
      </c>
      <c r="F1562" s="5">
        <v>552.24</v>
      </c>
      <c r="G1562" s="5" t="s">
        <v>39</v>
      </c>
      <c r="H1562" s="5">
        <v>845.92</v>
      </c>
      <c r="I1562" s="5" t="s">
        <v>39</v>
      </c>
      <c r="J1562" s="5">
        <v>18.776160000000001</v>
      </c>
      <c r="K1562" s="5">
        <f t="shared" si="72"/>
        <v>2.3470200000000001</v>
      </c>
      <c r="L1562" s="5">
        <f t="shared" si="73"/>
        <v>69.03</v>
      </c>
      <c r="M1562" s="5" t="s">
        <v>39</v>
      </c>
      <c r="N1562" s="5">
        <v>18.776160000000001</v>
      </c>
      <c r="O1562" s="5" t="s">
        <v>39</v>
      </c>
      <c r="P1562" t="s">
        <v>72</v>
      </c>
      <c r="Q1562" t="s">
        <v>1408</v>
      </c>
      <c r="R1562" t="s">
        <v>37</v>
      </c>
      <c r="S1562" t="s">
        <v>1409</v>
      </c>
      <c r="T1562" t="s">
        <v>43</v>
      </c>
      <c r="U1562" t="s">
        <v>44</v>
      </c>
      <c r="V1562">
        <v>147</v>
      </c>
      <c r="W1562" t="s">
        <v>45</v>
      </c>
      <c r="X1562" t="s">
        <v>60</v>
      </c>
      <c r="Y1562" t="s">
        <v>1410</v>
      </c>
      <c r="Z1562" t="s">
        <v>37</v>
      </c>
      <c r="AA1562" t="s">
        <v>55</v>
      </c>
      <c r="AB1562" t="s">
        <v>37</v>
      </c>
      <c r="AC1562" s="6" t="s">
        <v>37</v>
      </c>
      <c r="AD1562" s="6" t="s">
        <v>37</v>
      </c>
      <c r="AE1562" t="s">
        <v>37</v>
      </c>
      <c r="AF1562" t="s">
        <v>37</v>
      </c>
      <c r="AG1562" s="6" t="s">
        <v>37</v>
      </c>
      <c r="AH1562" t="s">
        <v>37</v>
      </c>
      <c r="AI1562" t="s">
        <v>37</v>
      </c>
      <c r="AJ1562" t="str">
        <f t="shared" si="74"/>
        <v>4GF112AEB07W7L9JXH</v>
      </c>
    </row>
    <row r="1563" spans="1:36" ht="15" customHeight="1" x14ac:dyDescent="0.25">
      <c r="A1563" t="s">
        <v>36</v>
      </c>
      <c r="B1563" t="s">
        <v>37</v>
      </c>
      <c r="C1563" t="s">
        <v>37</v>
      </c>
      <c r="D1563" t="s">
        <v>38</v>
      </c>
      <c r="E1563" s="4">
        <v>8</v>
      </c>
      <c r="F1563" s="5">
        <v>359.6</v>
      </c>
      <c r="G1563" s="5" t="s">
        <v>39</v>
      </c>
      <c r="H1563" s="5">
        <v>458.96</v>
      </c>
      <c r="I1563" s="5" t="s">
        <v>39</v>
      </c>
      <c r="J1563" s="5">
        <v>12.2264</v>
      </c>
      <c r="K1563" s="5">
        <f t="shared" si="72"/>
        <v>1.5283</v>
      </c>
      <c r="L1563" s="5">
        <f t="shared" si="73"/>
        <v>44.95</v>
      </c>
      <c r="M1563" s="5" t="s">
        <v>39</v>
      </c>
      <c r="N1563" s="5">
        <v>12.2264</v>
      </c>
      <c r="O1563" s="5" t="s">
        <v>39</v>
      </c>
      <c r="P1563" t="s">
        <v>67</v>
      </c>
      <c r="Q1563" t="s">
        <v>1118</v>
      </c>
      <c r="R1563" t="s">
        <v>1119</v>
      </c>
      <c r="S1563" t="s">
        <v>1120</v>
      </c>
      <c r="T1563" t="s">
        <v>43</v>
      </c>
      <c r="U1563" t="s">
        <v>44</v>
      </c>
      <c r="V1563">
        <v>147</v>
      </c>
      <c r="W1563" t="s">
        <v>45</v>
      </c>
      <c r="X1563" t="s">
        <v>46</v>
      </c>
      <c r="Y1563" t="s">
        <v>1121</v>
      </c>
      <c r="Z1563" t="s">
        <v>37</v>
      </c>
      <c r="AA1563" t="s">
        <v>307</v>
      </c>
      <c r="AB1563" t="s">
        <v>37</v>
      </c>
      <c r="AC1563" s="6" t="s">
        <v>37</v>
      </c>
      <c r="AD1563" s="6" t="s">
        <v>37</v>
      </c>
      <c r="AE1563" t="s">
        <v>37</v>
      </c>
      <c r="AF1563" t="s">
        <v>37</v>
      </c>
      <c r="AG1563" s="6" t="s">
        <v>37</v>
      </c>
      <c r="AH1563" t="s">
        <v>37</v>
      </c>
      <c r="AI1563" t="s">
        <v>37</v>
      </c>
      <c r="AJ1563" t="str">
        <f t="shared" si="74"/>
        <v>2TMBDXBKB014S0DVDK</v>
      </c>
    </row>
    <row r="1564" spans="1:36" ht="15" customHeight="1" x14ac:dyDescent="0.25">
      <c r="A1564" t="s">
        <v>411</v>
      </c>
      <c r="B1564" t="s">
        <v>37</v>
      </c>
      <c r="C1564" t="s">
        <v>37</v>
      </c>
      <c r="D1564" t="s">
        <v>38</v>
      </c>
      <c r="E1564" s="4">
        <v>620</v>
      </c>
      <c r="F1564" s="5">
        <v>137063.4</v>
      </c>
      <c r="G1564" s="5" t="s">
        <v>39</v>
      </c>
      <c r="H1564" s="5">
        <v>208357.2</v>
      </c>
      <c r="I1564" s="5" t="s">
        <v>39</v>
      </c>
      <c r="J1564" s="5">
        <v>4660.1556</v>
      </c>
      <c r="K1564" s="5">
        <f t="shared" si="72"/>
        <v>7.5163799999999998</v>
      </c>
      <c r="L1564" s="5">
        <f t="shared" si="73"/>
        <v>221.07</v>
      </c>
      <c r="M1564" s="5" t="s">
        <v>39</v>
      </c>
      <c r="N1564" s="5">
        <v>4660.1556</v>
      </c>
      <c r="O1564" s="5" t="s">
        <v>39</v>
      </c>
      <c r="P1564" t="s">
        <v>97</v>
      </c>
      <c r="Q1564" t="s">
        <v>298</v>
      </c>
      <c r="R1564" t="s">
        <v>37</v>
      </c>
      <c r="S1564" t="s">
        <v>299</v>
      </c>
      <c r="T1564" t="s">
        <v>43</v>
      </c>
      <c r="U1564" t="s">
        <v>44</v>
      </c>
      <c r="V1564">
        <v>147</v>
      </c>
      <c r="W1564" t="s">
        <v>45</v>
      </c>
      <c r="X1564" t="s">
        <v>46</v>
      </c>
      <c r="Y1564" t="s">
        <v>300</v>
      </c>
      <c r="Z1564" t="s">
        <v>37</v>
      </c>
      <c r="AA1564" t="s">
        <v>55</v>
      </c>
      <c r="AB1564" t="s">
        <v>37</v>
      </c>
      <c r="AC1564" s="6" t="s">
        <v>37</v>
      </c>
      <c r="AD1564" s="6" t="s">
        <v>37</v>
      </c>
      <c r="AE1564" t="s">
        <v>37</v>
      </c>
      <c r="AF1564" t="s">
        <v>37</v>
      </c>
      <c r="AG1564" s="6" t="s">
        <v>37</v>
      </c>
      <c r="AH1564" t="s">
        <v>37</v>
      </c>
      <c r="AI1564" t="s">
        <v>37</v>
      </c>
      <c r="AJ1564" t="str">
        <f t="shared" si="74"/>
        <v>7EMS2FPGB00YUIM2J0</v>
      </c>
    </row>
    <row r="1565" spans="1:36" ht="15" customHeight="1" x14ac:dyDescent="0.25">
      <c r="A1565" t="s">
        <v>76</v>
      </c>
      <c r="B1565" t="s">
        <v>37</v>
      </c>
      <c r="C1565" t="s">
        <v>37</v>
      </c>
      <c r="D1565" t="s">
        <v>38</v>
      </c>
      <c r="E1565" s="4">
        <v>48</v>
      </c>
      <c r="F1565" s="5">
        <v>3313.44</v>
      </c>
      <c r="G1565" s="5" t="s">
        <v>39</v>
      </c>
      <c r="H1565" s="5">
        <v>5075.5200000000004</v>
      </c>
      <c r="I1565" s="5" t="s">
        <v>39</v>
      </c>
      <c r="J1565" s="5">
        <v>112.65696</v>
      </c>
      <c r="K1565" s="5">
        <f t="shared" si="72"/>
        <v>2.3470200000000001</v>
      </c>
      <c r="L1565" s="5">
        <f t="shared" si="73"/>
        <v>69.03</v>
      </c>
      <c r="M1565" s="5" t="s">
        <v>39</v>
      </c>
      <c r="N1565" s="5">
        <v>112.65696</v>
      </c>
      <c r="O1565" s="5" t="s">
        <v>39</v>
      </c>
      <c r="P1565" t="s">
        <v>63</v>
      </c>
      <c r="Q1565" t="s">
        <v>1408</v>
      </c>
      <c r="R1565" t="s">
        <v>37</v>
      </c>
      <c r="S1565" t="s">
        <v>1409</v>
      </c>
      <c r="T1565" t="s">
        <v>43</v>
      </c>
      <c r="U1565" t="s">
        <v>44</v>
      </c>
      <c r="V1565">
        <v>147</v>
      </c>
      <c r="W1565" t="s">
        <v>45</v>
      </c>
      <c r="X1565" t="s">
        <v>60</v>
      </c>
      <c r="Y1565" t="s">
        <v>1410</v>
      </c>
      <c r="Z1565" t="s">
        <v>37</v>
      </c>
      <c r="AA1565" t="s">
        <v>55</v>
      </c>
      <c r="AB1565" t="s">
        <v>37</v>
      </c>
      <c r="AC1565" s="6" t="s">
        <v>37</v>
      </c>
      <c r="AD1565" s="6" t="s">
        <v>37</v>
      </c>
      <c r="AE1565" t="s">
        <v>37</v>
      </c>
      <c r="AF1565" t="s">
        <v>37</v>
      </c>
      <c r="AG1565" s="6" t="s">
        <v>37</v>
      </c>
      <c r="AH1565" t="s">
        <v>37</v>
      </c>
      <c r="AI1565" t="s">
        <v>37</v>
      </c>
      <c r="AJ1565" t="str">
        <f t="shared" si="74"/>
        <v>7H9X1Z6SB07W7L9JXH</v>
      </c>
    </row>
    <row r="1566" spans="1:36" ht="15" customHeight="1" x14ac:dyDescent="0.25">
      <c r="A1566" t="s">
        <v>62</v>
      </c>
      <c r="B1566" t="s">
        <v>37</v>
      </c>
      <c r="C1566" t="s">
        <v>37</v>
      </c>
      <c r="D1566" t="s">
        <v>38</v>
      </c>
      <c r="E1566" s="4">
        <v>30</v>
      </c>
      <c r="F1566" s="5">
        <v>702.6</v>
      </c>
      <c r="G1566" s="5" t="s">
        <v>39</v>
      </c>
      <c r="H1566" s="5">
        <v>1008</v>
      </c>
      <c r="I1566" s="5" t="s">
        <v>39</v>
      </c>
      <c r="J1566" s="5">
        <v>23.888400000000001</v>
      </c>
      <c r="K1566" s="5">
        <f t="shared" si="72"/>
        <v>0.79627999999999999</v>
      </c>
      <c r="L1566" s="5">
        <f t="shared" si="73"/>
        <v>23.42</v>
      </c>
      <c r="M1566" s="5" t="s">
        <v>39</v>
      </c>
      <c r="N1566" s="5">
        <v>23.888400000000001</v>
      </c>
      <c r="O1566" s="5" t="s">
        <v>39</v>
      </c>
      <c r="P1566" t="s">
        <v>968</v>
      </c>
      <c r="Q1566" t="s">
        <v>1692</v>
      </c>
      <c r="R1566" t="s">
        <v>37</v>
      </c>
      <c r="S1566" t="s">
        <v>1693</v>
      </c>
      <c r="T1566" t="s">
        <v>43</v>
      </c>
      <c r="U1566" t="s">
        <v>44</v>
      </c>
      <c r="V1566">
        <v>147</v>
      </c>
      <c r="W1566" t="s">
        <v>45</v>
      </c>
      <c r="X1566" t="s">
        <v>60</v>
      </c>
      <c r="Y1566" t="s">
        <v>1694</v>
      </c>
      <c r="Z1566" t="s">
        <v>37</v>
      </c>
      <c r="AA1566" t="s">
        <v>55</v>
      </c>
      <c r="AB1566" t="s">
        <v>37</v>
      </c>
      <c r="AC1566" s="6" t="s">
        <v>37</v>
      </c>
      <c r="AD1566" s="6" t="s">
        <v>37</v>
      </c>
      <c r="AE1566" t="s">
        <v>37</v>
      </c>
      <c r="AF1566" t="s">
        <v>37</v>
      </c>
      <c r="AG1566" s="6" t="s">
        <v>37</v>
      </c>
      <c r="AH1566" t="s">
        <v>37</v>
      </c>
      <c r="AI1566" t="s">
        <v>37</v>
      </c>
      <c r="AJ1566" t="str">
        <f t="shared" si="74"/>
        <v>7LA8DZCZB07W6JNWP8</v>
      </c>
    </row>
    <row r="1567" spans="1:36" ht="15" customHeight="1" x14ac:dyDescent="0.25">
      <c r="A1567" t="s">
        <v>210</v>
      </c>
      <c r="B1567" t="s">
        <v>37</v>
      </c>
      <c r="C1567" t="s">
        <v>37</v>
      </c>
      <c r="D1567" t="s">
        <v>38</v>
      </c>
      <c r="E1567" s="4">
        <v>8</v>
      </c>
      <c r="F1567" s="5">
        <v>187.36</v>
      </c>
      <c r="G1567" s="5" t="s">
        <v>39</v>
      </c>
      <c r="H1567" s="5">
        <v>288.48</v>
      </c>
      <c r="I1567" s="5" t="s">
        <v>39</v>
      </c>
      <c r="J1567" s="5">
        <v>6.3702399999999999</v>
      </c>
      <c r="K1567" s="5">
        <f t="shared" si="72"/>
        <v>0.79627999999999999</v>
      </c>
      <c r="L1567" s="5">
        <f t="shared" si="73"/>
        <v>23.42</v>
      </c>
      <c r="M1567" s="5" t="s">
        <v>39</v>
      </c>
      <c r="N1567" s="5">
        <v>6.3702399999999999</v>
      </c>
      <c r="O1567" s="5" t="s">
        <v>39</v>
      </c>
      <c r="P1567" t="s">
        <v>211</v>
      </c>
      <c r="Q1567" t="s">
        <v>1811</v>
      </c>
      <c r="R1567" t="s">
        <v>37</v>
      </c>
      <c r="S1567" t="s">
        <v>1812</v>
      </c>
      <c r="T1567" t="s">
        <v>43</v>
      </c>
      <c r="U1567" t="s">
        <v>44</v>
      </c>
      <c r="V1567">
        <v>147</v>
      </c>
      <c r="W1567" t="s">
        <v>45</v>
      </c>
      <c r="X1567" t="s">
        <v>1039</v>
      </c>
      <c r="Y1567" t="s">
        <v>1813</v>
      </c>
      <c r="Z1567" t="s">
        <v>37</v>
      </c>
      <c r="AA1567" t="s">
        <v>48</v>
      </c>
      <c r="AB1567" t="s">
        <v>37</v>
      </c>
      <c r="AC1567" s="6" t="s">
        <v>37</v>
      </c>
      <c r="AD1567" s="6" t="s">
        <v>37</v>
      </c>
      <c r="AE1567" t="s">
        <v>37</v>
      </c>
      <c r="AF1567" t="s">
        <v>37</v>
      </c>
      <c r="AG1567" s="6" t="s">
        <v>37</v>
      </c>
      <c r="AH1567" t="s">
        <v>37</v>
      </c>
      <c r="AI1567" t="s">
        <v>37</v>
      </c>
      <c r="AJ1567" t="str">
        <f t="shared" si="74"/>
        <v>7ILTX3HJB01AUGT964</v>
      </c>
    </row>
    <row r="1568" spans="1:36" ht="15" customHeight="1" x14ac:dyDescent="0.25">
      <c r="A1568" t="s">
        <v>56</v>
      </c>
      <c r="B1568" t="s">
        <v>37</v>
      </c>
      <c r="C1568" t="s">
        <v>37</v>
      </c>
      <c r="D1568" t="s">
        <v>38</v>
      </c>
      <c r="E1568" s="4">
        <v>4</v>
      </c>
      <c r="F1568" s="5">
        <v>485</v>
      </c>
      <c r="G1568" s="5" t="s">
        <v>39</v>
      </c>
      <c r="H1568" s="5">
        <v>750.8</v>
      </c>
      <c r="I1568" s="5" t="s">
        <v>39</v>
      </c>
      <c r="J1568" s="5">
        <v>16.489999999999998</v>
      </c>
      <c r="K1568" s="5">
        <f t="shared" si="72"/>
        <v>4.1224999999999996</v>
      </c>
      <c r="L1568" s="5">
        <f t="shared" si="73"/>
        <v>121.25</v>
      </c>
      <c r="M1568" s="5" t="s">
        <v>39</v>
      </c>
      <c r="N1568" s="5">
        <v>16.489999999999998</v>
      </c>
      <c r="O1568" s="5" t="s">
        <v>39</v>
      </c>
      <c r="P1568" t="s">
        <v>937</v>
      </c>
      <c r="Q1568" t="s">
        <v>667</v>
      </c>
      <c r="R1568" t="s">
        <v>37</v>
      </c>
      <c r="S1568" t="s">
        <v>668</v>
      </c>
      <c r="T1568" t="s">
        <v>43</v>
      </c>
      <c r="U1568" t="s">
        <v>44</v>
      </c>
      <c r="V1568">
        <v>147</v>
      </c>
      <c r="W1568" t="s">
        <v>45</v>
      </c>
      <c r="X1568" t="s">
        <v>60</v>
      </c>
      <c r="Y1568" t="s">
        <v>669</v>
      </c>
      <c r="Z1568" t="s">
        <v>37</v>
      </c>
      <c r="AA1568" t="s">
        <v>48</v>
      </c>
      <c r="AB1568" t="s">
        <v>37</v>
      </c>
      <c r="AC1568" s="6" t="s">
        <v>37</v>
      </c>
      <c r="AD1568" s="6" t="s">
        <v>37</v>
      </c>
      <c r="AE1568" t="s">
        <v>37</v>
      </c>
      <c r="AF1568" t="s">
        <v>37</v>
      </c>
      <c r="AG1568" s="6" t="s">
        <v>37</v>
      </c>
      <c r="AH1568" t="s">
        <v>37</v>
      </c>
      <c r="AI1568" t="s">
        <v>37</v>
      </c>
      <c r="AJ1568" t="str">
        <f t="shared" si="74"/>
        <v>8949MU8ZB074KMD92K</v>
      </c>
    </row>
    <row r="1569" spans="1:36" ht="15" customHeight="1" x14ac:dyDescent="0.25">
      <c r="A1569" t="s">
        <v>36</v>
      </c>
      <c r="B1569" t="s">
        <v>37</v>
      </c>
      <c r="C1569" t="s">
        <v>37</v>
      </c>
      <c r="D1569" t="s">
        <v>38</v>
      </c>
      <c r="E1569" s="4">
        <v>36</v>
      </c>
      <c r="F1569" s="5">
        <v>3020.04</v>
      </c>
      <c r="G1569" s="5" t="s">
        <v>39</v>
      </c>
      <c r="H1569" s="5">
        <v>4868.6400000000003</v>
      </c>
      <c r="I1569" s="5" t="s">
        <v>39</v>
      </c>
      <c r="J1569" s="5">
        <v>102.68136</v>
      </c>
      <c r="K1569" s="5">
        <f t="shared" si="72"/>
        <v>2.8522599999999998</v>
      </c>
      <c r="L1569" s="5">
        <f t="shared" si="73"/>
        <v>83.89</v>
      </c>
      <c r="M1569" s="5" t="s">
        <v>39</v>
      </c>
      <c r="N1569" s="5">
        <v>102.68136</v>
      </c>
      <c r="O1569" s="5" t="s">
        <v>39</v>
      </c>
      <c r="P1569" t="s">
        <v>67</v>
      </c>
      <c r="Q1569" t="s">
        <v>501</v>
      </c>
      <c r="R1569" t="s">
        <v>37</v>
      </c>
      <c r="S1569" t="s">
        <v>502</v>
      </c>
      <c r="T1569" t="s">
        <v>43</v>
      </c>
      <c r="U1569" t="s">
        <v>44</v>
      </c>
      <c r="V1569">
        <v>147</v>
      </c>
      <c r="W1569" t="s">
        <v>45</v>
      </c>
      <c r="X1569" t="s">
        <v>53</v>
      </c>
      <c r="Y1569" t="s">
        <v>503</v>
      </c>
      <c r="Z1569" t="s">
        <v>37</v>
      </c>
      <c r="AA1569" t="s">
        <v>55</v>
      </c>
      <c r="AB1569" t="s">
        <v>37</v>
      </c>
      <c r="AC1569" s="6" t="s">
        <v>37</v>
      </c>
      <c r="AD1569" s="6" t="s">
        <v>37</v>
      </c>
      <c r="AE1569" t="s">
        <v>37</v>
      </c>
      <c r="AF1569" t="s">
        <v>37</v>
      </c>
      <c r="AG1569" s="6" t="s">
        <v>37</v>
      </c>
      <c r="AH1569" t="s">
        <v>37</v>
      </c>
      <c r="AI1569" t="s">
        <v>37</v>
      </c>
      <c r="AJ1569" t="str">
        <f t="shared" si="74"/>
        <v>2TMBDXBKB07W6J51XR</v>
      </c>
    </row>
    <row r="1570" spans="1:36" ht="15" customHeight="1" x14ac:dyDescent="0.25">
      <c r="A1570" t="s">
        <v>96</v>
      </c>
      <c r="B1570" t="s">
        <v>37</v>
      </c>
      <c r="C1570" t="s">
        <v>37</v>
      </c>
      <c r="D1570" t="s">
        <v>38</v>
      </c>
      <c r="E1570" s="4">
        <v>40</v>
      </c>
      <c r="F1570" s="5">
        <v>421.2</v>
      </c>
      <c r="G1570" s="5" t="s">
        <v>39</v>
      </c>
      <c r="H1570" s="5">
        <v>509.6</v>
      </c>
      <c r="I1570" s="5" t="s">
        <v>39</v>
      </c>
      <c r="J1570" s="5">
        <v>14.3208</v>
      </c>
      <c r="K1570" s="5">
        <f t="shared" si="72"/>
        <v>0.35802</v>
      </c>
      <c r="L1570" s="5">
        <f t="shared" si="73"/>
        <v>10.53</v>
      </c>
      <c r="M1570" s="5" t="s">
        <v>39</v>
      </c>
      <c r="N1570" s="5">
        <v>14.3208</v>
      </c>
      <c r="O1570" s="5" t="s">
        <v>39</v>
      </c>
      <c r="P1570" t="s">
        <v>195</v>
      </c>
      <c r="Q1570" t="s">
        <v>1946</v>
      </c>
      <c r="R1570" t="s">
        <v>1947</v>
      </c>
      <c r="S1570" t="s">
        <v>1948</v>
      </c>
      <c r="T1570" t="s">
        <v>43</v>
      </c>
      <c r="U1570" t="s">
        <v>44</v>
      </c>
      <c r="V1570">
        <v>147</v>
      </c>
      <c r="W1570" t="s">
        <v>45</v>
      </c>
      <c r="X1570" t="s">
        <v>53</v>
      </c>
      <c r="Y1570" t="s">
        <v>327</v>
      </c>
      <c r="Z1570" t="s">
        <v>37</v>
      </c>
      <c r="AA1570" t="s">
        <v>55</v>
      </c>
      <c r="AB1570" t="s">
        <v>37</v>
      </c>
      <c r="AC1570" s="6" t="s">
        <v>37</v>
      </c>
      <c r="AD1570" s="6" t="s">
        <v>37</v>
      </c>
      <c r="AE1570" t="s">
        <v>37</v>
      </c>
      <c r="AF1570" t="s">
        <v>37</v>
      </c>
      <c r="AG1570" s="6" t="s">
        <v>37</v>
      </c>
      <c r="AH1570" t="s">
        <v>37</v>
      </c>
      <c r="AI1570" t="s">
        <v>37</v>
      </c>
      <c r="AJ1570" t="str">
        <f t="shared" si="74"/>
        <v>5X1OU9ZGB0056I3IDW</v>
      </c>
    </row>
    <row r="1571" spans="1:36" ht="15" customHeight="1" x14ac:dyDescent="0.25">
      <c r="A1571" t="s">
        <v>101</v>
      </c>
      <c r="B1571" t="s">
        <v>37</v>
      </c>
      <c r="C1571" t="s">
        <v>37</v>
      </c>
      <c r="D1571" t="s">
        <v>38</v>
      </c>
      <c r="E1571" s="4">
        <v>10</v>
      </c>
      <c r="F1571" s="5">
        <v>93.6</v>
      </c>
      <c r="G1571" s="5" t="s">
        <v>39</v>
      </c>
      <c r="H1571" s="5">
        <v>139.30000000000001</v>
      </c>
      <c r="I1571" s="5" t="s">
        <v>39</v>
      </c>
      <c r="J1571" s="5">
        <v>3.1823999999999999</v>
      </c>
      <c r="K1571" s="5">
        <f t="shared" si="72"/>
        <v>0.31823999999999997</v>
      </c>
      <c r="L1571" s="5">
        <f t="shared" si="73"/>
        <v>9.36</v>
      </c>
      <c r="M1571" s="5" t="s">
        <v>39</v>
      </c>
      <c r="N1571" s="5">
        <v>3.1823999999999999</v>
      </c>
      <c r="O1571" s="5" t="s">
        <v>39</v>
      </c>
      <c r="P1571" t="s">
        <v>102</v>
      </c>
      <c r="Q1571" t="s">
        <v>1662</v>
      </c>
      <c r="R1571" t="s">
        <v>37</v>
      </c>
      <c r="S1571" t="s">
        <v>1663</v>
      </c>
      <c r="T1571" t="s">
        <v>1211</v>
      </c>
      <c r="U1571" t="s">
        <v>44</v>
      </c>
      <c r="V1571">
        <v>147</v>
      </c>
      <c r="W1571" t="s">
        <v>45</v>
      </c>
      <c r="X1571" t="s">
        <v>60</v>
      </c>
      <c r="Y1571" t="s">
        <v>1664</v>
      </c>
      <c r="Z1571" t="s">
        <v>37</v>
      </c>
      <c r="AA1571" t="s">
        <v>55</v>
      </c>
      <c r="AB1571" t="s">
        <v>37</v>
      </c>
      <c r="AC1571" s="6" t="s">
        <v>37</v>
      </c>
      <c r="AD1571" s="6" t="s">
        <v>37</v>
      </c>
      <c r="AE1571" t="s">
        <v>37</v>
      </c>
      <c r="AF1571" t="s">
        <v>37</v>
      </c>
      <c r="AG1571" s="6" t="s">
        <v>37</v>
      </c>
      <c r="AH1571" t="s">
        <v>37</v>
      </c>
      <c r="AI1571" t="s">
        <v>37</v>
      </c>
      <c r="AJ1571" t="str">
        <f t="shared" si="74"/>
        <v>2M7QFTCOB00P7RAI8A</v>
      </c>
    </row>
    <row r="1572" spans="1:36" ht="15" customHeight="1" x14ac:dyDescent="0.25">
      <c r="A1572" t="s">
        <v>62</v>
      </c>
      <c r="B1572" t="s">
        <v>37</v>
      </c>
      <c r="C1572" t="s">
        <v>37</v>
      </c>
      <c r="D1572" t="s">
        <v>38</v>
      </c>
      <c r="E1572" s="4">
        <v>200</v>
      </c>
      <c r="F1572" s="5">
        <v>8572</v>
      </c>
      <c r="G1572" s="5" t="s">
        <v>39</v>
      </c>
      <c r="H1572" s="5">
        <v>11802</v>
      </c>
      <c r="I1572" s="5" t="s">
        <v>39</v>
      </c>
      <c r="J1572" s="5">
        <v>291.44799999999998</v>
      </c>
      <c r="K1572" s="5">
        <f t="shared" si="72"/>
        <v>1.4572399999999999</v>
      </c>
      <c r="L1572" s="5">
        <f t="shared" si="73"/>
        <v>42.86</v>
      </c>
      <c r="M1572" s="5" t="s">
        <v>39</v>
      </c>
      <c r="N1572" s="5">
        <v>291.44799999999998</v>
      </c>
      <c r="O1572" s="5" t="s">
        <v>39</v>
      </c>
      <c r="P1572" t="s">
        <v>426</v>
      </c>
      <c r="Q1572" t="s">
        <v>1949</v>
      </c>
      <c r="R1572" t="s">
        <v>37</v>
      </c>
      <c r="S1572" t="s">
        <v>1950</v>
      </c>
      <c r="T1572" t="s">
        <v>43</v>
      </c>
      <c r="U1572" t="s">
        <v>44</v>
      </c>
      <c r="V1572">
        <v>147</v>
      </c>
      <c r="W1572" t="s">
        <v>45</v>
      </c>
      <c r="X1572" t="s">
        <v>1039</v>
      </c>
      <c r="Y1572" t="s">
        <v>1951</v>
      </c>
      <c r="Z1572" t="s">
        <v>37</v>
      </c>
      <c r="AA1572" t="s">
        <v>55</v>
      </c>
      <c r="AB1572" t="s">
        <v>37</v>
      </c>
      <c r="AC1572" s="6" t="s">
        <v>37</v>
      </c>
      <c r="AD1572" s="6" t="s">
        <v>37</v>
      </c>
      <c r="AE1572" t="s">
        <v>37</v>
      </c>
      <c r="AF1572" t="s">
        <v>37</v>
      </c>
      <c r="AG1572" s="6" t="s">
        <v>37</v>
      </c>
      <c r="AH1572" t="s">
        <v>37</v>
      </c>
      <c r="AI1572" t="s">
        <v>37</v>
      </c>
      <c r="AJ1572" t="str">
        <f t="shared" si="74"/>
        <v>3IQS66UGB07L8QV1XC</v>
      </c>
    </row>
    <row r="1573" spans="1:36" ht="15" customHeight="1" x14ac:dyDescent="0.25">
      <c r="A1573" t="s">
        <v>101</v>
      </c>
      <c r="B1573" t="s">
        <v>37</v>
      </c>
      <c r="C1573" t="s">
        <v>37</v>
      </c>
      <c r="D1573" t="s">
        <v>38</v>
      </c>
      <c r="E1573" s="4">
        <v>8</v>
      </c>
      <c r="F1573" s="5">
        <v>257.68</v>
      </c>
      <c r="G1573" s="5" t="s">
        <v>39</v>
      </c>
      <c r="H1573" s="5">
        <v>386.8</v>
      </c>
      <c r="I1573" s="5" t="s">
        <v>39</v>
      </c>
      <c r="J1573" s="5">
        <v>8.76112</v>
      </c>
      <c r="K1573" s="5">
        <f t="shared" si="72"/>
        <v>1.09514</v>
      </c>
      <c r="L1573" s="5">
        <f t="shared" si="73"/>
        <v>32.21</v>
      </c>
      <c r="M1573" s="5" t="s">
        <v>39</v>
      </c>
      <c r="N1573" s="5">
        <v>8.76112</v>
      </c>
      <c r="O1573" s="5" t="s">
        <v>39</v>
      </c>
      <c r="P1573" t="s">
        <v>274</v>
      </c>
      <c r="Q1573" t="s">
        <v>1952</v>
      </c>
      <c r="R1573" t="s">
        <v>37</v>
      </c>
      <c r="S1573" t="s">
        <v>1953</v>
      </c>
      <c r="T1573" t="s">
        <v>43</v>
      </c>
      <c r="U1573" t="s">
        <v>44</v>
      </c>
      <c r="V1573">
        <v>147</v>
      </c>
      <c r="W1573" t="s">
        <v>45</v>
      </c>
      <c r="X1573" t="s">
        <v>46</v>
      </c>
      <c r="Y1573" t="s">
        <v>1954</v>
      </c>
      <c r="Z1573" t="s">
        <v>37</v>
      </c>
      <c r="AA1573" t="s">
        <v>55</v>
      </c>
      <c r="AB1573" t="s">
        <v>37</v>
      </c>
      <c r="AC1573" s="6" t="s">
        <v>37</v>
      </c>
      <c r="AD1573" s="6" t="s">
        <v>37</v>
      </c>
      <c r="AE1573" t="s">
        <v>37</v>
      </c>
      <c r="AF1573" t="s">
        <v>37</v>
      </c>
      <c r="AG1573" s="6" t="s">
        <v>37</v>
      </c>
      <c r="AH1573" t="s">
        <v>37</v>
      </c>
      <c r="AI1573" t="s">
        <v>37</v>
      </c>
      <c r="AJ1573" t="str">
        <f t="shared" si="74"/>
        <v>4LYATDUXB07W4DGZ53</v>
      </c>
    </row>
    <row r="1574" spans="1:36" ht="15" customHeight="1" x14ac:dyDescent="0.25">
      <c r="A1574" t="s">
        <v>118</v>
      </c>
      <c r="B1574" t="s">
        <v>37</v>
      </c>
      <c r="C1574" t="s">
        <v>37</v>
      </c>
      <c r="D1574" t="s">
        <v>38</v>
      </c>
      <c r="E1574" s="4">
        <v>20</v>
      </c>
      <c r="F1574" s="5">
        <v>1508.2</v>
      </c>
      <c r="G1574" s="5" t="s">
        <v>39</v>
      </c>
      <c r="H1574" s="5">
        <v>2213</v>
      </c>
      <c r="I1574" s="5" t="s">
        <v>39</v>
      </c>
      <c r="J1574" s="5">
        <v>51.278799999999997</v>
      </c>
      <c r="K1574" s="5">
        <f t="shared" si="72"/>
        <v>2.5639399999999997</v>
      </c>
      <c r="L1574" s="5">
        <f t="shared" si="73"/>
        <v>75.41</v>
      </c>
      <c r="M1574" s="5" t="s">
        <v>39</v>
      </c>
      <c r="N1574" s="5">
        <v>51.278799999999997</v>
      </c>
      <c r="O1574" s="5" t="s">
        <v>39</v>
      </c>
      <c r="P1574" t="s">
        <v>141</v>
      </c>
      <c r="Q1574" t="s">
        <v>1070</v>
      </c>
      <c r="R1574" t="s">
        <v>37</v>
      </c>
      <c r="S1574" t="s">
        <v>1071</v>
      </c>
      <c r="T1574" t="s">
        <v>43</v>
      </c>
      <c r="U1574" t="s">
        <v>44</v>
      </c>
      <c r="V1574">
        <v>147</v>
      </c>
      <c r="W1574" t="s">
        <v>45</v>
      </c>
      <c r="X1574" t="s">
        <v>60</v>
      </c>
      <c r="Y1574" t="s">
        <v>1072</v>
      </c>
      <c r="Z1574" t="s">
        <v>37</v>
      </c>
      <c r="AA1574" t="s">
        <v>55</v>
      </c>
      <c r="AB1574" t="s">
        <v>37</v>
      </c>
      <c r="AC1574" s="6" t="s">
        <v>37</v>
      </c>
      <c r="AD1574" s="6" t="s">
        <v>37</v>
      </c>
      <c r="AE1574" t="s">
        <v>37</v>
      </c>
      <c r="AF1574" t="s">
        <v>37</v>
      </c>
      <c r="AG1574" s="6" t="s">
        <v>37</v>
      </c>
      <c r="AH1574" t="s">
        <v>37</v>
      </c>
      <c r="AI1574" t="s">
        <v>37</v>
      </c>
      <c r="AJ1574" t="str">
        <f t="shared" si="74"/>
        <v>56UO2L2IB07W5JK1JN</v>
      </c>
    </row>
    <row r="1575" spans="1:36" ht="15" customHeight="1" x14ac:dyDescent="0.25">
      <c r="A1575" t="s">
        <v>36</v>
      </c>
      <c r="B1575" t="s">
        <v>37</v>
      </c>
      <c r="C1575" t="s">
        <v>37</v>
      </c>
      <c r="D1575" t="s">
        <v>38</v>
      </c>
      <c r="E1575" s="4">
        <v>68</v>
      </c>
      <c r="F1575" s="5">
        <v>4299.6400000000003</v>
      </c>
      <c r="G1575" s="5" t="s">
        <v>39</v>
      </c>
      <c r="H1575" s="5">
        <v>6632.72</v>
      </c>
      <c r="I1575" s="5" t="s">
        <v>39</v>
      </c>
      <c r="J1575" s="5">
        <v>146.18776</v>
      </c>
      <c r="K1575" s="5">
        <f t="shared" si="72"/>
        <v>2.1498200000000001</v>
      </c>
      <c r="L1575" s="5">
        <f t="shared" si="73"/>
        <v>63.230000000000004</v>
      </c>
      <c r="M1575" s="5" t="s">
        <v>39</v>
      </c>
      <c r="N1575" s="5">
        <v>146.18776</v>
      </c>
      <c r="O1575" s="5" t="s">
        <v>39</v>
      </c>
      <c r="P1575" t="s">
        <v>67</v>
      </c>
      <c r="Q1575" t="s">
        <v>1142</v>
      </c>
      <c r="R1575" t="s">
        <v>37</v>
      </c>
      <c r="S1575" t="s">
        <v>1143</v>
      </c>
      <c r="T1575" t="s">
        <v>43</v>
      </c>
      <c r="U1575" t="s">
        <v>44</v>
      </c>
      <c r="V1575">
        <v>147</v>
      </c>
      <c r="W1575" t="s">
        <v>45</v>
      </c>
      <c r="X1575" t="s">
        <v>60</v>
      </c>
      <c r="Y1575" t="s">
        <v>1144</v>
      </c>
      <c r="Z1575" t="s">
        <v>37</v>
      </c>
      <c r="AA1575" t="s">
        <v>55</v>
      </c>
      <c r="AB1575" t="s">
        <v>37</v>
      </c>
      <c r="AC1575" s="6" t="s">
        <v>37</v>
      </c>
      <c r="AD1575" s="6" t="s">
        <v>37</v>
      </c>
      <c r="AE1575" t="s">
        <v>37</v>
      </c>
      <c r="AF1575" t="s">
        <v>37</v>
      </c>
      <c r="AG1575" s="6" t="s">
        <v>37</v>
      </c>
      <c r="AH1575" t="s">
        <v>37</v>
      </c>
      <c r="AI1575" t="s">
        <v>37</v>
      </c>
      <c r="AJ1575" t="str">
        <f t="shared" si="74"/>
        <v>2TMBDXBKB07W7LFHH9</v>
      </c>
    </row>
    <row r="1576" spans="1:36" ht="15" customHeight="1" x14ac:dyDescent="0.25">
      <c r="A1576" t="s">
        <v>101</v>
      </c>
      <c r="B1576" t="s">
        <v>37</v>
      </c>
      <c r="C1576" t="s">
        <v>37</v>
      </c>
      <c r="D1576" t="s">
        <v>38</v>
      </c>
      <c r="E1576" s="4">
        <v>24</v>
      </c>
      <c r="F1576" s="5">
        <v>1656.72</v>
      </c>
      <c r="G1576" s="5" t="s">
        <v>39</v>
      </c>
      <c r="H1576" s="5">
        <v>1656.72</v>
      </c>
      <c r="I1576" s="5" t="s">
        <v>39</v>
      </c>
      <c r="J1576" s="5">
        <v>56.328479999999999</v>
      </c>
      <c r="K1576" s="5">
        <f t="shared" si="72"/>
        <v>2.3470200000000001</v>
      </c>
      <c r="L1576" s="5">
        <f t="shared" si="73"/>
        <v>69.03</v>
      </c>
      <c r="M1576" s="5" t="s">
        <v>39</v>
      </c>
      <c r="N1576" s="5">
        <v>56.328479999999999</v>
      </c>
      <c r="O1576" s="5" t="s">
        <v>39</v>
      </c>
      <c r="P1576" t="s">
        <v>72</v>
      </c>
      <c r="Q1576" t="s">
        <v>1955</v>
      </c>
      <c r="R1576" t="s">
        <v>37</v>
      </c>
      <c r="S1576" t="s">
        <v>1956</v>
      </c>
      <c r="T1576" t="s">
        <v>348</v>
      </c>
      <c r="U1576" t="s">
        <v>44</v>
      </c>
      <c r="V1576">
        <v>147</v>
      </c>
      <c r="W1576" t="s">
        <v>45</v>
      </c>
      <c r="X1576" t="s">
        <v>60</v>
      </c>
      <c r="Y1576" t="s">
        <v>1957</v>
      </c>
      <c r="Z1576" t="s">
        <v>1958</v>
      </c>
      <c r="AA1576" t="s">
        <v>55</v>
      </c>
      <c r="AB1576" t="s">
        <v>37</v>
      </c>
      <c r="AC1576" s="6" t="s">
        <v>37</v>
      </c>
      <c r="AD1576" s="6" t="s">
        <v>37</v>
      </c>
      <c r="AE1576" t="s">
        <v>37</v>
      </c>
      <c r="AF1576" t="s">
        <v>37</v>
      </c>
      <c r="AG1576" s="6" t="s">
        <v>37</v>
      </c>
      <c r="AH1576" t="s">
        <v>37</v>
      </c>
      <c r="AI1576" t="s">
        <v>37</v>
      </c>
      <c r="AJ1576" t="str">
        <f t="shared" si="74"/>
        <v>4GF112AEB07W4DH1XZ</v>
      </c>
    </row>
    <row r="1577" spans="1:36" ht="15" customHeight="1" x14ac:dyDescent="0.25">
      <c r="A1577" t="s">
        <v>62</v>
      </c>
      <c r="B1577" t="s">
        <v>37</v>
      </c>
      <c r="C1577" t="s">
        <v>37</v>
      </c>
      <c r="D1577" t="s">
        <v>38</v>
      </c>
      <c r="E1577" s="4">
        <v>8</v>
      </c>
      <c r="F1577" s="5">
        <v>257.68</v>
      </c>
      <c r="G1577" s="5" t="s">
        <v>39</v>
      </c>
      <c r="H1577" s="5">
        <v>386.8</v>
      </c>
      <c r="I1577" s="5" t="s">
        <v>39</v>
      </c>
      <c r="J1577" s="5">
        <v>8.76112</v>
      </c>
      <c r="K1577" s="5">
        <f t="shared" si="72"/>
        <v>1.09514</v>
      </c>
      <c r="L1577" s="5">
        <f t="shared" si="73"/>
        <v>32.21</v>
      </c>
      <c r="M1577" s="5" t="s">
        <v>39</v>
      </c>
      <c r="N1577" s="5">
        <v>8.76112</v>
      </c>
      <c r="O1577" s="5" t="s">
        <v>39</v>
      </c>
      <c r="P1577" t="s">
        <v>63</v>
      </c>
      <c r="Q1577" t="s">
        <v>1959</v>
      </c>
      <c r="R1577" t="s">
        <v>37</v>
      </c>
      <c r="S1577" t="s">
        <v>1960</v>
      </c>
      <c r="T1577" t="s">
        <v>43</v>
      </c>
      <c r="U1577" t="s">
        <v>44</v>
      </c>
      <c r="V1577">
        <v>147</v>
      </c>
      <c r="W1577" t="s">
        <v>45</v>
      </c>
      <c r="X1577" t="s">
        <v>60</v>
      </c>
      <c r="Y1577" t="s">
        <v>1961</v>
      </c>
      <c r="Z1577" t="s">
        <v>37</v>
      </c>
      <c r="AA1577" t="s">
        <v>55</v>
      </c>
      <c r="AB1577" t="s">
        <v>37</v>
      </c>
      <c r="AC1577" s="6" t="s">
        <v>37</v>
      </c>
      <c r="AD1577" s="6" t="s">
        <v>37</v>
      </c>
      <c r="AE1577" t="s">
        <v>37</v>
      </c>
      <c r="AF1577" t="s">
        <v>37</v>
      </c>
      <c r="AG1577" s="6" t="s">
        <v>37</v>
      </c>
      <c r="AH1577" t="s">
        <v>37</v>
      </c>
      <c r="AI1577" t="s">
        <v>37</v>
      </c>
      <c r="AJ1577" t="str">
        <f t="shared" si="74"/>
        <v>7H9X1Z6SB07W6JP4SQ</v>
      </c>
    </row>
    <row r="1578" spans="1:36" ht="15" customHeight="1" x14ac:dyDescent="0.25">
      <c r="A1578" t="s">
        <v>127</v>
      </c>
      <c r="B1578" t="s">
        <v>37</v>
      </c>
      <c r="C1578" t="s">
        <v>37</v>
      </c>
      <c r="D1578" t="s">
        <v>38</v>
      </c>
      <c r="E1578" s="4">
        <v>4</v>
      </c>
      <c r="F1578" s="5">
        <v>420</v>
      </c>
      <c r="G1578" s="5" t="s">
        <v>39</v>
      </c>
      <c r="H1578" s="5">
        <v>704.92</v>
      </c>
      <c r="I1578" s="5" t="s">
        <v>39</v>
      </c>
      <c r="J1578" s="5">
        <v>14.28</v>
      </c>
      <c r="K1578" s="5">
        <f t="shared" si="72"/>
        <v>3.57</v>
      </c>
      <c r="L1578" s="5">
        <f t="shared" si="73"/>
        <v>105</v>
      </c>
      <c r="M1578" s="5" t="s">
        <v>39</v>
      </c>
      <c r="N1578" s="5">
        <v>14.28</v>
      </c>
      <c r="O1578" s="5" t="s">
        <v>39</v>
      </c>
      <c r="P1578" t="s">
        <v>67</v>
      </c>
      <c r="Q1578" t="s">
        <v>196</v>
      </c>
      <c r="R1578" t="s">
        <v>37</v>
      </c>
      <c r="S1578" t="s">
        <v>197</v>
      </c>
      <c r="T1578" t="s">
        <v>43</v>
      </c>
      <c r="U1578" t="s">
        <v>44</v>
      </c>
      <c r="V1578">
        <v>147</v>
      </c>
      <c r="W1578" t="s">
        <v>45</v>
      </c>
      <c r="X1578" t="s">
        <v>46</v>
      </c>
      <c r="Y1578" t="s">
        <v>198</v>
      </c>
      <c r="Z1578" t="s">
        <v>37</v>
      </c>
      <c r="AA1578" t="s">
        <v>95</v>
      </c>
      <c r="AB1578" t="s">
        <v>37</v>
      </c>
      <c r="AC1578" s="6" t="s">
        <v>37</v>
      </c>
      <c r="AD1578" s="6" t="s">
        <v>37</v>
      </c>
      <c r="AE1578" t="s">
        <v>37</v>
      </c>
      <c r="AF1578" t="s">
        <v>37</v>
      </c>
      <c r="AG1578" s="6" t="s">
        <v>37</v>
      </c>
      <c r="AH1578" t="s">
        <v>37</v>
      </c>
      <c r="AI1578" t="s">
        <v>37</v>
      </c>
      <c r="AJ1578" t="str">
        <f t="shared" si="74"/>
        <v>2TMBDXBKB07MTY7N22</v>
      </c>
    </row>
    <row r="1579" spans="1:36" ht="15" customHeight="1" x14ac:dyDescent="0.25">
      <c r="A1579" t="s">
        <v>36</v>
      </c>
      <c r="B1579" t="s">
        <v>37</v>
      </c>
      <c r="C1579" t="s">
        <v>37</v>
      </c>
      <c r="D1579" t="s">
        <v>38</v>
      </c>
      <c r="E1579" s="4">
        <v>36</v>
      </c>
      <c r="F1579" s="5">
        <v>3780</v>
      </c>
      <c r="G1579" s="5" t="s">
        <v>39</v>
      </c>
      <c r="H1579" s="5">
        <v>6344.28</v>
      </c>
      <c r="I1579" s="5" t="s">
        <v>39</v>
      </c>
      <c r="J1579" s="5">
        <v>128.52000000000001</v>
      </c>
      <c r="K1579" s="5">
        <f t="shared" si="72"/>
        <v>3.5700000000000003</v>
      </c>
      <c r="L1579" s="5">
        <f t="shared" si="73"/>
        <v>105</v>
      </c>
      <c r="M1579" s="5" t="s">
        <v>39</v>
      </c>
      <c r="N1579" s="5">
        <v>128.52000000000001</v>
      </c>
      <c r="O1579" s="5" t="s">
        <v>39</v>
      </c>
      <c r="P1579" t="s">
        <v>67</v>
      </c>
      <c r="Q1579" t="s">
        <v>196</v>
      </c>
      <c r="R1579" t="s">
        <v>37</v>
      </c>
      <c r="S1579" t="s">
        <v>197</v>
      </c>
      <c r="T1579" t="s">
        <v>43</v>
      </c>
      <c r="U1579" t="s">
        <v>44</v>
      </c>
      <c r="V1579">
        <v>147</v>
      </c>
      <c r="W1579" t="s">
        <v>45</v>
      </c>
      <c r="X1579" t="s">
        <v>46</v>
      </c>
      <c r="Y1579" t="s">
        <v>198</v>
      </c>
      <c r="Z1579" t="s">
        <v>37</v>
      </c>
      <c r="AA1579" t="s">
        <v>95</v>
      </c>
      <c r="AB1579" t="s">
        <v>37</v>
      </c>
      <c r="AC1579" s="6" t="s">
        <v>37</v>
      </c>
      <c r="AD1579" s="6" t="s">
        <v>37</v>
      </c>
      <c r="AE1579" t="s">
        <v>37</v>
      </c>
      <c r="AF1579" t="s">
        <v>37</v>
      </c>
      <c r="AG1579" s="6" t="s">
        <v>37</v>
      </c>
      <c r="AH1579" t="s">
        <v>37</v>
      </c>
      <c r="AI1579" t="s">
        <v>37</v>
      </c>
      <c r="AJ1579" t="str">
        <f t="shared" si="74"/>
        <v>2TMBDXBKB07MTY7N22</v>
      </c>
    </row>
    <row r="1580" spans="1:36" ht="15" customHeight="1" x14ac:dyDescent="0.25">
      <c r="A1580" t="s">
        <v>96</v>
      </c>
      <c r="B1580" t="s">
        <v>37</v>
      </c>
      <c r="C1580" t="s">
        <v>37</v>
      </c>
      <c r="D1580" t="s">
        <v>38</v>
      </c>
      <c r="E1580" s="4">
        <v>36</v>
      </c>
      <c r="F1580" s="5">
        <v>8441.2800000000007</v>
      </c>
      <c r="G1580" s="5" t="s">
        <v>39</v>
      </c>
      <c r="H1580" s="5">
        <v>10593.36</v>
      </c>
      <c r="I1580" s="5" t="s">
        <v>39</v>
      </c>
      <c r="J1580" s="5">
        <v>287.00351999999998</v>
      </c>
      <c r="K1580" s="5">
        <f t="shared" si="72"/>
        <v>7.9723199999999999</v>
      </c>
      <c r="L1580" s="5">
        <f t="shared" si="73"/>
        <v>234.48000000000002</v>
      </c>
      <c r="M1580" s="5" t="s">
        <v>39</v>
      </c>
      <c r="N1580" s="5">
        <v>287.00351999999998</v>
      </c>
      <c r="O1580" s="5" t="s">
        <v>39</v>
      </c>
      <c r="P1580" t="s">
        <v>222</v>
      </c>
      <c r="Q1580" t="s">
        <v>1063</v>
      </c>
      <c r="R1580" t="s">
        <v>37</v>
      </c>
      <c r="S1580" t="s">
        <v>1064</v>
      </c>
      <c r="T1580" t="s">
        <v>43</v>
      </c>
      <c r="U1580" t="s">
        <v>44</v>
      </c>
      <c r="V1580">
        <v>147</v>
      </c>
      <c r="W1580" t="s">
        <v>45</v>
      </c>
      <c r="X1580" t="s">
        <v>46</v>
      </c>
      <c r="Y1580" t="s">
        <v>1065</v>
      </c>
      <c r="Z1580" t="s">
        <v>37</v>
      </c>
      <c r="AA1580" t="s">
        <v>55</v>
      </c>
      <c r="AB1580" t="s">
        <v>37</v>
      </c>
      <c r="AC1580" s="6" t="s">
        <v>37</v>
      </c>
      <c r="AD1580" s="6" t="s">
        <v>37</v>
      </c>
      <c r="AE1580" t="s">
        <v>37</v>
      </c>
      <c r="AF1580" t="s">
        <v>37</v>
      </c>
      <c r="AG1580" s="6" t="s">
        <v>37</v>
      </c>
      <c r="AH1580" t="s">
        <v>37</v>
      </c>
      <c r="AI1580" t="s">
        <v>37</v>
      </c>
      <c r="AJ1580" t="str">
        <f t="shared" si="74"/>
        <v>2F7Y5WIXB07TTB3SR2</v>
      </c>
    </row>
    <row r="1581" spans="1:36" ht="15" customHeight="1" x14ac:dyDescent="0.25">
      <c r="A1581" t="s">
        <v>36</v>
      </c>
      <c r="B1581" t="s">
        <v>37</v>
      </c>
      <c r="C1581" t="s">
        <v>37</v>
      </c>
      <c r="D1581" t="s">
        <v>38</v>
      </c>
      <c r="E1581" s="4">
        <v>8</v>
      </c>
      <c r="F1581" s="5">
        <v>737.92</v>
      </c>
      <c r="G1581" s="5" t="s">
        <v>39</v>
      </c>
      <c r="H1581" s="5">
        <v>1081.92</v>
      </c>
      <c r="I1581" s="5" t="s">
        <v>39</v>
      </c>
      <c r="J1581" s="5">
        <v>25.089279999999999</v>
      </c>
      <c r="K1581" s="5">
        <f t="shared" si="72"/>
        <v>3.1361599999999998</v>
      </c>
      <c r="L1581" s="5">
        <f t="shared" si="73"/>
        <v>92.24</v>
      </c>
      <c r="M1581" s="5" t="s">
        <v>39</v>
      </c>
      <c r="N1581" s="5">
        <v>25.089279999999999</v>
      </c>
      <c r="O1581" s="5" t="s">
        <v>39</v>
      </c>
      <c r="P1581" t="s">
        <v>404</v>
      </c>
      <c r="Q1581" t="s">
        <v>531</v>
      </c>
      <c r="R1581" t="s">
        <v>37</v>
      </c>
      <c r="S1581" t="s">
        <v>532</v>
      </c>
      <c r="T1581" t="s">
        <v>43</v>
      </c>
      <c r="U1581" t="s">
        <v>44</v>
      </c>
      <c r="V1581">
        <v>147</v>
      </c>
      <c r="W1581" t="s">
        <v>45</v>
      </c>
      <c r="X1581" t="s">
        <v>239</v>
      </c>
      <c r="Y1581" t="s">
        <v>533</v>
      </c>
      <c r="Z1581" t="s">
        <v>37</v>
      </c>
      <c r="AA1581" t="s">
        <v>55</v>
      </c>
      <c r="AB1581" t="s">
        <v>37</v>
      </c>
      <c r="AC1581" s="6" t="s">
        <v>37</v>
      </c>
      <c r="AD1581" s="6" t="s">
        <v>37</v>
      </c>
      <c r="AE1581" t="s">
        <v>37</v>
      </c>
      <c r="AF1581" t="s">
        <v>37</v>
      </c>
      <c r="AG1581" s="6" t="s">
        <v>37</v>
      </c>
      <c r="AH1581" t="s">
        <v>37</v>
      </c>
      <c r="AI1581" t="s">
        <v>37</v>
      </c>
      <c r="AJ1581" t="str">
        <f t="shared" si="74"/>
        <v>54JZ1ZVPB07W4DHNBF</v>
      </c>
    </row>
    <row r="1582" spans="1:36" ht="15" customHeight="1" x14ac:dyDescent="0.25">
      <c r="A1582" t="s">
        <v>101</v>
      </c>
      <c r="B1582" t="s">
        <v>37</v>
      </c>
      <c r="C1582" t="s">
        <v>37</v>
      </c>
      <c r="D1582" t="s">
        <v>38</v>
      </c>
      <c r="E1582" s="4">
        <v>10</v>
      </c>
      <c r="F1582" s="5">
        <v>292.8</v>
      </c>
      <c r="G1582" s="5" t="s">
        <v>39</v>
      </c>
      <c r="H1582" s="5">
        <v>442.5</v>
      </c>
      <c r="I1582" s="5" t="s">
        <v>39</v>
      </c>
      <c r="J1582" s="5">
        <v>9.9551999999999996</v>
      </c>
      <c r="K1582" s="5">
        <f t="shared" si="72"/>
        <v>0.99551999999999996</v>
      </c>
      <c r="L1582" s="5">
        <f t="shared" si="73"/>
        <v>29.28</v>
      </c>
      <c r="M1582" s="5" t="s">
        <v>39</v>
      </c>
      <c r="N1582" s="5">
        <v>9.9551999999999996</v>
      </c>
      <c r="O1582" s="5" t="s">
        <v>39</v>
      </c>
      <c r="P1582" t="s">
        <v>72</v>
      </c>
      <c r="Q1582" t="s">
        <v>1962</v>
      </c>
      <c r="R1582" t="s">
        <v>37</v>
      </c>
      <c r="S1582" t="s">
        <v>1963</v>
      </c>
      <c r="T1582" t="s">
        <v>43</v>
      </c>
      <c r="U1582" t="s">
        <v>44</v>
      </c>
      <c r="V1582">
        <v>147</v>
      </c>
      <c r="W1582" t="s">
        <v>45</v>
      </c>
      <c r="X1582" t="s">
        <v>53</v>
      </c>
      <c r="Y1582" t="s">
        <v>1964</v>
      </c>
      <c r="Z1582" t="s">
        <v>37</v>
      </c>
      <c r="AA1582" t="s">
        <v>55</v>
      </c>
      <c r="AB1582" t="s">
        <v>37</v>
      </c>
      <c r="AC1582" s="6" t="s">
        <v>37</v>
      </c>
      <c r="AD1582" s="6" t="s">
        <v>37</v>
      </c>
      <c r="AE1582" t="s">
        <v>37</v>
      </c>
      <c r="AF1582" t="s">
        <v>37</v>
      </c>
      <c r="AG1582" s="6" t="s">
        <v>37</v>
      </c>
      <c r="AH1582" t="s">
        <v>37</v>
      </c>
      <c r="AI1582" t="s">
        <v>37</v>
      </c>
      <c r="AJ1582" t="str">
        <f t="shared" si="74"/>
        <v>4GF112AEB07W6JM8BJ</v>
      </c>
    </row>
    <row r="1583" spans="1:36" ht="15" customHeight="1" x14ac:dyDescent="0.25">
      <c r="A1583" t="s">
        <v>36</v>
      </c>
      <c r="B1583" t="s">
        <v>37</v>
      </c>
      <c r="C1583" t="s">
        <v>37</v>
      </c>
      <c r="D1583" t="s">
        <v>38</v>
      </c>
      <c r="E1583" s="4">
        <v>4</v>
      </c>
      <c r="F1583" s="5">
        <v>179.8</v>
      </c>
      <c r="G1583" s="5" t="s">
        <v>39</v>
      </c>
      <c r="H1583" s="5">
        <v>213.08</v>
      </c>
      <c r="I1583" s="5" t="s">
        <v>39</v>
      </c>
      <c r="J1583" s="5">
        <v>6.1132</v>
      </c>
      <c r="K1583" s="5">
        <f t="shared" si="72"/>
        <v>1.5283</v>
      </c>
      <c r="L1583" s="5">
        <f t="shared" si="73"/>
        <v>44.95</v>
      </c>
      <c r="M1583" s="5" t="s">
        <v>39</v>
      </c>
      <c r="N1583" s="5">
        <v>6.1132</v>
      </c>
      <c r="O1583" s="5" t="s">
        <v>39</v>
      </c>
      <c r="P1583" t="s">
        <v>365</v>
      </c>
      <c r="Q1583" t="s">
        <v>459</v>
      </c>
      <c r="R1583" t="s">
        <v>37</v>
      </c>
      <c r="S1583" t="s">
        <v>460</v>
      </c>
      <c r="T1583" t="s">
        <v>43</v>
      </c>
      <c r="U1583" t="s">
        <v>44</v>
      </c>
      <c r="V1583">
        <v>23</v>
      </c>
      <c r="W1583" t="s">
        <v>45</v>
      </c>
      <c r="X1583" t="s">
        <v>239</v>
      </c>
      <c r="Y1583" t="s">
        <v>461</v>
      </c>
      <c r="Z1583" t="s">
        <v>37</v>
      </c>
      <c r="AA1583" t="s">
        <v>95</v>
      </c>
      <c r="AB1583" t="s">
        <v>37</v>
      </c>
      <c r="AC1583" s="6" t="s">
        <v>37</v>
      </c>
      <c r="AD1583" s="6" t="s">
        <v>37</v>
      </c>
      <c r="AE1583" t="s">
        <v>37</v>
      </c>
      <c r="AF1583" t="s">
        <v>37</v>
      </c>
      <c r="AG1583" s="6" t="s">
        <v>37</v>
      </c>
      <c r="AH1583" t="s">
        <v>37</v>
      </c>
      <c r="AI1583" t="s">
        <v>37</v>
      </c>
      <c r="AJ1583" t="str">
        <f t="shared" si="74"/>
        <v>3KYCEHVHB07W5JKLRF</v>
      </c>
    </row>
    <row r="1584" spans="1:36" ht="15" customHeight="1" x14ac:dyDescent="0.25">
      <c r="A1584" t="s">
        <v>96</v>
      </c>
      <c r="B1584" t="s">
        <v>37</v>
      </c>
      <c r="C1584" t="s">
        <v>37</v>
      </c>
      <c r="D1584" t="s">
        <v>38</v>
      </c>
      <c r="E1584" s="4">
        <v>20</v>
      </c>
      <c r="F1584" s="5">
        <v>1037.4000000000001</v>
      </c>
      <c r="G1584" s="5" t="s">
        <v>39</v>
      </c>
      <c r="H1584" s="5">
        <v>1229.4000000000001</v>
      </c>
      <c r="I1584" s="5" t="s">
        <v>39</v>
      </c>
      <c r="J1584" s="5">
        <v>35.271599999999999</v>
      </c>
      <c r="K1584" s="5">
        <f t="shared" si="72"/>
        <v>1.7635799999999999</v>
      </c>
      <c r="L1584" s="5">
        <f t="shared" si="73"/>
        <v>51.870000000000005</v>
      </c>
      <c r="M1584" s="5" t="s">
        <v>39</v>
      </c>
      <c r="N1584" s="5">
        <v>35.271599999999999</v>
      </c>
      <c r="O1584" s="5" t="s">
        <v>39</v>
      </c>
      <c r="P1584" t="s">
        <v>1882</v>
      </c>
      <c r="Q1584" t="s">
        <v>1965</v>
      </c>
      <c r="R1584" t="s">
        <v>1966</v>
      </c>
      <c r="S1584" t="s">
        <v>1967</v>
      </c>
      <c r="T1584" t="s">
        <v>43</v>
      </c>
      <c r="U1584" t="s">
        <v>44</v>
      </c>
      <c r="V1584">
        <v>267</v>
      </c>
      <c r="W1584" t="s">
        <v>151</v>
      </c>
      <c r="X1584" t="s">
        <v>152</v>
      </c>
      <c r="Y1584" t="s">
        <v>1968</v>
      </c>
      <c r="Z1584" t="s">
        <v>37</v>
      </c>
      <c r="AA1584" t="s">
        <v>95</v>
      </c>
      <c r="AB1584" t="s">
        <v>37</v>
      </c>
      <c r="AC1584" s="6" t="s">
        <v>37</v>
      </c>
      <c r="AD1584" s="6" t="s">
        <v>37</v>
      </c>
      <c r="AE1584" t="s">
        <v>37</v>
      </c>
      <c r="AF1584" t="s">
        <v>37</v>
      </c>
      <c r="AG1584" s="6" t="s">
        <v>37</v>
      </c>
      <c r="AH1584" t="s">
        <v>37</v>
      </c>
      <c r="AI1584" t="s">
        <v>37</v>
      </c>
      <c r="AJ1584" t="str">
        <f t="shared" si="74"/>
        <v>48JXYHTNB078MGXLVS</v>
      </c>
    </row>
    <row r="1585" spans="1:36" ht="15" customHeight="1" x14ac:dyDescent="0.25">
      <c r="A1585" t="s">
        <v>411</v>
      </c>
      <c r="B1585" t="s">
        <v>37</v>
      </c>
      <c r="C1585" t="s">
        <v>37</v>
      </c>
      <c r="D1585" t="s">
        <v>38</v>
      </c>
      <c r="E1585" s="4">
        <v>80</v>
      </c>
      <c r="F1585" s="5">
        <v>5867.2</v>
      </c>
      <c r="G1585" s="5" t="s">
        <v>39</v>
      </c>
      <c r="H1585" s="5">
        <v>9508</v>
      </c>
      <c r="I1585" s="5" t="s">
        <v>39</v>
      </c>
      <c r="J1585" s="5">
        <v>199.48480000000001</v>
      </c>
      <c r="K1585" s="5">
        <f t="shared" si="72"/>
        <v>2.49356</v>
      </c>
      <c r="L1585" s="5">
        <f t="shared" si="73"/>
        <v>73.34</v>
      </c>
      <c r="M1585" s="5" t="s">
        <v>39</v>
      </c>
      <c r="N1585" s="5">
        <v>199.48480000000001</v>
      </c>
      <c r="O1585" s="5" t="s">
        <v>39</v>
      </c>
      <c r="P1585" t="s">
        <v>1969</v>
      </c>
      <c r="Q1585" t="s">
        <v>207</v>
      </c>
      <c r="R1585" t="s">
        <v>37</v>
      </c>
      <c r="S1585" t="s">
        <v>208</v>
      </c>
      <c r="T1585" t="s">
        <v>43</v>
      </c>
      <c r="U1585" t="s">
        <v>44</v>
      </c>
      <c r="V1585">
        <v>147</v>
      </c>
      <c r="W1585" t="s">
        <v>45</v>
      </c>
      <c r="X1585" t="s">
        <v>46</v>
      </c>
      <c r="Y1585" t="s">
        <v>209</v>
      </c>
      <c r="Z1585" t="s">
        <v>37</v>
      </c>
      <c r="AA1585" t="s">
        <v>55</v>
      </c>
      <c r="AB1585" t="s">
        <v>37</v>
      </c>
      <c r="AC1585" s="6" t="s">
        <v>37</v>
      </c>
      <c r="AD1585" s="6" t="s">
        <v>37</v>
      </c>
      <c r="AE1585" t="s">
        <v>37</v>
      </c>
      <c r="AF1585" t="s">
        <v>37</v>
      </c>
      <c r="AG1585" s="6" t="s">
        <v>37</v>
      </c>
      <c r="AH1585" t="s">
        <v>37</v>
      </c>
      <c r="AI1585" t="s">
        <v>37</v>
      </c>
      <c r="AJ1585" t="str">
        <f t="shared" si="74"/>
        <v>4P7SEHJSB073399S1L</v>
      </c>
    </row>
    <row r="1586" spans="1:36" ht="15" customHeight="1" x14ac:dyDescent="0.25">
      <c r="A1586" t="s">
        <v>127</v>
      </c>
      <c r="B1586" t="s">
        <v>37</v>
      </c>
      <c r="C1586" t="s">
        <v>37</v>
      </c>
      <c r="D1586" t="s">
        <v>38</v>
      </c>
      <c r="E1586" s="4">
        <v>0</v>
      </c>
      <c r="F1586" s="5">
        <v>0</v>
      </c>
      <c r="G1586" s="5" t="s">
        <v>39</v>
      </c>
      <c r="H1586" s="5">
        <v>0</v>
      </c>
      <c r="I1586" s="5" t="s">
        <v>39</v>
      </c>
      <c r="J1586" s="5">
        <v>0</v>
      </c>
      <c r="K1586" s="5" t="e">
        <f t="shared" si="72"/>
        <v>#DIV/0!</v>
      </c>
      <c r="L1586" s="5" t="e">
        <f t="shared" si="73"/>
        <v>#DIV/0!</v>
      </c>
      <c r="M1586" s="5" t="s">
        <v>39</v>
      </c>
      <c r="N1586" s="5">
        <v>0</v>
      </c>
      <c r="O1586" s="5" t="s">
        <v>39</v>
      </c>
      <c r="P1586" t="s">
        <v>141</v>
      </c>
      <c r="Q1586" t="s">
        <v>1759</v>
      </c>
      <c r="R1586" t="s">
        <v>1760</v>
      </c>
      <c r="S1586" t="s">
        <v>1761</v>
      </c>
      <c r="T1586" t="s">
        <v>43</v>
      </c>
      <c r="U1586" t="s">
        <v>44</v>
      </c>
      <c r="V1586">
        <v>147</v>
      </c>
      <c r="W1586" t="s">
        <v>45</v>
      </c>
      <c r="X1586" t="s">
        <v>389</v>
      </c>
      <c r="Y1586" t="s">
        <v>1762</v>
      </c>
      <c r="Z1586" t="s">
        <v>37</v>
      </c>
      <c r="AA1586" t="s">
        <v>48</v>
      </c>
      <c r="AB1586" t="s">
        <v>37</v>
      </c>
      <c r="AC1586" s="6" t="s">
        <v>37</v>
      </c>
      <c r="AD1586" s="6" t="s">
        <v>37</v>
      </c>
      <c r="AE1586" t="s">
        <v>37</v>
      </c>
      <c r="AF1586" t="s">
        <v>37</v>
      </c>
      <c r="AG1586" s="6" t="s">
        <v>37</v>
      </c>
      <c r="AH1586" t="s">
        <v>37</v>
      </c>
      <c r="AI1586" t="s">
        <v>37</v>
      </c>
      <c r="AJ1586" t="str">
        <f t="shared" si="74"/>
        <v>56UO2L2IB0013N474I</v>
      </c>
    </row>
    <row r="1587" spans="1:36" ht="15" customHeight="1" x14ac:dyDescent="0.25">
      <c r="A1587" t="s">
        <v>101</v>
      </c>
      <c r="B1587" t="s">
        <v>37</v>
      </c>
      <c r="C1587" t="s">
        <v>37</v>
      </c>
      <c r="D1587" t="s">
        <v>38</v>
      </c>
      <c r="E1587" s="4">
        <v>152</v>
      </c>
      <c r="F1587" s="5">
        <v>1763.2</v>
      </c>
      <c r="G1587" s="5" t="s">
        <v>39</v>
      </c>
      <c r="H1587" s="5">
        <v>2988.32</v>
      </c>
      <c r="I1587" s="5" t="s">
        <v>39</v>
      </c>
      <c r="J1587" s="5">
        <v>59.948799999999999</v>
      </c>
      <c r="K1587" s="5">
        <f t="shared" si="72"/>
        <v>0.39439999999999997</v>
      </c>
      <c r="L1587" s="5">
        <f t="shared" si="73"/>
        <v>11.6</v>
      </c>
      <c r="M1587" s="5" t="s">
        <v>39</v>
      </c>
      <c r="N1587" s="5">
        <v>59.948799999999999</v>
      </c>
      <c r="O1587" s="5" t="s">
        <v>39</v>
      </c>
      <c r="P1587" t="s">
        <v>320</v>
      </c>
      <c r="Q1587" t="s">
        <v>1294</v>
      </c>
      <c r="R1587" t="s">
        <v>37</v>
      </c>
      <c r="S1587" t="s">
        <v>1295</v>
      </c>
      <c r="T1587" t="s">
        <v>43</v>
      </c>
      <c r="U1587" t="s">
        <v>44</v>
      </c>
      <c r="V1587">
        <v>147</v>
      </c>
      <c r="W1587" t="s">
        <v>45</v>
      </c>
      <c r="X1587" t="s">
        <v>53</v>
      </c>
      <c r="Y1587" t="s">
        <v>109</v>
      </c>
      <c r="Z1587" t="s">
        <v>37</v>
      </c>
      <c r="AA1587" t="s">
        <v>95</v>
      </c>
      <c r="AB1587" t="s">
        <v>37</v>
      </c>
      <c r="AC1587" s="6" t="s">
        <v>37</v>
      </c>
      <c r="AD1587" s="6" t="s">
        <v>37</v>
      </c>
      <c r="AE1587" t="s">
        <v>37</v>
      </c>
      <c r="AF1587" t="s">
        <v>37</v>
      </c>
      <c r="AG1587" s="6" t="s">
        <v>37</v>
      </c>
      <c r="AH1587" t="s">
        <v>37</v>
      </c>
      <c r="AI1587" t="s">
        <v>37</v>
      </c>
      <c r="AJ1587" t="str">
        <f t="shared" si="74"/>
        <v>8BG295LIB07W7LNTMC</v>
      </c>
    </row>
    <row r="1588" spans="1:36" ht="15" customHeight="1" x14ac:dyDescent="0.25">
      <c r="A1588" t="s">
        <v>411</v>
      </c>
      <c r="B1588" t="s">
        <v>37</v>
      </c>
      <c r="C1588" t="s">
        <v>37</v>
      </c>
      <c r="D1588" t="s">
        <v>38</v>
      </c>
      <c r="E1588" s="4">
        <v>13</v>
      </c>
      <c r="F1588" s="5">
        <v>2736.76</v>
      </c>
      <c r="G1588" s="5" t="s">
        <v>39</v>
      </c>
      <c r="H1588" s="5">
        <v>4368.78</v>
      </c>
      <c r="I1588" s="5" t="s">
        <v>39</v>
      </c>
      <c r="J1588" s="5">
        <v>93.049840000000003</v>
      </c>
      <c r="K1588" s="5">
        <f t="shared" si="72"/>
        <v>7.15768</v>
      </c>
      <c r="L1588" s="5">
        <f t="shared" si="73"/>
        <v>210.52</v>
      </c>
      <c r="M1588" s="5" t="s">
        <v>39</v>
      </c>
      <c r="N1588" s="5">
        <v>93.049840000000003</v>
      </c>
      <c r="O1588" s="5" t="s">
        <v>39</v>
      </c>
      <c r="P1588" t="s">
        <v>416</v>
      </c>
      <c r="Q1588" t="s">
        <v>81</v>
      </c>
      <c r="R1588" t="s">
        <v>37</v>
      </c>
      <c r="S1588" t="s">
        <v>82</v>
      </c>
      <c r="T1588" t="s">
        <v>43</v>
      </c>
      <c r="U1588" t="s">
        <v>44</v>
      </c>
      <c r="V1588">
        <v>147</v>
      </c>
      <c r="W1588" t="s">
        <v>45</v>
      </c>
      <c r="X1588" t="s">
        <v>46</v>
      </c>
      <c r="Y1588" t="s">
        <v>83</v>
      </c>
      <c r="Z1588" t="s">
        <v>37</v>
      </c>
      <c r="AA1588" t="s">
        <v>55</v>
      </c>
      <c r="AB1588" t="s">
        <v>37</v>
      </c>
      <c r="AC1588" s="6" t="s">
        <v>37</v>
      </c>
      <c r="AD1588" s="6" t="s">
        <v>37</v>
      </c>
      <c r="AE1588" t="s">
        <v>37</v>
      </c>
      <c r="AF1588" t="s">
        <v>37</v>
      </c>
      <c r="AG1588" s="6" t="s">
        <v>37</v>
      </c>
      <c r="AH1588" t="s">
        <v>37</v>
      </c>
      <c r="AI1588" t="s">
        <v>37</v>
      </c>
      <c r="AJ1588" t="str">
        <f t="shared" si="74"/>
        <v>69351YNLB07W6JB7N7</v>
      </c>
    </row>
    <row r="1589" spans="1:36" ht="15" customHeight="1" x14ac:dyDescent="0.25">
      <c r="A1589" t="s">
        <v>96</v>
      </c>
      <c r="B1589" t="s">
        <v>37</v>
      </c>
      <c r="C1589" t="s">
        <v>37</v>
      </c>
      <c r="D1589" t="s">
        <v>38</v>
      </c>
      <c r="E1589" s="4">
        <v>4</v>
      </c>
      <c r="F1589" s="5">
        <v>420</v>
      </c>
      <c r="G1589" s="5" t="s">
        <v>39</v>
      </c>
      <c r="H1589" s="5">
        <v>685.2</v>
      </c>
      <c r="I1589" s="5" t="s">
        <v>39</v>
      </c>
      <c r="J1589" s="5">
        <v>14.28</v>
      </c>
      <c r="K1589" s="5">
        <f t="shared" si="72"/>
        <v>3.57</v>
      </c>
      <c r="L1589" s="5">
        <f t="shared" si="73"/>
        <v>105</v>
      </c>
      <c r="M1589" s="5" t="s">
        <v>39</v>
      </c>
      <c r="N1589" s="5">
        <v>14.28</v>
      </c>
      <c r="O1589" s="5" t="s">
        <v>39</v>
      </c>
      <c r="P1589" t="s">
        <v>522</v>
      </c>
      <c r="Q1589" t="s">
        <v>1228</v>
      </c>
      <c r="R1589" t="s">
        <v>37</v>
      </c>
      <c r="S1589" t="s">
        <v>1229</v>
      </c>
      <c r="T1589" t="s">
        <v>43</v>
      </c>
      <c r="U1589" t="s">
        <v>44</v>
      </c>
      <c r="V1589">
        <v>147</v>
      </c>
      <c r="W1589" t="s">
        <v>45</v>
      </c>
      <c r="X1589" t="s">
        <v>46</v>
      </c>
      <c r="Y1589" t="s">
        <v>1230</v>
      </c>
      <c r="Z1589" t="s">
        <v>37</v>
      </c>
      <c r="AA1589" t="s">
        <v>48</v>
      </c>
      <c r="AB1589" t="s">
        <v>37</v>
      </c>
      <c r="AC1589" s="6" t="s">
        <v>37</v>
      </c>
      <c r="AD1589" s="6" t="s">
        <v>37</v>
      </c>
      <c r="AE1589" t="s">
        <v>37</v>
      </c>
      <c r="AF1589" t="s">
        <v>37</v>
      </c>
      <c r="AG1589" s="6" t="s">
        <v>37</v>
      </c>
      <c r="AH1589" t="s">
        <v>37</v>
      </c>
      <c r="AI1589" t="s">
        <v>37</v>
      </c>
      <c r="AJ1589" t="str">
        <f t="shared" si="74"/>
        <v>24EUBTHXB01GHP1IDY</v>
      </c>
    </row>
    <row r="1590" spans="1:36" ht="15" customHeight="1" x14ac:dyDescent="0.25"/>
    <row r="1591" spans="1:36" ht="15" customHeight="1" x14ac:dyDescent="0.25">
      <c r="A1591" s="7" t="s">
        <v>1970</v>
      </c>
      <c r="E1591" s="8">
        <f>SUM(E2:E1589)</f>
        <v>120452</v>
      </c>
      <c r="F1591" s="9">
        <f>SUM(F2:F1589)</f>
        <v>6870869.860000005</v>
      </c>
      <c r="G1591" s="9"/>
      <c r="H1591" s="9">
        <f>SUM(H2:H1589)</f>
        <v>10285730.170000002</v>
      </c>
      <c r="I1591" s="9"/>
      <c r="J1591" s="9">
        <f>SUM(J2:J1589)</f>
        <v>233550.74673999968</v>
      </c>
      <c r="K1591" s="9"/>
      <c r="L1591" s="9"/>
      <c r="M1591" s="9"/>
      <c r="N1591" s="9"/>
      <c r="O1591" s="9"/>
      <c r="AG1591" s="9">
        <f>SUM(AA2:AA1589)</f>
        <v>0</v>
      </c>
    </row>
    <row r="1592" spans="1:36" ht="15" customHeight="1" x14ac:dyDescent="0.25">
      <c r="P1592" s="7"/>
    </row>
    <row r="1593" spans="1:36" ht="15" customHeight="1" x14ac:dyDescent="0.25">
      <c r="P1593" s="7"/>
    </row>
    <row r="1594" spans="1:36" ht="15" customHeight="1" x14ac:dyDescent="0.25">
      <c r="Z1594" s="7"/>
    </row>
    <row r="1595" spans="1:36" ht="15" customHeight="1" x14ac:dyDescent="0.25">
      <c r="Z1595" s="7"/>
      <c r="AA1595" s="6"/>
    </row>
    <row r="1596" spans="1:36" ht="15" customHeight="1" x14ac:dyDescent="0.25">
      <c r="Z1596" s="7"/>
      <c r="AA1596" s="6"/>
    </row>
    <row r="1609" ht="15" customHeight="1" x14ac:dyDescent="0.25"/>
  </sheetData>
  <pageMargins left="0.75" right="0.75" top="1" bottom="1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B02C-725F-4246-9BDF-F13D39E0929E}">
  <dimension ref="A1:K1217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4.140625" bestFit="1" customWidth="1"/>
    <col min="3" max="3" width="12.28515625" bestFit="1" customWidth="1"/>
    <col min="4" max="4" width="18.5703125" bestFit="1" customWidth="1"/>
    <col min="5" max="5" width="4.140625" bestFit="1" customWidth="1"/>
    <col min="6" max="6" width="5.42578125" bestFit="1" customWidth="1"/>
    <col min="7" max="7" width="15.28515625" bestFit="1" customWidth="1"/>
    <col min="8" max="8" width="9.85546875" bestFit="1" customWidth="1"/>
    <col min="9" max="9" width="17.85546875" bestFit="1" customWidth="1"/>
    <col min="10" max="10" width="13.7109375" bestFit="1" customWidth="1"/>
  </cols>
  <sheetData>
    <row r="1" spans="1:11" x14ac:dyDescent="0.25">
      <c r="A1" s="10" t="s">
        <v>1971</v>
      </c>
      <c r="B1" s="10"/>
      <c r="C1" s="10"/>
      <c r="D1" s="10"/>
      <c r="E1" s="11" t="s">
        <v>1972</v>
      </c>
      <c r="F1" s="11"/>
      <c r="G1" s="12" t="s">
        <v>1973</v>
      </c>
      <c r="H1" s="12"/>
      <c r="I1" s="12"/>
      <c r="J1" s="12"/>
      <c r="K1" s="13"/>
    </row>
    <row r="2" spans="1:11" x14ac:dyDescent="0.25">
      <c r="A2" s="13" t="s">
        <v>1974</v>
      </c>
      <c r="B2" s="13" t="s">
        <v>1975</v>
      </c>
      <c r="C2" s="13" t="s">
        <v>1976</v>
      </c>
      <c r="D2" s="13" t="s">
        <v>1977</v>
      </c>
      <c r="E2" s="13" t="s">
        <v>1975</v>
      </c>
      <c r="F2" s="13" t="s">
        <v>1978</v>
      </c>
      <c r="G2" s="13" t="s">
        <v>1979</v>
      </c>
      <c r="H2" s="13" t="s">
        <v>1980</v>
      </c>
      <c r="I2" s="13" t="s">
        <v>1981</v>
      </c>
      <c r="J2" s="13" t="s">
        <v>1982</v>
      </c>
      <c r="K2" s="13"/>
    </row>
    <row r="3" spans="1:11" x14ac:dyDescent="0.25">
      <c r="A3" t="s">
        <v>1983</v>
      </c>
      <c r="B3">
        <v>8</v>
      </c>
      <c r="C3">
        <f>_xlfn.XLOOKUP(Recon!A3,[1]Backup!AJ:AJ,[1]Backup!L:L)</f>
        <v>63.23</v>
      </c>
      <c r="D3">
        <f>_xlfn.XLOOKUP(Recon!A3,[1]Backup!AJ:AJ,[1]Backup!K:K)</f>
        <v>2.1498200000000001</v>
      </c>
      <c r="E3">
        <f>SUMIF('[1]PO Report'!A:A,Recon!A3,'[1]PO Report'!P:P)</f>
        <v>8</v>
      </c>
      <c r="F3">
        <f>VLOOKUP(A3,'[1]PO Report'!$A:$Z,15,0)</f>
        <v>63.23</v>
      </c>
      <c r="H3">
        <f>B3-E3</f>
        <v>0</v>
      </c>
      <c r="J3">
        <f>C3-F3</f>
        <v>0</v>
      </c>
    </row>
    <row r="4" spans="1:11" x14ac:dyDescent="0.25">
      <c r="A4" t="s">
        <v>1984</v>
      </c>
      <c r="B4">
        <v>31</v>
      </c>
      <c r="C4">
        <f>_xlfn.XLOOKUP(Recon!A4,[1]Backup!AJ:AJ,[1]Backup!L:L)</f>
        <v>240.27</v>
      </c>
      <c r="D4">
        <f>_xlfn.XLOOKUP(Recon!A4,[1]Backup!AJ:AJ,[1]Backup!K:K)</f>
        <v>8.1691800000000008</v>
      </c>
      <c r="E4">
        <f>SUMIF('[1]PO Report'!A:A,Recon!A4,'[1]PO Report'!P:P)</f>
        <v>31</v>
      </c>
      <c r="F4">
        <f>VLOOKUP(A4,'[1]PO Report'!$A:$Z,15,0)</f>
        <v>240.27</v>
      </c>
      <c r="H4">
        <f t="shared" ref="H4:H67" si="0">B4-E4</f>
        <v>0</v>
      </c>
      <c r="J4">
        <f t="shared" ref="J4:J67" si="1">C4-F4</f>
        <v>0</v>
      </c>
    </row>
    <row r="5" spans="1:11" x14ac:dyDescent="0.25">
      <c r="A5" t="s">
        <v>1985</v>
      </c>
      <c r="B5">
        <v>4</v>
      </c>
      <c r="C5">
        <f>_xlfn.XLOOKUP(Recon!A5,[1]Backup!AJ:AJ,[1]Backup!L:L)</f>
        <v>121.25</v>
      </c>
      <c r="D5">
        <f>_xlfn.XLOOKUP(Recon!A5,[1]Backup!AJ:AJ,[1]Backup!K:K)</f>
        <v>4.1224999999999996</v>
      </c>
      <c r="E5">
        <f>SUMIF('[1]PO Report'!A:A,Recon!A5,'[1]PO Report'!P:P)</f>
        <v>4</v>
      </c>
      <c r="F5">
        <f>VLOOKUP(A5,'[1]PO Report'!$A:$Z,15,0)</f>
        <v>121.25</v>
      </c>
      <c r="H5">
        <f t="shared" si="0"/>
        <v>0</v>
      </c>
      <c r="J5">
        <f t="shared" si="1"/>
        <v>0</v>
      </c>
    </row>
    <row r="6" spans="1:11" x14ac:dyDescent="0.25">
      <c r="A6" t="s">
        <v>1986</v>
      </c>
      <c r="B6">
        <v>6</v>
      </c>
      <c r="C6">
        <f>_xlfn.XLOOKUP(Recon!A6,[1]Backup!AJ:AJ,[1]Backup!L:L)</f>
        <v>210.51999999999998</v>
      </c>
      <c r="D6">
        <f>_xlfn.XLOOKUP(Recon!A6,[1]Backup!AJ:AJ,[1]Backup!K:K)</f>
        <v>7.15768</v>
      </c>
      <c r="E6">
        <f>SUMIF('[1]PO Report'!A:A,Recon!A6,'[1]PO Report'!P:P)</f>
        <v>6</v>
      </c>
      <c r="F6">
        <f>VLOOKUP(A6,'[1]PO Report'!$A:$Z,15,0)</f>
        <v>210.52</v>
      </c>
      <c r="H6">
        <f t="shared" si="0"/>
        <v>0</v>
      </c>
      <c r="J6">
        <f t="shared" si="1"/>
        <v>0</v>
      </c>
    </row>
    <row r="7" spans="1:11" x14ac:dyDescent="0.25">
      <c r="A7" t="s">
        <v>1987</v>
      </c>
      <c r="B7">
        <v>66</v>
      </c>
      <c r="C7">
        <f>_xlfn.XLOOKUP(Recon!A7,[1]Backup!AJ:AJ,[1]Backup!L:L)</f>
        <v>89.17</v>
      </c>
      <c r="D7">
        <f>_xlfn.XLOOKUP(Recon!A7,[1]Backup!AJ:AJ,[1]Backup!K:K)</f>
        <v>3.0317799999999999</v>
      </c>
      <c r="E7">
        <f>SUMIF('[1]PO Report'!A:A,Recon!A7,'[1]PO Report'!P:P)</f>
        <v>66</v>
      </c>
      <c r="F7">
        <f>VLOOKUP(A7,'[1]PO Report'!$A:$Z,15,0)</f>
        <v>89.17</v>
      </c>
      <c r="H7">
        <f t="shared" si="0"/>
        <v>0</v>
      </c>
      <c r="J7">
        <f t="shared" si="1"/>
        <v>0</v>
      </c>
    </row>
    <row r="8" spans="1:11" x14ac:dyDescent="0.25">
      <c r="A8" t="s">
        <v>1988</v>
      </c>
      <c r="B8">
        <v>4</v>
      </c>
      <c r="C8">
        <f>_xlfn.XLOOKUP(Recon!A8,[1]Backup!AJ:AJ,[1]Backup!L:L)</f>
        <v>23.42</v>
      </c>
      <c r="D8">
        <f>_xlfn.XLOOKUP(Recon!A8,[1]Backup!AJ:AJ,[1]Backup!K:K)</f>
        <v>0.79627999999999999</v>
      </c>
      <c r="E8">
        <f>SUMIF('[1]PO Report'!A:A,Recon!A8,'[1]PO Report'!P:P)</f>
        <v>4</v>
      </c>
      <c r="F8">
        <f>VLOOKUP(A8,'[1]PO Report'!$A:$Z,15,0)</f>
        <v>23.42</v>
      </c>
      <c r="H8">
        <f t="shared" si="0"/>
        <v>0</v>
      </c>
      <c r="J8">
        <f t="shared" si="1"/>
        <v>0</v>
      </c>
    </row>
    <row r="9" spans="1:11" x14ac:dyDescent="0.25">
      <c r="A9" t="s">
        <v>1989</v>
      </c>
      <c r="B9">
        <v>4</v>
      </c>
      <c r="C9">
        <f>_xlfn.XLOOKUP(Recon!A9,[1]Backup!AJ:AJ,[1]Backup!L:L)</f>
        <v>35.130000000000003</v>
      </c>
      <c r="D9">
        <f>_xlfn.XLOOKUP(Recon!A9,[1]Backup!AJ:AJ,[1]Backup!K:K)</f>
        <v>1.19442</v>
      </c>
      <c r="E9">
        <f>SUMIF('[1]PO Report'!A:A,Recon!A9,'[1]PO Report'!P:P)</f>
        <v>4</v>
      </c>
      <c r="F9">
        <f>VLOOKUP(A9,'[1]PO Report'!$A:$Z,15,0)</f>
        <v>35.130000000000003</v>
      </c>
      <c r="H9">
        <f t="shared" si="0"/>
        <v>0</v>
      </c>
      <c r="J9">
        <f t="shared" si="1"/>
        <v>0</v>
      </c>
    </row>
    <row r="10" spans="1:11" x14ac:dyDescent="0.25">
      <c r="A10" t="s">
        <v>1990</v>
      </c>
      <c r="B10">
        <v>3</v>
      </c>
      <c r="C10">
        <f>_xlfn.XLOOKUP(Recon!A10,[1]Backup!AJ:AJ,[1]Backup!L:L)</f>
        <v>221.07000000000002</v>
      </c>
      <c r="D10">
        <f>_xlfn.XLOOKUP(Recon!A10,[1]Backup!AJ:AJ,[1]Backup!K:K)</f>
        <v>7.5163800000000007</v>
      </c>
      <c r="E10">
        <f>SUMIF('[1]PO Report'!A:A,Recon!A10,'[1]PO Report'!P:P)</f>
        <v>3</v>
      </c>
      <c r="F10">
        <f>VLOOKUP(A10,'[1]PO Report'!$A:$Z,15,0)</f>
        <v>221.07</v>
      </c>
      <c r="H10">
        <f t="shared" si="0"/>
        <v>0</v>
      </c>
      <c r="J10">
        <f t="shared" si="1"/>
        <v>0</v>
      </c>
    </row>
    <row r="11" spans="1:11" x14ac:dyDescent="0.25">
      <c r="A11" t="s">
        <v>1991</v>
      </c>
      <c r="B11">
        <v>16</v>
      </c>
      <c r="C11">
        <f>_xlfn.XLOOKUP(Recon!A11,[1]Backup!AJ:AJ,[1]Backup!L:L)</f>
        <v>23.42</v>
      </c>
      <c r="D11">
        <f>_xlfn.XLOOKUP(Recon!A11,[1]Backup!AJ:AJ,[1]Backup!K:K)</f>
        <v>0.79627999999999999</v>
      </c>
      <c r="E11">
        <f>SUMIF('[1]PO Report'!A:A,Recon!A11,'[1]PO Report'!P:P)</f>
        <v>16</v>
      </c>
      <c r="F11">
        <f>VLOOKUP(A11,'[1]PO Report'!$A:$Z,15,0)</f>
        <v>23.42</v>
      </c>
      <c r="H11">
        <f t="shared" si="0"/>
        <v>0</v>
      </c>
      <c r="J11">
        <f t="shared" si="1"/>
        <v>0</v>
      </c>
    </row>
    <row r="12" spans="1:11" x14ac:dyDescent="0.25">
      <c r="A12" t="s">
        <v>1992</v>
      </c>
      <c r="B12">
        <v>24</v>
      </c>
      <c r="C12">
        <f>_xlfn.XLOOKUP(Recon!A12,[1]Backup!AJ:AJ,[1]Backup!L:L)</f>
        <v>75.41</v>
      </c>
      <c r="D12">
        <f>_xlfn.XLOOKUP(Recon!A12,[1]Backup!AJ:AJ,[1]Backup!K:K)</f>
        <v>2.5639400000000001</v>
      </c>
      <c r="E12">
        <f>SUMIF('[1]PO Report'!A:A,Recon!A12,'[1]PO Report'!P:P)</f>
        <v>24</v>
      </c>
      <c r="F12">
        <f>VLOOKUP(A12,'[1]PO Report'!$A:$Z,15,0)</f>
        <v>75.41</v>
      </c>
      <c r="H12">
        <f t="shared" si="0"/>
        <v>0</v>
      </c>
      <c r="J12">
        <f t="shared" si="1"/>
        <v>0</v>
      </c>
    </row>
    <row r="13" spans="1:11" x14ac:dyDescent="0.25">
      <c r="A13" t="s">
        <v>1993</v>
      </c>
      <c r="B13">
        <v>8</v>
      </c>
      <c r="C13">
        <f>_xlfn.XLOOKUP(Recon!A13,[1]Backup!AJ:AJ,[1]Backup!L:L)</f>
        <v>75.41</v>
      </c>
      <c r="D13">
        <f>_xlfn.XLOOKUP(Recon!A13,[1]Backup!AJ:AJ,[1]Backup!K:K)</f>
        <v>2.5639400000000001</v>
      </c>
      <c r="E13">
        <f>SUMIF('[1]PO Report'!A:A,Recon!A13,'[1]PO Report'!P:P)</f>
        <v>8</v>
      </c>
      <c r="F13">
        <f>VLOOKUP(A13,'[1]PO Report'!$A:$Z,15,0)</f>
        <v>75.41</v>
      </c>
      <c r="H13">
        <f t="shared" si="0"/>
        <v>0</v>
      </c>
      <c r="J13">
        <f t="shared" si="1"/>
        <v>0</v>
      </c>
    </row>
    <row r="14" spans="1:11" x14ac:dyDescent="0.25">
      <c r="A14" t="s">
        <v>1994</v>
      </c>
      <c r="B14">
        <v>24</v>
      </c>
      <c r="C14">
        <f>_xlfn.XLOOKUP(Recon!A14,[1]Backup!AJ:AJ,[1]Backup!L:L)</f>
        <v>75.41</v>
      </c>
      <c r="D14">
        <f>_xlfn.XLOOKUP(Recon!A14,[1]Backup!AJ:AJ,[1]Backup!K:K)</f>
        <v>2.5639400000000001</v>
      </c>
      <c r="E14">
        <f>SUMIF('[1]PO Report'!A:A,Recon!A14,'[1]PO Report'!P:P)</f>
        <v>24</v>
      </c>
      <c r="F14">
        <f>VLOOKUP(A14,'[1]PO Report'!$A:$Z,15,0)</f>
        <v>75.41</v>
      </c>
      <c r="H14">
        <f t="shared" si="0"/>
        <v>0</v>
      </c>
      <c r="J14">
        <f t="shared" si="1"/>
        <v>0</v>
      </c>
    </row>
    <row r="15" spans="1:11" x14ac:dyDescent="0.25">
      <c r="A15" t="s">
        <v>1995</v>
      </c>
      <c r="B15">
        <v>10</v>
      </c>
      <c r="C15">
        <f>_xlfn.XLOOKUP(Recon!A15,[1]Backup!AJ:AJ,[1]Backup!L:L)</f>
        <v>16.39</v>
      </c>
      <c r="D15">
        <f>_xlfn.XLOOKUP(Recon!A15,[1]Backup!AJ:AJ,[1]Backup!K:K)</f>
        <v>0.55726000000000009</v>
      </c>
      <c r="E15">
        <f>SUMIF('[1]PO Report'!A:A,Recon!A15,'[1]PO Report'!P:P)</f>
        <v>10</v>
      </c>
      <c r="F15">
        <f>VLOOKUP(A15,'[1]PO Report'!$A:$Z,15,0)</f>
        <v>16.39</v>
      </c>
      <c r="H15">
        <f t="shared" si="0"/>
        <v>0</v>
      </c>
      <c r="J15">
        <f t="shared" si="1"/>
        <v>0</v>
      </c>
    </row>
    <row r="16" spans="1:11" x14ac:dyDescent="0.25">
      <c r="A16" t="s">
        <v>1996</v>
      </c>
      <c r="B16">
        <v>16</v>
      </c>
      <c r="C16">
        <f>_xlfn.XLOOKUP(Recon!A16,[1]Backup!AJ:AJ,[1]Backup!L:L)</f>
        <v>159.09</v>
      </c>
      <c r="D16">
        <f>_xlfn.XLOOKUP(Recon!A16,[1]Backup!AJ:AJ,[1]Backup!K:K)</f>
        <v>5.4090600000000002</v>
      </c>
      <c r="E16">
        <f>SUMIF('[1]PO Report'!A:A,Recon!A16,'[1]PO Report'!P:P)</f>
        <v>16</v>
      </c>
      <c r="F16">
        <f>VLOOKUP(A16,'[1]PO Report'!$A:$Z,15,0)</f>
        <v>159.09</v>
      </c>
      <c r="H16">
        <f t="shared" si="0"/>
        <v>0</v>
      </c>
      <c r="J16">
        <f t="shared" si="1"/>
        <v>0</v>
      </c>
    </row>
    <row r="17" spans="1:10" x14ac:dyDescent="0.25">
      <c r="A17" t="s">
        <v>1997</v>
      </c>
      <c r="B17">
        <v>28</v>
      </c>
      <c r="C17">
        <f>_xlfn.XLOOKUP(Recon!A17,[1]Backup!AJ:AJ,[1]Backup!L:L)</f>
        <v>43.92</v>
      </c>
      <c r="D17">
        <f>_xlfn.XLOOKUP(Recon!A17,[1]Backup!AJ:AJ,[1]Backup!K:K)</f>
        <v>1.4932799999999999</v>
      </c>
      <c r="E17">
        <f>SUMIF('[1]PO Report'!A:A,Recon!A17,'[1]PO Report'!P:P)</f>
        <v>28</v>
      </c>
      <c r="F17">
        <f>VLOOKUP(A17,'[1]PO Report'!$A:$Z,15,0)</f>
        <v>43.92</v>
      </c>
      <c r="H17">
        <f t="shared" si="0"/>
        <v>0</v>
      </c>
      <c r="J17">
        <f t="shared" si="1"/>
        <v>0</v>
      </c>
    </row>
    <row r="18" spans="1:10" x14ac:dyDescent="0.25">
      <c r="A18" t="s">
        <v>1998</v>
      </c>
      <c r="B18">
        <v>36</v>
      </c>
      <c r="C18">
        <f>_xlfn.XLOOKUP(Recon!A18,[1]Backup!AJ:AJ,[1]Backup!L:L)</f>
        <v>43.92</v>
      </c>
      <c r="D18">
        <f>_xlfn.XLOOKUP(Recon!A18,[1]Backup!AJ:AJ,[1]Backup!K:K)</f>
        <v>1.4932799999999999</v>
      </c>
      <c r="E18">
        <f>SUMIF('[1]PO Report'!A:A,Recon!A18,'[1]PO Report'!P:P)</f>
        <v>32</v>
      </c>
      <c r="F18">
        <f>VLOOKUP(A18,'[1]PO Report'!$A:$Z,15,0)</f>
        <v>43.92</v>
      </c>
      <c r="H18">
        <f t="shared" si="0"/>
        <v>4</v>
      </c>
      <c r="I18">
        <f>H18*D18</f>
        <v>5.9731199999999998</v>
      </c>
      <c r="J18">
        <f t="shared" si="1"/>
        <v>0</v>
      </c>
    </row>
    <row r="19" spans="1:10" x14ac:dyDescent="0.25">
      <c r="A19" t="s">
        <v>1999</v>
      </c>
      <c r="B19">
        <v>4</v>
      </c>
      <c r="C19">
        <f>_xlfn.XLOOKUP(Recon!A19,[1]Backup!AJ:AJ,[1]Backup!L:L)</f>
        <v>43.92</v>
      </c>
      <c r="D19">
        <f>_xlfn.XLOOKUP(Recon!A19,[1]Backup!AJ:AJ,[1]Backup!K:K)</f>
        <v>1.4932799999999999</v>
      </c>
      <c r="E19">
        <f>SUMIF('[1]PO Report'!A:A,Recon!A19,'[1]PO Report'!P:P)</f>
        <v>4</v>
      </c>
      <c r="F19">
        <f>VLOOKUP(A19,'[1]PO Report'!$A:$Z,15,0)</f>
        <v>43.92</v>
      </c>
      <c r="H19">
        <f t="shared" si="0"/>
        <v>0</v>
      </c>
      <c r="J19">
        <f t="shared" si="1"/>
        <v>0</v>
      </c>
    </row>
    <row r="20" spans="1:10" x14ac:dyDescent="0.25">
      <c r="A20" t="s">
        <v>2000</v>
      </c>
      <c r="B20">
        <v>2</v>
      </c>
      <c r="C20">
        <f>_xlfn.XLOOKUP(Recon!A20,[1]Backup!AJ:AJ,[1]Backup!L:L)</f>
        <v>131.38</v>
      </c>
      <c r="D20">
        <f>_xlfn.XLOOKUP(Recon!A20,[1]Backup!AJ:AJ,[1]Backup!K:K)</f>
        <v>4.46692</v>
      </c>
      <c r="E20">
        <f>SUMIF('[1]PO Report'!A:A,Recon!A20,'[1]PO Report'!P:P)</f>
        <v>2</v>
      </c>
      <c r="F20">
        <f>VLOOKUP(A20,'[1]PO Report'!$A:$Z,15,0)</f>
        <v>131.38</v>
      </c>
      <c r="H20">
        <f t="shared" si="0"/>
        <v>0</v>
      </c>
      <c r="J20">
        <f t="shared" si="1"/>
        <v>0</v>
      </c>
    </row>
    <row r="21" spans="1:10" x14ac:dyDescent="0.25">
      <c r="A21" t="s">
        <v>2001</v>
      </c>
      <c r="B21">
        <v>8</v>
      </c>
      <c r="C21">
        <f>_xlfn.XLOOKUP(Recon!A21,[1]Backup!AJ:AJ,[1]Backup!L:L)</f>
        <v>73.34</v>
      </c>
      <c r="D21">
        <f>_xlfn.XLOOKUP(Recon!A21,[1]Backup!AJ:AJ,[1]Backup!K:K)</f>
        <v>2.49356</v>
      </c>
      <c r="E21">
        <f>SUMIF('[1]PO Report'!A:A,Recon!A21,'[1]PO Report'!P:P)</f>
        <v>8</v>
      </c>
      <c r="F21">
        <f>VLOOKUP(A21,'[1]PO Report'!$A:$Z,15,0)</f>
        <v>73.34</v>
      </c>
      <c r="H21">
        <f t="shared" si="0"/>
        <v>0</v>
      </c>
      <c r="J21">
        <f t="shared" si="1"/>
        <v>0</v>
      </c>
    </row>
    <row r="22" spans="1:10" x14ac:dyDescent="0.25">
      <c r="A22" t="s">
        <v>2002</v>
      </c>
      <c r="B22">
        <v>56</v>
      </c>
      <c r="C22">
        <f>_xlfn.XLOOKUP(Recon!A22,[1]Backup!AJ:AJ,[1]Backup!L:L)</f>
        <v>32.21</v>
      </c>
      <c r="D22">
        <f>_xlfn.XLOOKUP(Recon!A22,[1]Backup!AJ:AJ,[1]Backup!K:K)</f>
        <v>1.09514</v>
      </c>
      <c r="E22">
        <f>SUMIF('[1]PO Report'!A:A,Recon!A22,'[1]PO Report'!P:P)</f>
        <v>56</v>
      </c>
      <c r="F22">
        <f>VLOOKUP(A22,'[1]PO Report'!$A:$Z,15,0)</f>
        <v>32.21</v>
      </c>
      <c r="H22">
        <f t="shared" si="0"/>
        <v>0</v>
      </c>
      <c r="J22">
        <f t="shared" si="1"/>
        <v>0</v>
      </c>
    </row>
    <row r="23" spans="1:10" x14ac:dyDescent="0.25">
      <c r="A23" t="s">
        <v>2003</v>
      </c>
      <c r="B23">
        <v>40</v>
      </c>
      <c r="C23">
        <f>_xlfn.XLOOKUP(Recon!A23,[1]Backup!AJ:AJ,[1]Backup!L:L)</f>
        <v>44.839999999999996</v>
      </c>
      <c r="D23">
        <f>_xlfn.XLOOKUP(Recon!A23,[1]Backup!AJ:AJ,[1]Backup!K:K)</f>
        <v>1.5245599999999999</v>
      </c>
      <c r="E23">
        <f>SUMIF('[1]PO Report'!A:A,Recon!A23,'[1]PO Report'!P:P)</f>
        <v>40</v>
      </c>
      <c r="F23">
        <f>VLOOKUP(A23,'[1]PO Report'!$A:$Z,15,0)</f>
        <v>44.84</v>
      </c>
      <c r="H23">
        <f t="shared" si="0"/>
        <v>0</v>
      </c>
      <c r="J23">
        <f t="shared" si="1"/>
        <v>0</v>
      </c>
    </row>
    <row r="24" spans="1:10" x14ac:dyDescent="0.25">
      <c r="A24" t="s">
        <v>2004</v>
      </c>
      <c r="B24">
        <v>1</v>
      </c>
      <c r="C24">
        <f>_xlfn.XLOOKUP(Recon!A24,[1]Backup!AJ:AJ,[1]Backup!L:L)</f>
        <v>210.52</v>
      </c>
      <c r="D24">
        <f>_xlfn.XLOOKUP(Recon!A24,[1]Backup!AJ:AJ,[1]Backup!K:K)</f>
        <v>7.15768</v>
      </c>
      <c r="E24">
        <f>SUMIF('[1]PO Report'!A:A,Recon!A24,'[1]PO Report'!P:P)</f>
        <v>1</v>
      </c>
      <c r="F24">
        <f>VLOOKUP(A24,'[1]PO Report'!$A:$Z,15,0)</f>
        <v>210.52</v>
      </c>
      <c r="H24">
        <f t="shared" si="0"/>
        <v>0</v>
      </c>
      <c r="J24">
        <f t="shared" si="1"/>
        <v>0</v>
      </c>
    </row>
    <row r="25" spans="1:10" x14ac:dyDescent="0.25">
      <c r="A25" t="s">
        <v>2005</v>
      </c>
      <c r="B25">
        <v>4</v>
      </c>
      <c r="C25">
        <f>_xlfn.XLOOKUP(Recon!A25,[1]Backup!AJ:AJ,[1]Backup!L:L)</f>
        <v>74.84</v>
      </c>
      <c r="D25">
        <f>_xlfn.XLOOKUP(Recon!A25,[1]Backup!AJ:AJ,[1]Backup!K:K)</f>
        <v>2.5445600000000002</v>
      </c>
      <c r="E25">
        <f>SUMIF('[1]PO Report'!A:A,Recon!A25,'[1]PO Report'!P:P)</f>
        <v>4</v>
      </c>
      <c r="F25">
        <f>VLOOKUP(A25,'[1]PO Report'!$A:$Z,15,0)</f>
        <v>74.84</v>
      </c>
      <c r="H25">
        <f t="shared" si="0"/>
        <v>0</v>
      </c>
      <c r="J25">
        <f t="shared" si="1"/>
        <v>0</v>
      </c>
    </row>
    <row r="26" spans="1:10" x14ac:dyDescent="0.25">
      <c r="A26" t="s">
        <v>2006</v>
      </c>
      <c r="B26">
        <v>6</v>
      </c>
      <c r="C26">
        <f>_xlfn.XLOOKUP(Recon!A26,[1]Backup!AJ:AJ,[1]Backup!L:L)</f>
        <v>29</v>
      </c>
      <c r="D26">
        <f>_xlfn.XLOOKUP(Recon!A26,[1]Backup!AJ:AJ,[1]Backup!K:K)</f>
        <v>0.9860000000000001</v>
      </c>
      <c r="E26">
        <f>SUMIF('[1]PO Report'!A:A,Recon!A26,'[1]PO Report'!P:P)</f>
        <v>6</v>
      </c>
      <c r="F26">
        <f>VLOOKUP(A26,'[1]PO Report'!$A:$Z,15,0)</f>
        <v>29</v>
      </c>
      <c r="H26">
        <f t="shared" si="0"/>
        <v>0</v>
      </c>
      <c r="J26">
        <f t="shared" si="1"/>
        <v>0</v>
      </c>
    </row>
    <row r="27" spans="1:10" x14ac:dyDescent="0.25">
      <c r="A27" t="s">
        <v>2007</v>
      </c>
      <c r="B27">
        <v>6</v>
      </c>
      <c r="C27">
        <f>_xlfn.XLOOKUP(Recon!A27,[1]Backup!AJ:AJ,[1]Backup!L:L)</f>
        <v>29</v>
      </c>
      <c r="D27">
        <f>_xlfn.XLOOKUP(Recon!A27,[1]Backup!AJ:AJ,[1]Backup!K:K)</f>
        <v>0.9860000000000001</v>
      </c>
      <c r="E27">
        <f>SUMIF('[1]PO Report'!A:A,Recon!A27,'[1]PO Report'!P:P)</f>
        <v>6</v>
      </c>
      <c r="F27">
        <f>VLOOKUP(A27,'[1]PO Report'!$A:$Z,15,0)</f>
        <v>29</v>
      </c>
      <c r="H27">
        <f t="shared" si="0"/>
        <v>0</v>
      </c>
      <c r="J27">
        <f t="shared" si="1"/>
        <v>0</v>
      </c>
    </row>
    <row r="28" spans="1:10" x14ac:dyDescent="0.25">
      <c r="A28" t="s">
        <v>2008</v>
      </c>
      <c r="B28">
        <v>8</v>
      </c>
      <c r="C28">
        <f>_xlfn.XLOOKUP(Recon!A28,[1]Backup!AJ:AJ,[1]Backup!L:L)</f>
        <v>94.44</v>
      </c>
      <c r="D28">
        <f>_xlfn.XLOOKUP(Recon!A28,[1]Backup!AJ:AJ,[1]Backup!K:K)</f>
        <v>3.21096</v>
      </c>
      <c r="E28">
        <f>SUMIF('[1]PO Report'!A:A,Recon!A28,'[1]PO Report'!P:P)</f>
        <v>8</v>
      </c>
      <c r="F28">
        <f>VLOOKUP(A28,'[1]PO Report'!$A:$Z,15,0)</f>
        <v>94.44</v>
      </c>
      <c r="H28">
        <f t="shared" si="0"/>
        <v>0</v>
      </c>
      <c r="J28">
        <f t="shared" si="1"/>
        <v>0</v>
      </c>
    </row>
    <row r="29" spans="1:10" x14ac:dyDescent="0.25">
      <c r="A29" t="s">
        <v>2009</v>
      </c>
      <c r="B29">
        <v>480</v>
      </c>
      <c r="C29">
        <f>_xlfn.XLOOKUP(Recon!A29,[1]Backup!AJ:AJ,[1]Backup!L:L)</f>
        <v>29</v>
      </c>
      <c r="D29">
        <f>_xlfn.XLOOKUP(Recon!A29,[1]Backup!AJ:AJ,[1]Backup!K:K)</f>
        <v>0.98599999999999999</v>
      </c>
      <c r="E29">
        <f>SUMIF('[1]PO Report'!A:A,Recon!A29,'[1]PO Report'!P:P)</f>
        <v>480</v>
      </c>
      <c r="F29">
        <f>VLOOKUP(A29,'[1]PO Report'!$A:$Z,15,0)</f>
        <v>29</v>
      </c>
      <c r="H29">
        <f t="shared" si="0"/>
        <v>0</v>
      </c>
      <c r="J29">
        <f t="shared" si="1"/>
        <v>0</v>
      </c>
    </row>
    <row r="30" spans="1:10" x14ac:dyDescent="0.25">
      <c r="A30" t="s">
        <v>2010</v>
      </c>
      <c r="B30">
        <v>4</v>
      </c>
      <c r="C30">
        <f>_xlfn.XLOOKUP(Recon!A30,[1]Backup!AJ:AJ,[1]Backup!L:L)</f>
        <v>42.2</v>
      </c>
      <c r="D30">
        <f>_xlfn.XLOOKUP(Recon!A30,[1]Backup!AJ:AJ,[1]Backup!K:K)</f>
        <v>1.4348000000000001</v>
      </c>
      <c r="E30">
        <f>SUMIF('[1]PO Report'!A:A,Recon!A30,'[1]PO Report'!P:P)</f>
        <v>4</v>
      </c>
      <c r="F30">
        <f>VLOOKUP(A30,'[1]PO Report'!$A:$Z,15,0)</f>
        <v>42.2</v>
      </c>
      <c r="H30">
        <f t="shared" si="0"/>
        <v>0</v>
      </c>
      <c r="J30">
        <f t="shared" si="1"/>
        <v>0</v>
      </c>
    </row>
    <row r="31" spans="1:10" x14ac:dyDescent="0.25">
      <c r="A31" t="s">
        <v>2011</v>
      </c>
      <c r="B31">
        <v>48</v>
      </c>
      <c r="C31">
        <f>_xlfn.XLOOKUP(Recon!A31,[1]Backup!AJ:AJ,[1]Backup!L:L)</f>
        <v>83.89</v>
      </c>
      <c r="D31">
        <f>_xlfn.XLOOKUP(Recon!A31,[1]Backup!AJ:AJ,[1]Backup!K:K)</f>
        <v>2.8522599999999998</v>
      </c>
      <c r="E31">
        <f>SUMIF('[1]PO Report'!A:A,Recon!A31,'[1]PO Report'!P:P)</f>
        <v>48</v>
      </c>
      <c r="F31">
        <f>VLOOKUP(A31,'[1]PO Report'!$A:$Z,15,0)</f>
        <v>83.89</v>
      </c>
      <c r="H31">
        <f t="shared" si="0"/>
        <v>0</v>
      </c>
      <c r="J31">
        <f t="shared" si="1"/>
        <v>0</v>
      </c>
    </row>
    <row r="32" spans="1:10" x14ac:dyDescent="0.25">
      <c r="A32" t="s">
        <v>2012</v>
      </c>
      <c r="B32">
        <v>4</v>
      </c>
      <c r="C32">
        <f>_xlfn.XLOOKUP(Recon!A32,[1]Backup!AJ:AJ,[1]Backup!L:L)</f>
        <v>83.89</v>
      </c>
      <c r="D32">
        <f>_xlfn.XLOOKUP(Recon!A32,[1]Backup!AJ:AJ,[1]Backup!K:K)</f>
        <v>2.8522599999999998</v>
      </c>
      <c r="E32">
        <f>SUMIF('[1]PO Report'!A:A,Recon!A32,'[1]PO Report'!P:P)</f>
        <v>68</v>
      </c>
      <c r="F32">
        <f>VLOOKUP(A32,'[1]PO Report'!$A:$Z,15,0)</f>
        <v>83.89</v>
      </c>
      <c r="H32">
        <f t="shared" si="0"/>
        <v>-64</v>
      </c>
      <c r="J32">
        <f t="shared" si="1"/>
        <v>0</v>
      </c>
    </row>
    <row r="33" spans="1:10" x14ac:dyDescent="0.25">
      <c r="A33" t="s">
        <v>2013</v>
      </c>
      <c r="B33">
        <v>10</v>
      </c>
      <c r="C33">
        <f>_xlfn.XLOOKUP(Recon!A33,[1]Backup!AJ:AJ,[1]Backup!L:L)</f>
        <v>32.21</v>
      </c>
      <c r="D33">
        <f>_xlfn.XLOOKUP(Recon!A33,[1]Backup!AJ:AJ,[1]Backup!K:K)</f>
        <v>1.09514</v>
      </c>
      <c r="E33">
        <f>SUMIF('[1]PO Report'!A:A,Recon!A33,'[1]PO Report'!P:P)</f>
        <v>10</v>
      </c>
      <c r="F33">
        <f>VLOOKUP(A33,'[1]PO Report'!$A:$Z,15,0)</f>
        <v>32.21</v>
      </c>
      <c r="H33">
        <f t="shared" si="0"/>
        <v>0</v>
      </c>
      <c r="J33">
        <f t="shared" si="1"/>
        <v>0</v>
      </c>
    </row>
    <row r="34" spans="1:10" x14ac:dyDescent="0.25">
      <c r="A34" t="s">
        <v>2014</v>
      </c>
      <c r="B34">
        <v>10</v>
      </c>
      <c r="C34">
        <f>_xlfn.XLOOKUP(Recon!A34,[1]Backup!AJ:AJ,[1]Backup!L:L)</f>
        <v>16.39</v>
      </c>
      <c r="D34">
        <f>_xlfn.XLOOKUP(Recon!A34,[1]Backup!AJ:AJ,[1]Backup!K:K)</f>
        <v>0.55726000000000009</v>
      </c>
      <c r="E34">
        <f>SUMIF('[1]PO Report'!A:A,Recon!A34,'[1]PO Report'!P:P)</f>
        <v>10</v>
      </c>
      <c r="F34">
        <f>VLOOKUP(A34,'[1]PO Report'!$A:$Z,15,0)</f>
        <v>16.39</v>
      </c>
      <c r="H34">
        <f t="shared" si="0"/>
        <v>0</v>
      </c>
      <c r="J34">
        <f t="shared" si="1"/>
        <v>0</v>
      </c>
    </row>
    <row r="35" spans="1:10" x14ac:dyDescent="0.25">
      <c r="A35" t="s">
        <v>2015</v>
      </c>
      <c r="B35">
        <v>30</v>
      </c>
      <c r="C35">
        <f>_xlfn.XLOOKUP(Recon!A35,[1]Backup!AJ:AJ,[1]Backup!L:L)</f>
        <v>10.53</v>
      </c>
      <c r="D35">
        <f>_xlfn.XLOOKUP(Recon!A35,[1]Backup!AJ:AJ,[1]Backup!K:K)</f>
        <v>0.35802</v>
      </c>
      <c r="E35">
        <f>SUMIF('[1]PO Report'!A:A,Recon!A35,'[1]PO Report'!P:P)</f>
        <v>30</v>
      </c>
      <c r="F35">
        <f>VLOOKUP(A35,'[1]PO Report'!$A:$Z,15,0)</f>
        <v>10.53</v>
      </c>
      <c r="H35">
        <f t="shared" si="0"/>
        <v>0</v>
      </c>
      <c r="J35">
        <f t="shared" si="1"/>
        <v>0</v>
      </c>
    </row>
    <row r="36" spans="1:10" x14ac:dyDescent="0.25">
      <c r="A36" t="s">
        <v>2016</v>
      </c>
      <c r="B36">
        <v>10</v>
      </c>
      <c r="C36">
        <f>_xlfn.XLOOKUP(Recon!A36,[1]Backup!AJ:AJ,[1]Backup!L:L)</f>
        <v>17.559999999999999</v>
      </c>
      <c r="D36">
        <f>_xlfn.XLOOKUP(Recon!A36,[1]Backup!AJ:AJ,[1]Backup!K:K)</f>
        <v>0.59704000000000002</v>
      </c>
      <c r="E36">
        <f>SUMIF('[1]PO Report'!A:A,Recon!A36,'[1]PO Report'!P:P)</f>
        <v>10</v>
      </c>
      <c r="F36">
        <f>VLOOKUP(A36,'[1]PO Report'!$A:$Z,15,0)</f>
        <v>17.559999999999999</v>
      </c>
      <c r="H36">
        <f t="shared" si="0"/>
        <v>0</v>
      </c>
      <c r="J36">
        <f t="shared" si="1"/>
        <v>0</v>
      </c>
    </row>
    <row r="37" spans="1:10" x14ac:dyDescent="0.25">
      <c r="A37" t="s">
        <v>2017</v>
      </c>
      <c r="B37">
        <v>8</v>
      </c>
      <c r="C37">
        <f>_xlfn.XLOOKUP(Recon!A37,[1]Backup!AJ:AJ,[1]Backup!L:L)</f>
        <v>69.61</v>
      </c>
      <c r="D37">
        <f>_xlfn.XLOOKUP(Recon!A37,[1]Backup!AJ:AJ,[1]Backup!K:K)</f>
        <v>2.3667400000000001</v>
      </c>
      <c r="E37">
        <f>SUMIF('[1]PO Report'!A:A,Recon!A37,'[1]PO Report'!P:P)</f>
        <v>8</v>
      </c>
      <c r="F37">
        <f>VLOOKUP(A37,'[1]PO Report'!$A:$Z,15,0)</f>
        <v>69.61</v>
      </c>
      <c r="H37">
        <f t="shared" si="0"/>
        <v>0</v>
      </c>
      <c r="J37">
        <f t="shared" si="1"/>
        <v>0</v>
      </c>
    </row>
    <row r="38" spans="1:10" x14ac:dyDescent="0.25">
      <c r="A38" t="s">
        <v>2018</v>
      </c>
      <c r="B38">
        <v>40</v>
      </c>
      <c r="C38">
        <f>_xlfn.XLOOKUP(Recon!A38,[1]Backup!AJ:AJ,[1]Backup!L:L)</f>
        <v>9.36</v>
      </c>
      <c r="D38">
        <f>_xlfn.XLOOKUP(Recon!A38,[1]Backup!AJ:AJ,[1]Backup!K:K)</f>
        <v>0.31823999999999997</v>
      </c>
      <c r="E38">
        <f>SUMIF('[1]PO Report'!A:A,Recon!A38,'[1]PO Report'!P:P)</f>
        <v>40</v>
      </c>
      <c r="F38">
        <f>VLOOKUP(A38,'[1]PO Report'!$A:$Z,15,0)</f>
        <v>9.36</v>
      </c>
      <c r="H38">
        <f t="shared" si="0"/>
        <v>0</v>
      </c>
      <c r="J38">
        <f t="shared" si="1"/>
        <v>0</v>
      </c>
    </row>
    <row r="39" spans="1:10" x14ac:dyDescent="0.25">
      <c r="A39" t="s">
        <v>2019</v>
      </c>
      <c r="B39">
        <v>20</v>
      </c>
      <c r="C39">
        <f>_xlfn.XLOOKUP(Recon!A39,[1]Backup!AJ:AJ,[1]Backup!L:L)</f>
        <v>9.36</v>
      </c>
      <c r="D39">
        <f>_xlfn.XLOOKUP(Recon!A39,[1]Backup!AJ:AJ,[1]Backup!K:K)</f>
        <v>0.31823999999999997</v>
      </c>
      <c r="E39">
        <f>SUMIF('[1]PO Report'!A:A,Recon!A39,'[1]PO Report'!P:P)</f>
        <v>20</v>
      </c>
      <c r="F39">
        <f>VLOOKUP(A39,'[1]PO Report'!$A:$Z,15,0)</f>
        <v>9.36</v>
      </c>
      <c r="H39">
        <f t="shared" si="0"/>
        <v>0</v>
      </c>
      <c r="J39">
        <f t="shared" si="1"/>
        <v>0</v>
      </c>
    </row>
    <row r="40" spans="1:10" x14ac:dyDescent="0.25">
      <c r="A40" t="s">
        <v>2020</v>
      </c>
      <c r="B40">
        <v>24</v>
      </c>
      <c r="C40">
        <f>_xlfn.XLOOKUP(Recon!A40,[1]Backup!AJ:AJ,[1]Backup!L:L)</f>
        <v>23.42</v>
      </c>
      <c r="D40">
        <f>_xlfn.XLOOKUP(Recon!A40,[1]Backup!AJ:AJ,[1]Backup!K:K)</f>
        <v>0.79627999999999999</v>
      </c>
      <c r="E40">
        <f>SUMIF('[1]PO Report'!A:A,Recon!A40,'[1]PO Report'!P:P)</f>
        <v>24</v>
      </c>
      <c r="F40">
        <f>VLOOKUP(A40,'[1]PO Report'!$A:$Z,15,0)</f>
        <v>23.42</v>
      </c>
      <c r="H40">
        <f t="shared" si="0"/>
        <v>0</v>
      </c>
      <c r="J40">
        <f t="shared" si="1"/>
        <v>0</v>
      </c>
    </row>
    <row r="41" spans="1:10" x14ac:dyDescent="0.25">
      <c r="A41" t="s">
        <v>2021</v>
      </c>
      <c r="B41">
        <v>48</v>
      </c>
      <c r="C41">
        <f>_xlfn.XLOOKUP(Recon!A41,[1]Backup!AJ:AJ,[1]Backup!L:L)</f>
        <v>105</v>
      </c>
      <c r="D41">
        <f>_xlfn.XLOOKUP(Recon!A41,[1]Backup!AJ:AJ,[1]Backup!K:K)</f>
        <v>3.5700000000000003</v>
      </c>
      <c r="E41">
        <f>SUMIF('[1]PO Report'!A:A,Recon!A41,'[1]PO Report'!P:P)</f>
        <v>48</v>
      </c>
      <c r="F41">
        <f>VLOOKUP(A41,'[1]PO Report'!$A:$Z,15,0)</f>
        <v>105</v>
      </c>
      <c r="H41">
        <f t="shared" si="0"/>
        <v>0</v>
      </c>
      <c r="J41">
        <f t="shared" si="1"/>
        <v>0</v>
      </c>
    </row>
    <row r="42" spans="1:10" x14ac:dyDescent="0.25">
      <c r="A42" t="s">
        <v>2022</v>
      </c>
      <c r="B42">
        <v>8</v>
      </c>
      <c r="C42">
        <f>_xlfn.XLOOKUP(Recon!A42,[1]Backup!AJ:AJ,[1]Backup!L:L)</f>
        <v>78.62</v>
      </c>
      <c r="D42">
        <f>_xlfn.XLOOKUP(Recon!A42,[1]Backup!AJ:AJ,[1]Backup!K:K)</f>
        <v>2.6730800000000001</v>
      </c>
      <c r="E42">
        <f>SUMIF('[1]PO Report'!A:A,Recon!A42,'[1]PO Report'!P:P)</f>
        <v>8</v>
      </c>
      <c r="F42">
        <f>VLOOKUP(A42,'[1]PO Report'!$A:$Z,15,0)</f>
        <v>78.62</v>
      </c>
      <c r="H42">
        <f t="shared" si="0"/>
        <v>0</v>
      </c>
      <c r="J42">
        <f t="shared" si="1"/>
        <v>0</v>
      </c>
    </row>
    <row r="43" spans="1:10" x14ac:dyDescent="0.25">
      <c r="A43" t="s">
        <v>2023</v>
      </c>
      <c r="B43">
        <v>16</v>
      </c>
      <c r="C43">
        <f>_xlfn.XLOOKUP(Recon!A43,[1]Backup!AJ:AJ,[1]Backup!L:L)</f>
        <v>159.09</v>
      </c>
      <c r="D43">
        <f>_xlfn.XLOOKUP(Recon!A43,[1]Backup!AJ:AJ,[1]Backup!K:K)</f>
        <v>5.4090600000000002</v>
      </c>
      <c r="E43">
        <f>SUMIF('[1]PO Report'!A:A,Recon!A43,'[1]PO Report'!P:P)</f>
        <v>16</v>
      </c>
      <c r="F43">
        <f>VLOOKUP(A43,'[1]PO Report'!$A:$Z,15,0)</f>
        <v>159.09</v>
      </c>
      <c r="H43">
        <f t="shared" si="0"/>
        <v>0</v>
      </c>
      <c r="J43">
        <f t="shared" si="1"/>
        <v>0</v>
      </c>
    </row>
    <row r="44" spans="1:10" x14ac:dyDescent="0.25">
      <c r="A44" t="s">
        <v>2024</v>
      </c>
      <c r="B44">
        <v>136</v>
      </c>
      <c r="C44">
        <f>_xlfn.XLOOKUP(Recon!A44,[1]Backup!AJ:AJ,[1]Backup!L:L)</f>
        <v>35.130000000000003</v>
      </c>
      <c r="D44">
        <f>_xlfn.XLOOKUP(Recon!A44,[1]Backup!AJ:AJ,[1]Backup!K:K)</f>
        <v>1.19442</v>
      </c>
      <c r="E44">
        <f>SUMIF('[1]PO Report'!A:A,Recon!A44,'[1]PO Report'!P:P)</f>
        <v>132</v>
      </c>
      <c r="F44">
        <f>VLOOKUP(A44,'[1]PO Report'!$A:$Z,15,0)</f>
        <v>35.130000000000003</v>
      </c>
      <c r="H44">
        <f t="shared" si="0"/>
        <v>4</v>
      </c>
      <c r="I44">
        <f>H44*D44</f>
        <v>4.7776800000000001</v>
      </c>
      <c r="J44">
        <f t="shared" si="1"/>
        <v>0</v>
      </c>
    </row>
    <row r="45" spans="1:10" x14ac:dyDescent="0.25">
      <c r="A45" t="s">
        <v>2025</v>
      </c>
      <c r="B45">
        <v>32</v>
      </c>
      <c r="C45">
        <f>_xlfn.XLOOKUP(Recon!A45,[1]Backup!AJ:AJ,[1]Backup!L:L)</f>
        <v>32.21</v>
      </c>
      <c r="D45">
        <f>_xlfn.XLOOKUP(Recon!A45,[1]Backup!AJ:AJ,[1]Backup!K:K)</f>
        <v>1.09514</v>
      </c>
      <c r="E45">
        <f>SUMIF('[1]PO Report'!A:A,Recon!A45,'[1]PO Report'!P:P)</f>
        <v>32</v>
      </c>
      <c r="F45">
        <f>VLOOKUP(A45,'[1]PO Report'!$A:$Z,15,0)</f>
        <v>32.21</v>
      </c>
      <c r="H45">
        <f t="shared" si="0"/>
        <v>0</v>
      </c>
      <c r="J45">
        <f t="shared" si="1"/>
        <v>0</v>
      </c>
    </row>
    <row r="46" spans="1:10" x14ac:dyDescent="0.25">
      <c r="A46" t="s">
        <v>2026</v>
      </c>
      <c r="B46">
        <v>90</v>
      </c>
      <c r="C46">
        <f>_xlfn.XLOOKUP(Recon!A46,[1]Backup!AJ:AJ,[1]Backup!L:L)</f>
        <v>240.26999999999998</v>
      </c>
      <c r="D46">
        <f>_xlfn.XLOOKUP(Recon!A46,[1]Backup!AJ:AJ,[1]Backup!K:K)</f>
        <v>8.169179999999999</v>
      </c>
      <c r="E46">
        <f>SUMIF('[1]PO Report'!A:A,Recon!A46,'[1]PO Report'!P:P)</f>
        <v>90</v>
      </c>
      <c r="F46">
        <f>VLOOKUP(A46,'[1]PO Report'!$A:$Z,15,0)</f>
        <v>240.27</v>
      </c>
      <c r="H46">
        <f t="shared" si="0"/>
        <v>0</v>
      </c>
      <c r="J46">
        <f t="shared" si="1"/>
        <v>0</v>
      </c>
    </row>
    <row r="47" spans="1:10" x14ac:dyDescent="0.25">
      <c r="A47" t="s">
        <v>2027</v>
      </c>
      <c r="B47">
        <v>24</v>
      </c>
      <c r="C47">
        <f>_xlfn.XLOOKUP(Recon!A47,[1]Backup!AJ:AJ,[1]Backup!L:L)</f>
        <v>29</v>
      </c>
      <c r="D47">
        <f>_xlfn.XLOOKUP(Recon!A47,[1]Backup!AJ:AJ,[1]Backup!K:K)</f>
        <v>0.9860000000000001</v>
      </c>
      <c r="E47">
        <f>SUMIF('[1]PO Report'!A:A,Recon!A47,'[1]PO Report'!P:P)</f>
        <v>24</v>
      </c>
      <c r="F47">
        <f>VLOOKUP(A47,'[1]PO Report'!$A:$Z,15,0)</f>
        <v>29</v>
      </c>
      <c r="H47">
        <f t="shared" si="0"/>
        <v>0</v>
      </c>
      <c r="J47">
        <f t="shared" si="1"/>
        <v>0</v>
      </c>
    </row>
    <row r="48" spans="1:10" x14ac:dyDescent="0.25">
      <c r="A48" t="s">
        <v>2028</v>
      </c>
      <c r="B48">
        <v>370</v>
      </c>
      <c r="C48">
        <f>_xlfn.XLOOKUP(Recon!A48,[1]Backup!AJ:AJ,[1]Backup!L:L)</f>
        <v>17.559999999999999</v>
      </c>
      <c r="D48">
        <f>_xlfn.XLOOKUP(Recon!A48,[1]Backup!AJ:AJ,[1]Backup!K:K)</f>
        <v>0.59704000000000002</v>
      </c>
      <c r="E48">
        <f>SUMIF('[1]PO Report'!A:A,Recon!A48,'[1]PO Report'!P:P)</f>
        <v>370</v>
      </c>
      <c r="F48">
        <f>VLOOKUP(A48,'[1]PO Report'!$A:$Z,15,0)</f>
        <v>17.559999999999999</v>
      </c>
      <c r="H48">
        <f t="shared" si="0"/>
        <v>0</v>
      </c>
      <c r="J48">
        <f t="shared" si="1"/>
        <v>0</v>
      </c>
    </row>
    <row r="49" spans="1:10" x14ac:dyDescent="0.25">
      <c r="A49" t="s">
        <v>2029</v>
      </c>
      <c r="B49">
        <v>277</v>
      </c>
      <c r="C49">
        <f>_xlfn.XLOOKUP(Recon!A49,[1]Backup!AJ:AJ,[1]Backup!L:L)</f>
        <v>248.87000000000003</v>
      </c>
      <c r="D49">
        <f>_xlfn.XLOOKUP(Recon!A49,[1]Backup!AJ:AJ,[1]Backup!K:K)</f>
        <v>8.4615799999999997</v>
      </c>
      <c r="E49">
        <f>SUMIF('[1]PO Report'!A:A,Recon!A49,'[1]PO Report'!P:P)</f>
        <v>277</v>
      </c>
      <c r="F49">
        <f>VLOOKUP(A49,'[1]PO Report'!$A:$Z,15,0)</f>
        <v>248.87</v>
      </c>
      <c r="H49">
        <f t="shared" si="0"/>
        <v>0</v>
      </c>
      <c r="J49">
        <f t="shared" si="1"/>
        <v>0</v>
      </c>
    </row>
    <row r="50" spans="1:10" x14ac:dyDescent="0.25">
      <c r="A50" t="s">
        <v>2030</v>
      </c>
      <c r="B50">
        <v>8</v>
      </c>
      <c r="C50">
        <f>_xlfn.XLOOKUP(Recon!A50,[1]Backup!AJ:AJ,[1]Backup!L:L)</f>
        <v>23.42</v>
      </c>
      <c r="D50">
        <f>_xlfn.XLOOKUP(Recon!A50,[1]Backup!AJ:AJ,[1]Backup!K:K)</f>
        <v>0.79627999999999999</v>
      </c>
      <c r="E50">
        <f>SUMIF('[1]PO Report'!A:A,Recon!A50,'[1]PO Report'!P:P)</f>
        <v>8</v>
      </c>
      <c r="F50">
        <f>VLOOKUP(A50,'[1]PO Report'!$A:$Z,15,0)</f>
        <v>23.42</v>
      </c>
      <c r="H50">
        <f t="shared" si="0"/>
        <v>0</v>
      </c>
      <c r="J50">
        <f t="shared" si="1"/>
        <v>0</v>
      </c>
    </row>
    <row r="51" spans="1:10" x14ac:dyDescent="0.25">
      <c r="A51" t="s">
        <v>2031</v>
      </c>
      <c r="B51">
        <v>130</v>
      </c>
      <c r="C51">
        <f>_xlfn.XLOOKUP(Recon!A51,[1]Backup!AJ:AJ,[1]Backup!L:L)</f>
        <v>16.389999999999997</v>
      </c>
      <c r="D51">
        <f>_xlfn.XLOOKUP(Recon!A51,[1]Backup!AJ:AJ,[1]Backup!K:K)</f>
        <v>0.55725999999999998</v>
      </c>
      <c r="E51">
        <f>SUMIF('[1]PO Report'!A:A,Recon!A51,'[1]PO Report'!P:P)</f>
        <v>130</v>
      </c>
      <c r="F51">
        <f>VLOOKUP(A51,'[1]PO Report'!$A:$Z,15,0)</f>
        <v>16.39</v>
      </c>
      <c r="H51">
        <f t="shared" si="0"/>
        <v>0</v>
      </c>
      <c r="J51">
        <f t="shared" si="1"/>
        <v>0</v>
      </c>
    </row>
    <row r="52" spans="1:10" x14ac:dyDescent="0.25">
      <c r="A52" t="s">
        <v>2032</v>
      </c>
      <c r="B52">
        <v>144</v>
      </c>
      <c r="C52">
        <f>_xlfn.XLOOKUP(Recon!A52,[1]Backup!AJ:AJ,[1]Backup!L:L)</f>
        <v>69.03</v>
      </c>
      <c r="D52">
        <f>_xlfn.XLOOKUP(Recon!A52,[1]Backup!AJ:AJ,[1]Backup!K:K)</f>
        <v>2.3470200000000001</v>
      </c>
      <c r="E52">
        <f>SUMIF('[1]PO Report'!A:A,Recon!A52,'[1]PO Report'!P:P)</f>
        <v>144</v>
      </c>
      <c r="F52">
        <f>VLOOKUP(A52,'[1]PO Report'!$A:$Z,15,0)</f>
        <v>69.03</v>
      </c>
      <c r="H52">
        <f t="shared" si="0"/>
        <v>0</v>
      </c>
      <c r="J52">
        <f t="shared" si="1"/>
        <v>0</v>
      </c>
    </row>
    <row r="53" spans="1:10" x14ac:dyDescent="0.25">
      <c r="A53" t="s">
        <v>2033</v>
      </c>
      <c r="B53">
        <v>8</v>
      </c>
      <c r="C53">
        <f>_xlfn.XLOOKUP(Recon!A53,[1]Backup!AJ:AJ,[1]Backup!L:L)</f>
        <v>21.1</v>
      </c>
      <c r="D53">
        <f>_xlfn.XLOOKUP(Recon!A53,[1]Backup!AJ:AJ,[1]Backup!K:K)</f>
        <v>0.71740000000000004</v>
      </c>
      <c r="E53">
        <f>SUMIF('[1]PO Report'!A:A,Recon!A53,'[1]PO Report'!P:P)</f>
        <v>8</v>
      </c>
      <c r="F53">
        <f>VLOOKUP(A53,'[1]PO Report'!$A:$Z,15,0)</f>
        <v>21.1</v>
      </c>
      <c r="H53">
        <f t="shared" si="0"/>
        <v>0</v>
      </c>
      <c r="J53">
        <f t="shared" si="1"/>
        <v>0</v>
      </c>
    </row>
    <row r="54" spans="1:10" x14ac:dyDescent="0.25">
      <c r="A54" t="s">
        <v>2034</v>
      </c>
      <c r="B54">
        <v>44</v>
      </c>
      <c r="C54">
        <f>_xlfn.XLOOKUP(Recon!A54,[1]Backup!AJ:AJ,[1]Backup!L:L)</f>
        <v>16.39</v>
      </c>
      <c r="D54">
        <f>_xlfn.XLOOKUP(Recon!A54,[1]Backup!AJ:AJ,[1]Backup!K:K)</f>
        <v>0.55725999999999998</v>
      </c>
      <c r="E54">
        <f>SUMIF('[1]PO Report'!A:A,Recon!A54,'[1]PO Report'!P:P)</f>
        <v>44</v>
      </c>
      <c r="F54">
        <f>VLOOKUP(A54,'[1]PO Report'!$A:$Z,15,0)</f>
        <v>16.39</v>
      </c>
      <c r="H54">
        <f t="shared" si="0"/>
        <v>0</v>
      </c>
      <c r="J54">
        <f t="shared" si="1"/>
        <v>0</v>
      </c>
    </row>
    <row r="55" spans="1:10" x14ac:dyDescent="0.25">
      <c r="A55" t="s">
        <v>2035</v>
      </c>
      <c r="B55">
        <v>400</v>
      </c>
      <c r="C55">
        <f>_xlfn.XLOOKUP(Recon!A55,[1]Backup!AJ:AJ,[1]Backup!L:L)</f>
        <v>12.88</v>
      </c>
      <c r="D55">
        <f>_xlfn.XLOOKUP(Recon!A55,[1]Backup!AJ:AJ,[1]Backup!K:K)</f>
        <v>0.43792000000000003</v>
      </c>
      <c r="E55">
        <f>SUMIF('[1]PO Report'!A:A,Recon!A55,'[1]PO Report'!P:P)</f>
        <v>400</v>
      </c>
      <c r="F55">
        <f>VLOOKUP(A55,'[1]PO Report'!$A:$Z,15,0)</f>
        <v>12.88</v>
      </c>
      <c r="H55">
        <f t="shared" si="0"/>
        <v>0</v>
      </c>
      <c r="J55">
        <f t="shared" si="1"/>
        <v>0</v>
      </c>
    </row>
    <row r="56" spans="1:10" x14ac:dyDescent="0.25">
      <c r="A56" t="s">
        <v>2036</v>
      </c>
      <c r="B56">
        <v>24</v>
      </c>
      <c r="C56">
        <f>_xlfn.XLOOKUP(Recon!A56,[1]Backup!AJ:AJ,[1]Backup!L:L)</f>
        <v>36.93</v>
      </c>
      <c r="D56">
        <f>_xlfn.XLOOKUP(Recon!A56,[1]Backup!AJ:AJ,[1]Backup!K:K)</f>
        <v>1.25562</v>
      </c>
      <c r="E56">
        <f>SUMIF('[1]PO Report'!A:A,Recon!A56,'[1]PO Report'!P:P)</f>
        <v>28</v>
      </c>
      <c r="F56">
        <f>VLOOKUP(A56,'[1]PO Report'!$A:$Z,15,0)</f>
        <v>36.93</v>
      </c>
      <c r="H56">
        <f t="shared" si="0"/>
        <v>-4</v>
      </c>
      <c r="J56">
        <f t="shared" si="1"/>
        <v>0</v>
      </c>
    </row>
    <row r="57" spans="1:10" x14ac:dyDescent="0.25">
      <c r="A57" t="s">
        <v>2037</v>
      </c>
      <c r="B57">
        <v>10</v>
      </c>
      <c r="C57">
        <f>_xlfn.XLOOKUP(Recon!A57,[1]Backup!AJ:AJ,[1]Backup!L:L)</f>
        <v>58</v>
      </c>
      <c r="D57">
        <f>_xlfn.XLOOKUP(Recon!A57,[1]Backup!AJ:AJ,[1]Backup!K:K)</f>
        <v>1.972</v>
      </c>
      <c r="E57">
        <f>SUMIF('[1]PO Report'!A:A,Recon!A57,'[1]PO Report'!P:P)</f>
        <v>10</v>
      </c>
      <c r="F57">
        <f>VLOOKUP(A57,'[1]PO Report'!$A:$Z,15,0)</f>
        <v>58</v>
      </c>
      <c r="H57">
        <f t="shared" si="0"/>
        <v>0</v>
      </c>
      <c r="J57">
        <f t="shared" si="1"/>
        <v>0</v>
      </c>
    </row>
    <row r="58" spans="1:10" x14ac:dyDescent="0.25">
      <c r="A58" t="s">
        <v>2038</v>
      </c>
      <c r="B58">
        <v>40</v>
      </c>
      <c r="C58">
        <f>_xlfn.XLOOKUP(Recon!A58,[1]Backup!AJ:AJ,[1]Backup!L:L)</f>
        <v>92.24</v>
      </c>
      <c r="D58">
        <f>_xlfn.XLOOKUP(Recon!A58,[1]Backup!AJ:AJ,[1]Backup!K:K)</f>
        <v>3.1361599999999998</v>
      </c>
      <c r="E58">
        <f>SUMIF('[1]PO Report'!A:A,Recon!A58,'[1]PO Report'!P:P)</f>
        <v>40</v>
      </c>
      <c r="F58">
        <f>VLOOKUP(A58,'[1]PO Report'!$A:$Z,15,0)</f>
        <v>92.24</v>
      </c>
      <c r="H58">
        <f t="shared" si="0"/>
        <v>0</v>
      </c>
      <c r="J58">
        <f t="shared" si="1"/>
        <v>0</v>
      </c>
    </row>
    <row r="59" spans="1:10" x14ac:dyDescent="0.25">
      <c r="A59" t="s">
        <v>2039</v>
      </c>
      <c r="B59">
        <v>24</v>
      </c>
      <c r="C59">
        <f>_xlfn.XLOOKUP(Recon!A59,[1]Backup!AJ:AJ,[1]Backup!L:L)</f>
        <v>18.46</v>
      </c>
      <c r="D59">
        <f>_xlfn.XLOOKUP(Recon!A59,[1]Backup!AJ:AJ,[1]Backup!K:K)</f>
        <v>0.62763999999999998</v>
      </c>
      <c r="E59">
        <f>SUMIF('[1]PO Report'!A:A,Recon!A59,'[1]PO Report'!P:P)</f>
        <v>24</v>
      </c>
      <c r="F59">
        <f>VLOOKUP(A59,'[1]PO Report'!$A:$Z,15,0)</f>
        <v>18.46</v>
      </c>
      <c r="H59">
        <f t="shared" si="0"/>
        <v>0</v>
      </c>
      <c r="J59">
        <f t="shared" si="1"/>
        <v>0</v>
      </c>
    </row>
    <row r="60" spans="1:10" x14ac:dyDescent="0.25">
      <c r="A60" t="s">
        <v>2040</v>
      </c>
      <c r="B60">
        <v>8</v>
      </c>
      <c r="C60">
        <f>_xlfn.XLOOKUP(Recon!A60,[1]Backup!AJ:AJ,[1]Backup!L:L)</f>
        <v>69.61</v>
      </c>
      <c r="D60">
        <f>_xlfn.XLOOKUP(Recon!A60,[1]Backup!AJ:AJ,[1]Backup!K:K)</f>
        <v>2.3667400000000001</v>
      </c>
      <c r="E60">
        <f>SUMIF('[1]PO Report'!A:A,Recon!A60,'[1]PO Report'!P:P)</f>
        <v>8</v>
      </c>
      <c r="F60">
        <f>VLOOKUP(A60,'[1]PO Report'!$A:$Z,15,0)</f>
        <v>69.61</v>
      </c>
      <c r="H60">
        <f t="shared" si="0"/>
        <v>0</v>
      </c>
      <c r="J60">
        <f t="shared" si="1"/>
        <v>0</v>
      </c>
    </row>
    <row r="61" spans="1:10" x14ac:dyDescent="0.25">
      <c r="A61" t="s">
        <v>2041</v>
      </c>
      <c r="B61">
        <v>4</v>
      </c>
      <c r="C61">
        <f>_xlfn.XLOOKUP(Recon!A61,[1]Backup!AJ:AJ,[1]Backup!L:L)</f>
        <v>52.76</v>
      </c>
      <c r="D61">
        <f>_xlfn.XLOOKUP(Recon!A61,[1]Backup!AJ:AJ,[1]Backup!K:K)</f>
        <v>1.7938400000000001</v>
      </c>
      <c r="E61">
        <f>SUMIF('[1]PO Report'!A:A,Recon!A61,'[1]PO Report'!P:P)</f>
        <v>4</v>
      </c>
      <c r="F61">
        <f>VLOOKUP(A61,'[1]PO Report'!$A:$Z,15,0)</f>
        <v>52.76</v>
      </c>
      <c r="H61">
        <f t="shared" si="0"/>
        <v>0</v>
      </c>
      <c r="J61">
        <f t="shared" si="1"/>
        <v>0</v>
      </c>
    </row>
    <row r="62" spans="1:10" x14ac:dyDescent="0.25">
      <c r="A62" t="s">
        <v>2042</v>
      </c>
      <c r="B62">
        <v>8</v>
      </c>
      <c r="C62">
        <f>_xlfn.XLOOKUP(Recon!A62,[1]Backup!AJ:AJ,[1]Backup!L:L)</f>
        <v>69.61</v>
      </c>
      <c r="D62">
        <f>_xlfn.XLOOKUP(Recon!A62,[1]Backup!AJ:AJ,[1]Backup!K:K)</f>
        <v>2.3667400000000001</v>
      </c>
      <c r="E62">
        <f>SUMIF('[1]PO Report'!A:A,Recon!A62,'[1]PO Report'!P:P)</f>
        <v>8</v>
      </c>
      <c r="F62">
        <f>VLOOKUP(A62,'[1]PO Report'!$A:$Z,15,0)</f>
        <v>69.61</v>
      </c>
      <c r="H62">
        <f t="shared" si="0"/>
        <v>0</v>
      </c>
      <c r="J62">
        <f t="shared" si="1"/>
        <v>0</v>
      </c>
    </row>
    <row r="63" spans="1:10" x14ac:dyDescent="0.25">
      <c r="A63" t="s">
        <v>2043</v>
      </c>
      <c r="B63">
        <v>32</v>
      </c>
      <c r="C63">
        <f>_xlfn.XLOOKUP(Recon!A63,[1]Backup!AJ:AJ,[1]Backup!L:L)</f>
        <v>11.6</v>
      </c>
      <c r="D63">
        <f>_xlfn.XLOOKUP(Recon!A63,[1]Backup!AJ:AJ,[1]Backup!K:K)</f>
        <v>0.39439999999999997</v>
      </c>
      <c r="E63">
        <f>SUMIF('[1]PO Report'!A:A,Recon!A63,'[1]PO Report'!P:P)</f>
        <v>32</v>
      </c>
      <c r="F63">
        <f>VLOOKUP(A63,'[1]PO Report'!$A:$Z,15,0)</f>
        <v>11.6</v>
      </c>
      <c r="H63">
        <f t="shared" si="0"/>
        <v>0</v>
      </c>
      <c r="J63">
        <f t="shared" si="1"/>
        <v>0</v>
      </c>
    </row>
    <row r="64" spans="1:10" x14ac:dyDescent="0.25">
      <c r="A64" t="s">
        <v>2044</v>
      </c>
      <c r="B64">
        <v>8</v>
      </c>
      <c r="C64">
        <f>_xlfn.XLOOKUP(Recon!A64,[1]Backup!AJ:AJ,[1]Backup!L:L)</f>
        <v>110.27</v>
      </c>
      <c r="D64">
        <f>_xlfn.XLOOKUP(Recon!A64,[1]Backup!AJ:AJ,[1]Backup!K:K)</f>
        <v>3.74918</v>
      </c>
      <c r="E64">
        <f>SUMIF('[1]PO Report'!A:A,Recon!A64,'[1]PO Report'!P:P)</f>
        <v>8</v>
      </c>
      <c r="F64">
        <f>VLOOKUP(A64,'[1]PO Report'!$A:$Z,15,0)</f>
        <v>110.27</v>
      </c>
      <c r="H64">
        <f t="shared" si="0"/>
        <v>0</v>
      </c>
      <c r="J64">
        <f t="shared" si="1"/>
        <v>0</v>
      </c>
    </row>
    <row r="65" spans="1:10" x14ac:dyDescent="0.25">
      <c r="A65" t="s">
        <v>2045</v>
      </c>
      <c r="B65">
        <v>10</v>
      </c>
      <c r="C65">
        <f>_xlfn.XLOOKUP(Recon!A65,[1]Backup!AJ:AJ,[1]Backup!L:L)</f>
        <v>9.36</v>
      </c>
      <c r="D65">
        <f>_xlfn.XLOOKUP(Recon!A65,[1]Backup!AJ:AJ,[1]Backup!K:K)</f>
        <v>0.31823999999999997</v>
      </c>
      <c r="E65">
        <f>SUMIF('[1]PO Report'!A:A,Recon!A65,'[1]PO Report'!P:P)</f>
        <v>10</v>
      </c>
      <c r="F65">
        <f>VLOOKUP(A65,'[1]PO Report'!$A:$Z,15,0)</f>
        <v>9.36</v>
      </c>
      <c r="H65">
        <f t="shared" si="0"/>
        <v>0</v>
      </c>
      <c r="J65">
        <f t="shared" si="1"/>
        <v>0</v>
      </c>
    </row>
    <row r="66" spans="1:10" x14ac:dyDescent="0.25">
      <c r="A66" t="s">
        <v>2046</v>
      </c>
      <c r="B66">
        <v>68</v>
      </c>
      <c r="C66">
        <f>_xlfn.XLOOKUP(Recon!A66,[1]Backup!AJ:AJ,[1]Backup!L:L)</f>
        <v>73.34</v>
      </c>
      <c r="D66">
        <f>_xlfn.XLOOKUP(Recon!A66,[1]Backup!AJ:AJ,[1]Backup!K:K)</f>
        <v>2.49356</v>
      </c>
      <c r="E66">
        <f>SUMIF('[1]PO Report'!A:A,Recon!A66,'[1]PO Report'!P:P)</f>
        <v>68</v>
      </c>
      <c r="F66">
        <f>VLOOKUP(A66,'[1]PO Report'!$A:$Z,15,0)</f>
        <v>73.34</v>
      </c>
      <c r="H66">
        <f t="shared" si="0"/>
        <v>0</v>
      </c>
      <c r="J66">
        <f t="shared" si="1"/>
        <v>0</v>
      </c>
    </row>
    <row r="67" spans="1:10" x14ac:dyDescent="0.25">
      <c r="A67" t="s">
        <v>2047</v>
      </c>
      <c r="B67">
        <v>318</v>
      </c>
      <c r="C67">
        <f>_xlfn.XLOOKUP(Recon!A67,[1]Backup!AJ:AJ,[1]Backup!L:L)</f>
        <v>26.349999999999998</v>
      </c>
      <c r="D67">
        <f>_xlfn.XLOOKUP(Recon!A67,[1]Backup!AJ:AJ,[1]Backup!K:K)</f>
        <v>0.89590000000000003</v>
      </c>
      <c r="E67">
        <f>SUMIF('[1]PO Report'!A:A,Recon!A67,'[1]PO Report'!P:P)</f>
        <v>318</v>
      </c>
      <c r="F67">
        <f>VLOOKUP(A67,'[1]PO Report'!$A:$Z,15,0)</f>
        <v>26.35</v>
      </c>
      <c r="H67">
        <f t="shared" si="0"/>
        <v>0</v>
      </c>
      <c r="J67">
        <f t="shared" si="1"/>
        <v>0</v>
      </c>
    </row>
    <row r="68" spans="1:10" x14ac:dyDescent="0.25">
      <c r="A68" t="s">
        <v>2048</v>
      </c>
      <c r="B68">
        <v>8</v>
      </c>
      <c r="C68">
        <f>_xlfn.XLOOKUP(Recon!A68,[1]Backup!AJ:AJ,[1]Backup!L:L)</f>
        <v>96.83</v>
      </c>
      <c r="D68">
        <f>_xlfn.XLOOKUP(Recon!A68,[1]Backup!AJ:AJ,[1]Backup!K:K)</f>
        <v>3.2922199999999999</v>
      </c>
      <c r="E68">
        <f>SUMIF('[1]PO Report'!A:A,Recon!A68,'[1]PO Report'!P:P)</f>
        <v>8</v>
      </c>
      <c r="F68">
        <f>VLOOKUP(A68,'[1]PO Report'!$A:$Z,15,0)</f>
        <v>96.83</v>
      </c>
      <c r="H68">
        <f t="shared" ref="H68:H131" si="2">B68-E68</f>
        <v>0</v>
      </c>
      <c r="J68">
        <f t="shared" ref="J68:J131" si="3">C68-F68</f>
        <v>0</v>
      </c>
    </row>
    <row r="69" spans="1:10" x14ac:dyDescent="0.25">
      <c r="A69" t="s">
        <v>2049</v>
      </c>
      <c r="B69">
        <v>50</v>
      </c>
      <c r="C69">
        <f>_xlfn.XLOOKUP(Recon!A69,[1]Backup!AJ:AJ,[1]Backup!L:L)</f>
        <v>10.53</v>
      </c>
      <c r="D69">
        <f>_xlfn.XLOOKUP(Recon!A69,[1]Backup!AJ:AJ,[1]Backup!K:K)</f>
        <v>0.35802</v>
      </c>
      <c r="E69">
        <f>SUMIF('[1]PO Report'!A:A,Recon!A69,'[1]PO Report'!P:P)</f>
        <v>50</v>
      </c>
      <c r="F69">
        <f>VLOOKUP(A69,'[1]PO Report'!$A:$Z,15,0)</f>
        <v>10.53</v>
      </c>
      <c r="H69">
        <f t="shared" si="2"/>
        <v>0</v>
      </c>
      <c r="J69">
        <f t="shared" si="3"/>
        <v>0</v>
      </c>
    </row>
    <row r="70" spans="1:10" x14ac:dyDescent="0.25">
      <c r="A70" t="s">
        <v>2050</v>
      </c>
      <c r="B70">
        <v>4</v>
      </c>
      <c r="C70">
        <f>_xlfn.XLOOKUP(Recon!A70,[1]Backup!AJ:AJ,[1]Backup!L:L)</f>
        <v>64.42</v>
      </c>
      <c r="D70">
        <f>_xlfn.XLOOKUP(Recon!A70,[1]Backup!AJ:AJ,[1]Backup!K:K)</f>
        <v>2.19028</v>
      </c>
      <c r="E70">
        <f>SUMIF('[1]PO Report'!A:A,Recon!A70,'[1]PO Report'!P:P)</f>
        <v>4</v>
      </c>
      <c r="F70">
        <f>VLOOKUP(A70,'[1]PO Report'!$A:$Z,15,0)</f>
        <v>64.42</v>
      </c>
      <c r="H70">
        <f t="shared" si="2"/>
        <v>0</v>
      </c>
      <c r="J70">
        <f t="shared" si="3"/>
        <v>0</v>
      </c>
    </row>
    <row r="71" spans="1:10" x14ac:dyDescent="0.25">
      <c r="A71" t="s">
        <v>2051</v>
      </c>
      <c r="B71">
        <v>48</v>
      </c>
      <c r="C71">
        <f>_xlfn.XLOOKUP(Recon!A71,[1]Backup!AJ:AJ,[1]Backup!L:L)</f>
        <v>26.349999999999998</v>
      </c>
      <c r="D71">
        <f>_xlfn.XLOOKUP(Recon!A71,[1]Backup!AJ:AJ,[1]Backup!K:K)</f>
        <v>0.89590000000000003</v>
      </c>
      <c r="E71">
        <f>SUMIF('[1]PO Report'!A:A,Recon!A71,'[1]PO Report'!P:P)</f>
        <v>48</v>
      </c>
      <c r="F71">
        <f>VLOOKUP(A71,'[1]PO Report'!$A:$Z,15,0)</f>
        <v>26.35</v>
      </c>
      <c r="H71">
        <f t="shared" si="2"/>
        <v>0</v>
      </c>
      <c r="J71">
        <f t="shared" si="3"/>
        <v>0</v>
      </c>
    </row>
    <row r="72" spans="1:10" x14ac:dyDescent="0.25">
      <c r="A72" t="s">
        <v>2052</v>
      </c>
      <c r="B72">
        <v>7</v>
      </c>
      <c r="C72">
        <f>_xlfn.XLOOKUP(Recon!A72,[1]Backup!AJ:AJ,[1]Backup!L:L)</f>
        <v>221.07</v>
      </c>
      <c r="D72">
        <f>_xlfn.XLOOKUP(Recon!A72,[1]Backup!AJ:AJ,[1]Backup!K:K)</f>
        <v>7.5163799999999998</v>
      </c>
      <c r="E72">
        <f>SUMIF('[1]PO Report'!A:A,Recon!A72,'[1]PO Report'!P:P)</f>
        <v>7</v>
      </c>
      <c r="F72">
        <f>VLOOKUP(A72,'[1]PO Report'!$A:$Z,15,0)</f>
        <v>221.07</v>
      </c>
      <c r="H72">
        <f t="shared" si="2"/>
        <v>0</v>
      </c>
      <c r="J72">
        <f t="shared" si="3"/>
        <v>0</v>
      </c>
    </row>
    <row r="73" spans="1:10" x14ac:dyDescent="0.25">
      <c r="A73" t="s">
        <v>2053</v>
      </c>
      <c r="B73">
        <v>18</v>
      </c>
      <c r="C73">
        <f>_xlfn.XLOOKUP(Recon!A73,[1]Backup!AJ:AJ,[1]Backup!L:L)</f>
        <v>210.52</v>
      </c>
      <c r="D73">
        <f>_xlfn.XLOOKUP(Recon!A73,[1]Backup!AJ:AJ,[1]Backup!K:K)</f>
        <v>7.1576800000000009</v>
      </c>
      <c r="E73">
        <f>SUMIF('[1]PO Report'!A:A,Recon!A73,'[1]PO Report'!P:P)</f>
        <v>18</v>
      </c>
      <c r="F73">
        <f>VLOOKUP(A73,'[1]PO Report'!$A:$Z,15,0)</f>
        <v>210.52</v>
      </c>
      <c r="H73">
        <f t="shared" si="2"/>
        <v>0</v>
      </c>
      <c r="J73">
        <f t="shared" si="3"/>
        <v>0</v>
      </c>
    </row>
    <row r="74" spans="1:10" x14ac:dyDescent="0.25">
      <c r="A74" t="s">
        <v>2054</v>
      </c>
      <c r="B74">
        <v>8</v>
      </c>
      <c r="C74">
        <f>_xlfn.XLOOKUP(Recon!A74,[1]Backup!AJ:AJ,[1]Backup!L:L)</f>
        <v>23.42</v>
      </c>
      <c r="D74">
        <f>_xlfn.XLOOKUP(Recon!A74,[1]Backup!AJ:AJ,[1]Backup!K:K)</f>
        <v>0.79627999999999999</v>
      </c>
      <c r="E74">
        <f>SUMIF('[1]PO Report'!A:A,Recon!A74,'[1]PO Report'!P:P)</f>
        <v>8</v>
      </c>
      <c r="F74">
        <f>VLOOKUP(A74,'[1]PO Report'!$A:$Z,15,0)</f>
        <v>23.42</v>
      </c>
      <c r="H74">
        <f t="shared" si="2"/>
        <v>0</v>
      </c>
      <c r="J74">
        <f t="shared" si="3"/>
        <v>0</v>
      </c>
    </row>
    <row r="75" spans="1:10" x14ac:dyDescent="0.25">
      <c r="A75" t="s">
        <v>2055</v>
      </c>
      <c r="B75">
        <v>12</v>
      </c>
      <c r="C75">
        <f>_xlfn.XLOOKUP(Recon!A75,[1]Backup!AJ:AJ,[1]Backup!L:L)</f>
        <v>44.84</v>
      </c>
      <c r="D75">
        <f>_xlfn.XLOOKUP(Recon!A75,[1]Backup!AJ:AJ,[1]Backup!K:K)</f>
        <v>1.5245600000000001</v>
      </c>
      <c r="E75">
        <f>SUMIF('[1]PO Report'!A:A,Recon!A75,'[1]PO Report'!P:P)</f>
        <v>12</v>
      </c>
      <c r="F75">
        <f>VLOOKUP(A75,'[1]PO Report'!$A:$Z,15,0)</f>
        <v>44.84</v>
      </c>
      <c r="H75">
        <f t="shared" si="2"/>
        <v>0</v>
      </c>
      <c r="J75">
        <f t="shared" si="3"/>
        <v>0</v>
      </c>
    </row>
    <row r="76" spans="1:10" x14ac:dyDescent="0.25">
      <c r="A76" t="s">
        <v>2056</v>
      </c>
      <c r="B76">
        <v>12</v>
      </c>
      <c r="C76">
        <f>_xlfn.XLOOKUP(Recon!A76,[1]Backup!AJ:AJ,[1]Backup!L:L)</f>
        <v>43.919999999999995</v>
      </c>
      <c r="D76">
        <f>_xlfn.XLOOKUP(Recon!A76,[1]Backup!AJ:AJ,[1]Backup!K:K)</f>
        <v>1.4932800000000002</v>
      </c>
      <c r="E76">
        <f>SUMIF('[1]PO Report'!A:A,Recon!A76,'[1]PO Report'!P:P)</f>
        <v>12</v>
      </c>
      <c r="F76">
        <f>VLOOKUP(A76,'[1]PO Report'!$A:$Z,15,0)</f>
        <v>43.92</v>
      </c>
      <c r="H76">
        <f t="shared" si="2"/>
        <v>0</v>
      </c>
      <c r="J76">
        <f t="shared" si="3"/>
        <v>0</v>
      </c>
    </row>
    <row r="77" spans="1:10" x14ac:dyDescent="0.25">
      <c r="A77" t="s">
        <v>2057</v>
      </c>
      <c r="B77">
        <v>4</v>
      </c>
      <c r="C77">
        <f>_xlfn.XLOOKUP(Recon!A77,[1]Backup!AJ:AJ,[1]Backup!L:L)</f>
        <v>43.92</v>
      </c>
      <c r="D77">
        <f>_xlfn.XLOOKUP(Recon!A77,[1]Backup!AJ:AJ,[1]Backup!K:K)</f>
        <v>1.4932799999999999</v>
      </c>
      <c r="E77">
        <f>SUMIF('[1]PO Report'!A:A,Recon!A77,'[1]PO Report'!P:P)</f>
        <v>4</v>
      </c>
      <c r="F77">
        <f>VLOOKUP(A77,'[1]PO Report'!$A:$Z,15,0)</f>
        <v>43.92</v>
      </c>
      <c r="H77">
        <f t="shared" si="2"/>
        <v>0</v>
      </c>
      <c r="J77">
        <f t="shared" si="3"/>
        <v>0</v>
      </c>
    </row>
    <row r="78" spans="1:10" x14ac:dyDescent="0.25">
      <c r="A78" t="s">
        <v>2058</v>
      </c>
      <c r="B78">
        <v>4</v>
      </c>
      <c r="C78">
        <f>_xlfn.XLOOKUP(Recon!A78,[1]Backup!AJ:AJ,[1]Backup!L:L)</f>
        <v>99.72</v>
      </c>
      <c r="D78">
        <f>_xlfn.XLOOKUP(Recon!A78,[1]Backup!AJ:AJ,[1]Backup!K:K)</f>
        <v>3.3904800000000002</v>
      </c>
      <c r="E78">
        <f>SUMIF('[1]PO Report'!A:A,Recon!A78,'[1]PO Report'!P:P)</f>
        <v>4</v>
      </c>
      <c r="F78">
        <f>VLOOKUP(A78,'[1]PO Report'!$A:$Z,15,0)</f>
        <v>99.72</v>
      </c>
      <c r="H78">
        <f t="shared" si="2"/>
        <v>0</v>
      </c>
      <c r="J78">
        <f t="shared" si="3"/>
        <v>0</v>
      </c>
    </row>
    <row r="79" spans="1:10" x14ac:dyDescent="0.25">
      <c r="A79" t="s">
        <v>2059</v>
      </c>
      <c r="B79">
        <v>4</v>
      </c>
      <c r="C79">
        <f>_xlfn.XLOOKUP(Recon!A79,[1]Backup!AJ:AJ,[1]Backup!L:L)</f>
        <v>68.06</v>
      </c>
      <c r="D79">
        <f>_xlfn.XLOOKUP(Recon!A79,[1]Backup!AJ:AJ,[1]Backup!K:K)</f>
        <v>2.3140399999999999</v>
      </c>
      <c r="E79">
        <f>SUMIF('[1]PO Report'!A:A,Recon!A79,'[1]PO Report'!P:P)</f>
        <v>4</v>
      </c>
      <c r="F79">
        <f>VLOOKUP(A79,'[1]PO Report'!$A:$Z,15,0)</f>
        <v>68.06</v>
      </c>
      <c r="H79">
        <f t="shared" si="2"/>
        <v>0</v>
      </c>
      <c r="J79">
        <f t="shared" si="3"/>
        <v>0</v>
      </c>
    </row>
    <row r="80" spans="1:10" x14ac:dyDescent="0.25">
      <c r="A80" t="s">
        <v>2060</v>
      </c>
      <c r="B80">
        <v>4</v>
      </c>
      <c r="C80">
        <f>_xlfn.XLOOKUP(Recon!A80,[1]Backup!AJ:AJ,[1]Backup!L:L)</f>
        <v>44.84</v>
      </c>
      <c r="D80">
        <f>_xlfn.XLOOKUP(Recon!A80,[1]Backup!AJ:AJ,[1]Backup!K:K)</f>
        <v>1.5245599999999999</v>
      </c>
      <c r="E80">
        <f>SUMIF('[1]PO Report'!A:A,Recon!A80,'[1]PO Report'!P:P)</f>
        <v>4</v>
      </c>
      <c r="F80">
        <f>VLOOKUP(A80,'[1]PO Report'!$A:$Z,15,0)</f>
        <v>44.84</v>
      </c>
      <c r="H80">
        <f t="shared" si="2"/>
        <v>0</v>
      </c>
      <c r="J80">
        <f t="shared" si="3"/>
        <v>0</v>
      </c>
    </row>
    <row r="81" spans="1:10" x14ac:dyDescent="0.25">
      <c r="A81" t="s">
        <v>2061</v>
      </c>
      <c r="B81">
        <v>4</v>
      </c>
      <c r="C81">
        <f>_xlfn.XLOOKUP(Recon!A81,[1]Backup!AJ:AJ,[1]Backup!L:L)</f>
        <v>61.12</v>
      </c>
      <c r="D81">
        <f>_xlfn.XLOOKUP(Recon!A81,[1]Backup!AJ:AJ,[1]Backup!K:K)</f>
        <v>2.0780799999999999</v>
      </c>
      <c r="E81">
        <f>SUMIF('[1]PO Report'!A:A,Recon!A81,'[1]PO Report'!P:P)</f>
        <v>4</v>
      </c>
      <c r="F81">
        <f>VLOOKUP(A81,'[1]PO Report'!$A:$Z,15,0)</f>
        <v>61.12</v>
      </c>
      <c r="H81">
        <f t="shared" si="2"/>
        <v>0</v>
      </c>
      <c r="J81">
        <f t="shared" si="3"/>
        <v>0</v>
      </c>
    </row>
    <row r="82" spans="1:10" x14ac:dyDescent="0.25">
      <c r="A82" t="s">
        <v>2062</v>
      </c>
      <c r="B82">
        <v>7</v>
      </c>
      <c r="C82">
        <f>_xlfn.XLOOKUP(Recon!A82,[1]Backup!AJ:AJ,[1]Backup!L:L)</f>
        <v>226.35</v>
      </c>
      <c r="D82">
        <f>_xlfn.XLOOKUP(Recon!A82,[1]Backup!AJ:AJ,[1]Backup!K:K)</f>
        <v>7.6959</v>
      </c>
      <c r="E82">
        <f>SUMIF('[1]PO Report'!A:A,Recon!A82,'[1]PO Report'!P:P)</f>
        <v>7</v>
      </c>
      <c r="F82">
        <f>VLOOKUP(A82,'[1]PO Report'!$A:$Z,15,0)</f>
        <v>226.35</v>
      </c>
      <c r="H82">
        <f t="shared" si="2"/>
        <v>0</v>
      </c>
      <c r="J82">
        <f t="shared" si="3"/>
        <v>0</v>
      </c>
    </row>
    <row r="83" spans="1:10" x14ac:dyDescent="0.25">
      <c r="A83" t="s">
        <v>2063</v>
      </c>
      <c r="B83">
        <v>12</v>
      </c>
      <c r="C83">
        <f>_xlfn.XLOOKUP(Recon!A83,[1]Backup!AJ:AJ,[1]Backup!L:L)</f>
        <v>29</v>
      </c>
      <c r="D83">
        <f>_xlfn.XLOOKUP(Recon!A83,[1]Backup!AJ:AJ,[1]Backup!K:K)</f>
        <v>0.9860000000000001</v>
      </c>
      <c r="E83">
        <f>SUMIF('[1]PO Report'!A:A,Recon!A83,'[1]PO Report'!P:P)</f>
        <v>12</v>
      </c>
      <c r="F83">
        <f>VLOOKUP(A83,'[1]PO Report'!$A:$Z,15,0)</f>
        <v>29</v>
      </c>
      <c r="H83">
        <f t="shared" si="2"/>
        <v>0</v>
      </c>
      <c r="J83">
        <f t="shared" si="3"/>
        <v>0</v>
      </c>
    </row>
    <row r="84" spans="1:10" x14ac:dyDescent="0.25">
      <c r="A84" t="s">
        <v>2064</v>
      </c>
      <c r="B84">
        <v>8</v>
      </c>
      <c r="C84">
        <f>_xlfn.XLOOKUP(Recon!A84,[1]Backup!AJ:AJ,[1]Backup!L:L)</f>
        <v>69.61</v>
      </c>
      <c r="D84">
        <f>_xlfn.XLOOKUP(Recon!A84,[1]Backup!AJ:AJ,[1]Backup!K:K)</f>
        <v>2.3667400000000001</v>
      </c>
      <c r="E84">
        <f>SUMIF('[1]PO Report'!A:A,Recon!A84,'[1]PO Report'!P:P)</f>
        <v>8</v>
      </c>
      <c r="F84">
        <f>VLOOKUP(A84,'[1]PO Report'!$A:$Z,15,0)</f>
        <v>69.61</v>
      </c>
      <c r="H84">
        <f t="shared" si="2"/>
        <v>0</v>
      </c>
      <c r="J84">
        <f t="shared" si="3"/>
        <v>0</v>
      </c>
    </row>
    <row r="85" spans="1:10" x14ac:dyDescent="0.25">
      <c r="A85" t="s">
        <v>2065</v>
      </c>
      <c r="B85">
        <v>10</v>
      </c>
      <c r="C85">
        <f>_xlfn.XLOOKUP(Recon!A85,[1]Backup!AJ:AJ,[1]Backup!L:L)</f>
        <v>16.39</v>
      </c>
      <c r="D85">
        <f>_xlfn.XLOOKUP(Recon!A85,[1]Backup!AJ:AJ,[1]Backup!K:K)</f>
        <v>0.55726000000000009</v>
      </c>
      <c r="E85">
        <f>SUMIF('[1]PO Report'!A:A,Recon!A85,'[1]PO Report'!P:P)</f>
        <v>10</v>
      </c>
      <c r="F85">
        <f>VLOOKUP(A85,'[1]PO Report'!$A:$Z,15,0)</f>
        <v>16.39</v>
      </c>
      <c r="H85">
        <f t="shared" si="2"/>
        <v>0</v>
      </c>
      <c r="J85">
        <f t="shared" si="3"/>
        <v>0</v>
      </c>
    </row>
    <row r="86" spans="1:10" x14ac:dyDescent="0.25">
      <c r="A86" t="s">
        <v>2066</v>
      </c>
      <c r="B86">
        <v>500</v>
      </c>
      <c r="C86">
        <f>_xlfn.XLOOKUP(Recon!A86,[1]Backup!AJ:AJ,[1]Backup!L:L)</f>
        <v>32.21</v>
      </c>
      <c r="D86">
        <f>_xlfn.XLOOKUP(Recon!A86,[1]Backup!AJ:AJ,[1]Backup!K:K)</f>
        <v>1.09514</v>
      </c>
      <c r="E86">
        <f>SUMIF('[1]PO Report'!A:A,Recon!A86,'[1]PO Report'!P:P)</f>
        <v>500</v>
      </c>
      <c r="F86">
        <f>VLOOKUP(A86,'[1]PO Report'!$A:$Z,15,0)</f>
        <v>32.21</v>
      </c>
      <c r="H86">
        <f t="shared" si="2"/>
        <v>0</v>
      </c>
      <c r="J86">
        <f t="shared" si="3"/>
        <v>0</v>
      </c>
    </row>
    <row r="87" spans="1:10" x14ac:dyDescent="0.25">
      <c r="A87" t="s">
        <v>2067</v>
      </c>
      <c r="B87">
        <v>160</v>
      </c>
      <c r="C87">
        <f>_xlfn.XLOOKUP(Recon!A87,[1]Backup!AJ:AJ,[1]Backup!L:L)</f>
        <v>29.28</v>
      </c>
      <c r="D87">
        <f>_xlfn.XLOOKUP(Recon!A87,[1]Backup!AJ:AJ,[1]Backup!K:K)</f>
        <v>0.99551999999999996</v>
      </c>
      <c r="E87">
        <f>SUMIF('[1]PO Report'!A:A,Recon!A87,'[1]PO Report'!P:P)</f>
        <v>160</v>
      </c>
      <c r="F87">
        <f>VLOOKUP(A87,'[1]PO Report'!$A:$Z,15,0)</f>
        <v>29.28</v>
      </c>
      <c r="H87">
        <f t="shared" si="2"/>
        <v>0</v>
      </c>
      <c r="J87">
        <f t="shared" si="3"/>
        <v>0</v>
      </c>
    </row>
    <row r="88" spans="1:10" x14ac:dyDescent="0.25">
      <c r="A88" t="s">
        <v>2068</v>
      </c>
      <c r="B88">
        <v>40</v>
      </c>
      <c r="C88">
        <f>_xlfn.XLOOKUP(Recon!A88,[1]Backup!AJ:AJ,[1]Backup!L:L)</f>
        <v>9.36</v>
      </c>
      <c r="D88">
        <f>_xlfn.XLOOKUP(Recon!A88,[1]Backup!AJ:AJ,[1]Backup!K:K)</f>
        <v>0.31823999999999997</v>
      </c>
      <c r="E88">
        <f>SUMIF('[1]PO Report'!A:A,Recon!A88,'[1]PO Report'!P:P)</f>
        <v>40</v>
      </c>
      <c r="F88">
        <f>VLOOKUP(A88,'[1]PO Report'!$A:$Z,15,0)</f>
        <v>9.36</v>
      </c>
      <c r="H88">
        <f t="shared" si="2"/>
        <v>0</v>
      </c>
      <c r="J88">
        <f t="shared" si="3"/>
        <v>0</v>
      </c>
    </row>
    <row r="89" spans="1:10" x14ac:dyDescent="0.25">
      <c r="A89" t="s">
        <v>2069</v>
      </c>
      <c r="B89">
        <v>240</v>
      </c>
      <c r="C89">
        <f>_xlfn.XLOOKUP(Recon!A89,[1]Backup!AJ:AJ,[1]Backup!L:L)</f>
        <v>26.35</v>
      </c>
      <c r="D89">
        <f>_xlfn.XLOOKUP(Recon!A89,[1]Backup!AJ:AJ,[1]Backup!K:K)</f>
        <v>0.89589999999999992</v>
      </c>
      <c r="E89">
        <f>SUMIF('[1]PO Report'!A:A,Recon!A89,'[1]PO Report'!P:P)</f>
        <v>240</v>
      </c>
      <c r="F89">
        <f>VLOOKUP(A89,'[1]PO Report'!$A:$Z,15,0)</f>
        <v>26.35</v>
      </c>
      <c r="H89">
        <f t="shared" si="2"/>
        <v>0</v>
      </c>
      <c r="J89">
        <f t="shared" si="3"/>
        <v>0</v>
      </c>
    </row>
    <row r="90" spans="1:10" x14ac:dyDescent="0.25">
      <c r="A90" t="s">
        <v>2070</v>
      </c>
      <c r="B90">
        <v>204</v>
      </c>
      <c r="C90">
        <f>_xlfn.XLOOKUP(Recon!A90,[1]Backup!AJ:AJ,[1]Backup!L:L)</f>
        <v>44.95</v>
      </c>
      <c r="D90">
        <f>_xlfn.XLOOKUP(Recon!A90,[1]Backup!AJ:AJ,[1]Backup!K:K)</f>
        <v>1.5283</v>
      </c>
      <c r="E90">
        <f>SUMIF('[1]PO Report'!A:A,Recon!A90,'[1]PO Report'!P:P)</f>
        <v>204</v>
      </c>
      <c r="F90">
        <f>VLOOKUP(A90,'[1]PO Report'!$A:$Z,15,0)</f>
        <v>44.95</v>
      </c>
      <c r="H90">
        <f t="shared" si="2"/>
        <v>0</v>
      </c>
      <c r="J90">
        <f t="shared" si="3"/>
        <v>0</v>
      </c>
    </row>
    <row r="91" spans="1:10" x14ac:dyDescent="0.25">
      <c r="A91" t="s">
        <v>2071</v>
      </c>
      <c r="B91">
        <v>36</v>
      </c>
      <c r="C91">
        <f>_xlfn.XLOOKUP(Recon!A91,[1]Backup!AJ:AJ,[1]Backup!L:L)</f>
        <v>73.34</v>
      </c>
      <c r="D91">
        <f>_xlfn.XLOOKUP(Recon!A91,[1]Backup!AJ:AJ,[1]Backup!K:K)</f>
        <v>2.49356</v>
      </c>
      <c r="E91">
        <f>SUMIF('[1]PO Report'!A:A,Recon!A91,'[1]PO Report'!P:P)</f>
        <v>36</v>
      </c>
      <c r="F91">
        <f>VLOOKUP(A91,'[1]PO Report'!$A:$Z,15,0)</f>
        <v>73.34</v>
      </c>
      <c r="H91">
        <f t="shared" si="2"/>
        <v>0</v>
      </c>
      <c r="J91">
        <f t="shared" si="3"/>
        <v>0</v>
      </c>
    </row>
    <row r="92" spans="1:10" x14ac:dyDescent="0.25">
      <c r="A92" t="s">
        <v>2072</v>
      </c>
      <c r="B92">
        <v>40</v>
      </c>
      <c r="C92">
        <f>_xlfn.XLOOKUP(Recon!A92,[1]Backup!AJ:AJ,[1]Backup!L:L)</f>
        <v>116.89</v>
      </c>
      <c r="D92">
        <f>_xlfn.XLOOKUP(Recon!A92,[1]Backup!AJ:AJ,[1]Backup!K:K)</f>
        <v>3.9742600000000001</v>
      </c>
      <c r="E92">
        <f>SUMIF('[1]PO Report'!A:A,Recon!A92,'[1]PO Report'!P:P)</f>
        <v>40</v>
      </c>
      <c r="F92">
        <f>VLOOKUP(A92,'[1]PO Report'!$A:$Z,15,0)</f>
        <v>116.89</v>
      </c>
      <c r="H92">
        <f t="shared" si="2"/>
        <v>0</v>
      </c>
      <c r="J92">
        <f t="shared" si="3"/>
        <v>0</v>
      </c>
    </row>
    <row r="93" spans="1:10" x14ac:dyDescent="0.25">
      <c r="A93" t="s">
        <v>2073</v>
      </c>
      <c r="B93">
        <v>20</v>
      </c>
      <c r="C93">
        <f>_xlfn.XLOOKUP(Recon!A93,[1]Backup!AJ:AJ,[1]Backup!L:L)</f>
        <v>8.89</v>
      </c>
      <c r="D93">
        <f>_xlfn.XLOOKUP(Recon!A93,[1]Backup!AJ:AJ,[1]Backup!K:K)</f>
        <v>0.30226000000000003</v>
      </c>
      <c r="E93">
        <f>SUMIF('[1]PO Report'!A:A,Recon!A93,'[1]PO Report'!P:P)</f>
        <v>20</v>
      </c>
      <c r="F93">
        <f>VLOOKUP(A93,'[1]PO Report'!$A:$Z,15,0)</f>
        <v>8.89</v>
      </c>
      <c r="H93">
        <f t="shared" si="2"/>
        <v>0</v>
      </c>
      <c r="J93">
        <f t="shared" si="3"/>
        <v>0</v>
      </c>
    </row>
    <row r="94" spans="1:10" x14ac:dyDescent="0.25">
      <c r="A94" t="s">
        <v>2074</v>
      </c>
      <c r="B94">
        <v>260</v>
      </c>
      <c r="C94">
        <f>_xlfn.XLOOKUP(Recon!A94,[1]Backup!AJ:AJ,[1]Backup!L:L)</f>
        <v>8.89</v>
      </c>
      <c r="D94">
        <f>_xlfn.XLOOKUP(Recon!A94,[1]Backup!AJ:AJ,[1]Backup!K:K)</f>
        <v>0.30226000000000003</v>
      </c>
      <c r="E94">
        <f>SUMIF('[1]PO Report'!A:A,Recon!A94,'[1]PO Report'!P:P)</f>
        <v>260</v>
      </c>
      <c r="F94">
        <f>VLOOKUP(A94,'[1]PO Report'!$A:$Z,15,0)</f>
        <v>8.89</v>
      </c>
      <c r="H94">
        <f t="shared" si="2"/>
        <v>0</v>
      </c>
      <c r="J94">
        <f t="shared" si="3"/>
        <v>0</v>
      </c>
    </row>
    <row r="95" spans="1:10" x14ac:dyDescent="0.25">
      <c r="A95" t="s">
        <v>2075</v>
      </c>
      <c r="B95">
        <v>4</v>
      </c>
      <c r="C95">
        <f>_xlfn.XLOOKUP(Recon!A95,[1]Backup!AJ:AJ,[1]Backup!L:L)</f>
        <v>44.95</v>
      </c>
      <c r="D95">
        <f>_xlfn.XLOOKUP(Recon!A95,[1]Backup!AJ:AJ,[1]Backup!K:K)</f>
        <v>1.5283</v>
      </c>
      <c r="E95">
        <f>SUMIF('[1]PO Report'!A:A,Recon!A95,'[1]PO Report'!P:P)</f>
        <v>4</v>
      </c>
      <c r="F95">
        <f>VLOOKUP(A95,'[1]PO Report'!$A:$Z,15,0)</f>
        <v>44.95</v>
      </c>
      <c r="H95">
        <f t="shared" si="2"/>
        <v>0</v>
      </c>
      <c r="J95">
        <f t="shared" si="3"/>
        <v>0</v>
      </c>
    </row>
    <row r="96" spans="1:10" x14ac:dyDescent="0.25">
      <c r="A96" t="s">
        <v>2076</v>
      </c>
      <c r="B96">
        <v>4</v>
      </c>
      <c r="C96">
        <f>_xlfn.XLOOKUP(Recon!A96,[1]Backup!AJ:AJ,[1]Backup!L:L)</f>
        <v>44.95</v>
      </c>
      <c r="D96">
        <f>_xlfn.XLOOKUP(Recon!A96,[1]Backup!AJ:AJ,[1]Backup!K:K)</f>
        <v>1.5283</v>
      </c>
      <c r="E96">
        <f>SUMIF('[1]PO Report'!A:A,Recon!A96,'[1]PO Report'!P:P)</f>
        <v>4</v>
      </c>
      <c r="F96">
        <f>VLOOKUP(A96,'[1]PO Report'!$A:$Z,15,0)</f>
        <v>44.95</v>
      </c>
      <c r="H96">
        <f t="shared" si="2"/>
        <v>0</v>
      </c>
      <c r="J96">
        <f t="shared" si="3"/>
        <v>0</v>
      </c>
    </row>
    <row r="97" spans="1:10" x14ac:dyDescent="0.25">
      <c r="A97" t="s">
        <v>2077</v>
      </c>
      <c r="B97">
        <v>12</v>
      </c>
      <c r="C97">
        <f>_xlfn.XLOOKUP(Recon!A97,[1]Backup!AJ:AJ,[1]Backup!L:L)</f>
        <v>44.95</v>
      </c>
      <c r="D97">
        <f>_xlfn.XLOOKUP(Recon!A97,[1]Backup!AJ:AJ,[1]Backup!K:K)</f>
        <v>1.5283</v>
      </c>
      <c r="E97">
        <f>SUMIF('[1]PO Report'!A:A,Recon!A97,'[1]PO Report'!P:P)</f>
        <v>8</v>
      </c>
      <c r="F97">
        <f>VLOOKUP(A97,'[1]PO Report'!$A:$Z,15,0)</f>
        <v>44.95</v>
      </c>
      <c r="H97">
        <f t="shared" si="2"/>
        <v>4</v>
      </c>
      <c r="I97">
        <f>H97*D97</f>
        <v>6.1132</v>
      </c>
      <c r="J97">
        <f t="shared" si="3"/>
        <v>0</v>
      </c>
    </row>
    <row r="98" spans="1:10" x14ac:dyDescent="0.25">
      <c r="A98" t="s">
        <v>2078</v>
      </c>
      <c r="B98">
        <v>8</v>
      </c>
      <c r="C98">
        <f>_xlfn.XLOOKUP(Recon!A98,[1]Backup!AJ:AJ,[1]Backup!L:L)</f>
        <v>116.02</v>
      </c>
      <c r="D98">
        <f>_xlfn.XLOOKUP(Recon!A98,[1]Backup!AJ:AJ,[1]Backup!K:K)</f>
        <v>3.94468</v>
      </c>
      <c r="E98">
        <f>SUMIF('[1]PO Report'!A:A,Recon!A98,'[1]PO Report'!P:P)</f>
        <v>8</v>
      </c>
      <c r="F98">
        <f>VLOOKUP(A98,'[1]PO Report'!$A:$Z,15,0)</f>
        <v>116.02</v>
      </c>
      <c r="H98">
        <f t="shared" si="2"/>
        <v>0</v>
      </c>
      <c r="J98">
        <f t="shared" si="3"/>
        <v>0</v>
      </c>
    </row>
    <row r="99" spans="1:10" x14ac:dyDescent="0.25">
      <c r="A99" t="s">
        <v>2079</v>
      </c>
      <c r="B99">
        <v>40</v>
      </c>
      <c r="C99">
        <f>_xlfn.XLOOKUP(Recon!A99,[1]Backup!AJ:AJ,[1]Backup!L:L)</f>
        <v>16.39</v>
      </c>
      <c r="D99">
        <f>_xlfn.XLOOKUP(Recon!A99,[1]Backup!AJ:AJ,[1]Backup!K:K)</f>
        <v>0.55726000000000009</v>
      </c>
      <c r="E99">
        <f>SUMIF('[1]PO Report'!A:A,Recon!A99,'[1]PO Report'!P:P)</f>
        <v>40</v>
      </c>
      <c r="F99">
        <f>VLOOKUP(A99,'[1]PO Report'!$A:$Z,15,0)</f>
        <v>16.39</v>
      </c>
      <c r="H99">
        <f t="shared" si="2"/>
        <v>0</v>
      </c>
      <c r="J99">
        <f t="shared" si="3"/>
        <v>0</v>
      </c>
    </row>
    <row r="100" spans="1:10" x14ac:dyDescent="0.25">
      <c r="A100" t="s">
        <v>2080</v>
      </c>
      <c r="B100">
        <v>120</v>
      </c>
      <c r="C100">
        <f>_xlfn.XLOOKUP(Recon!A100,[1]Backup!AJ:AJ,[1]Backup!L:L)</f>
        <v>29.279999999999998</v>
      </c>
      <c r="D100">
        <f>_xlfn.XLOOKUP(Recon!A100,[1]Backup!AJ:AJ,[1]Backup!K:K)</f>
        <v>0.99552000000000007</v>
      </c>
      <c r="E100">
        <f>SUMIF('[1]PO Report'!A:A,Recon!A100,'[1]PO Report'!P:P)</f>
        <v>120</v>
      </c>
      <c r="F100">
        <f>VLOOKUP(A100,'[1]PO Report'!$A:$Z,15,0)</f>
        <v>29.28</v>
      </c>
      <c r="H100">
        <f t="shared" si="2"/>
        <v>0</v>
      </c>
      <c r="J100">
        <f t="shared" si="3"/>
        <v>0</v>
      </c>
    </row>
    <row r="101" spans="1:10" x14ac:dyDescent="0.25">
      <c r="A101" t="s">
        <v>2081</v>
      </c>
      <c r="B101">
        <v>30</v>
      </c>
      <c r="C101">
        <f>_xlfn.XLOOKUP(Recon!A101,[1]Backup!AJ:AJ,[1]Backup!L:L)</f>
        <v>10.53</v>
      </c>
      <c r="D101">
        <f>_xlfn.XLOOKUP(Recon!A101,[1]Backup!AJ:AJ,[1]Backup!K:K)</f>
        <v>0.35802</v>
      </c>
      <c r="E101">
        <f>SUMIF('[1]PO Report'!A:A,Recon!A101,'[1]PO Report'!P:P)</f>
        <v>30</v>
      </c>
      <c r="F101">
        <f>VLOOKUP(A101,'[1]PO Report'!$A:$Z,15,0)</f>
        <v>10.53</v>
      </c>
      <c r="H101">
        <f t="shared" si="2"/>
        <v>0</v>
      </c>
      <c r="J101">
        <f t="shared" si="3"/>
        <v>0</v>
      </c>
    </row>
    <row r="102" spans="1:10" x14ac:dyDescent="0.25">
      <c r="A102" t="s">
        <v>2082</v>
      </c>
      <c r="B102">
        <v>220</v>
      </c>
      <c r="C102">
        <f>_xlfn.XLOOKUP(Recon!A102,[1]Backup!AJ:AJ,[1]Backup!L:L)</f>
        <v>23.42</v>
      </c>
      <c r="D102">
        <f>_xlfn.XLOOKUP(Recon!A102,[1]Backup!AJ:AJ,[1]Backup!K:K)</f>
        <v>0.79627999999999999</v>
      </c>
      <c r="E102">
        <f>SUMIF('[1]PO Report'!A:A,Recon!A102,'[1]PO Report'!P:P)</f>
        <v>220</v>
      </c>
      <c r="F102">
        <f>VLOOKUP(A102,'[1]PO Report'!$A:$Z,15,0)</f>
        <v>23.42</v>
      </c>
      <c r="H102">
        <f t="shared" si="2"/>
        <v>0</v>
      </c>
      <c r="J102">
        <f t="shared" si="3"/>
        <v>0</v>
      </c>
    </row>
    <row r="103" spans="1:10" x14ac:dyDescent="0.25">
      <c r="A103" t="s">
        <v>2083</v>
      </c>
      <c r="B103">
        <v>315</v>
      </c>
      <c r="C103">
        <f>_xlfn.XLOOKUP(Recon!A103,[1]Backup!AJ:AJ,[1]Backup!L:L)</f>
        <v>20.5</v>
      </c>
      <c r="D103">
        <f>_xlfn.XLOOKUP(Recon!A103,[1]Backup!AJ:AJ,[1]Backup!K:K)</f>
        <v>0.69700000000000006</v>
      </c>
      <c r="E103">
        <f>SUMIF('[1]PO Report'!A:A,Recon!A103,'[1]PO Report'!P:P)</f>
        <v>152</v>
      </c>
      <c r="F103">
        <f>VLOOKUP(A103,'[1]PO Report'!$A:$Z,15,0)</f>
        <v>20.5</v>
      </c>
      <c r="H103">
        <f t="shared" si="2"/>
        <v>163</v>
      </c>
      <c r="I103">
        <f>H103*D103</f>
        <v>113.611</v>
      </c>
      <c r="J103">
        <f t="shared" si="3"/>
        <v>0</v>
      </c>
    </row>
    <row r="104" spans="1:10" x14ac:dyDescent="0.25">
      <c r="A104" t="s">
        <v>2084</v>
      </c>
      <c r="B104">
        <v>4</v>
      </c>
      <c r="C104">
        <f>_xlfn.XLOOKUP(Recon!A104,[1]Backup!AJ:AJ,[1]Backup!L:L)</f>
        <v>29.28</v>
      </c>
      <c r="D104">
        <f>_xlfn.XLOOKUP(Recon!A104,[1]Backup!AJ:AJ,[1]Backup!K:K)</f>
        <v>0.99551999999999996</v>
      </c>
      <c r="E104">
        <f>SUMIF('[1]PO Report'!A:A,Recon!A104,'[1]PO Report'!P:P)</f>
        <v>4</v>
      </c>
      <c r="F104">
        <f>VLOOKUP(A104,'[1]PO Report'!$A:$Z,15,0)</f>
        <v>29.28</v>
      </c>
      <c r="H104">
        <f t="shared" si="2"/>
        <v>0</v>
      </c>
      <c r="J104">
        <f t="shared" si="3"/>
        <v>0</v>
      </c>
    </row>
    <row r="105" spans="1:10" x14ac:dyDescent="0.25">
      <c r="A105" t="s">
        <v>2085</v>
      </c>
      <c r="B105">
        <v>200</v>
      </c>
      <c r="C105">
        <f>_xlfn.XLOOKUP(Recon!A105,[1]Backup!AJ:AJ,[1]Backup!L:L)</f>
        <v>26.37</v>
      </c>
      <c r="D105">
        <f>_xlfn.XLOOKUP(Recon!A105,[1]Backup!AJ:AJ,[1]Backup!K:K)</f>
        <v>0.89658000000000004</v>
      </c>
      <c r="E105">
        <f>SUMIF('[1]PO Report'!A:A,Recon!A105,'[1]PO Report'!P:P)</f>
        <v>200</v>
      </c>
      <c r="F105">
        <f>VLOOKUP(A105,'[1]PO Report'!$A:$Z,15,0)</f>
        <v>26.37</v>
      </c>
      <c r="H105">
        <f t="shared" si="2"/>
        <v>0</v>
      </c>
      <c r="J105">
        <f t="shared" si="3"/>
        <v>0</v>
      </c>
    </row>
    <row r="106" spans="1:10" x14ac:dyDescent="0.25">
      <c r="A106" t="s">
        <v>2086</v>
      </c>
      <c r="B106">
        <v>4</v>
      </c>
      <c r="C106">
        <f>_xlfn.XLOOKUP(Recon!A106,[1]Backup!AJ:AJ,[1]Backup!L:L)</f>
        <v>81.41</v>
      </c>
      <c r="D106">
        <f>_xlfn.XLOOKUP(Recon!A106,[1]Backup!AJ:AJ,[1]Backup!K:K)</f>
        <v>2.7679399999999998</v>
      </c>
      <c r="E106">
        <f>SUMIF('[1]PO Report'!A:A,Recon!A106,'[1]PO Report'!P:P)</f>
        <v>4</v>
      </c>
      <c r="F106">
        <f>VLOOKUP(A106,'[1]PO Report'!$A:$Z,15,0)</f>
        <v>81.41</v>
      </c>
      <c r="H106">
        <f t="shared" si="2"/>
        <v>0</v>
      </c>
      <c r="J106">
        <f t="shared" si="3"/>
        <v>0</v>
      </c>
    </row>
    <row r="107" spans="1:10" x14ac:dyDescent="0.25">
      <c r="A107" t="s">
        <v>2087</v>
      </c>
      <c r="B107">
        <v>10</v>
      </c>
      <c r="C107">
        <f>_xlfn.XLOOKUP(Recon!A107,[1]Backup!AJ:AJ,[1]Backup!L:L)</f>
        <v>32.21</v>
      </c>
      <c r="D107">
        <f>_xlfn.XLOOKUP(Recon!A107,[1]Backup!AJ:AJ,[1]Backup!K:K)</f>
        <v>1.09514</v>
      </c>
      <c r="E107">
        <f>SUMIF('[1]PO Report'!A:A,Recon!A107,'[1]PO Report'!P:P)</f>
        <v>10</v>
      </c>
      <c r="F107">
        <f>VLOOKUP(A107,'[1]PO Report'!$A:$Z,15,0)</f>
        <v>32.21</v>
      </c>
      <c r="H107">
        <f t="shared" si="2"/>
        <v>0</v>
      </c>
      <c r="J107">
        <f t="shared" si="3"/>
        <v>0</v>
      </c>
    </row>
    <row r="108" spans="1:10" x14ac:dyDescent="0.25">
      <c r="A108" t="s">
        <v>2088</v>
      </c>
      <c r="B108">
        <v>24</v>
      </c>
      <c r="C108">
        <f>_xlfn.XLOOKUP(Recon!A108,[1]Backup!AJ:AJ,[1]Backup!L:L)</f>
        <v>32.21</v>
      </c>
      <c r="D108">
        <f>_xlfn.XLOOKUP(Recon!A108,[1]Backup!AJ:AJ,[1]Backup!K:K)</f>
        <v>1.09514</v>
      </c>
      <c r="E108">
        <f>SUMIF('[1]PO Report'!A:A,Recon!A108,'[1]PO Report'!P:P)</f>
        <v>24</v>
      </c>
      <c r="F108">
        <f>VLOOKUP(A108,'[1]PO Report'!$A:$Z,15,0)</f>
        <v>32.21</v>
      </c>
      <c r="H108">
        <f t="shared" si="2"/>
        <v>0</v>
      </c>
      <c r="J108">
        <f t="shared" si="3"/>
        <v>0</v>
      </c>
    </row>
    <row r="109" spans="1:10" x14ac:dyDescent="0.25">
      <c r="A109" t="s">
        <v>2089</v>
      </c>
      <c r="B109">
        <v>8</v>
      </c>
      <c r="C109">
        <f>_xlfn.XLOOKUP(Recon!A109,[1]Backup!AJ:AJ,[1]Backup!L:L)</f>
        <v>32.21</v>
      </c>
      <c r="D109">
        <f>_xlfn.XLOOKUP(Recon!A109,[1]Backup!AJ:AJ,[1]Backup!K:K)</f>
        <v>1.09514</v>
      </c>
      <c r="E109">
        <f>SUMIF('[1]PO Report'!A:A,Recon!A109,'[1]PO Report'!P:P)</f>
        <v>8</v>
      </c>
      <c r="F109">
        <f>VLOOKUP(A109,'[1]PO Report'!$A:$Z,15,0)</f>
        <v>32.21</v>
      </c>
      <c r="H109">
        <f t="shared" si="2"/>
        <v>0</v>
      </c>
      <c r="J109">
        <f t="shared" si="3"/>
        <v>0</v>
      </c>
    </row>
    <row r="110" spans="1:10" x14ac:dyDescent="0.25">
      <c r="A110" t="s">
        <v>2090</v>
      </c>
      <c r="B110">
        <v>80</v>
      </c>
      <c r="C110">
        <f>_xlfn.XLOOKUP(Recon!A110,[1]Backup!AJ:AJ,[1]Backup!L:L)</f>
        <v>16.39</v>
      </c>
      <c r="D110">
        <f>_xlfn.XLOOKUP(Recon!A110,[1]Backup!AJ:AJ,[1]Backup!K:K)</f>
        <v>0.55726000000000009</v>
      </c>
      <c r="E110">
        <f>SUMIF('[1]PO Report'!A:A,Recon!A110,'[1]PO Report'!P:P)</f>
        <v>80</v>
      </c>
      <c r="F110">
        <f>VLOOKUP(A110,'[1]PO Report'!$A:$Z,15,0)</f>
        <v>16.39</v>
      </c>
      <c r="H110">
        <f t="shared" si="2"/>
        <v>0</v>
      </c>
      <c r="J110">
        <f t="shared" si="3"/>
        <v>0</v>
      </c>
    </row>
    <row r="111" spans="1:10" x14ac:dyDescent="0.25">
      <c r="A111" t="s">
        <v>2091</v>
      </c>
      <c r="B111">
        <v>304</v>
      </c>
      <c r="C111">
        <f>_xlfn.XLOOKUP(Recon!A111,[1]Backup!AJ:AJ,[1]Backup!L:L)</f>
        <v>75.41</v>
      </c>
      <c r="D111">
        <f>_xlfn.XLOOKUP(Recon!A111,[1]Backup!AJ:AJ,[1]Backup!K:K)</f>
        <v>2.5639400000000001</v>
      </c>
      <c r="E111">
        <f>SUMIF('[1]PO Report'!A:A,Recon!A111,'[1]PO Report'!P:P)</f>
        <v>304</v>
      </c>
      <c r="F111">
        <f>VLOOKUP(A111,'[1]PO Report'!$A:$Z,15,0)</f>
        <v>75.41</v>
      </c>
      <c r="H111">
        <f t="shared" si="2"/>
        <v>0</v>
      </c>
      <c r="J111">
        <f t="shared" si="3"/>
        <v>0</v>
      </c>
    </row>
    <row r="112" spans="1:10" x14ac:dyDescent="0.25">
      <c r="A112" t="s">
        <v>2092</v>
      </c>
      <c r="B112">
        <v>4</v>
      </c>
      <c r="C112">
        <f>_xlfn.XLOOKUP(Recon!A112,[1]Backup!AJ:AJ,[1]Backup!L:L)</f>
        <v>94.44</v>
      </c>
      <c r="D112">
        <f>_xlfn.XLOOKUP(Recon!A112,[1]Backup!AJ:AJ,[1]Backup!K:K)</f>
        <v>3.21096</v>
      </c>
      <c r="E112">
        <f>SUMIF('[1]PO Report'!A:A,Recon!A112,'[1]PO Report'!P:P)</f>
        <v>4</v>
      </c>
      <c r="F112">
        <f>VLOOKUP(A112,'[1]PO Report'!$A:$Z,15,0)</f>
        <v>94.44</v>
      </c>
      <c r="H112">
        <f t="shared" si="2"/>
        <v>0</v>
      </c>
      <c r="J112">
        <f t="shared" si="3"/>
        <v>0</v>
      </c>
    </row>
    <row r="113" spans="1:10" x14ac:dyDescent="0.25">
      <c r="A113" t="s">
        <v>2093</v>
      </c>
      <c r="B113">
        <v>16</v>
      </c>
      <c r="C113">
        <f>_xlfn.XLOOKUP(Recon!A113,[1]Backup!AJ:AJ,[1]Backup!L:L)</f>
        <v>40.99</v>
      </c>
      <c r="D113">
        <f>_xlfn.XLOOKUP(Recon!A113,[1]Backup!AJ:AJ,[1]Backup!K:K)</f>
        <v>1.3936599999999999</v>
      </c>
      <c r="E113">
        <f>SUMIF('[1]PO Report'!A:A,Recon!A113,'[1]PO Report'!P:P)</f>
        <v>16</v>
      </c>
      <c r="F113">
        <f>VLOOKUP(A113,'[1]PO Report'!$A:$Z,15,0)</f>
        <v>40.99</v>
      </c>
      <c r="H113">
        <f t="shared" si="2"/>
        <v>0</v>
      </c>
      <c r="J113">
        <f t="shared" si="3"/>
        <v>0</v>
      </c>
    </row>
    <row r="114" spans="1:10" x14ac:dyDescent="0.25">
      <c r="A114" t="s">
        <v>2094</v>
      </c>
      <c r="B114">
        <v>32</v>
      </c>
      <c r="C114">
        <f>_xlfn.XLOOKUP(Recon!A114,[1]Backup!AJ:AJ,[1]Backup!L:L)</f>
        <v>21.4</v>
      </c>
      <c r="D114">
        <f>_xlfn.XLOOKUP(Recon!A114,[1]Backup!AJ:AJ,[1]Backup!K:K)</f>
        <v>0.72760000000000002</v>
      </c>
      <c r="E114">
        <f>SUMIF('[1]PO Report'!A:A,Recon!A114,'[1]PO Report'!P:P)</f>
        <v>32</v>
      </c>
      <c r="F114">
        <f>VLOOKUP(A114,'[1]PO Report'!$A:$Z,15,0)</f>
        <v>21.4</v>
      </c>
      <c r="H114">
        <f t="shared" si="2"/>
        <v>0</v>
      </c>
      <c r="J114">
        <f t="shared" si="3"/>
        <v>0</v>
      </c>
    </row>
    <row r="115" spans="1:10" x14ac:dyDescent="0.25">
      <c r="A115" t="s">
        <v>2095</v>
      </c>
      <c r="B115">
        <v>44</v>
      </c>
      <c r="C115">
        <f>_xlfn.XLOOKUP(Recon!A115,[1]Backup!AJ:AJ,[1]Backup!L:L)</f>
        <v>105</v>
      </c>
      <c r="D115">
        <f>_xlfn.XLOOKUP(Recon!A115,[1]Backup!AJ:AJ,[1]Backup!K:K)</f>
        <v>3.5700000000000003</v>
      </c>
      <c r="E115">
        <f>SUMIF('[1]PO Report'!A:A,Recon!A115,'[1]PO Report'!P:P)</f>
        <v>44</v>
      </c>
      <c r="F115">
        <f>VLOOKUP(A115,'[1]PO Report'!$A:$Z,15,0)</f>
        <v>105</v>
      </c>
      <c r="H115">
        <f t="shared" si="2"/>
        <v>0</v>
      </c>
      <c r="J115">
        <f t="shared" si="3"/>
        <v>0</v>
      </c>
    </row>
    <row r="116" spans="1:10" x14ac:dyDescent="0.25">
      <c r="A116" t="s">
        <v>2096</v>
      </c>
      <c r="B116">
        <v>8</v>
      </c>
      <c r="C116">
        <f>_xlfn.XLOOKUP(Recon!A116,[1]Backup!AJ:AJ,[1]Backup!L:L)</f>
        <v>103.06</v>
      </c>
      <c r="D116">
        <f>_xlfn.XLOOKUP(Recon!A116,[1]Backup!AJ:AJ,[1]Backup!K:K)</f>
        <v>3.5040399999999998</v>
      </c>
      <c r="E116">
        <f>SUMIF('[1]PO Report'!A:A,Recon!A116,'[1]PO Report'!P:P)</f>
        <v>8</v>
      </c>
      <c r="F116">
        <f>VLOOKUP(A116,'[1]PO Report'!$A:$Z,15,0)</f>
        <v>103.06</v>
      </c>
      <c r="H116">
        <f t="shared" si="2"/>
        <v>0</v>
      </c>
      <c r="J116">
        <f t="shared" si="3"/>
        <v>0</v>
      </c>
    </row>
    <row r="117" spans="1:10" x14ac:dyDescent="0.25">
      <c r="A117" t="s">
        <v>2097</v>
      </c>
      <c r="B117">
        <v>36</v>
      </c>
      <c r="C117">
        <f>_xlfn.XLOOKUP(Recon!A117,[1]Backup!AJ:AJ,[1]Backup!L:L)</f>
        <v>234.48000000000002</v>
      </c>
      <c r="D117">
        <f>_xlfn.XLOOKUP(Recon!A117,[1]Backup!AJ:AJ,[1]Backup!K:K)</f>
        <v>7.9723199999999999</v>
      </c>
      <c r="E117">
        <f>SUMIF('[1]PO Report'!A:A,Recon!A117,'[1]PO Report'!P:P)</f>
        <v>36</v>
      </c>
      <c r="F117">
        <f>VLOOKUP(A117,'[1]PO Report'!$A:$Z,15,0)</f>
        <v>234.48</v>
      </c>
      <c r="H117">
        <f t="shared" si="2"/>
        <v>0</v>
      </c>
      <c r="J117">
        <f t="shared" si="3"/>
        <v>0</v>
      </c>
    </row>
    <row r="118" spans="1:10" x14ac:dyDescent="0.25">
      <c r="A118" t="s">
        <v>2098</v>
      </c>
      <c r="B118">
        <v>4</v>
      </c>
      <c r="C118">
        <f>_xlfn.XLOOKUP(Recon!A118,[1]Backup!AJ:AJ,[1]Backup!L:L)</f>
        <v>234.48</v>
      </c>
      <c r="D118">
        <f>_xlfn.XLOOKUP(Recon!A118,[1]Backup!AJ:AJ,[1]Backup!K:K)</f>
        <v>7.9723199999999999</v>
      </c>
      <c r="E118">
        <f>SUMIF('[1]PO Report'!A:A,Recon!A118,'[1]PO Report'!P:P)</f>
        <v>4</v>
      </c>
      <c r="F118">
        <f>VLOOKUP(A118,'[1]PO Report'!$A:$Z,15,0)</f>
        <v>234.48</v>
      </c>
      <c r="H118">
        <f t="shared" si="2"/>
        <v>0</v>
      </c>
      <c r="J118">
        <f t="shared" si="3"/>
        <v>0</v>
      </c>
    </row>
    <row r="119" spans="1:10" x14ac:dyDescent="0.25">
      <c r="A119" t="s">
        <v>2099</v>
      </c>
      <c r="B119">
        <v>12</v>
      </c>
      <c r="C119">
        <f>_xlfn.XLOOKUP(Recon!A119,[1]Backup!AJ:AJ,[1]Backup!L:L)</f>
        <v>35.130000000000003</v>
      </c>
      <c r="D119">
        <f>_xlfn.XLOOKUP(Recon!A119,[1]Backup!AJ:AJ,[1]Backup!K:K)</f>
        <v>1.19442</v>
      </c>
      <c r="E119">
        <f>SUMIF('[1]PO Report'!A:A,Recon!A119,'[1]PO Report'!P:P)</f>
        <v>12</v>
      </c>
      <c r="F119">
        <f>VLOOKUP(A119,'[1]PO Report'!$A:$Z,15,0)</f>
        <v>35.130000000000003</v>
      </c>
      <c r="H119">
        <f t="shared" si="2"/>
        <v>0</v>
      </c>
      <c r="J119">
        <f t="shared" si="3"/>
        <v>0</v>
      </c>
    </row>
    <row r="120" spans="1:10" x14ac:dyDescent="0.25">
      <c r="A120" t="s">
        <v>2100</v>
      </c>
      <c r="B120">
        <v>8</v>
      </c>
      <c r="C120">
        <f>_xlfn.XLOOKUP(Recon!A120,[1]Backup!AJ:AJ,[1]Backup!L:L)</f>
        <v>32.21</v>
      </c>
      <c r="D120">
        <f>_xlfn.XLOOKUP(Recon!A120,[1]Backup!AJ:AJ,[1]Backup!K:K)</f>
        <v>1.09514</v>
      </c>
      <c r="E120">
        <f>SUMIF('[1]PO Report'!A:A,Recon!A120,'[1]PO Report'!P:P)</f>
        <v>8</v>
      </c>
      <c r="F120">
        <f>VLOOKUP(A120,'[1]PO Report'!$A:$Z,15,0)</f>
        <v>32.21</v>
      </c>
      <c r="H120">
        <f t="shared" si="2"/>
        <v>0</v>
      </c>
      <c r="J120">
        <f t="shared" si="3"/>
        <v>0</v>
      </c>
    </row>
    <row r="121" spans="1:10" x14ac:dyDescent="0.25">
      <c r="A121" t="s">
        <v>2101</v>
      </c>
      <c r="B121">
        <v>8</v>
      </c>
      <c r="C121">
        <f>_xlfn.XLOOKUP(Recon!A121,[1]Backup!AJ:AJ,[1]Backup!L:L)</f>
        <v>92.24</v>
      </c>
      <c r="D121">
        <f>_xlfn.XLOOKUP(Recon!A121,[1]Backup!AJ:AJ,[1]Backup!K:K)</f>
        <v>3.1361599999999998</v>
      </c>
      <c r="E121">
        <f>SUMIF('[1]PO Report'!A:A,Recon!A121,'[1]PO Report'!P:P)</f>
        <v>8</v>
      </c>
      <c r="F121">
        <f>VLOOKUP(A121,'[1]PO Report'!$A:$Z,15,0)</f>
        <v>92.24</v>
      </c>
      <c r="H121">
        <f t="shared" si="2"/>
        <v>0</v>
      </c>
      <c r="J121">
        <f t="shared" si="3"/>
        <v>0</v>
      </c>
    </row>
    <row r="122" spans="1:10" x14ac:dyDescent="0.25">
      <c r="A122" t="s">
        <v>2102</v>
      </c>
      <c r="B122">
        <v>336</v>
      </c>
      <c r="C122">
        <f>_xlfn.XLOOKUP(Recon!A122,[1]Backup!AJ:AJ,[1]Backup!L:L)</f>
        <v>40.03</v>
      </c>
      <c r="D122">
        <f>_xlfn.XLOOKUP(Recon!A122,[1]Backup!AJ:AJ,[1]Backup!K:K)</f>
        <v>1.3610200000000001</v>
      </c>
      <c r="E122">
        <f>SUMIF('[1]PO Report'!A:A,Recon!A122,'[1]PO Report'!P:P)</f>
        <v>336</v>
      </c>
      <c r="F122">
        <f>VLOOKUP(A122,'[1]PO Report'!$A:$Z,15,0)</f>
        <v>40.03</v>
      </c>
      <c r="H122">
        <f t="shared" si="2"/>
        <v>0</v>
      </c>
      <c r="J122">
        <f t="shared" si="3"/>
        <v>0</v>
      </c>
    </row>
    <row r="123" spans="1:10" x14ac:dyDescent="0.25">
      <c r="A123" t="s">
        <v>2103</v>
      </c>
      <c r="B123">
        <v>4</v>
      </c>
      <c r="C123">
        <f>_xlfn.XLOOKUP(Recon!A123,[1]Backup!AJ:AJ,[1]Backup!L:L)</f>
        <v>110.27</v>
      </c>
      <c r="D123">
        <f>_xlfn.XLOOKUP(Recon!A123,[1]Backup!AJ:AJ,[1]Backup!K:K)</f>
        <v>3.74918</v>
      </c>
      <c r="E123">
        <f>SUMIF('[1]PO Report'!A:A,Recon!A123,'[1]PO Report'!P:P)</f>
        <v>4</v>
      </c>
      <c r="F123">
        <f>VLOOKUP(A123,'[1]PO Report'!$A:$Z,15,0)</f>
        <v>110.27</v>
      </c>
      <c r="H123">
        <f t="shared" si="2"/>
        <v>0</v>
      </c>
      <c r="J123">
        <f t="shared" si="3"/>
        <v>0</v>
      </c>
    </row>
    <row r="124" spans="1:10" x14ac:dyDescent="0.25">
      <c r="A124" t="s">
        <v>2104</v>
      </c>
      <c r="B124">
        <v>56</v>
      </c>
      <c r="C124">
        <f>_xlfn.XLOOKUP(Recon!A124,[1]Backup!AJ:AJ,[1]Backup!L:L)</f>
        <v>32.21</v>
      </c>
      <c r="D124">
        <f>_xlfn.XLOOKUP(Recon!A124,[1]Backup!AJ:AJ,[1]Backup!K:K)</f>
        <v>1.09514</v>
      </c>
      <c r="E124">
        <f>SUMIF('[1]PO Report'!A:A,Recon!A124,'[1]PO Report'!P:P)</f>
        <v>56</v>
      </c>
      <c r="F124">
        <f>VLOOKUP(A124,'[1]PO Report'!$A:$Z,15,0)</f>
        <v>32.21</v>
      </c>
      <c r="H124">
        <f t="shared" si="2"/>
        <v>0</v>
      </c>
      <c r="J124">
        <f t="shared" si="3"/>
        <v>0</v>
      </c>
    </row>
    <row r="125" spans="1:10" x14ac:dyDescent="0.25">
      <c r="A125" t="s">
        <v>2105</v>
      </c>
      <c r="B125">
        <v>120</v>
      </c>
      <c r="C125">
        <f>_xlfn.XLOOKUP(Recon!A125,[1]Backup!AJ:AJ,[1]Backup!L:L)</f>
        <v>75.41</v>
      </c>
      <c r="D125">
        <f>_xlfn.XLOOKUP(Recon!A125,[1]Backup!AJ:AJ,[1]Backup!K:K)</f>
        <v>2.5639399999999997</v>
      </c>
      <c r="E125">
        <f>SUMIF('[1]PO Report'!A:A,Recon!A125,'[1]PO Report'!P:P)</f>
        <v>120</v>
      </c>
      <c r="F125">
        <f>VLOOKUP(A125,'[1]PO Report'!$A:$Z,15,0)</f>
        <v>75.41</v>
      </c>
      <c r="H125">
        <f t="shared" si="2"/>
        <v>0</v>
      </c>
      <c r="J125">
        <f t="shared" si="3"/>
        <v>0</v>
      </c>
    </row>
    <row r="126" spans="1:10" x14ac:dyDescent="0.25">
      <c r="A126" t="s">
        <v>2106</v>
      </c>
      <c r="B126">
        <v>120</v>
      </c>
      <c r="C126">
        <f>_xlfn.XLOOKUP(Recon!A126,[1]Backup!AJ:AJ,[1]Backup!L:L)</f>
        <v>131.38</v>
      </c>
      <c r="D126">
        <f>_xlfn.XLOOKUP(Recon!A126,[1]Backup!AJ:AJ,[1]Backup!K:K)</f>
        <v>4.46692</v>
      </c>
      <c r="E126">
        <f>SUMIF('[1]PO Report'!A:A,Recon!A126,'[1]PO Report'!P:P)</f>
        <v>120</v>
      </c>
      <c r="F126">
        <f>VLOOKUP(A126,'[1]PO Report'!$A:$Z,15,0)</f>
        <v>131.38</v>
      </c>
      <c r="H126">
        <f t="shared" si="2"/>
        <v>0</v>
      </c>
      <c r="J126">
        <f t="shared" si="3"/>
        <v>0</v>
      </c>
    </row>
    <row r="127" spans="1:10" x14ac:dyDescent="0.25">
      <c r="A127" t="s">
        <v>2107</v>
      </c>
      <c r="B127">
        <v>32</v>
      </c>
      <c r="C127">
        <f>_xlfn.XLOOKUP(Recon!A127,[1]Backup!AJ:AJ,[1]Backup!L:L)</f>
        <v>69.03</v>
      </c>
      <c r="D127">
        <f>_xlfn.XLOOKUP(Recon!A127,[1]Backup!AJ:AJ,[1]Backup!K:K)</f>
        <v>2.3470200000000001</v>
      </c>
      <c r="E127">
        <f>SUMIF('[1]PO Report'!A:A,Recon!A127,'[1]PO Report'!P:P)</f>
        <v>28</v>
      </c>
      <c r="F127">
        <f>VLOOKUP(A127,'[1]PO Report'!$A:$Z,15,0)</f>
        <v>69.03</v>
      </c>
      <c r="H127">
        <f t="shared" si="2"/>
        <v>4</v>
      </c>
      <c r="I127">
        <f>H127*D127</f>
        <v>9.3880800000000004</v>
      </c>
      <c r="J127">
        <f t="shared" si="3"/>
        <v>0</v>
      </c>
    </row>
    <row r="128" spans="1:10" x14ac:dyDescent="0.25">
      <c r="A128" t="s">
        <v>2108</v>
      </c>
      <c r="B128">
        <v>56</v>
      </c>
      <c r="C128">
        <f>_xlfn.XLOOKUP(Recon!A128,[1]Backup!AJ:AJ,[1]Backup!L:L)</f>
        <v>32.21</v>
      </c>
      <c r="D128">
        <f>_xlfn.XLOOKUP(Recon!A128,[1]Backup!AJ:AJ,[1]Backup!K:K)</f>
        <v>1.09514</v>
      </c>
      <c r="E128">
        <f>SUMIF('[1]PO Report'!A:A,Recon!A128,'[1]PO Report'!P:P)</f>
        <v>56</v>
      </c>
      <c r="F128">
        <f>VLOOKUP(A128,'[1]PO Report'!$A:$Z,15,0)</f>
        <v>32.21</v>
      </c>
      <c r="H128">
        <f t="shared" si="2"/>
        <v>0</v>
      </c>
      <c r="J128">
        <f t="shared" si="3"/>
        <v>0</v>
      </c>
    </row>
    <row r="129" spans="1:10" x14ac:dyDescent="0.25">
      <c r="A129" t="s">
        <v>2109</v>
      </c>
      <c r="B129">
        <v>16</v>
      </c>
      <c r="C129">
        <f>_xlfn.XLOOKUP(Recon!A129,[1]Backup!AJ:AJ,[1]Backup!L:L)</f>
        <v>69.58</v>
      </c>
      <c r="D129">
        <f>_xlfn.XLOOKUP(Recon!A129,[1]Backup!AJ:AJ,[1]Backup!K:K)</f>
        <v>2.36572</v>
      </c>
      <c r="E129">
        <f>SUMIF('[1]PO Report'!A:A,Recon!A129,'[1]PO Report'!P:P)</f>
        <v>16</v>
      </c>
      <c r="F129">
        <f>VLOOKUP(A129,'[1]PO Report'!$A:$Z,15,0)</f>
        <v>69.58</v>
      </c>
      <c r="H129">
        <f t="shared" si="2"/>
        <v>0</v>
      </c>
      <c r="J129">
        <f t="shared" si="3"/>
        <v>0</v>
      </c>
    </row>
    <row r="130" spans="1:10" x14ac:dyDescent="0.25">
      <c r="A130" t="s">
        <v>2110</v>
      </c>
      <c r="B130">
        <v>68</v>
      </c>
      <c r="C130">
        <f>_xlfn.XLOOKUP(Recon!A130,[1]Backup!AJ:AJ,[1]Backup!L:L)</f>
        <v>75.41</v>
      </c>
      <c r="D130">
        <f>_xlfn.XLOOKUP(Recon!A130,[1]Backup!AJ:AJ,[1]Backup!K:K)</f>
        <v>2.5639399999999997</v>
      </c>
      <c r="E130">
        <f>SUMIF('[1]PO Report'!A:A,Recon!A130,'[1]PO Report'!P:P)</f>
        <v>68</v>
      </c>
      <c r="F130">
        <f>VLOOKUP(A130,'[1]PO Report'!$A:$Z,15,0)</f>
        <v>75.41</v>
      </c>
      <c r="H130">
        <f t="shared" si="2"/>
        <v>0</v>
      </c>
      <c r="J130">
        <f t="shared" si="3"/>
        <v>0</v>
      </c>
    </row>
    <row r="131" spans="1:10" x14ac:dyDescent="0.25">
      <c r="A131" t="s">
        <v>2111</v>
      </c>
      <c r="B131">
        <v>32</v>
      </c>
      <c r="C131">
        <f>_xlfn.XLOOKUP(Recon!A131,[1]Backup!AJ:AJ,[1]Backup!L:L)</f>
        <v>75.41</v>
      </c>
      <c r="D131">
        <f>_xlfn.XLOOKUP(Recon!A131,[1]Backup!AJ:AJ,[1]Backup!K:K)</f>
        <v>2.5639400000000001</v>
      </c>
      <c r="E131">
        <f>SUMIF('[1]PO Report'!A:A,Recon!A131,'[1]PO Report'!P:P)</f>
        <v>32</v>
      </c>
      <c r="F131">
        <f>VLOOKUP(A131,'[1]PO Report'!$A:$Z,15,0)</f>
        <v>75.41</v>
      </c>
      <c r="H131">
        <f t="shared" si="2"/>
        <v>0</v>
      </c>
      <c r="J131">
        <f t="shared" si="3"/>
        <v>0</v>
      </c>
    </row>
    <row r="132" spans="1:10" x14ac:dyDescent="0.25">
      <c r="A132" t="s">
        <v>2112</v>
      </c>
      <c r="B132">
        <v>40</v>
      </c>
      <c r="C132">
        <f>_xlfn.XLOOKUP(Recon!A132,[1]Backup!AJ:AJ,[1]Backup!L:L)</f>
        <v>53.510000000000005</v>
      </c>
      <c r="D132">
        <f>_xlfn.XLOOKUP(Recon!A132,[1]Backup!AJ:AJ,[1]Backup!K:K)</f>
        <v>1.81934</v>
      </c>
      <c r="E132">
        <f>SUMIF('[1]PO Report'!A:A,Recon!A132,'[1]PO Report'!P:P)</f>
        <v>40</v>
      </c>
      <c r="F132">
        <f>VLOOKUP(A132,'[1]PO Report'!$A:$Z,15,0)</f>
        <v>53.51</v>
      </c>
      <c r="H132">
        <f t="shared" ref="H132:H195" si="4">B132-E132</f>
        <v>0</v>
      </c>
      <c r="J132">
        <f t="shared" ref="J132:J195" si="5">C132-F132</f>
        <v>0</v>
      </c>
    </row>
    <row r="133" spans="1:10" x14ac:dyDescent="0.25">
      <c r="A133" t="s">
        <v>2113</v>
      </c>
      <c r="B133">
        <v>24</v>
      </c>
      <c r="C133">
        <f>_xlfn.XLOOKUP(Recon!A133,[1]Backup!AJ:AJ,[1]Backup!L:L)</f>
        <v>32.21</v>
      </c>
      <c r="D133">
        <f>_xlfn.XLOOKUP(Recon!A133,[1]Backup!AJ:AJ,[1]Backup!K:K)</f>
        <v>1.09514</v>
      </c>
      <c r="E133">
        <f>SUMIF('[1]PO Report'!A:A,Recon!A133,'[1]PO Report'!P:P)</f>
        <v>24</v>
      </c>
      <c r="F133">
        <f>VLOOKUP(A133,'[1]PO Report'!$A:$Z,15,0)</f>
        <v>32.21</v>
      </c>
      <c r="H133">
        <f t="shared" si="4"/>
        <v>0</v>
      </c>
      <c r="J133">
        <f t="shared" si="5"/>
        <v>0</v>
      </c>
    </row>
    <row r="134" spans="1:10" x14ac:dyDescent="0.25">
      <c r="A134" t="s">
        <v>2114</v>
      </c>
      <c r="B134">
        <v>4</v>
      </c>
      <c r="C134">
        <f>_xlfn.XLOOKUP(Recon!A134,[1]Backup!AJ:AJ,[1]Backup!L:L)</f>
        <v>131.38</v>
      </c>
      <c r="D134">
        <f>_xlfn.XLOOKUP(Recon!A134,[1]Backup!AJ:AJ,[1]Backup!K:K)</f>
        <v>4.46692</v>
      </c>
      <c r="E134">
        <f>SUMIF('[1]PO Report'!A:A,Recon!A134,'[1]PO Report'!P:P)</f>
        <v>4</v>
      </c>
      <c r="F134">
        <f>VLOOKUP(A134,'[1]PO Report'!$A:$Z,15,0)</f>
        <v>131.38</v>
      </c>
      <c r="H134">
        <f t="shared" si="4"/>
        <v>0</v>
      </c>
      <c r="J134">
        <f t="shared" si="5"/>
        <v>0</v>
      </c>
    </row>
    <row r="135" spans="1:10" x14ac:dyDescent="0.25">
      <c r="A135" t="s">
        <v>2115</v>
      </c>
      <c r="B135">
        <v>32</v>
      </c>
      <c r="C135">
        <f>_xlfn.XLOOKUP(Recon!A135,[1]Backup!AJ:AJ,[1]Backup!L:L)</f>
        <v>32.21</v>
      </c>
      <c r="D135">
        <f>_xlfn.XLOOKUP(Recon!A135,[1]Backup!AJ:AJ,[1]Backup!K:K)</f>
        <v>1.09514</v>
      </c>
      <c r="E135">
        <f>SUMIF('[1]PO Report'!A:A,Recon!A135,'[1]PO Report'!P:P)</f>
        <v>32</v>
      </c>
      <c r="F135">
        <f>VLOOKUP(A135,'[1]PO Report'!$A:$Z,15,0)</f>
        <v>32.21</v>
      </c>
      <c r="H135">
        <f t="shared" si="4"/>
        <v>0</v>
      </c>
      <c r="J135">
        <f t="shared" si="5"/>
        <v>0</v>
      </c>
    </row>
    <row r="136" spans="1:10" x14ac:dyDescent="0.25">
      <c r="A136" t="s">
        <v>2116</v>
      </c>
      <c r="B136">
        <v>10</v>
      </c>
      <c r="C136">
        <f>_xlfn.XLOOKUP(Recon!A136,[1]Backup!AJ:AJ,[1]Backup!L:L)</f>
        <v>23.419999999999998</v>
      </c>
      <c r="D136">
        <f>_xlfn.XLOOKUP(Recon!A136,[1]Backup!AJ:AJ,[1]Backup!K:K)</f>
        <v>0.79627999999999999</v>
      </c>
      <c r="E136">
        <f>SUMIF('[1]PO Report'!A:A,Recon!A136,'[1]PO Report'!P:P)</f>
        <v>10</v>
      </c>
      <c r="F136">
        <f>VLOOKUP(A136,'[1]PO Report'!$A:$Z,15,0)</f>
        <v>23.42</v>
      </c>
      <c r="H136">
        <f t="shared" si="4"/>
        <v>0</v>
      </c>
      <c r="J136">
        <f t="shared" si="5"/>
        <v>0</v>
      </c>
    </row>
    <row r="137" spans="1:10" x14ac:dyDescent="0.25">
      <c r="A137" t="s">
        <v>2117</v>
      </c>
      <c r="B137">
        <v>4</v>
      </c>
      <c r="C137">
        <f>_xlfn.XLOOKUP(Recon!A137,[1]Backup!AJ:AJ,[1]Backup!L:L)</f>
        <v>47.48</v>
      </c>
      <c r="D137">
        <f>_xlfn.XLOOKUP(Recon!A137,[1]Backup!AJ:AJ,[1]Backup!K:K)</f>
        <v>1.61432</v>
      </c>
      <c r="E137">
        <f>SUMIF('[1]PO Report'!A:A,Recon!A137,'[1]PO Report'!P:P)</f>
        <v>4</v>
      </c>
      <c r="F137">
        <f>VLOOKUP(A137,'[1]PO Report'!$A:$Z,15,0)</f>
        <v>47.48</v>
      </c>
      <c r="H137">
        <f t="shared" si="4"/>
        <v>0</v>
      </c>
      <c r="J137">
        <f t="shared" si="5"/>
        <v>0</v>
      </c>
    </row>
    <row r="138" spans="1:10" x14ac:dyDescent="0.25">
      <c r="A138" t="s">
        <v>2118</v>
      </c>
      <c r="B138">
        <v>32</v>
      </c>
      <c r="C138">
        <f>_xlfn.XLOOKUP(Recon!A138,[1]Backup!AJ:AJ,[1]Backup!L:L)</f>
        <v>69.03</v>
      </c>
      <c r="D138">
        <f>_xlfn.XLOOKUP(Recon!A138,[1]Backup!AJ:AJ,[1]Backup!K:K)</f>
        <v>2.3470200000000001</v>
      </c>
      <c r="E138">
        <f>SUMIF('[1]PO Report'!A:A,Recon!A138,'[1]PO Report'!P:P)</f>
        <v>32</v>
      </c>
      <c r="F138">
        <f>VLOOKUP(A138,'[1]PO Report'!$A:$Z,15,0)</f>
        <v>69.03</v>
      </c>
      <c r="H138">
        <f t="shared" si="4"/>
        <v>0</v>
      </c>
      <c r="J138">
        <f t="shared" si="5"/>
        <v>0</v>
      </c>
    </row>
    <row r="139" spans="1:10" x14ac:dyDescent="0.25">
      <c r="A139" t="s">
        <v>2119</v>
      </c>
      <c r="B139">
        <v>10</v>
      </c>
      <c r="C139">
        <f>_xlfn.XLOOKUP(Recon!A139,[1]Backup!AJ:AJ,[1]Backup!L:L)</f>
        <v>16.39</v>
      </c>
      <c r="D139">
        <f>_xlfn.XLOOKUP(Recon!A139,[1]Backup!AJ:AJ,[1]Backup!K:K)</f>
        <v>0.55726000000000009</v>
      </c>
      <c r="E139">
        <f>SUMIF('[1]PO Report'!A:A,Recon!A139,'[1]PO Report'!P:P)</f>
        <v>10</v>
      </c>
      <c r="F139">
        <f>VLOOKUP(A139,'[1]PO Report'!$A:$Z,15,0)</f>
        <v>16.39</v>
      </c>
      <c r="H139">
        <f t="shared" si="4"/>
        <v>0</v>
      </c>
      <c r="J139">
        <f t="shared" si="5"/>
        <v>0</v>
      </c>
    </row>
    <row r="140" spans="1:10" x14ac:dyDescent="0.25">
      <c r="A140" t="s">
        <v>2120</v>
      </c>
      <c r="B140">
        <v>48</v>
      </c>
      <c r="C140">
        <f>_xlfn.XLOOKUP(Recon!A140,[1]Backup!AJ:AJ,[1]Backup!L:L)</f>
        <v>31.12</v>
      </c>
      <c r="D140">
        <f>_xlfn.XLOOKUP(Recon!A140,[1]Backup!AJ:AJ,[1]Backup!K:K)</f>
        <v>1.0580800000000001</v>
      </c>
      <c r="E140">
        <f>SUMIF('[1]PO Report'!A:A,Recon!A140,'[1]PO Report'!P:P)</f>
        <v>48</v>
      </c>
      <c r="F140">
        <f>VLOOKUP(A140,'[1]PO Report'!$A:$Z,15,0)</f>
        <v>31.12</v>
      </c>
      <c r="H140">
        <f t="shared" si="4"/>
        <v>0</v>
      </c>
      <c r="J140">
        <f t="shared" si="5"/>
        <v>0</v>
      </c>
    </row>
    <row r="141" spans="1:10" x14ac:dyDescent="0.25">
      <c r="A141" t="s">
        <v>2121</v>
      </c>
      <c r="B141">
        <v>10</v>
      </c>
      <c r="C141">
        <f>_xlfn.XLOOKUP(Recon!A141,[1]Backup!AJ:AJ,[1]Backup!L:L)</f>
        <v>16.39</v>
      </c>
      <c r="D141">
        <f>_xlfn.XLOOKUP(Recon!A141,[1]Backup!AJ:AJ,[1]Backup!K:K)</f>
        <v>0.55726000000000009</v>
      </c>
      <c r="E141">
        <f>SUMIF('[1]PO Report'!A:A,Recon!A141,'[1]PO Report'!P:P)</f>
        <v>10</v>
      </c>
      <c r="F141">
        <f>VLOOKUP(A141,'[1]PO Report'!$A:$Z,15,0)</f>
        <v>16.39</v>
      </c>
      <c r="H141">
        <f t="shared" si="4"/>
        <v>0</v>
      </c>
      <c r="J141">
        <f t="shared" si="5"/>
        <v>0</v>
      </c>
    </row>
    <row r="142" spans="1:10" x14ac:dyDescent="0.25">
      <c r="A142" t="s">
        <v>2122</v>
      </c>
      <c r="B142">
        <v>20</v>
      </c>
      <c r="C142">
        <f>_xlfn.XLOOKUP(Recon!A142,[1]Backup!AJ:AJ,[1]Backup!L:L)</f>
        <v>16.39</v>
      </c>
      <c r="D142">
        <f>_xlfn.XLOOKUP(Recon!A142,[1]Backup!AJ:AJ,[1]Backup!K:K)</f>
        <v>0.55726000000000009</v>
      </c>
      <c r="E142">
        <f>SUMIF('[1]PO Report'!A:A,Recon!A142,'[1]PO Report'!P:P)</f>
        <v>20</v>
      </c>
      <c r="F142">
        <f>VLOOKUP(A142,'[1]PO Report'!$A:$Z,15,0)</f>
        <v>16.39</v>
      </c>
      <c r="H142">
        <f t="shared" si="4"/>
        <v>0</v>
      </c>
      <c r="J142">
        <f t="shared" si="5"/>
        <v>0</v>
      </c>
    </row>
    <row r="143" spans="1:10" x14ac:dyDescent="0.25">
      <c r="A143" t="s">
        <v>2123</v>
      </c>
      <c r="B143">
        <v>1</v>
      </c>
      <c r="C143">
        <f>_xlfn.XLOOKUP(Recon!A143,[1]Backup!AJ:AJ,[1]Backup!L:L)</f>
        <v>210.52</v>
      </c>
      <c r="D143">
        <f>_xlfn.XLOOKUP(Recon!A143,[1]Backup!AJ:AJ,[1]Backup!K:K)</f>
        <v>7.15768</v>
      </c>
      <c r="E143">
        <f>SUMIF('[1]PO Report'!A:A,Recon!A143,'[1]PO Report'!P:P)</f>
        <v>1</v>
      </c>
      <c r="F143">
        <f>VLOOKUP(A143,'[1]PO Report'!$A:$Z,15,0)</f>
        <v>210.52</v>
      </c>
      <c r="H143">
        <f t="shared" si="4"/>
        <v>0</v>
      </c>
      <c r="J143">
        <f t="shared" si="5"/>
        <v>0</v>
      </c>
    </row>
    <row r="144" spans="1:10" x14ac:dyDescent="0.25">
      <c r="A144" t="s">
        <v>2124</v>
      </c>
      <c r="B144">
        <v>84</v>
      </c>
      <c r="C144">
        <f>_xlfn.XLOOKUP(Recon!A144,[1]Backup!AJ:AJ,[1]Backup!L:L)</f>
        <v>210.52</v>
      </c>
      <c r="D144">
        <f>_xlfn.XLOOKUP(Recon!A144,[1]Backup!AJ:AJ,[1]Backup!K:K)</f>
        <v>7.1576800000000009</v>
      </c>
      <c r="E144">
        <f>SUMIF('[1]PO Report'!A:A,Recon!A144,'[1]PO Report'!P:P)</f>
        <v>84</v>
      </c>
      <c r="F144">
        <f>VLOOKUP(A144,'[1]PO Report'!$A:$Z,15,0)</f>
        <v>210.52</v>
      </c>
      <c r="H144">
        <f t="shared" si="4"/>
        <v>0</v>
      </c>
      <c r="J144">
        <f t="shared" si="5"/>
        <v>0</v>
      </c>
    </row>
    <row r="145" spans="1:10" x14ac:dyDescent="0.25">
      <c r="A145" t="s">
        <v>2125</v>
      </c>
      <c r="B145">
        <v>20</v>
      </c>
      <c r="C145">
        <f>_xlfn.XLOOKUP(Recon!A145,[1]Backup!AJ:AJ,[1]Backup!L:L)</f>
        <v>9.36</v>
      </c>
      <c r="D145">
        <f>_xlfn.XLOOKUP(Recon!A145,[1]Backup!AJ:AJ,[1]Backup!K:K)</f>
        <v>0.31823999999999997</v>
      </c>
      <c r="E145">
        <f>SUMIF('[1]PO Report'!A:A,Recon!A145,'[1]PO Report'!P:P)</f>
        <v>20</v>
      </c>
      <c r="F145">
        <f>VLOOKUP(A145,'[1]PO Report'!$A:$Z,15,0)</f>
        <v>9.36</v>
      </c>
      <c r="H145">
        <f t="shared" si="4"/>
        <v>0</v>
      </c>
      <c r="J145">
        <f t="shared" si="5"/>
        <v>0</v>
      </c>
    </row>
    <row r="146" spans="1:10" x14ac:dyDescent="0.25">
      <c r="A146" t="s">
        <v>2126</v>
      </c>
      <c r="B146">
        <v>4</v>
      </c>
      <c r="C146">
        <f>_xlfn.XLOOKUP(Recon!A146,[1]Backup!AJ:AJ,[1]Backup!L:L)</f>
        <v>64.42</v>
      </c>
      <c r="D146">
        <f>_xlfn.XLOOKUP(Recon!A146,[1]Backup!AJ:AJ,[1]Backup!K:K)</f>
        <v>2.19028</v>
      </c>
      <c r="E146">
        <f>SUMIF('[1]PO Report'!A:A,Recon!A146,'[1]PO Report'!P:P)</f>
        <v>4</v>
      </c>
      <c r="F146">
        <f>VLOOKUP(A146,'[1]PO Report'!$A:$Z,15,0)</f>
        <v>64.42</v>
      </c>
      <c r="H146">
        <f t="shared" si="4"/>
        <v>0</v>
      </c>
      <c r="J146">
        <f t="shared" si="5"/>
        <v>0</v>
      </c>
    </row>
    <row r="147" spans="1:10" x14ac:dyDescent="0.25">
      <c r="A147" t="s">
        <v>2127</v>
      </c>
      <c r="B147">
        <v>32</v>
      </c>
      <c r="C147">
        <f>_xlfn.XLOOKUP(Recon!A147,[1]Backup!AJ:AJ,[1]Backup!L:L)</f>
        <v>20.5</v>
      </c>
      <c r="D147">
        <f>_xlfn.XLOOKUP(Recon!A147,[1]Backup!AJ:AJ,[1]Backup!K:K)</f>
        <v>0.69699999999999995</v>
      </c>
      <c r="E147">
        <f>SUMIF('[1]PO Report'!A:A,Recon!A147,'[1]PO Report'!P:P)</f>
        <v>32</v>
      </c>
      <c r="F147">
        <f>VLOOKUP(A147,'[1]PO Report'!$A:$Z,15,0)</f>
        <v>20.5</v>
      </c>
      <c r="H147">
        <f t="shared" si="4"/>
        <v>0</v>
      </c>
      <c r="J147">
        <f t="shared" si="5"/>
        <v>0</v>
      </c>
    </row>
    <row r="148" spans="1:10" x14ac:dyDescent="0.25">
      <c r="A148" t="s">
        <v>2128</v>
      </c>
      <c r="B148">
        <v>10</v>
      </c>
      <c r="C148">
        <f>_xlfn.XLOOKUP(Recon!A148,[1]Backup!AJ:AJ,[1]Backup!L:L)</f>
        <v>9.36</v>
      </c>
      <c r="D148">
        <f>_xlfn.XLOOKUP(Recon!A148,[1]Backup!AJ:AJ,[1]Backup!K:K)</f>
        <v>0.31823999999999997</v>
      </c>
      <c r="E148">
        <f>SUMIF('[1]PO Report'!A:A,Recon!A148,'[1]PO Report'!P:P)</f>
        <v>10</v>
      </c>
      <c r="F148">
        <f>VLOOKUP(A148,'[1]PO Report'!$A:$Z,15,0)</f>
        <v>9.36</v>
      </c>
      <c r="H148">
        <f t="shared" si="4"/>
        <v>0</v>
      </c>
      <c r="J148">
        <f t="shared" si="5"/>
        <v>0</v>
      </c>
    </row>
    <row r="149" spans="1:10" x14ac:dyDescent="0.25">
      <c r="A149" t="s">
        <v>2129</v>
      </c>
      <c r="B149">
        <v>4</v>
      </c>
      <c r="C149">
        <f>_xlfn.XLOOKUP(Recon!A149,[1]Backup!AJ:AJ,[1]Backup!L:L)</f>
        <v>35.130000000000003</v>
      </c>
      <c r="D149">
        <f>_xlfn.XLOOKUP(Recon!A149,[1]Backup!AJ:AJ,[1]Backup!K:K)</f>
        <v>1.19442</v>
      </c>
      <c r="E149">
        <f>SUMIF('[1]PO Report'!A:A,Recon!A149,'[1]PO Report'!P:P)</f>
        <v>4</v>
      </c>
      <c r="F149">
        <f>VLOOKUP(A149,'[1]PO Report'!$A:$Z,15,0)</f>
        <v>35.130000000000003</v>
      </c>
      <c r="H149">
        <f t="shared" si="4"/>
        <v>0</v>
      </c>
      <c r="J149">
        <f t="shared" si="5"/>
        <v>0</v>
      </c>
    </row>
    <row r="150" spans="1:10" x14ac:dyDescent="0.25">
      <c r="A150" t="s">
        <v>2130</v>
      </c>
      <c r="B150">
        <v>6</v>
      </c>
      <c r="C150">
        <f>_xlfn.XLOOKUP(Recon!A150,[1]Backup!AJ:AJ,[1]Backup!L:L)</f>
        <v>26.349999999999998</v>
      </c>
      <c r="D150">
        <f>_xlfn.XLOOKUP(Recon!A150,[1]Backup!AJ:AJ,[1]Backup!K:K)</f>
        <v>0.89590000000000003</v>
      </c>
      <c r="E150">
        <f>SUMIF('[1]PO Report'!A:A,Recon!A150,'[1]PO Report'!P:P)</f>
        <v>6</v>
      </c>
      <c r="F150">
        <f>VLOOKUP(A150,'[1]PO Report'!$A:$Z,15,0)</f>
        <v>26.35</v>
      </c>
      <c r="H150">
        <f t="shared" si="4"/>
        <v>0</v>
      </c>
      <c r="J150">
        <f t="shared" si="5"/>
        <v>0</v>
      </c>
    </row>
    <row r="151" spans="1:10" x14ac:dyDescent="0.25">
      <c r="A151" t="s">
        <v>2131</v>
      </c>
      <c r="B151">
        <v>10</v>
      </c>
      <c r="C151">
        <f>_xlfn.XLOOKUP(Recon!A151,[1]Backup!AJ:AJ,[1]Backup!L:L)</f>
        <v>16.39</v>
      </c>
      <c r="D151">
        <f>_xlfn.XLOOKUP(Recon!A151,[1]Backup!AJ:AJ,[1]Backup!K:K)</f>
        <v>0.55726000000000009</v>
      </c>
      <c r="E151">
        <f>SUMIF('[1]PO Report'!A:A,Recon!A151,'[1]PO Report'!P:P)</f>
        <v>10</v>
      </c>
      <c r="F151">
        <f>VLOOKUP(A151,'[1]PO Report'!$A:$Z,15,0)</f>
        <v>16.39</v>
      </c>
      <c r="H151">
        <f t="shared" si="4"/>
        <v>0</v>
      </c>
      <c r="J151">
        <f t="shared" si="5"/>
        <v>0</v>
      </c>
    </row>
    <row r="152" spans="1:10" x14ac:dyDescent="0.25">
      <c r="A152" t="s">
        <v>2132</v>
      </c>
      <c r="B152">
        <v>8</v>
      </c>
      <c r="C152">
        <f>_xlfn.XLOOKUP(Recon!A152,[1]Backup!AJ:AJ,[1]Backup!L:L)</f>
        <v>35.130000000000003</v>
      </c>
      <c r="D152">
        <f>_xlfn.XLOOKUP(Recon!A152,[1]Backup!AJ:AJ,[1]Backup!K:K)</f>
        <v>1.19442</v>
      </c>
      <c r="E152">
        <f>SUMIF('[1]PO Report'!A:A,Recon!A152,'[1]PO Report'!P:P)</f>
        <v>8</v>
      </c>
      <c r="F152">
        <f>VLOOKUP(A152,'[1]PO Report'!$A:$Z,15,0)</f>
        <v>35.130000000000003</v>
      </c>
      <c r="H152">
        <f t="shared" si="4"/>
        <v>0</v>
      </c>
      <c r="J152">
        <f t="shared" si="5"/>
        <v>0</v>
      </c>
    </row>
    <row r="153" spans="1:10" x14ac:dyDescent="0.25">
      <c r="A153" t="s">
        <v>2133</v>
      </c>
      <c r="B153">
        <v>16</v>
      </c>
      <c r="C153">
        <f>_xlfn.XLOOKUP(Recon!A153,[1]Backup!AJ:AJ,[1]Backup!L:L)</f>
        <v>23.42</v>
      </c>
      <c r="D153">
        <f>_xlfn.XLOOKUP(Recon!A153,[1]Backup!AJ:AJ,[1]Backup!K:K)</f>
        <v>0.79627999999999999</v>
      </c>
      <c r="E153">
        <f>SUMIF('[1]PO Report'!A:A,Recon!A153,'[1]PO Report'!P:P)</f>
        <v>16</v>
      </c>
      <c r="F153">
        <f>VLOOKUP(A153,'[1]PO Report'!$A:$Z,15,0)</f>
        <v>23.42</v>
      </c>
      <c r="H153">
        <f t="shared" si="4"/>
        <v>0</v>
      </c>
      <c r="J153">
        <f t="shared" si="5"/>
        <v>0</v>
      </c>
    </row>
    <row r="154" spans="1:10" x14ac:dyDescent="0.25">
      <c r="A154" t="s">
        <v>2134</v>
      </c>
      <c r="B154">
        <v>8</v>
      </c>
      <c r="C154">
        <f>_xlfn.XLOOKUP(Recon!A154,[1]Backup!AJ:AJ,[1]Backup!L:L)</f>
        <v>23.42</v>
      </c>
      <c r="D154">
        <f>_xlfn.XLOOKUP(Recon!A154,[1]Backup!AJ:AJ,[1]Backup!K:K)</f>
        <v>0.79627999999999999</v>
      </c>
      <c r="E154">
        <f>SUMIF('[1]PO Report'!A:A,Recon!A154,'[1]PO Report'!P:P)</f>
        <v>8</v>
      </c>
      <c r="F154">
        <f>VLOOKUP(A154,'[1]PO Report'!$A:$Z,15,0)</f>
        <v>23.42</v>
      </c>
      <c r="H154">
        <f t="shared" si="4"/>
        <v>0</v>
      </c>
      <c r="J154">
        <f t="shared" si="5"/>
        <v>0</v>
      </c>
    </row>
    <row r="155" spans="1:10" x14ac:dyDescent="0.25">
      <c r="A155" t="s">
        <v>2135</v>
      </c>
      <c r="B155">
        <v>20</v>
      </c>
      <c r="C155">
        <f>_xlfn.XLOOKUP(Recon!A155,[1]Backup!AJ:AJ,[1]Backup!L:L)</f>
        <v>75.41</v>
      </c>
      <c r="D155">
        <f>_xlfn.XLOOKUP(Recon!A155,[1]Backup!AJ:AJ,[1]Backup!K:K)</f>
        <v>2.5639399999999997</v>
      </c>
      <c r="E155">
        <f>SUMIF('[1]PO Report'!A:A,Recon!A155,'[1]PO Report'!P:P)</f>
        <v>20</v>
      </c>
      <c r="F155">
        <f>VLOOKUP(A155,'[1]PO Report'!$A:$Z,15,0)</f>
        <v>75.41</v>
      </c>
      <c r="H155">
        <f t="shared" si="4"/>
        <v>0</v>
      </c>
      <c r="J155">
        <f t="shared" si="5"/>
        <v>0</v>
      </c>
    </row>
    <row r="156" spans="1:10" x14ac:dyDescent="0.25">
      <c r="A156" t="s">
        <v>2136</v>
      </c>
      <c r="B156">
        <v>60</v>
      </c>
      <c r="C156">
        <f>_xlfn.XLOOKUP(Recon!A156,[1]Backup!AJ:AJ,[1]Backup!L:L)</f>
        <v>16.39</v>
      </c>
      <c r="D156">
        <f>_xlfn.XLOOKUP(Recon!A156,[1]Backup!AJ:AJ,[1]Backup!K:K)</f>
        <v>0.55725999999999998</v>
      </c>
      <c r="E156">
        <f>SUMIF('[1]PO Report'!A:A,Recon!A156,'[1]PO Report'!P:P)</f>
        <v>110</v>
      </c>
      <c r="F156">
        <f>VLOOKUP(A156,'[1]PO Report'!$A:$Z,15,0)</f>
        <v>16.39</v>
      </c>
      <c r="H156">
        <f t="shared" si="4"/>
        <v>-50</v>
      </c>
      <c r="J156">
        <f t="shared" si="5"/>
        <v>0</v>
      </c>
    </row>
    <row r="157" spans="1:10" x14ac:dyDescent="0.25">
      <c r="A157" t="s">
        <v>2137</v>
      </c>
      <c r="B157">
        <v>52</v>
      </c>
      <c r="C157">
        <f>_xlfn.XLOOKUP(Recon!A157,[1]Backup!AJ:AJ,[1]Backup!L:L)</f>
        <v>43.92</v>
      </c>
      <c r="D157">
        <f>_xlfn.XLOOKUP(Recon!A157,[1]Backup!AJ:AJ,[1]Backup!K:K)</f>
        <v>1.4932799999999999</v>
      </c>
      <c r="E157">
        <f>SUMIF('[1]PO Report'!A:A,Recon!A157,'[1]PO Report'!P:P)</f>
        <v>52</v>
      </c>
      <c r="F157">
        <f>VLOOKUP(A157,'[1]PO Report'!$A:$Z,15,0)</f>
        <v>43.92</v>
      </c>
      <c r="H157">
        <f t="shared" si="4"/>
        <v>0</v>
      </c>
      <c r="J157">
        <f t="shared" si="5"/>
        <v>0</v>
      </c>
    </row>
    <row r="158" spans="1:10" x14ac:dyDescent="0.25">
      <c r="A158" t="s">
        <v>2138</v>
      </c>
      <c r="B158">
        <v>4</v>
      </c>
      <c r="C158">
        <f>_xlfn.XLOOKUP(Recon!A158,[1]Backup!AJ:AJ,[1]Backup!L:L)</f>
        <v>99.72</v>
      </c>
      <c r="D158">
        <f>_xlfn.XLOOKUP(Recon!A158,[1]Backup!AJ:AJ,[1]Backup!K:K)</f>
        <v>3.3904800000000002</v>
      </c>
      <c r="E158">
        <f>SUMIF('[1]PO Report'!A:A,Recon!A158,'[1]PO Report'!P:P)</f>
        <v>4</v>
      </c>
      <c r="F158">
        <f>VLOOKUP(A158,'[1]PO Report'!$A:$Z,15,0)</f>
        <v>99.72</v>
      </c>
      <c r="H158">
        <f t="shared" si="4"/>
        <v>0</v>
      </c>
      <c r="J158">
        <f t="shared" si="5"/>
        <v>0</v>
      </c>
    </row>
    <row r="159" spans="1:10" x14ac:dyDescent="0.25">
      <c r="A159" t="s">
        <v>2139</v>
      </c>
      <c r="B159">
        <v>4</v>
      </c>
      <c r="C159">
        <f>_xlfn.XLOOKUP(Recon!A159,[1]Backup!AJ:AJ,[1]Backup!L:L)</f>
        <v>32.21</v>
      </c>
      <c r="D159">
        <f>_xlfn.XLOOKUP(Recon!A159,[1]Backup!AJ:AJ,[1]Backup!K:K)</f>
        <v>1.09514</v>
      </c>
      <c r="E159">
        <f>SUMIF('[1]PO Report'!A:A,Recon!A159,'[1]PO Report'!P:P)</f>
        <v>4</v>
      </c>
      <c r="F159">
        <f>VLOOKUP(A159,'[1]PO Report'!$A:$Z,15,0)</f>
        <v>32.21</v>
      </c>
      <c r="H159">
        <f t="shared" si="4"/>
        <v>0</v>
      </c>
      <c r="J159">
        <f t="shared" si="5"/>
        <v>0</v>
      </c>
    </row>
    <row r="160" spans="1:10" x14ac:dyDescent="0.25">
      <c r="A160" t="s">
        <v>2140</v>
      </c>
      <c r="B160">
        <v>4</v>
      </c>
      <c r="C160">
        <f>_xlfn.XLOOKUP(Recon!A160,[1]Backup!AJ:AJ,[1]Backup!L:L)</f>
        <v>32.21</v>
      </c>
      <c r="D160">
        <f>_xlfn.XLOOKUP(Recon!A160,[1]Backup!AJ:AJ,[1]Backup!K:K)</f>
        <v>1.09514</v>
      </c>
      <c r="E160">
        <f>SUMIF('[1]PO Report'!A:A,Recon!A160,'[1]PO Report'!P:P)</f>
        <v>4</v>
      </c>
      <c r="F160">
        <f>VLOOKUP(A160,'[1]PO Report'!$A:$Z,15,0)</f>
        <v>32.21</v>
      </c>
      <c r="H160">
        <f t="shared" si="4"/>
        <v>0</v>
      </c>
      <c r="J160">
        <f t="shared" si="5"/>
        <v>0</v>
      </c>
    </row>
    <row r="161" spans="1:10" x14ac:dyDescent="0.25">
      <c r="A161" t="s">
        <v>2141</v>
      </c>
      <c r="B161">
        <v>24</v>
      </c>
      <c r="C161">
        <f>_xlfn.XLOOKUP(Recon!A161,[1]Backup!AJ:AJ,[1]Backup!L:L)</f>
        <v>32.21</v>
      </c>
      <c r="D161">
        <f>_xlfn.XLOOKUP(Recon!A161,[1]Backup!AJ:AJ,[1]Backup!K:K)</f>
        <v>1.09514</v>
      </c>
      <c r="E161">
        <f>SUMIF('[1]PO Report'!A:A,Recon!A161,'[1]PO Report'!P:P)</f>
        <v>24</v>
      </c>
      <c r="F161">
        <f>VLOOKUP(A161,'[1]PO Report'!$A:$Z,15,0)</f>
        <v>32.21</v>
      </c>
      <c r="H161">
        <f t="shared" si="4"/>
        <v>0</v>
      </c>
      <c r="J161">
        <f t="shared" si="5"/>
        <v>0</v>
      </c>
    </row>
    <row r="162" spans="1:10" x14ac:dyDescent="0.25">
      <c r="A162" t="s">
        <v>2142</v>
      </c>
      <c r="B162">
        <v>4</v>
      </c>
      <c r="C162">
        <f>_xlfn.XLOOKUP(Recon!A162,[1]Backup!AJ:AJ,[1]Backup!L:L)</f>
        <v>74.84</v>
      </c>
      <c r="D162">
        <f>_xlfn.XLOOKUP(Recon!A162,[1]Backup!AJ:AJ,[1]Backup!K:K)</f>
        <v>2.5445600000000002</v>
      </c>
      <c r="E162">
        <f>SUMIF('[1]PO Report'!A:A,Recon!A162,'[1]PO Report'!P:P)</f>
        <v>4</v>
      </c>
      <c r="F162">
        <f>VLOOKUP(A162,'[1]PO Report'!$A:$Z,15,0)</f>
        <v>74.84</v>
      </c>
      <c r="H162">
        <f t="shared" si="4"/>
        <v>0</v>
      </c>
      <c r="J162">
        <f t="shared" si="5"/>
        <v>0</v>
      </c>
    </row>
    <row r="163" spans="1:10" x14ac:dyDescent="0.25">
      <c r="A163" t="s">
        <v>2143</v>
      </c>
      <c r="B163">
        <v>12</v>
      </c>
      <c r="C163">
        <f>_xlfn.XLOOKUP(Recon!A163,[1]Backup!AJ:AJ,[1]Backup!L:L)</f>
        <v>74.84</v>
      </c>
      <c r="D163">
        <f>_xlfn.XLOOKUP(Recon!A163,[1]Backup!AJ:AJ,[1]Backup!K:K)</f>
        <v>2.5445600000000002</v>
      </c>
      <c r="E163">
        <f>SUMIF('[1]PO Report'!A:A,Recon!A163,'[1]PO Report'!P:P)</f>
        <v>12</v>
      </c>
      <c r="F163">
        <f>VLOOKUP(A163,'[1]PO Report'!$A:$Z,15,0)</f>
        <v>74.84</v>
      </c>
      <c r="H163">
        <f t="shared" si="4"/>
        <v>0</v>
      </c>
      <c r="J163">
        <f t="shared" si="5"/>
        <v>0</v>
      </c>
    </row>
    <row r="164" spans="1:10" x14ac:dyDescent="0.25">
      <c r="A164" t="s">
        <v>2144</v>
      </c>
      <c r="B164">
        <v>3</v>
      </c>
      <c r="C164">
        <f>_xlfn.XLOOKUP(Recon!A164,[1]Backup!AJ:AJ,[1]Backup!L:L)</f>
        <v>226.35</v>
      </c>
      <c r="D164">
        <f>_xlfn.XLOOKUP(Recon!A164,[1]Backup!AJ:AJ,[1]Backup!K:K)</f>
        <v>7.6959000000000009</v>
      </c>
      <c r="E164">
        <f>SUMIF('[1]PO Report'!A:A,Recon!A164,'[1]PO Report'!P:P)</f>
        <v>3</v>
      </c>
      <c r="F164">
        <f>VLOOKUP(A164,'[1]PO Report'!$A:$Z,15,0)</f>
        <v>226.35</v>
      </c>
      <c r="H164">
        <f t="shared" si="4"/>
        <v>0</v>
      </c>
      <c r="J164">
        <f t="shared" si="5"/>
        <v>0</v>
      </c>
    </row>
    <row r="165" spans="1:10" x14ac:dyDescent="0.25">
      <c r="A165" t="s">
        <v>2145</v>
      </c>
      <c r="B165">
        <v>186</v>
      </c>
      <c r="C165">
        <f>_xlfn.XLOOKUP(Recon!A165,[1]Backup!AJ:AJ,[1]Backup!L:L)</f>
        <v>29</v>
      </c>
      <c r="D165">
        <f>_xlfn.XLOOKUP(Recon!A165,[1]Backup!AJ:AJ,[1]Backup!K:K)</f>
        <v>0.98599999999999988</v>
      </c>
      <c r="E165">
        <f>SUMIF('[1]PO Report'!A:A,Recon!A165,'[1]PO Report'!P:P)</f>
        <v>186</v>
      </c>
      <c r="F165">
        <f>VLOOKUP(A165,'[1]PO Report'!$A:$Z,15,0)</f>
        <v>29</v>
      </c>
      <c r="H165">
        <f t="shared" si="4"/>
        <v>0</v>
      </c>
      <c r="J165">
        <f t="shared" si="5"/>
        <v>0</v>
      </c>
    </row>
    <row r="166" spans="1:10" x14ac:dyDescent="0.25">
      <c r="A166" t="s">
        <v>2146</v>
      </c>
      <c r="B166">
        <v>32</v>
      </c>
      <c r="C166">
        <f>_xlfn.XLOOKUP(Recon!A166,[1]Backup!AJ:AJ,[1]Backup!L:L)</f>
        <v>12.88</v>
      </c>
      <c r="D166">
        <f>_xlfn.XLOOKUP(Recon!A166,[1]Backup!AJ:AJ,[1]Backup!K:K)</f>
        <v>0.43791999999999998</v>
      </c>
      <c r="E166">
        <f>SUMIF('[1]PO Report'!A:A,Recon!A166,'[1]PO Report'!P:P)</f>
        <v>32</v>
      </c>
      <c r="F166">
        <f>VLOOKUP(A166,'[1]PO Report'!$A:$Z,15,0)</f>
        <v>12.88</v>
      </c>
      <c r="H166">
        <f t="shared" si="4"/>
        <v>0</v>
      </c>
      <c r="J166">
        <f t="shared" si="5"/>
        <v>0</v>
      </c>
    </row>
    <row r="167" spans="1:10" x14ac:dyDescent="0.25">
      <c r="A167" t="s">
        <v>2147</v>
      </c>
      <c r="B167">
        <v>5</v>
      </c>
      <c r="C167">
        <f>_xlfn.XLOOKUP(Recon!A167,[1]Backup!AJ:AJ,[1]Backup!L:L)</f>
        <v>115.44000000000001</v>
      </c>
      <c r="D167">
        <f>_xlfn.XLOOKUP(Recon!A167,[1]Backup!AJ:AJ,[1]Backup!K:K)</f>
        <v>3.92496</v>
      </c>
      <c r="E167">
        <f>SUMIF('[1]PO Report'!A:A,Recon!A167,'[1]PO Report'!P:P)</f>
        <v>5</v>
      </c>
      <c r="F167">
        <f>VLOOKUP(A167,'[1]PO Report'!$A:$Z,15,0)</f>
        <v>115.44</v>
      </c>
      <c r="H167">
        <f t="shared" si="4"/>
        <v>0</v>
      </c>
      <c r="J167">
        <f t="shared" si="5"/>
        <v>0</v>
      </c>
    </row>
    <row r="168" spans="1:10" x14ac:dyDescent="0.25">
      <c r="A168" t="s">
        <v>2148</v>
      </c>
      <c r="B168">
        <v>4</v>
      </c>
      <c r="C168">
        <f>_xlfn.XLOOKUP(Recon!A168,[1]Backup!AJ:AJ,[1]Backup!L:L)</f>
        <v>23.42</v>
      </c>
      <c r="D168">
        <f>_xlfn.XLOOKUP(Recon!A168,[1]Backup!AJ:AJ,[1]Backup!K:K)</f>
        <v>0.79627999999999999</v>
      </c>
      <c r="E168">
        <f>SUMIF('[1]PO Report'!A:A,Recon!A168,'[1]PO Report'!P:P)</f>
        <v>4</v>
      </c>
      <c r="F168">
        <f>VLOOKUP(A168,'[1]PO Report'!$A:$Z,15,0)</f>
        <v>23.42</v>
      </c>
      <c r="H168">
        <f t="shared" si="4"/>
        <v>0</v>
      </c>
      <c r="J168">
        <f t="shared" si="5"/>
        <v>0</v>
      </c>
    </row>
    <row r="169" spans="1:10" x14ac:dyDescent="0.25">
      <c r="A169" t="s">
        <v>2149</v>
      </c>
      <c r="B169">
        <v>20</v>
      </c>
      <c r="C169">
        <f>_xlfn.XLOOKUP(Recon!A169,[1]Backup!AJ:AJ,[1]Backup!L:L)</f>
        <v>9.36</v>
      </c>
      <c r="D169">
        <f>_xlfn.XLOOKUP(Recon!A169,[1]Backup!AJ:AJ,[1]Backup!K:K)</f>
        <v>0.31823999999999997</v>
      </c>
      <c r="E169">
        <f>SUMIF('[1]PO Report'!A:A,Recon!A169,'[1]PO Report'!P:P)</f>
        <v>20</v>
      </c>
      <c r="F169">
        <f>VLOOKUP(A169,'[1]PO Report'!$A:$Z,15,0)</f>
        <v>9.36</v>
      </c>
      <c r="H169">
        <f t="shared" si="4"/>
        <v>0</v>
      </c>
      <c r="J169">
        <f t="shared" si="5"/>
        <v>0</v>
      </c>
    </row>
    <row r="170" spans="1:10" x14ac:dyDescent="0.25">
      <c r="A170" t="s">
        <v>2150</v>
      </c>
      <c r="B170">
        <v>10</v>
      </c>
      <c r="C170">
        <f>_xlfn.XLOOKUP(Recon!A170,[1]Backup!AJ:AJ,[1]Backup!L:L)</f>
        <v>16.39</v>
      </c>
      <c r="D170">
        <f>_xlfn.XLOOKUP(Recon!A170,[1]Backup!AJ:AJ,[1]Backup!K:K)</f>
        <v>0.55726000000000009</v>
      </c>
      <c r="E170">
        <f>SUMIF('[1]PO Report'!A:A,Recon!A170,'[1]PO Report'!P:P)</f>
        <v>10</v>
      </c>
      <c r="F170">
        <f>VLOOKUP(A170,'[1]PO Report'!$A:$Z,15,0)</f>
        <v>16.39</v>
      </c>
      <c r="H170">
        <f t="shared" si="4"/>
        <v>0</v>
      </c>
      <c r="J170">
        <f t="shared" si="5"/>
        <v>0</v>
      </c>
    </row>
    <row r="171" spans="1:10" x14ac:dyDescent="0.25">
      <c r="A171" t="s">
        <v>2151</v>
      </c>
      <c r="B171">
        <v>10</v>
      </c>
      <c r="C171">
        <f>_xlfn.XLOOKUP(Recon!A171,[1]Backup!AJ:AJ,[1]Backup!L:L)</f>
        <v>16.39</v>
      </c>
      <c r="D171">
        <f>_xlfn.XLOOKUP(Recon!A171,[1]Backup!AJ:AJ,[1]Backup!K:K)</f>
        <v>0.55726000000000009</v>
      </c>
      <c r="E171">
        <f>SUMIF('[1]PO Report'!A:A,Recon!A171,'[1]PO Report'!P:P)</f>
        <v>10</v>
      </c>
      <c r="F171">
        <f>VLOOKUP(A171,'[1]PO Report'!$A:$Z,15,0)</f>
        <v>16.39</v>
      </c>
      <c r="H171">
        <f t="shared" si="4"/>
        <v>0</v>
      </c>
      <c r="J171">
        <f t="shared" si="5"/>
        <v>0</v>
      </c>
    </row>
    <row r="172" spans="1:10" x14ac:dyDescent="0.25">
      <c r="A172" t="s">
        <v>2152</v>
      </c>
      <c r="B172">
        <v>4</v>
      </c>
      <c r="C172">
        <f>_xlfn.XLOOKUP(Recon!A172,[1]Backup!AJ:AJ,[1]Backup!L:L)</f>
        <v>105</v>
      </c>
      <c r="D172">
        <f>_xlfn.XLOOKUP(Recon!A172,[1]Backup!AJ:AJ,[1]Backup!K:K)</f>
        <v>3.57</v>
      </c>
      <c r="E172">
        <f>SUMIF('[1]PO Report'!A:A,Recon!A172,'[1]PO Report'!P:P)</f>
        <v>4</v>
      </c>
      <c r="F172">
        <f>VLOOKUP(A172,'[1]PO Report'!$A:$Z,15,0)</f>
        <v>105</v>
      </c>
      <c r="H172">
        <f t="shared" si="4"/>
        <v>0</v>
      </c>
      <c r="J172">
        <f t="shared" si="5"/>
        <v>0</v>
      </c>
    </row>
    <row r="173" spans="1:10" x14ac:dyDescent="0.25">
      <c r="A173" t="s">
        <v>2153</v>
      </c>
      <c r="B173">
        <v>10</v>
      </c>
      <c r="C173">
        <f>_xlfn.XLOOKUP(Recon!A173,[1]Backup!AJ:AJ,[1]Backup!L:L)</f>
        <v>16.39</v>
      </c>
      <c r="D173">
        <f>_xlfn.XLOOKUP(Recon!A173,[1]Backup!AJ:AJ,[1]Backup!K:K)</f>
        <v>0.55726000000000009</v>
      </c>
      <c r="E173">
        <f>SUMIF('[1]PO Report'!A:A,Recon!A173,'[1]PO Report'!P:P)</f>
        <v>10</v>
      </c>
      <c r="F173">
        <f>VLOOKUP(A173,'[1]PO Report'!$A:$Z,15,0)</f>
        <v>16.39</v>
      </c>
      <c r="H173">
        <f t="shared" si="4"/>
        <v>0</v>
      </c>
      <c r="J173">
        <f t="shared" si="5"/>
        <v>0</v>
      </c>
    </row>
    <row r="174" spans="1:10" x14ac:dyDescent="0.25">
      <c r="A174" t="s">
        <v>2154</v>
      </c>
      <c r="B174">
        <v>4</v>
      </c>
      <c r="C174">
        <f>_xlfn.XLOOKUP(Recon!A174,[1]Backup!AJ:AJ,[1]Backup!L:L)</f>
        <v>57.51</v>
      </c>
      <c r="D174">
        <f>_xlfn.XLOOKUP(Recon!A174,[1]Backup!AJ:AJ,[1]Backup!K:K)</f>
        <v>1.9553400000000001</v>
      </c>
      <c r="E174">
        <f>SUMIF('[1]PO Report'!A:A,Recon!A174,'[1]PO Report'!P:P)</f>
        <v>4</v>
      </c>
      <c r="F174">
        <f>VLOOKUP(A174,'[1]PO Report'!$A:$Z,15,0)</f>
        <v>57.51</v>
      </c>
      <c r="H174">
        <f t="shared" si="4"/>
        <v>0</v>
      </c>
      <c r="J174">
        <f t="shared" si="5"/>
        <v>0</v>
      </c>
    </row>
    <row r="175" spans="1:10" x14ac:dyDescent="0.25">
      <c r="A175" t="s">
        <v>2155</v>
      </c>
      <c r="B175">
        <v>4</v>
      </c>
      <c r="C175">
        <f>_xlfn.XLOOKUP(Recon!A175,[1]Backup!AJ:AJ,[1]Backup!L:L)</f>
        <v>78.62</v>
      </c>
      <c r="D175">
        <f>_xlfn.XLOOKUP(Recon!A175,[1]Backup!AJ:AJ,[1]Backup!K:K)</f>
        <v>2.6730800000000001</v>
      </c>
      <c r="E175">
        <f>SUMIF('[1]PO Report'!A:A,Recon!A175,'[1]PO Report'!P:P)</f>
        <v>4</v>
      </c>
      <c r="F175">
        <f>VLOOKUP(A175,'[1]PO Report'!$A:$Z,15,0)</f>
        <v>78.62</v>
      </c>
      <c r="H175">
        <f t="shared" si="4"/>
        <v>0</v>
      </c>
      <c r="J175">
        <f t="shared" si="5"/>
        <v>0</v>
      </c>
    </row>
    <row r="176" spans="1:10" x14ac:dyDescent="0.25">
      <c r="A176" t="s">
        <v>2156</v>
      </c>
      <c r="B176">
        <v>10</v>
      </c>
      <c r="C176">
        <f>_xlfn.XLOOKUP(Recon!A176,[1]Backup!AJ:AJ,[1]Backup!L:L)</f>
        <v>16.39</v>
      </c>
      <c r="D176">
        <f>_xlfn.XLOOKUP(Recon!A176,[1]Backup!AJ:AJ,[1]Backup!K:K)</f>
        <v>0.55726000000000009</v>
      </c>
      <c r="E176">
        <f>SUMIF('[1]PO Report'!A:A,Recon!A176,'[1]PO Report'!P:P)</f>
        <v>10</v>
      </c>
      <c r="F176">
        <f>VLOOKUP(A176,'[1]PO Report'!$A:$Z,15,0)</f>
        <v>16.39</v>
      </c>
      <c r="H176">
        <f t="shared" si="4"/>
        <v>0</v>
      </c>
      <c r="J176">
        <f t="shared" si="5"/>
        <v>0</v>
      </c>
    </row>
    <row r="177" spans="1:10" x14ac:dyDescent="0.25">
      <c r="A177" t="s">
        <v>2157</v>
      </c>
      <c r="B177">
        <v>56</v>
      </c>
      <c r="C177">
        <f>_xlfn.XLOOKUP(Recon!A177,[1]Backup!AJ:AJ,[1]Backup!L:L)</f>
        <v>159.09</v>
      </c>
      <c r="D177">
        <f>_xlfn.XLOOKUP(Recon!A177,[1]Backup!AJ:AJ,[1]Backup!K:K)</f>
        <v>5.4090599999999993</v>
      </c>
      <c r="E177">
        <f>SUMIF('[1]PO Report'!A:A,Recon!A177,'[1]PO Report'!P:P)</f>
        <v>56</v>
      </c>
      <c r="F177">
        <f>VLOOKUP(A177,'[1]PO Report'!$A:$Z,15,0)</f>
        <v>159.09</v>
      </c>
      <c r="H177">
        <f t="shared" si="4"/>
        <v>0</v>
      </c>
      <c r="J177">
        <f t="shared" si="5"/>
        <v>0</v>
      </c>
    </row>
    <row r="178" spans="1:10" x14ac:dyDescent="0.25">
      <c r="A178" t="s">
        <v>2158</v>
      </c>
      <c r="B178">
        <v>19</v>
      </c>
      <c r="C178">
        <f>_xlfn.XLOOKUP(Recon!A178,[1]Backup!AJ:AJ,[1]Backup!L:L)</f>
        <v>131.38</v>
      </c>
      <c r="D178">
        <f>_xlfn.XLOOKUP(Recon!A178,[1]Backup!AJ:AJ,[1]Backup!K:K)</f>
        <v>4.46692</v>
      </c>
      <c r="E178">
        <f>SUMIF('[1]PO Report'!A:A,Recon!A178,'[1]PO Report'!P:P)</f>
        <v>19</v>
      </c>
      <c r="F178">
        <f>VLOOKUP(A178,'[1]PO Report'!$A:$Z,15,0)</f>
        <v>131.38</v>
      </c>
      <c r="H178">
        <f t="shared" si="4"/>
        <v>0</v>
      </c>
      <c r="J178">
        <f t="shared" si="5"/>
        <v>0</v>
      </c>
    </row>
    <row r="179" spans="1:10" x14ac:dyDescent="0.25">
      <c r="A179" t="s">
        <v>2159</v>
      </c>
      <c r="B179">
        <v>4</v>
      </c>
      <c r="C179">
        <f>_xlfn.XLOOKUP(Recon!A179,[1]Backup!AJ:AJ,[1]Backup!L:L)</f>
        <v>110.27</v>
      </c>
      <c r="D179">
        <f>_xlfn.XLOOKUP(Recon!A179,[1]Backup!AJ:AJ,[1]Backup!K:K)</f>
        <v>3.74918</v>
      </c>
      <c r="E179">
        <f>SUMIF('[1]PO Report'!A:A,Recon!A179,'[1]PO Report'!P:P)</f>
        <v>4</v>
      </c>
      <c r="F179">
        <f>VLOOKUP(A179,'[1]PO Report'!$A:$Z,15,0)</f>
        <v>110.27</v>
      </c>
      <c r="H179">
        <f t="shared" si="4"/>
        <v>0</v>
      </c>
      <c r="J179">
        <f t="shared" si="5"/>
        <v>0</v>
      </c>
    </row>
    <row r="180" spans="1:10" x14ac:dyDescent="0.25">
      <c r="A180" t="s">
        <v>2160</v>
      </c>
      <c r="B180">
        <v>8</v>
      </c>
      <c r="C180">
        <f>_xlfn.XLOOKUP(Recon!A180,[1]Backup!AJ:AJ,[1]Backup!L:L)</f>
        <v>141.93</v>
      </c>
      <c r="D180">
        <f>_xlfn.XLOOKUP(Recon!A180,[1]Backup!AJ:AJ,[1]Backup!K:K)</f>
        <v>4.8256199999999998</v>
      </c>
      <c r="E180">
        <f>SUMIF('[1]PO Report'!A:A,Recon!A180,'[1]PO Report'!P:P)</f>
        <v>8</v>
      </c>
      <c r="F180">
        <f>VLOOKUP(A180,'[1]PO Report'!$A:$Z,15,0)</f>
        <v>141.93</v>
      </c>
      <c r="H180">
        <f t="shared" si="4"/>
        <v>0</v>
      </c>
      <c r="J180">
        <f t="shared" si="5"/>
        <v>0</v>
      </c>
    </row>
    <row r="181" spans="1:10" x14ac:dyDescent="0.25">
      <c r="A181" t="s">
        <v>2161</v>
      </c>
      <c r="B181">
        <v>4</v>
      </c>
      <c r="C181">
        <f>_xlfn.XLOOKUP(Recon!A181,[1]Backup!AJ:AJ,[1]Backup!L:L)</f>
        <v>68.06</v>
      </c>
      <c r="D181">
        <f>_xlfn.XLOOKUP(Recon!A181,[1]Backup!AJ:AJ,[1]Backup!K:K)</f>
        <v>2.3140399999999999</v>
      </c>
      <c r="E181">
        <f>SUMIF('[1]PO Report'!A:A,Recon!A181,'[1]PO Report'!P:P)</f>
        <v>4</v>
      </c>
      <c r="F181">
        <f>VLOOKUP(A181,'[1]PO Report'!$A:$Z,15,0)</f>
        <v>68.06</v>
      </c>
      <c r="H181">
        <f t="shared" si="4"/>
        <v>0</v>
      </c>
      <c r="J181">
        <f t="shared" si="5"/>
        <v>0</v>
      </c>
    </row>
    <row r="182" spans="1:10" x14ac:dyDescent="0.25">
      <c r="A182" t="s">
        <v>2162</v>
      </c>
      <c r="B182">
        <v>4</v>
      </c>
      <c r="C182">
        <f>_xlfn.XLOOKUP(Recon!A182,[1]Backup!AJ:AJ,[1]Backup!L:L)</f>
        <v>74.84</v>
      </c>
      <c r="D182">
        <f>_xlfn.XLOOKUP(Recon!A182,[1]Backup!AJ:AJ,[1]Backup!K:K)</f>
        <v>2.5445600000000002</v>
      </c>
      <c r="E182">
        <f>SUMIF('[1]PO Report'!A:A,Recon!A182,'[1]PO Report'!P:P)</f>
        <v>4</v>
      </c>
      <c r="F182">
        <f>VLOOKUP(A182,'[1]PO Report'!$A:$Z,15,0)</f>
        <v>74.84</v>
      </c>
      <c r="H182">
        <f t="shared" si="4"/>
        <v>0</v>
      </c>
      <c r="J182">
        <f t="shared" si="5"/>
        <v>0</v>
      </c>
    </row>
    <row r="183" spans="1:10" x14ac:dyDescent="0.25">
      <c r="A183" t="s">
        <v>2163</v>
      </c>
      <c r="B183">
        <v>42</v>
      </c>
      <c r="C183">
        <f>_xlfn.XLOOKUP(Recon!A183,[1]Backup!AJ:AJ,[1]Backup!L:L)</f>
        <v>29</v>
      </c>
      <c r="D183">
        <f>_xlfn.XLOOKUP(Recon!A183,[1]Backup!AJ:AJ,[1]Backup!K:K)</f>
        <v>0.98599999999999999</v>
      </c>
      <c r="E183">
        <f>SUMIF('[1]PO Report'!A:A,Recon!A183,'[1]PO Report'!P:P)</f>
        <v>42</v>
      </c>
      <c r="F183">
        <f>VLOOKUP(A183,'[1]PO Report'!$A:$Z,15,0)</f>
        <v>29</v>
      </c>
      <c r="H183">
        <f t="shared" si="4"/>
        <v>0</v>
      </c>
      <c r="J183">
        <f t="shared" si="5"/>
        <v>0</v>
      </c>
    </row>
    <row r="184" spans="1:10" x14ac:dyDescent="0.25">
      <c r="A184" t="s">
        <v>2164</v>
      </c>
      <c r="B184">
        <v>90</v>
      </c>
      <c r="C184">
        <f>_xlfn.XLOOKUP(Recon!A184,[1]Backup!AJ:AJ,[1]Backup!L:L)</f>
        <v>29</v>
      </c>
      <c r="D184">
        <f>_xlfn.XLOOKUP(Recon!A184,[1]Backup!AJ:AJ,[1]Backup!K:K)</f>
        <v>0.98599999999999999</v>
      </c>
      <c r="E184">
        <f>SUMIF('[1]PO Report'!A:A,Recon!A184,'[1]PO Report'!P:P)</f>
        <v>90</v>
      </c>
      <c r="F184">
        <f>VLOOKUP(A184,'[1]PO Report'!$A:$Z,15,0)</f>
        <v>29</v>
      </c>
      <c r="H184">
        <f t="shared" si="4"/>
        <v>0</v>
      </c>
      <c r="J184">
        <f t="shared" si="5"/>
        <v>0</v>
      </c>
    </row>
    <row r="185" spans="1:10" x14ac:dyDescent="0.25">
      <c r="A185" t="s">
        <v>2165</v>
      </c>
      <c r="B185">
        <v>6</v>
      </c>
      <c r="C185">
        <f>_xlfn.XLOOKUP(Recon!A185,[1]Backup!AJ:AJ,[1]Backup!L:L)</f>
        <v>26.349999999999998</v>
      </c>
      <c r="D185">
        <f>_xlfn.XLOOKUP(Recon!A185,[1]Backup!AJ:AJ,[1]Backup!K:K)</f>
        <v>0.89590000000000003</v>
      </c>
      <c r="E185">
        <f>SUMIF('[1]PO Report'!A:A,Recon!A185,'[1]PO Report'!P:P)</f>
        <v>6</v>
      </c>
      <c r="F185">
        <f>VLOOKUP(A185,'[1]PO Report'!$A:$Z,15,0)</f>
        <v>26.35</v>
      </c>
      <c r="H185">
        <f t="shared" si="4"/>
        <v>0</v>
      </c>
      <c r="J185">
        <f t="shared" si="5"/>
        <v>0</v>
      </c>
    </row>
    <row r="186" spans="1:10" x14ac:dyDescent="0.25">
      <c r="A186" t="s">
        <v>2166</v>
      </c>
      <c r="B186">
        <v>4</v>
      </c>
      <c r="C186">
        <f>_xlfn.XLOOKUP(Recon!A186,[1]Backup!AJ:AJ,[1]Backup!L:L)</f>
        <v>68.06</v>
      </c>
      <c r="D186">
        <f>_xlfn.XLOOKUP(Recon!A186,[1]Backup!AJ:AJ,[1]Backup!K:K)</f>
        <v>2.3140399999999999</v>
      </c>
      <c r="E186">
        <f>SUMIF('[1]PO Report'!A:A,Recon!A186,'[1]PO Report'!P:P)</f>
        <v>4</v>
      </c>
      <c r="F186">
        <f>VLOOKUP(A186,'[1]PO Report'!$A:$Z,15,0)</f>
        <v>68.06</v>
      </c>
      <c r="H186">
        <f t="shared" si="4"/>
        <v>0</v>
      </c>
      <c r="J186">
        <f t="shared" si="5"/>
        <v>0</v>
      </c>
    </row>
    <row r="187" spans="1:10" x14ac:dyDescent="0.25">
      <c r="A187" t="s">
        <v>2167</v>
      </c>
      <c r="B187">
        <v>104</v>
      </c>
      <c r="C187">
        <f>_xlfn.XLOOKUP(Recon!A187,[1]Backup!AJ:AJ,[1]Backup!L:L)</f>
        <v>58.79</v>
      </c>
      <c r="D187">
        <f>_xlfn.XLOOKUP(Recon!A187,[1]Backup!AJ:AJ,[1]Backup!K:K)</f>
        <v>1.9988600000000001</v>
      </c>
      <c r="E187">
        <f>SUMIF('[1]PO Report'!A:A,Recon!A187,'[1]PO Report'!P:P)</f>
        <v>104</v>
      </c>
      <c r="F187">
        <f>VLOOKUP(A187,'[1]PO Report'!$A:$Z,15,0)</f>
        <v>58.79</v>
      </c>
      <c r="H187">
        <f t="shared" si="4"/>
        <v>0</v>
      </c>
      <c r="J187">
        <f t="shared" si="5"/>
        <v>0</v>
      </c>
    </row>
    <row r="188" spans="1:10" x14ac:dyDescent="0.25">
      <c r="A188" t="s">
        <v>2168</v>
      </c>
      <c r="B188">
        <v>1952</v>
      </c>
      <c r="C188">
        <f>_xlfn.XLOOKUP(Recon!A188,[1]Backup!AJ:AJ,[1]Backup!L:L)</f>
        <v>32.21</v>
      </c>
      <c r="D188">
        <f>_xlfn.XLOOKUP(Recon!A188,[1]Backup!AJ:AJ,[1]Backup!K:K)</f>
        <v>1.09514</v>
      </c>
      <c r="E188">
        <f>SUMIF('[1]PO Report'!A:A,Recon!A188,'[1]PO Report'!P:P)</f>
        <v>1952</v>
      </c>
      <c r="F188">
        <f>VLOOKUP(A188,'[1]PO Report'!$A:$Z,15,0)</f>
        <v>32.21</v>
      </c>
      <c r="H188">
        <f t="shared" si="4"/>
        <v>0</v>
      </c>
      <c r="J188">
        <f t="shared" si="5"/>
        <v>0</v>
      </c>
    </row>
    <row r="189" spans="1:10" x14ac:dyDescent="0.25">
      <c r="A189" t="s">
        <v>2169</v>
      </c>
      <c r="B189">
        <v>16</v>
      </c>
      <c r="C189">
        <f>_xlfn.XLOOKUP(Recon!A189,[1]Backup!AJ:AJ,[1]Backup!L:L)</f>
        <v>179.16</v>
      </c>
      <c r="D189">
        <f>_xlfn.XLOOKUP(Recon!A189,[1]Backup!AJ:AJ,[1]Backup!K:K)</f>
        <v>6.0914400000000004</v>
      </c>
      <c r="E189">
        <f>SUMIF('[1]PO Report'!A:A,Recon!A189,'[1]PO Report'!P:P)</f>
        <v>16</v>
      </c>
      <c r="F189">
        <f>VLOOKUP(A189,'[1]PO Report'!$A:$Z,15,0)</f>
        <v>179.16</v>
      </c>
      <c r="H189">
        <f t="shared" si="4"/>
        <v>0</v>
      </c>
      <c r="J189">
        <f t="shared" si="5"/>
        <v>0</v>
      </c>
    </row>
    <row r="190" spans="1:10" x14ac:dyDescent="0.25">
      <c r="A190" t="s">
        <v>2170</v>
      </c>
      <c r="B190">
        <v>20</v>
      </c>
      <c r="C190">
        <f>_xlfn.XLOOKUP(Recon!A190,[1]Backup!AJ:AJ,[1]Backup!L:L)</f>
        <v>94.44</v>
      </c>
      <c r="D190">
        <f>_xlfn.XLOOKUP(Recon!A190,[1]Backup!AJ:AJ,[1]Backup!K:K)</f>
        <v>3.21096</v>
      </c>
      <c r="E190">
        <f>SUMIF('[1]PO Report'!A:A,Recon!A190,'[1]PO Report'!P:P)</f>
        <v>20</v>
      </c>
      <c r="F190">
        <f>VLOOKUP(A190,'[1]PO Report'!$A:$Z,15,0)</f>
        <v>94.44</v>
      </c>
      <c r="H190">
        <f t="shared" si="4"/>
        <v>0</v>
      </c>
      <c r="J190">
        <f t="shared" si="5"/>
        <v>0</v>
      </c>
    </row>
    <row r="191" spans="1:10" x14ac:dyDescent="0.25">
      <c r="A191" t="s">
        <v>2171</v>
      </c>
      <c r="B191">
        <v>12</v>
      </c>
      <c r="C191">
        <f>_xlfn.XLOOKUP(Recon!A191,[1]Backup!AJ:AJ,[1]Backup!L:L)</f>
        <v>21.099999999999998</v>
      </c>
      <c r="D191">
        <f>_xlfn.XLOOKUP(Recon!A191,[1]Backup!AJ:AJ,[1]Backup!K:K)</f>
        <v>0.71740000000000004</v>
      </c>
      <c r="E191">
        <f>SUMIF('[1]PO Report'!A:A,Recon!A191,'[1]PO Report'!P:P)</f>
        <v>12</v>
      </c>
      <c r="F191">
        <f>VLOOKUP(A191,'[1]PO Report'!$A:$Z,15,0)</f>
        <v>21.1</v>
      </c>
      <c r="H191">
        <f t="shared" si="4"/>
        <v>0</v>
      </c>
      <c r="J191">
        <f t="shared" si="5"/>
        <v>0</v>
      </c>
    </row>
    <row r="192" spans="1:10" x14ac:dyDescent="0.25">
      <c r="A192" t="s">
        <v>2172</v>
      </c>
      <c r="B192">
        <v>160</v>
      </c>
      <c r="C192">
        <f>_xlfn.XLOOKUP(Recon!A192,[1]Backup!AJ:AJ,[1]Backup!L:L)</f>
        <v>23.42</v>
      </c>
      <c r="D192">
        <f>_xlfn.XLOOKUP(Recon!A192,[1]Backup!AJ:AJ,[1]Backup!K:K)</f>
        <v>0.79627999999999999</v>
      </c>
      <c r="E192">
        <f>SUMIF('[1]PO Report'!A:A,Recon!A192,'[1]PO Report'!P:P)</f>
        <v>144</v>
      </c>
      <c r="F192">
        <f>VLOOKUP(A192,'[1]PO Report'!$A:$Z,15,0)</f>
        <v>23.42</v>
      </c>
      <c r="H192">
        <f t="shared" si="4"/>
        <v>16</v>
      </c>
      <c r="I192">
        <f>H192*D192</f>
        <v>12.74048</v>
      </c>
      <c r="J192">
        <f t="shared" si="5"/>
        <v>0</v>
      </c>
    </row>
    <row r="193" spans="1:10" x14ac:dyDescent="0.25">
      <c r="A193" t="s">
        <v>2173</v>
      </c>
      <c r="B193">
        <v>16</v>
      </c>
      <c r="C193">
        <f>_xlfn.XLOOKUP(Recon!A193,[1]Backup!AJ:AJ,[1]Backup!L:L)</f>
        <v>83.89</v>
      </c>
      <c r="D193">
        <f>_xlfn.XLOOKUP(Recon!A193,[1]Backup!AJ:AJ,[1]Backup!K:K)</f>
        <v>2.8522599999999998</v>
      </c>
      <c r="E193">
        <f>SUMIF('[1]PO Report'!A:A,Recon!A193,'[1]PO Report'!P:P)</f>
        <v>16</v>
      </c>
      <c r="F193">
        <f>VLOOKUP(A193,'[1]PO Report'!$A:$Z,15,0)</f>
        <v>83.89</v>
      </c>
      <c r="H193">
        <f t="shared" si="4"/>
        <v>0</v>
      </c>
      <c r="J193">
        <f t="shared" si="5"/>
        <v>0</v>
      </c>
    </row>
    <row r="194" spans="1:10" x14ac:dyDescent="0.25">
      <c r="A194" t="s">
        <v>2174</v>
      </c>
      <c r="B194">
        <v>4</v>
      </c>
      <c r="C194">
        <f>_xlfn.XLOOKUP(Recon!A194,[1]Backup!AJ:AJ,[1]Backup!L:L)</f>
        <v>44.84</v>
      </c>
      <c r="D194">
        <f>_xlfn.XLOOKUP(Recon!A194,[1]Backup!AJ:AJ,[1]Backup!K:K)</f>
        <v>1.5245599999999999</v>
      </c>
      <c r="E194">
        <f>SUMIF('[1]PO Report'!A:A,Recon!A194,'[1]PO Report'!P:P)</f>
        <v>4</v>
      </c>
      <c r="F194">
        <f>VLOOKUP(A194,'[1]PO Report'!$A:$Z,15,0)</f>
        <v>44.84</v>
      </c>
      <c r="H194">
        <f t="shared" si="4"/>
        <v>0</v>
      </c>
      <c r="J194">
        <f t="shared" si="5"/>
        <v>0</v>
      </c>
    </row>
    <row r="195" spans="1:10" x14ac:dyDescent="0.25">
      <c r="A195" t="s">
        <v>2175</v>
      </c>
      <c r="B195">
        <v>12</v>
      </c>
      <c r="C195">
        <f>_xlfn.XLOOKUP(Recon!A195,[1]Backup!AJ:AJ,[1]Backup!L:L)</f>
        <v>66.66</v>
      </c>
      <c r="D195">
        <f>_xlfn.XLOOKUP(Recon!A195,[1]Backup!AJ:AJ,[1]Backup!K:K)</f>
        <v>2.2664399999999998</v>
      </c>
      <c r="E195">
        <f>SUMIF('[1]PO Report'!A:A,Recon!A195,'[1]PO Report'!P:P)</f>
        <v>12</v>
      </c>
      <c r="F195">
        <f>VLOOKUP(A195,'[1]PO Report'!$A:$Z,15,0)</f>
        <v>66.66</v>
      </c>
      <c r="H195">
        <f t="shared" si="4"/>
        <v>0</v>
      </c>
      <c r="J195">
        <f t="shared" si="5"/>
        <v>0</v>
      </c>
    </row>
    <row r="196" spans="1:10" x14ac:dyDescent="0.25">
      <c r="A196" t="s">
        <v>2176</v>
      </c>
      <c r="B196">
        <v>56</v>
      </c>
      <c r="C196">
        <f>_xlfn.XLOOKUP(Recon!A196,[1]Backup!AJ:AJ,[1]Backup!L:L)</f>
        <v>36.93</v>
      </c>
      <c r="D196">
        <f>_xlfn.XLOOKUP(Recon!A196,[1]Backup!AJ:AJ,[1]Backup!K:K)</f>
        <v>1.2556200000000002</v>
      </c>
      <c r="E196">
        <f>SUMIF('[1]PO Report'!A:A,Recon!A196,'[1]PO Report'!P:P)</f>
        <v>56</v>
      </c>
      <c r="F196">
        <f>VLOOKUP(A196,'[1]PO Report'!$A:$Z,15,0)</f>
        <v>36.93</v>
      </c>
      <c r="H196">
        <f t="shared" ref="H196:H259" si="6">B196-E196</f>
        <v>0</v>
      </c>
      <c r="J196">
        <f t="shared" ref="J196:J259" si="7">C196-F196</f>
        <v>0</v>
      </c>
    </row>
    <row r="197" spans="1:10" x14ac:dyDescent="0.25">
      <c r="A197" t="s">
        <v>2177</v>
      </c>
      <c r="B197">
        <v>272</v>
      </c>
      <c r="C197">
        <f>_xlfn.XLOOKUP(Recon!A197,[1]Backup!AJ:AJ,[1]Backup!L:L)</f>
        <v>36.93</v>
      </c>
      <c r="D197">
        <f>_xlfn.XLOOKUP(Recon!A197,[1]Backup!AJ:AJ,[1]Backup!K:K)</f>
        <v>1.25562</v>
      </c>
      <c r="E197">
        <f>SUMIF('[1]PO Report'!A:A,Recon!A197,'[1]PO Report'!P:P)</f>
        <v>268</v>
      </c>
      <c r="F197">
        <f>VLOOKUP(A197,'[1]PO Report'!$A:$Z,15,0)</f>
        <v>36.93</v>
      </c>
      <c r="H197">
        <f t="shared" si="6"/>
        <v>4</v>
      </c>
      <c r="I197">
        <f>H197*D197</f>
        <v>5.0224799999999998</v>
      </c>
      <c r="J197">
        <f t="shared" si="7"/>
        <v>0</v>
      </c>
    </row>
    <row r="198" spans="1:10" x14ac:dyDescent="0.25">
      <c r="A198" t="s">
        <v>2178</v>
      </c>
      <c r="B198">
        <v>24</v>
      </c>
      <c r="C198">
        <f>_xlfn.XLOOKUP(Recon!A198,[1]Backup!AJ:AJ,[1]Backup!L:L)</f>
        <v>83.89</v>
      </c>
      <c r="D198">
        <f>_xlfn.XLOOKUP(Recon!A198,[1]Backup!AJ:AJ,[1]Backup!K:K)</f>
        <v>2.8522599999999998</v>
      </c>
      <c r="E198">
        <f>SUMIF('[1]PO Report'!A:A,Recon!A198,'[1]PO Report'!P:P)</f>
        <v>24</v>
      </c>
      <c r="F198">
        <f>VLOOKUP(A198,'[1]PO Report'!$A:$Z,15,0)</f>
        <v>83.89</v>
      </c>
      <c r="H198">
        <f t="shared" si="6"/>
        <v>0</v>
      </c>
      <c r="J198">
        <f t="shared" si="7"/>
        <v>0</v>
      </c>
    </row>
    <row r="199" spans="1:10" x14ac:dyDescent="0.25">
      <c r="A199" t="s">
        <v>2179</v>
      </c>
      <c r="B199">
        <v>24</v>
      </c>
      <c r="C199">
        <f>_xlfn.XLOOKUP(Recon!A199,[1]Backup!AJ:AJ,[1]Backup!L:L)</f>
        <v>21.1</v>
      </c>
      <c r="D199">
        <f>_xlfn.XLOOKUP(Recon!A199,[1]Backup!AJ:AJ,[1]Backup!K:K)</f>
        <v>0.71740000000000004</v>
      </c>
      <c r="E199">
        <f>SUMIF('[1]PO Report'!A:A,Recon!A199,'[1]PO Report'!P:P)</f>
        <v>24</v>
      </c>
      <c r="F199">
        <f>VLOOKUP(A199,'[1]PO Report'!$A:$Z,15,0)</f>
        <v>21.1</v>
      </c>
      <c r="H199">
        <f t="shared" si="6"/>
        <v>0</v>
      </c>
      <c r="J199">
        <f t="shared" si="7"/>
        <v>0</v>
      </c>
    </row>
    <row r="200" spans="1:10" x14ac:dyDescent="0.25">
      <c r="A200" t="s">
        <v>2180</v>
      </c>
      <c r="B200">
        <v>4</v>
      </c>
      <c r="C200">
        <f>_xlfn.XLOOKUP(Recon!A200,[1]Backup!AJ:AJ,[1]Backup!L:L)</f>
        <v>18.46</v>
      </c>
      <c r="D200">
        <f>_xlfn.XLOOKUP(Recon!A200,[1]Backup!AJ:AJ,[1]Backup!K:K)</f>
        <v>0.62763999999999998</v>
      </c>
      <c r="E200">
        <f>SUMIF('[1]PO Report'!A:A,Recon!A200,'[1]PO Report'!P:P)</f>
        <v>4</v>
      </c>
      <c r="F200">
        <f>VLOOKUP(A200,'[1]PO Report'!$A:$Z,15,0)</f>
        <v>18.46</v>
      </c>
      <c r="H200">
        <f t="shared" si="6"/>
        <v>0</v>
      </c>
      <c r="J200">
        <f t="shared" si="7"/>
        <v>0</v>
      </c>
    </row>
    <row r="201" spans="1:10" x14ac:dyDescent="0.25">
      <c r="A201" t="s">
        <v>2181</v>
      </c>
      <c r="B201">
        <v>48</v>
      </c>
      <c r="C201">
        <f>_xlfn.XLOOKUP(Recon!A201,[1]Backup!AJ:AJ,[1]Backup!L:L)</f>
        <v>116.02</v>
      </c>
      <c r="D201">
        <f>_xlfn.XLOOKUP(Recon!A201,[1]Backup!AJ:AJ,[1]Backup!K:K)</f>
        <v>3.94468</v>
      </c>
      <c r="E201">
        <f>SUMIF('[1]PO Report'!A:A,Recon!A201,'[1]PO Report'!P:P)</f>
        <v>48</v>
      </c>
      <c r="F201">
        <f>VLOOKUP(A201,'[1]PO Report'!$A:$Z,15,0)</f>
        <v>116.02</v>
      </c>
      <c r="H201">
        <f t="shared" si="6"/>
        <v>0</v>
      </c>
      <c r="J201">
        <f t="shared" si="7"/>
        <v>0</v>
      </c>
    </row>
    <row r="202" spans="1:10" x14ac:dyDescent="0.25">
      <c r="A202" t="s">
        <v>2182</v>
      </c>
      <c r="B202">
        <v>4</v>
      </c>
      <c r="C202">
        <f>_xlfn.XLOOKUP(Recon!A202,[1]Backup!AJ:AJ,[1]Backup!L:L)</f>
        <v>52.76</v>
      </c>
      <c r="D202">
        <f>_xlfn.XLOOKUP(Recon!A202,[1]Backup!AJ:AJ,[1]Backup!K:K)</f>
        <v>1.7938400000000001</v>
      </c>
      <c r="E202">
        <f>SUMIF('[1]PO Report'!A:A,Recon!A202,'[1]PO Report'!P:P)</f>
        <v>4</v>
      </c>
      <c r="F202">
        <f>VLOOKUP(A202,'[1]PO Report'!$A:$Z,15,0)</f>
        <v>52.76</v>
      </c>
      <c r="H202">
        <f t="shared" si="6"/>
        <v>0</v>
      </c>
      <c r="J202">
        <f t="shared" si="7"/>
        <v>0</v>
      </c>
    </row>
    <row r="203" spans="1:10" x14ac:dyDescent="0.25">
      <c r="A203" t="s">
        <v>2183</v>
      </c>
      <c r="B203">
        <v>60</v>
      </c>
      <c r="C203">
        <f>_xlfn.XLOOKUP(Recon!A203,[1]Backup!AJ:AJ,[1]Backup!L:L)</f>
        <v>6.3199999999999994</v>
      </c>
      <c r="D203">
        <f>_xlfn.XLOOKUP(Recon!A203,[1]Backup!AJ:AJ,[1]Backup!K:K)</f>
        <v>0.21487999999999999</v>
      </c>
      <c r="E203">
        <f>SUMIF('[1]PO Report'!A:A,Recon!A203,'[1]PO Report'!P:P)</f>
        <v>60</v>
      </c>
      <c r="F203">
        <f>VLOOKUP(A203,'[1]PO Report'!$A:$Z,15,0)</f>
        <v>6.32</v>
      </c>
      <c r="H203">
        <f t="shared" si="6"/>
        <v>0</v>
      </c>
      <c r="J203">
        <f t="shared" si="7"/>
        <v>0</v>
      </c>
    </row>
    <row r="204" spans="1:10" x14ac:dyDescent="0.25">
      <c r="A204" t="s">
        <v>2184</v>
      </c>
      <c r="B204">
        <v>16</v>
      </c>
      <c r="C204">
        <f>_xlfn.XLOOKUP(Recon!A204,[1]Backup!AJ:AJ,[1]Backup!L:L)</f>
        <v>23.74</v>
      </c>
      <c r="D204">
        <f>_xlfn.XLOOKUP(Recon!A204,[1]Backup!AJ:AJ,[1]Backup!K:K)</f>
        <v>0.80715999999999999</v>
      </c>
      <c r="E204">
        <f>SUMIF('[1]PO Report'!A:A,Recon!A204,'[1]PO Report'!P:P)</f>
        <v>16</v>
      </c>
      <c r="F204">
        <f>VLOOKUP(A204,'[1]PO Report'!$A:$Z,15,0)</f>
        <v>23.74</v>
      </c>
      <c r="H204">
        <f t="shared" si="6"/>
        <v>0</v>
      </c>
      <c r="J204">
        <f t="shared" si="7"/>
        <v>0</v>
      </c>
    </row>
    <row r="205" spans="1:10" x14ac:dyDescent="0.25">
      <c r="A205" t="s">
        <v>2185</v>
      </c>
      <c r="B205">
        <v>24</v>
      </c>
      <c r="C205">
        <f>_xlfn.XLOOKUP(Recon!A205,[1]Backup!AJ:AJ,[1]Backup!L:L)</f>
        <v>11.6</v>
      </c>
      <c r="D205">
        <f>_xlfn.XLOOKUP(Recon!A205,[1]Backup!AJ:AJ,[1]Backup!K:K)</f>
        <v>0.39440000000000003</v>
      </c>
      <c r="E205">
        <f>SUMIF('[1]PO Report'!A:A,Recon!A205,'[1]PO Report'!P:P)</f>
        <v>24</v>
      </c>
      <c r="F205">
        <f>VLOOKUP(A205,'[1]PO Report'!$A:$Z,15,0)</f>
        <v>11.6</v>
      </c>
      <c r="H205">
        <f t="shared" si="6"/>
        <v>0</v>
      </c>
      <c r="J205">
        <f t="shared" si="7"/>
        <v>0</v>
      </c>
    </row>
    <row r="206" spans="1:10" x14ac:dyDescent="0.25">
      <c r="A206" t="s">
        <v>2186</v>
      </c>
      <c r="B206">
        <v>24</v>
      </c>
      <c r="C206">
        <f>_xlfn.XLOOKUP(Recon!A206,[1]Backup!AJ:AJ,[1]Backup!L:L)</f>
        <v>11.6</v>
      </c>
      <c r="D206">
        <f>_xlfn.XLOOKUP(Recon!A206,[1]Backup!AJ:AJ,[1]Backup!K:K)</f>
        <v>0.39440000000000003</v>
      </c>
      <c r="E206">
        <f>SUMIF('[1]PO Report'!A:A,Recon!A206,'[1]PO Report'!P:P)</f>
        <v>24</v>
      </c>
      <c r="F206">
        <f>VLOOKUP(A206,'[1]PO Report'!$A:$Z,15,0)</f>
        <v>11.6</v>
      </c>
      <c r="H206">
        <f t="shared" si="6"/>
        <v>0</v>
      </c>
      <c r="J206">
        <f t="shared" si="7"/>
        <v>0</v>
      </c>
    </row>
    <row r="207" spans="1:10" x14ac:dyDescent="0.25">
      <c r="A207" t="s">
        <v>2187</v>
      </c>
      <c r="B207">
        <v>12</v>
      </c>
      <c r="C207">
        <f>_xlfn.XLOOKUP(Recon!A207,[1]Backup!AJ:AJ,[1]Backup!L:L)</f>
        <v>55.1</v>
      </c>
      <c r="D207">
        <f>_xlfn.XLOOKUP(Recon!A207,[1]Backup!AJ:AJ,[1]Backup!K:K)</f>
        <v>1.8734</v>
      </c>
      <c r="E207">
        <f>SUMIF('[1]PO Report'!A:A,Recon!A207,'[1]PO Report'!P:P)</f>
        <v>12</v>
      </c>
      <c r="F207">
        <f>VLOOKUP(A207,'[1]PO Report'!$A:$Z,15,0)</f>
        <v>55.1</v>
      </c>
      <c r="H207">
        <f t="shared" si="6"/>
        <v>0</v>
      </c>
      <c r="J207">
        <f t="shared" si="7"/>
        <v>0</v>
      </c>
    </row>
    <row r="208" spans="1:10" x14ac:dyDescent="0.25">
      <c r="A208" t="s">
        <v>2188</v>
      </c>
      <c r="B208">
        <v>8</v>
      </c>
      <c r="C208">
        <f>_xlfn.XLOOKUP(Recon!A208,[1]Backup!AJ:AJ,[1]Backup!L:L)</f>
        <v>104.41</v>
      </c>
      <c r="D208">
        <f>_xlfn.XLOOKUP(Recon!A208,[1]Backup!AJ:AJ,[1]Backup!K:K)</f>
        <v>3.5499399999999999</v>
      </c>
      <c r="E208">
        <f>SUMIF('[1]PO Report'!A:A,Recon!A208,'[1]PO Report'!P:P)</f>
        <v>8</v>
      </c>
      <c r="F208">
        <f>VLOOKUP(A208,'[1]PO Report'!$A:$Z,15,0)</f>
        <v>104.41</v>
      </c>
      <c r="H208">
        <f t="shared" si="6"/>
        <v>0</v>
      </c>
      <c r="J208">
        <f t="shared" si="7"/>
        <v>0</v>
      </c>
    </row>
    <row r="209" spans="1:10" x14ac:dyDescent="0.25">
      <c r="A209" t="s">
        <v>2189</v>
      </c>
      <c r="B209">
        <v>8</v>
      </c>
      <c r="C209">
        <f>_xlfn.XLOOKUP(Recon!A209,[1]Backup!AJ:AJ,[1]Backup!L:L)</f>
        <v>58.79</v>
      </c>
      <c r="D209">
        <f>_xlfn.XLOOKUP(Recon!A209,[1]Backup!AJ:AJ,[1]Backup!K:K)</f>
        <v>1.9988600000000001</v>
      </c>
      <c r="E209">
        <f>SUMIF('[1]PO Report'!A:A,Recon!A209,'[1]PO Report'!P:P)</f>
        <v>8</v>
      </c>
      <c r="F209">
        <f>VLOOKUP(A209,'[1]PO Report'!$A:$Z,15,0)</f>
        <v>58.79</v>
      </c>
      <c r="H209">
        <f t="shared" si="6"/>
        <v>0</v>
      </c>
      <c r="J209">
        <f t="shared" si="7"/>
        <v>0</v>
      </c>
    </row>
    <row r="210" spans="1:10" x14ac:dyDescent="0.25">
      <c r="A210" t="s">
        <v>2190</v>
      </c>
      <c r="B210">
        <v>50</v>
      </c>
      <c r="C210">
        <f>_xlfn.XLOOKUP(Recon!A210,[1]Backup!AJ:AJ,[1]Backup!L:L)</f>
        <v>10.53</v>
      </c>
      <c r="D210">
        <f>_xlfn.XLOOKUP(Recon!A210,[1]Backup!AJ:AJ,[1]Backup!K:K)</f>
        <v>0.35802</v>
      </c>
      <c r="E210">
        <f>SUMIF('[1]PO Report'!A:A,Recon!A210,'[1]PO Report'!P:P)</f>
        <v>50</v>
      </c>
      <c r="F210">
        <f>VLOOKUP(A210,'[1]PO Report'!$A:$Z,15,0)</f>
        <v>10.53</v>
      </c>
      <c r="H210">
        <f t="shared" si="6"/>
        <v>0</v>
      </c>
      <c r="J210">
        <f t="shared" si="7"/>
        <v>0</v>
      </c>
    </row>
    <row r="211" spans="1:10" x14ac:dyDescent="0.25">
      <c r="A211" t="s">
        <v>2191</v>
      </c>
      <c r="B211">
        <v>480</v>
      </c>
      <c r="C211">
        <f>_xlfn.XLOOKUP(Recon!A211,[1]Backup!AJ:AJ,[1]Backup!L:L)</f>
        <v>10.530000000000001</v>
      </c>
      <c r="D211">
        <f>_xlfn.XLOOKUP(Recon!A211,[1]Backup!AJ:AJ,[1]Backup!K:K)</f>
        <v>0.35802</v>
      </c>
      <c r="E211">
        <f>SUMIF('[1]PO Report'!A:A,Recon!A211,'[1]PO Report'!P:P)</f>
        <v>480</v>
      </c>
      <c r="F211">
        <f>VLOOKUP(A211,'[1]PO Report'!$A:$Z,15,0)</f>
        <v>10.53</v>
      </c>
      <c r="H211">
        <f t="shared" si="6"/>
        <v>0</v>
      </c>
      <c r="J211">
        <f t="shared" si="7"/>
        <v>0</v>
      </c>
    </row>
    <row r="212" spans="1:10" x14ac:dyDescent="0.25">
      <c r="A212" t="s">
        <v>2192</v>
      </c>
      <c r="B212">
        <v>436</v>
      </c>
      <c r="C212">
        <f>_xlfn.XLOOKUP(Recon!A212,[1]Backup!AJ:AJ,[1]Backup!L:L)</f>
        <v>23.42</v>
      </c>
      <c r="D212">
        <f>_xlfn.XLOOKUP(Recon!A212,[1]Backup!AJ:AJ,[1]Backup!K:K)</f>
        <v>0.79627999999999999</v>
      </c>
      <c r="E212">
        <f>SUMIF('[1]PO Report'!A:A,Recon!A212,'[1]PO Report'!P:P)</f>
        <v>436</v>
      </c>
      <c r="F212">
        <f>VLOOKUP(A212,'[1]PO Report'!$A:$Z,15,0)</f>
        <v>23.42</v>
      </c>
      <c r="H212">
        <f t="shared" si="6"/>
        <v>0</v>
      </c>
      <c r="J212">
        <f t="shared" si="7"/>
        <v>0</v>
      </c>
    </row>
    <row r="213" spans="1:10" x14ac:dyDescent="0.25">
      <c r="A213" t="s">
        <v>2193</v>
      </c>
      <c r="B213">
        <v>192</v>
      </c>
      <c r="C213">
        <f>_xlfn.XLOOKUP(Recon!A213,[1]Backup!AJ:AJ,[1]Backup!L:L)</f>
        <v>29.28</v>
      </c>
      <c r="D213">
        <f>_xlfn.XLOOKUP(Recon!A213,[1]Backup!AJ:AJ,[1]Backup!K:K)</f>
        <v>0.99551999999999996</v>
      </c>
      <c r="E213">
        <f>SUMIF('[1]PO Report'!A:A,Recon!A213,'[1]PO Report'!P:P)</f>
        <v>192</v>
      </c>
      <c r="F213">
        <f>VLOOKUP(A213,'[1]PO Report'!$A:$Z,15,0)</f>
        <v>29.28</v>
      </c>
      <c r="H213">
        <f t="shared" si="6"/>
        <v>0</v>
      </c>
      <c r="J213">
        <f t="shared" si="7"/>
        <v>0</v>
      </c>
    </row>
    <row r="214" spans="1:10" x14ac:dyDescent="0.25">
      <c r="A214" t="s">
        <v>2194</v>
      </c>
      <c r="B214">
        <v>32</v>
      </c>
      <c r="C214">
        <f>_xlfn.XLOOKUP(Recon!A214,[1]Backup!AJ:AJ,[1]Backup!L:L)</f>
        <v>29.28</v>
      </c>
      <c r="D214">
        <f>_xlfn.XLOOKUP(Recon!A214,[1]Backup!AJ:AJ,[1]Backup!K:K)</f>
        <v>0.99551999999999996</v>
      </c>
      <c r="E214">
        <f>SUMIF('[1]PO Report'!A:A,Recon!A214,'[1]PO Report'!P:P)</f>
        <v>32</v>
      </c>
      <c r="F214">
        <f>VLOOKUP(A214,'[1]PO Report'!$A:$Z,15,0)</f>
        <v>29.28</v>
      </c>
      <c r="H214">
        <f t="shared" si="6"/>
        <v>0</v>
      </c>
      <c r="J214">
        <f t="shared" si="7"/>
        <v>0</v>
      </c>
    </row>
    <row r="215" spans="1:10" x14ac:dyDescent="0.25">
      <c r="A215" t="s">
        <v>2195</v>
      </c>
      <c r="B215">
        <v>8</v>
      </c>
      <c r="C215">
        <f>_xlfn.XLOOKUP(Recon!A215,[1]Backup!AJ:AJ,[1]Backup!L:L)</f>
        <v>32.21</v>
      </c>
      <c r="D215">
        <f>_xlfn.XLOOKUP(Recon!A215,[1]Backup!AJ:AJ,[1]Backup!K:K)</f>
        <v>1.09514</v>
      </c>
      <c r="E215">
        <f>SUMIF('[1]PO Report'!A:A,Recon!A215,'[1]PO Report'!P:P)</f>
        <v>8</v>
      </c>
      <c r="F215">
        <f>VLOOKUP(A215,'[1]PO Report'!$A:$Z,15,0)</f>
        <v>32.21</v>
      </c>
      <c r="H215">
        <f t="shared" si="6"/>
        <v>0</v>
      </c>
      <c r="J215">
        <f t="shared" si="7"/>
        <v>0</v>
      </c>
    </row>
    <row r="216" spans="1:10" x14ac:dyDescent="0.25">
      <c r="A216" t="s">
        <v>2196</v>
      </c>
      <c r="B216">
        <v>32</v>
      </c>
      <c r="C216">
        <f>_xlfn.XLOOKUP(Recon!A216,[1]Backup!AJ:AJ,[1]Backup!L:L)</f>
        <v>32.21</v>
      </c>
      <c r="D216">
        <f>_xlfn.XLOOKUP(Recon!A216,[1]Backup!AJ:AJ,[1]Backup!K:K)</f>
        <v>1.09514</v>
      </c>
      <c r="E216">
        <f>SUMIF('[1]PO Report'!A:A,Recon!A216,'[1]PO Report'!P:P)</f>
        <v>32</v>
      </c>
      <c r="F216">
        <f>VLOOKUP(A216,'[1]PO Report'!$A:$Z,15,0)</f>
        <v>32.21</v>
      </c>
      <c r="H216">
        <f t="shared" si="6"/>
        <v>0</v>
      </c>
      <c r="J216">
        <f t="shared" si="7"/>
        <v>0</v>
      </c>
    </row>
    <row r="217" spans="1:10" x14ac:dyDescent="0.25">
      <c r="A217" t="s">
        <v>2197</v>
      </c>
      <c r="B217">
        <v>140</v>
      </c>
      <c r="C217">
        <f>_xlfn.XLOOKUP(Recon!A217,[1]Backup!AJ:AJ,[1]Backup!L:L)</f>
        <v>16.39</v>
      </c>
      <c r="D217">
        <f>_xlfn.XLOOKUP(Recon!A217,[1]Backup!AJ:AJ,[1]Backup!K:K)</f>
        <v>0.55725999999999998</v>
      </c>
      <c r="E217">
        <f>SUMIF('[1]PO Report'!A:A,Recon!A217,'[1]PO Report'!P:P)</f>
        <v>140</v>
      </c>
      <c r="F217">
        <f>VLOOKUP(A217,'[1]PO Report'!$A:$Z,15,0)</f>
        <v>16.39</v>
      </c>
      <c r="H217">
        <f t="shared" si="6"/>
        <v>0</v>
      </c>
      <c r="J217">
        <f t="shared" si="7"/>
        <v>0</v>
      </c>
    </row>
    <row r="218" spans="1:10" x14ac:dyDescent="0.25">
      <c r="A218" t="s">
        <v>2198</v>
      </c>
      <c r="B218">
        <v>304</v>
      </c>
      <c r="C218">
        <f>_xlfn.XLOOKUP(Recon!A218,[1]Backup!AJ:AJ,[1]Backup!L:L)</f>
        <v>96.830000000000013</v>
      </c>
      <c r="D218">
        <f>_xlfn.XLOOKUP(Recon!A218,[1]Backup!AJ:AJ,[1]Backup!K:K)</f>
        <v>3.2922199999999999</v>
      </c>
      <c r="E218">
        <f>SUMIF('[1]PO Report'!A:A,Recon!A218,'[1]PO Report'!P:P)</f>
        <v>304</v>
      </c>
      <c r="F218">
        <f>VLOOKUP(A218,'[1]PO Report'!$A:$Z,15,0)</f>
        <v>96.83</v>
      </c>
      <c r="H218">
        <f t="shared" si="6"/>
        <v>0</v>
      </c>
      <c r="J218">
        <f t="shared" si="7"/>
        <v>0</v>
      </c>
    </row>
    <row r="219" spans="1:10" x14ac:dyDescent="0.25">
      <c r="A219" t="s">
        <v>2199</v>
      </c>
      <c r="B219">
        <v>4</v>
      </c>
      <c r="C219">
        <f>_xlfn.XLOOKUP(Recon!A219,[1]Backup!AJ:AJ,[1]Backup!L:L)</f>
        <v>69.61</v>
      </c>
      <c r="D219">
        <f>_xlfn.XLOOKUP(Recon!A219,[1]Backup!AJ:AJ,[1]Backup!K:K)</f>
        <v>2.3667400000000001</v>
      </c>
      <c r="E219">
        <f>SUMIF('[1]PO Report'!A:A,Recon!A219,'[1]PO Report'!P:P)</f>
        <v>4</v>
      </c>
      <c r="F219">
        <f>VLOOKUP(A219,'[1]PO Report'!$A:$Z,15,0)</f>
        <v>69.61</v>
      </c>
      <c r="H219">
        <f t="shared" si="6"/>
        <v>0</v>
      </c>
      <c r="J219">
        <f t="shared" si="7"/>
        <v>0</v>
      </c>
    </row>
    <row r="220" spans="1:10" x14ac:dyDescent="0.25">
      <c r="A220" t="s">
        <v>2200</v>
      </c>
      <c r="B220">
        <v>76</v>
      </c>
      <c r="C220">
        <f>_xlfn.XLOOKUP(Recon!A220,[1]Backup!AJ:AJ,[1]Backup!L:L)</f>
        <v>39.56</v>
      </c>
      <c r="D220">
        <f>_xlfn.XLOOKUP(Recon!A220,[1]Backup!AJ:AJ,[1]Backup!K:K)</f>
        <v>1.34504</v>
      </c>
      <c r="E220">
        <f>SUMIF('[1]PO Report'!A:A,Recon!A220,'[1]PO Report'!P:P)</f>
        <v>76</v>
      </c>
      <c r="F220">
        <f>VLOOKUP(A220,'[1]PO Report'!$A:$Z,15,0)</f>
        <v>39.56</v>
      </c>
      <c r="H220">
        <f t="shared" si="6"/>
        <v>0</v>
      </c>
      <c r="J220">
        <f t="shared" si="7"/>
        <v>0</v>
      </c>
    </row>
    <row r="221" spans="1:10" x14ac:dyDescent="0.25">
      <c r="A221" t="s">
        <v>2201</v>
      </c>
      <c r="B221">
        <v>2148</v>
      </c>
      <c r="C221">
        <f>_xlfn.XLOOKUP(Recon!A221,[1]Backup!AJ:AJ,[1]Backup!L:L)</f>
        <v>73.339999999999989</v>
      </c>
      <c r="D221">
        <f>_xlfn.XLOOKUP(Recon!A221,[1]Backup!AJ:AJ,[1]Backup!K:K)</f>
        <v>2.49356</v>
      </c>
      <c r="E221">
        <f>SUMIF('[1]PO Report'!A:A,Recon!A221,'[1]PO Report'!P:P)</f>
        <v>2148</v>
      </c>
      <c r="F221">
        <f>VLOOKUP(A221,'[1]PO Report'!$A:$Z,15,0)</f>
        <v>73.34</v>
      </c>
      <c r="H221">
        <f t="shared" si="6"/>
        <v>0</v>
      </c>
      <c r="J221">
        <f t="shared" si="7"/>
        <v>0</v>
      </c>
    </row>
    <row r="222" spans="1:10" x14ac:dyDescent="0.25">
      <c r="A222" t="s">
        <v>2202</v>
      </c>
      <c r="B222">
        <v>40</v>
      </c>
      <c r="C222">
        <f>_xlfn.XLOOKUP(Recon!A222,[1]Backup!AJ:AJ,[1]Backup!L:L)</f>
        <v>83.89</v>
      </c>
      <c r="D222">
        <f>_xlfn.XLOOKUP(Recon!A222,[1]Backup!AJ:AJ,[1]Backup!K:K)</f>
        <v>2.8522599999999998</v>
      </c>
      <c r="E222">
        <f>SUMIF('[1]PO Report'!A:A,Recon!A222,'[1]PO Report'!P:P)</f>
        <v>36</v>
      </c>
      <c r="F222">
        <f>VLOOKUP(A222,'[1]PO Report'!$A:$Z,15,0)</f>
        <v>83.89</v>
      </c>
      <c r="H222">
        <f t="shared" si="6"/>
        <v>4</v>
      </c>
      <c r="I222">
        <f>H222*D222</f>
        <v>11.409039999999999</v>
      </c>
      <c r="J222">
        <f t="shared" si="7"/>
        <v>0</v>
      </c>
    </row>
    <row r="223" spans="1:10" x14ac:dyDescent="0.25">
      <c r="A223" t="s">
        <v>2203</v>
      </c>
      <c r="B223">
        <v>8</v>
      </c>
      <c r="C223">
        <f>_xlfn.XLOOKUP(Recon!A223,[1]Backup!AJ:AJ,[1]Backup!L:L)</f>
        <v>40.6</v>
      </c>
      <c r="D223">
        <f>_xlfn.XLOOKUP(Recon!A223,[1]Backup!AJ:AJ,[1]Backup!K:K)</f>
        <v>1.3804000000000001</v>
      </c>
      <c r="E223">
        <f>SUMIF('[1]PO Report'!A:A,Recon!A223,'[1]PO Report'!P:P)</f>
        <v>8</v>
      </c>
      <c r="F223">
        <f>VLOOKUP(A223,'[1]PO Report'!$A:$Z,15,0)</f>
        <v>40.6</v>
      </c>
      <c r="H223">
        <f t="shared" si="6"/>
        <v>0</v>
      </c>
      <c r="J223">
        <f t="shared" si="7"/>
        <v>0</v>
      </c>
    </row>
    <row r="224" spans="1:10" x14ac:dyDescent="0.25">
      <c r="A224" t="s">
        <v>2204</v>
      </c>
      <c r="B224">
        <v>80</v>
      </c>
      <c r="C224">
        <f>_xlfn.XLOOKUP(Recon!A224,[1]Backup!AJ:AJ,[1]Backup!L:L)</f>
        <v>16.39</v>
      </c>
      <c r="D224">
        <f>_xlfn.XLOOKUP(Recon!A224,[1]Backup!AJ:AJ,[1]Backup!K:K)</f>
        <v>0.55726000000000009</v>
      </c>
      <c r="E224">
        <f>SUMIF('[1]PO Report'!A:A,Recon!A224,'[1]PO Report'!P:P)</f>
        <v>80</v>
      </c>
      <c r="F224">
        <f>VLOOKUP(A224,'[1]PO Report'!$A:$Z,15,0)</f>
        <v>16.39</v>
      </c>
      <c r="H224">
        <f t="shared" si="6"/>
        <v>0</v>
      </c>
      <c r="J224">
        <f t="shared" si="7"/>
        <v>0</v>
      </c>
    </row>
    <row r="225" spans="1:10" x14ac:dyDescent="0.25">
      <c r="A225" t="s">
        <v>2205</v>
      </c>
      <c r="B225">
        <v>40</v>
      </c>
      <c r="C225">
        <f>_xlfn.XLOOKUP(Recon!A225,[1]Backup!AJ:AJ,[1]Backup!L:L)</f>
        <v>32.21</v>
      </c>
      <c r="D225">
        <f>_xlfn.XLOOKUP(Recon!A225,[1]Backup!AJ:AJ,[1]Backup!K:K)</f>
        <v>1.09514</v>
      </c>
      <c r="E225">
        <f>SUMIF('[1]PO Report'!A:A,Recon!A225,'[1]PO Report'!P:P)</f>
        <v>40</v>
      </c>
      <c r="F225">
        <f>VLOOKUP(A225,'[1]PO Report'!$A:$Z,15,0)</f>
        <v>32.21</v>
      </c>
      <c r="H225">
        <f t="shared" si="6"/>
        <v>0</v>
      </c>
      <c r="J225">
        <f t="shared" si="7"/>
        <v>0</v>
      </c>
    </row>
    <row r="226" spans="1:10" x14ac:dyDescent="0.25">
      <c r="A226" t="s">
        <v>2206</v>
      </c>
      <c r="B226">
        <v>8</v>
      </c>
      <c r="C226">
        <f>_xlfn.XLOOKUP(Recon!A226,[1]Backup!AJ:AJ,[1]Backup!L:L)</f>
        <v>32.21</v>
      </c>
      <c r="D226">
        <f>_xlfn.XLOOKUP(Recon!A226,[1]Backup!AJ:AJ,[1]Backup!K:K)</f>
        <v>1.09514</v>
      </c>
      <c r="E226">
        <f>SUMIF('[1]PO Report'!A:A,Recon!A226,'[1]PO Report'!P:P)</f>
        <v>8</v>
      </c>
      <c r="F226">
        <f>VLOOKUP(A226,'[1]PO Report'!$A:$Z,15,0)</f>
        <v>32.21</v>
      </c>
      <c r="H226">
        <f t="shared" si="6"/>
        <v>0</v>
      </c>
      <c r="J226">
        <f t="shared" si="7"/>
        <v>0</v>
      </c>
    </row>
    <row r="227" spans="1:10" x14ac:dyDescent="0.25">
      <c r="A227" t="s">
        <v>2207</v>
      </c>
      <c r="B227">
        <v>300</v>
      </c>
      <c r="C227">
        <f>_xlfn.XLOOKUP(Recon!A227,[1]Backup!AJ:AJ,[1]Backup!L:L)</f>
        <v>75.41</v>
      </c>
      <c r="D227">
        <f>_xlfn.XLOOKUP(Recon!A227,[1]Backup!AJ:AJ,[1]Backup!K:K)</f>
        <v>2.5639400000000001</v>
      </c>
      <c r="E227">
        <f>SUMIF('[1]PO Report'!A:A,Recon!A227,'[1]PO Report'!P:P)</f>
        <v>300</v>
      </c>
      <c r="F227">
        <f>VLOOKUP(A227,'[1]PO Report'!$A:$Z,15,0)</f>
        <v>75.41</v>
      </c>
      <c r="H227">
        <f t="shared" si="6"/>
        <v>0</v>
      </c>
      <c r="J227">
        <f t="shared" si="7"/>
        <v>0</v>
      </c>
    </row>
    <row r="228" spans="1:10" x14ac:dyDescent="0.25">
      <c r="A228" t="s">
        <v>2208</v>
      </c>
      <c r="B228">
        <v>204</v>
      </c>
      <c r="C228">
        <f>_xlfn.XLOOKUP(Recon!A228,[1]Backup!AJ:AJ,[1]Backup!L:L)</f>
        <v>75.41</v>
      </c>
      <c r="D228">
        <f>_xlfn.XLOOKUP(Recon!A228,[1]Backup!AJ:AJ,[1]Backup!K:K)</f>
        <v>2.5639400000000001</v>
      </c>
      <c r="E228">
        <f>SUMIF('[1]PO Report'!A:A,Recon!A228,'[1]PO Report'!P:P)</f>
        <v>204</v>
      </c>
      <c r="F228">
        <f>VLOOKUP(A228,'[1]PO Report'!$A:$Z,15,0)</f>
        <v>75.41</v>
      </c>
      <c r="H228">
        <f t="shared" si="6"/>
        <v>0</v>
      </c>
      <c r="J228">
        <f t="shared" si="7"/>
        <v>0</v>
      </c>
    </row>
    <row r="229" spans="1:10" x14ac:dyDescent="0.25">
      <c r="A229" t="s">
        <v>2209</v>
      </c>
      <c r="B229">
        <v>4</v>
      </c>
      <c r="C229">
        <f>_xlfn.XLOOKUP(Recon!A229,[1]Backup!AJ:AJ,[1]Backup!L:L)</f>
        <v>44.84</v>
      </c>
      <c r="D229">
        <f>_xlfn.XLOOKUP(Recon!A229,[1]Backup!AJ:AJ,[1]Backup!K:K)</f>
        <v>1.5245599999999999</v>
      </c>
      <c r="E229">
        <f>SUMIF('[1]PO Report'!A:A,Recon!A229,'[1]PO Report'!P:P)</f>
        <v>4</v>
      </c>
      <c r="F229">
        <f>VLOOKUP(A229,'[1]PO Report'!$A:$Z,15,0)</f>
        <v>44.84</v>
      </c>
      <c r="H229">
        <f t="shared" si="6"/>
        <v>0</v>
      </c>
      <c r="J229">
        <f t="shared" si="7"/>
        <v>0</v>
      </c>
    </row>
    <row r="230" spans="1:10" x14ac:dyDescent="0.25">
      <c r="A230" t="s">
        <v>2210</v>
      </c>
      <c r="B230">
        <v>24</v>
      </c>
      <c r="C230">
        <f>_xlfn.XLOOKUP(Recon!A230,[1]Backup!AJ:AJ,[1]Backup!L:L)</f>
        <v>83.89</v>
      </c>
      <c r="D230">
        <f>_xlfn.XLOOKUP(Recon!A230,[1]Backup!AJ:AJ,[1]Backup!K:K)</f>
        <v>2.8522599999999998</v>
      </c>
      <c r="E230">
        <f>SUMIF('[1]PO Report'!A:A,Recon!A230,'[1]PO Report'!P:P)</f>
        <v>24</v>
      </c>
      <c r="F230">
        <f>VLOOKUP(A230,'[1]PO Report'!$A:$Z,15,0)</f>
        <v>83.89</v>
      </c>
      <c r="H230">
        <f t="shared" si="6"/>
        <v>0</v>
      </c>
      <c r="J230">
        <f t="shared" si="7"/>
        <v>0</v>
      </c>
    </row>
    <row r="231" spans="1:10" x14ac:dyDescent="0.25">
      <c r="A231" t="s">
        <v>2211</v>
      </c>
      <c r="B231">
        <v>190</v>
      </c>
      <c r="C231">
        <f>_xlfn.XLOOKUP(Recon!A231,[1]Backup!AJ:AJ,[1]Backup!L:L)</f>
        <v>16.39</v>
      </c>
      <c r="D231">
        <f>_xlfn.XLOOKUP(Recon!A231,[1]Backup!AJ:AJ,[1]Backup!K:K)</f>
        <v>0.55725999999999998</v>
      </c>
      <c r="E231">
        <f>SUMIF('[1]PO Report'!A:A,Recon!A231,'[1]PO Report'!P:P)</f>
        <v>190</v>
      </c>
      <c r="F231">
        <f>VLOOKUP(A231,'[1]PO Report'!$A:$Z,15,0)</f>
        <v>16.39</v>
      </c>
      <c r="H231">
        <f t="shared" si="6"/>
        <v>0</v>
      </c>
      <c r="J231">
        <f t="shared" si="7"/>
        <v>0</v>
      </c>
    </row>
    <row r="232" spans="1:10" x14ac:dyDescent="0.25">
      <c r="A232" t="s">
        <v>2212</v>
      </c>
      <c r="B232">
        <v>104</v>
      </c>
      <c r="C232">
        <f>_xlfn.XLOOKUP(Recon!A232,[1]Backup!AJ:AJ,[1]Backup!L:L)</f>
        <v>44.84</v>
      </c>
      <c r="D232">
        <f>_xlfn.XLOOKUP(Recon!A232,[1]Backup!AJ:AJ,[1]Backup!K:K)</f>
        <v>1.5245599999999999</v>
      </c>
      <c r="E232">
        <f>SUMIF('[1]PO Report'!A:A,Recon!A232,'[1]PO Report'!P:P)</f>
        <v>104</v>
      </c>
      <c r="F232">
        <f>VLOOKUP(A232,'[1]PO Report'!$A:$Z,15,0)</f>
        <v>44.84</v>
      </c>
      <c r="H232">
        <f t="shared" si="6"/>
        <v>0</v>
      </c>
      <c r="J232">
        <f t="shared" si="7"/>
        <v>0</v>
      </c>
    </row>
    <row r="233" spans="1:10" x14ac:dyDescent="0.25">
      <c r="A233" t="s">
        <v>2213</v>
      </c>
      <c r="B233">
        <v>40</v>
      </c>
      <c r="C233">
        <f>_xlfn.XLOOKUP(Recon!A233,[1]Backup!AJ:AJ,[1]Backup!L:L)</f>
        <v>75.39</v>
      </c>
      <c r="D233">
        <f>_xlfn.XLOOKUP(Recon!A233,[1]Backup!AJ:AJ,[1]Backup!K:K)</f>
        <v>2.5632600000000001</v>
      </c>
      <c r="E233">
        <f>SUMIF('[1]PO Report'!A:A,Recon!A233,'[1]PO Report'!P:P)</f>
        <v>40</v>
      </c>
      <c r="F233">
        <f>VLOOKUP(A233,'[1]PO Report'!$A:$Z,15,0)</f>
        <v>75.39</v>
      </c>
      <c r="H233">
        <f t="shared" si="6"/>
        <v>0</v>
      </c>
      <c r="J233">
        <f t="shared" si="7"/>
        <v>0</v>
      </c>
    </row>
    <row r="234" spans="1:10" x14ac:dyDescent="0.25">
      <c r="A234" t="s">
        <v>2214</v>
      </c>
      <c r="B234">
        <v>6</v>
      </c>
      <c r="C234">
        <f>_xlfn.XLOOKUP(Recon!A234,[1]Backup!AJ:AJ,[1]Backup!L:L)</f>
        <v>35.130000000000003</v>
      </c>
      <c r="D234">
        <f>_xlfn.XLOOKUP(Recon!A234,[1]Backup!AJ:AJ,[1]Backup!K:K)</f>
        <v>1.19442</v>
      </c>
      <c r="E234">
        <f>SUMIF('[1]PO Report'!A:A,Recon!A234,'[1]PO Report'!P:P)</f>
        <v>6</v>
      </c>
      <c r="F234">
        <f>VLOOKUP(A234,'[1]PO Report'!$A:$Z,15,0)</f>
        <v>35.130000000000003</v>
      </c>
      <c r="H234">
        <f t="shared" si="6"/>
        <v>0</v>
      </c>
      <c r="J234">
        <f t="shared" si="7"/>
        <v>0</v>
      </c>
    </row>
    <row r="235" spans="1:10" x14ac:dyDescent="0.25">
      <c r="A235" t="s">
        <v>2215</v>
      </c>
      <c r="B235">
        <v>20</v>
      </c>
      <c r="C235">
        <f>_xlfn.XLOOKUP(Recon!A235,[1]Backup!AJ:AJ,[1]Backup!L:L)</f>
        <v>9.36</v>
      </c>
      <c r="D235">
        <f>_xlfn.XLOOKUP(Recon!A235,[1]Backup!AJ:AJ,[1]Backup!K:K)</f>
        <v>0.31823999999999997</v>
      </c>
      <c r="E235">
        <f>SUMIF('[1]PO Report'!A:A,Recon!A235,'[1]PO Report'!P:P)</f>
        <v>20</v>
      </c>
      <c r="F235">
        <f>VLOOKUP(A235,'[1]PO Report'!$A:$Z,15,0)</f>
        <v>9.36</v>
      </c>
      <c r="H235">
        <f t="shared" si="6"/>
        <v>0</v>
      </c>
      <c r="J235">
        <f t="shared" si="7"/>
        <v>0</v>
      </c>
    </row>
    <row r="236" spans="1:10" x14ac:dyDescent="0.25">
      <c r="A236" t="s">
        <v>2216</v>
      </c>
      <c r="B236">
        <v>8</v>
      </c>
      <c r="C236">
        <f>_xlfn.XLOOKUP(Recon!A236,[1]Backup!AJ:AJ,[1]Backup!L:L)</f>
        <v>42.2</v>
      </c>
      <c r="D236">
        <f>_xlfn.XLOOKUP(Recon!A236,[1]Backup!AJ:AJ,[1]Backup!K:K)</f>
        <v>1.4348000000000001</v>
      </c>
      <c r="E236">
        <f>SUMIF('[1]PO Report'!A:A,Recon!A236,'[1]PO Report'!P:P)</f>
        <v>8</v>
      </c>
      <c r="F236">
        <f>VLOOKUP(A236,'[1]PO Report'!$A:$Z,15,0)</f>
        <v>42.2</v>
      </c>
      <c r="H236">
        <f t="shared" si="6"/>
        <v>0</v>
      </c>
      <c r="J236">
        <f t="shared" si="7"/>
        <v>0</v>
      </c>
    </row>
    <row r="237" spans="1:10" x14ac:dyDescent="0.25">
      <c r="A237" t="s">
        <v>2217</v>
      </c>
      <c r="B237">
        <v>27</v>
      </c>
      <c r="C237">
        <f>_xlfn.XLOOKUP(Recon!A237,[1]Backup!AJ:AJ,[1]Backup!L:L)</f>
        <v>226.35</v>
      </c>
      <c r="D237">
        <f>_xlfn.XLOOKUP(Recon!A237,[1]Backup!AJ:AJ,[1]Backup!K:K)</f>
        <v>7.6959</v>
      </c>
      <c r="E237">
        <f>SUMIF('[1]PO Report'!A:A,Recon!A237,'[1]PO Report'!P:P)</f>
        <v>27</v>
      </c>
      <c r="F237">
        <f>VLOOKUP(A237,'[1]PO Report'!$A:$Z,15,0)</f>
        <v>226.35</v>
      </c>
      <c r="H237">
        <f t="shared" si="6"/>
        <v>0</v>
      </c>
      <c r="J237">
        <f t="shared" si="7"/>
        <v>0</v>
      </c>
    </row>
    <row r="238" spans="1:10" x14ac:dyDescent="0.25">
      <c r="A238" t="s">
        <v>2218</v>
      </c>
      <c r="B238">
        <v>10</v>
      </c>
      <c r="C238">
        <f>_xlfn.XLOOKUP(Recon!A238,[1]Backup!AJ:AJ,[1]Backup!L:L)</f>
        <v>17.559999999999999</v>
      </c>
      <c r="D238">
        <f>_xlfn.XLOOKUP(Recon!A238,[1]Backup!AJ:AJ,[1]Backup!K:K)</f>
        <v>0.59704000000000002</v>
      </c>
      <c r="E238">
        <f>SUMIF('[1]PO Report'!A:A,Recon!A238,'[1]PO Report'!P:P)</f>
        <v>10</v>
      </c>
      <c r="F238">
        <f>VLOOKUP(A238,'[1]PO Report'!$A:$Z,15,0)</f>
        <v>17.559999999999999</v>
      </c>
      <c r="H238">
        <f t="shared" si="6"/>
        <v>0</v>
      </c>
      <c r="J238">
        <f t="shared" si="7"/>
        <v>0</v>
      </c>
    </row>
    <row r="239" spans="1:10" x14ac:dyDescent="0.25">
      <c r="A239" t="s">
        <v>2219</v>
      </c>
      <c r="B239">
        <v>1</v>
      </c>
      <c r="C239">
        <f>_xlfn.XLOOKUP(Recon!A239,[1]Backup!AJ:AJ,[1]Backup!L:L)</f>
        <v>221.07</v>
      </c>
      <c r="D239">
        <f>_xlfn.XLOOKUP(Recon!A239,[1]Backup!AJ:AJ,[1]Backup!K:K)</f>
        <v>7.5163799999999998</v>
      </c>
      <c r="E239">
        <f>SUMIF('[1]PO Report'!A:A,Recon!A239,'[1]PO Report'!P:P)</f>
        <v>113</v>
      </c>
      <c r="F239">
        <f>VLOOKUP(A239,'[1]PO Report'!$A:$Z,15,0)</f>
        <v>221.07</v>
      </c>
      <c r="H239">
        <f t="shared" si="6"/>
        <v>-112</v>
      </c>
      <c r="J239">
        <f t="shared" si="7"/>
        <v>0</v>
      </c>
    </row>
    <row r="240" spans="1:10" x14ac:dyDescent="0.25">
      <c r="A240" t="s">
        <v>2220</v>
      </c>
      <c r="B240">
        <v>2870</v>
      </c>
      <c r="C240">
        <f>_xlfn.XLOOKUP(Recon!A240,[1]Backup!AJ:AJ,[1]Backup!L:L)</f>
        <v>16.39</v>
      </c>
      <c r="D240">
        <f>_xlfn.XLOOKUP(Recon!A240,[1]Backup!AJ:AJ,[1]Backup!K:K)</f>
        <v>0.55725999999999998</v>
      </c>
      <c r="E240">
        <f>SUMIF('[1]PO Report'!A:A,Recon!A240,'[1]PO Report'!P:P)</f>
        <v>2820</v>
      </c>
      <c r="F240">
        <f>VLOOKUP(A240,'[1]PO Report'!$A:$Z,15,0)</f>
        <v>16.39</v>
      </c>
      <c r="H240">
        <f t="shared" si="6"/>
        <v>50</v>
      </c>
      <c r="I240">
        <f>H240*D240</f>
        <v>27.863</v>
      </c>
      <c r="J240">
        <f t="shared" si="7"/>
        <v>0</v>
      </c>
    </row>
    <row r="241" spans="1:10" x14ac:dyDescent="0.25">
      <c r="A241" t="s">
        <v>2221</v>
      </c>
      <c r="B241">
        <v>12</v>
      </c>
      <c r="C241">
        <f>_xlfn.XLOOKUP(Recon!A241,[1]Backup!AJ:AJ,[1]Backup!L:L)</f>
        <v>29.28</v>
      </c>
      <c r="D241">
        <f>_xlfn.XLOOKUP(Recon!A241,[1]Backup!AJ:AJ,[1]Backup!K:K)</f>
        <v>0.99551999999999996</v>
      </c>
      <c r="E241">
        <f>SUMIF('[1]PO Report'!A:A,Recon!A241,'[1]PO Report'!P:P)</f>
        <v>12</v>
      </c>
      <c r="F241">
        <f>VLOOKUP(A241,'[1]PO Report'!$A:$Z,15,0)</f>
        <v>29.28</v>
      </c>
      <c r="H241">
        <f t="shared" si="6"/>
        <v>0</v>
      </c>
      <c r="J241">
        <f t="shared" si="7"/>
        <v>0</v>
      </c>
    </row>
    <row r="242" spans="1:10" x14ac:dyDescent="0.25">
      <c r="A242" t="s">
        <v>2222</v>
      </c>
      <c r="B242">
        <v>8</v>
      </c>
      <c r="C242">
        <f>_xlfn.XLOOKUP(Recon!A242,[1]Backup!AJ:AJ,[1]Backup!L:L)</f>
        <v>23.42</v>
      </c>
      <c r="D242">
        <f>_xlfn.XLOOKUP(Recon!A242,[1]Backup!AJ:AJ,[1]Backup!K:K)</f>
        <v>0.79627999999999999</v>
      </c>
      <c r="E242">
        <f>SUMIF('[1]PO Report'!A:A,Recon!A242,'[1]PO Report'!P:P)</f>
        <v>8</v>
      </c>
      <c r="F242">
        <f>VLOOKUP(A242,'[1]PO Report'!$A:$Z,15,0)</f>
        <v>23.42</v>
      </c>
      <c r="H242">
        <f t="shared" si="6"/>
        <v>0</v>
      </c>
      <c r="J242">
        <f t="shared" si="7"/>
        <v>0</v>
      </c>
    </row>
    <row r="243" spans="1:10" x14ac:dyDescent="0.25">
      <c r="A243" t="s">
        <v>2223</v>
      </c>
      <c r="B243">
        <v>8</v>
      </c>
      <c r="C243">
        <f>_xlfn.XLOOKUP(Recon!A243,[1]Backup!AJ:AJ,[1]Backup!L:L)</f>
        <v>32.21</v>
      </c>
      <c r="D243">
        <f>_xlfn.XLOOKUP(Recon!A243,[1]Backup!AJ:AJ,[1]Backup!K:K)</f>
        <v>1.09514</v>
      </c>
      <c r="E243">
        <f>SUMIF('[1]PO Report'!A:A,Recon!A243,'[1]PO Report'!P:P)</f>
        <v>8</v>
      </c>
      <c r="F243">
        <f>VLOOKUP(A243,'[1]PO Report'!$A:$Z,15,0)</f>
        <v>32.21</v>
      </c>
      <c r="H243">
        <f t="shared" si="6"/>
        <v>0</v>
      </c>
      <c r="J243">
        <f t="shared" si="7"/>
        <v>0</v>
      </c>
    </row>
    <row r="244" spans="1:10" x14ac:dyDescent="0.25">
      <c r="A244" t="s">
        <v>2224</v>
      </c>
      <c r="B244">
        <v>10</v>
      </c>
      <c r="C244">
        <f>_xlfn.XLOOKUP(Recon!A244,[1]Backup!AJ:AJ,[1]Backup!L:L)</f>
        <v>9.36</v>
      </c>
      <c r="D244">
        <f>_xlfn.XLOOKUP(Recon!A244,[1]Backup!AJ:AJ,[1]Backup!K:K)</f>
        <v>0.31823999999999997</v>
      </c>
      <c r="E244">
        <f>SUMIF('[1]PO Report'!A:A,Recon!A244,'[1]PO Report'!P:P)</f>
        <v>10</v>
      </c>
      <c r="F244">
        <f>VLOOKUP(A244,'[1]PO Report'!$A:$Z,15,0)</f>
        <v>9.36</v>
      </c>
      <c r="H244">
        <f t="shared" si="6"/>
        <v>0</v>
      </c>
      <c r="J244">
        <f t="shared" si="7"/>
        <v>0</v>
      </c>
    </row>
    <row r="245" spans="1:10" x14ac:dyDescent="0.25">
      <c r="A245" t="s">
        <v>2225</v>
      </c>
      <c r="B245">
        <v>248</v>
      </c>
      <c r="C245">
        <f>_xlfn.XLOOKUP(Recon!A245,[1]Backup!AJ:AJ,[1]Backup!L:L)</f>
        <v>32.21</v>
      </c>
      <c r="D245">
        <f>_xlfn.XLOOKUP(Recon!A245,[1]Backup!AJ:AJ,[1]Backup!K:K)</f>
        <v>1.09514</v>
      </c>
      <c r="E245">
        <f>SUMIF('[1]PO Report'!A:A,Recon!A245,'[1]PO Report'!P:P)</f>
        <v>248</v>
      </c>
      <c r="F245">
        <f>VLOOKUP(A245,'[1]PO Report'!$A:$Z,15,0)</f>
        <v>32.21</v>
      </c>
      <c r="H245">
        <f t="shared" si="6"/>
        <v>0</v>
      </c>
      <c r="J245">
        <f t="shared" si="7"/>
        <v>0</v>
      </c>
    </row>
    <row r="246" spans="1:10" x14ac:dyDescent="0.25">
      <c r="A246" t="s">
        <v>2226</v>
      </c>
      <c r="B246">
        <v>32</v>
      </c>
      <c r="C246">
        <f>_xlfn.XLOOKUP(Recon!A246,[1]Backup!AJ:AJ,[1]Backup!L:L)</f>
        <v>32.21</v>
      </c>
      <c r="D246">
        <f>_xlfn.XLOOKUP(Recon!A246,[1]Backup!AJ:AJ,[1]Backup!K:K)</f>
        <v>1.09514</v>
      </c>
      <c r="E246">
        <f>SUMIF('[1]PO Report'!A:A,Recon!A246,'[1]PO Report'!P:P)</f>
        <v>32</v>
      </c>
      <c r="F246">
        <f>VLOOKUP(A246,'[1]PO Report'!$A:$Z,15,0)</f>
        <v>32.21</v>
      </c>
      <c r="H246">
        <f t="shared" si="6"/>
        <v>0</v>
      </c>
      <c r="J246">
        <f t="shared" si="7"/>
        <v>0</v>
      </c>
    </row>
    <row r="247" spans="1:10" x14ac:dyDescent="0.25">
      <c r="A247" t="s">
        <v>2227</v>
      </c>
      <c r="B247">
        <v>328</v>
      </c>
      <c r="C247">
        <f>_xlfn.XLOOKUP(Recon!A247,[1]Backup!AJ:AJ,[1]Backup!L:L)</f>
        <v>58.56</v>
      </c>
      <c r="D247">
        <f>_xlfn.XLOOKUP(Recon!A247,[1]Backup!AJ:AJ,[1]Backup!K:K)</f>
        <v>1.9910399999999999</v>
      </c>
      <c r="E247">
        <f>SUMIF('[1]PO Report'!A:A,Recon!A247,'[1]PO Report'!P:P)</f>
        <v>328</v>
      </c>
      <c r="F247">
        <f>VLOOKUP(A247,'[1]PO Report'!$A:$Z,15,0)</f>
        <v>58.56</v>
      </c>
      <c r="H247">
        <f t="shared" si="6"/>
        <v>0</v>
      </c>
      <c r="J247">
        <f t="shared" si="7"/>
        <v>0</v>
      </c>
    </row>
    <row r="248" spans="1:10" x14ac:dyDescent="0.25">
      <c r="A248" t="s">
        <v>2228</v>
      </c>
      <c r="B248">
        <v>220</v>
      </c>
      <c r="C248">
        <f>_xlfn.XLOOKUP(Recon!A248,[1]Backup!AJ:AJ,[1]Backup!L:L)</f>
        <v>16.39</v>
      </c>
      <c r="D248">
        <f>_xlfn.XLOOKUP(Recon!A248,[1]Backup!AJ:AJ,[1]Backup!K:K)</f>
        <v>0.55725999999999998</v>
      </c>
      <c r="E248">
        <f>SUMIF('[1]PO Report'!A:A,Recon!A248,'[1]PO Report'!P:P)</f>
        <v>220</v>
      </c>
      <c r="F248">
        <f>VLOOKUP(A248,'[1]PO Report'!$A:$Z,15,0)</f>
        <v>16.39</v>
      </c>
      <c r="H248">
        <f t="shared" si="6"/>
        <v>0</v>
      </c>
      <c r="J248">
        <f t="shared" si="7"/>
        <v>0</v>
      </c>
    </row>
    <row r="249" spans="1:10" x14ac:dyDescent="0.25">
      <c r="A249" t="s">
        <v>2229</v>
      </c>
      <c r="B249">
        <v>2</v>
      </c>
      <c r="C249">
        <f>_xlfn.XLOOKUP(Recon!A249,[1]Backup!AJ:AJ,[1]Backup!L:L)</f>
        <v>94.44</v>
      </c>
      <c r="D249">
        <f>_xlfn.XLOOKUP(Recon!A249,[1]Backup!AJ:AJ,[1]Backup!K:K)</f>
        <v>3.21096</v>
      </c>
      <c r="E249">
        <f>SUMIF('[1]PO Report'!A:A,Recon!A249,'[1]PO Report'!P:P)</f>
        <v>2</v>
      </c>
      <c r="F249">
        <f>VLOOKUP(A249,'[1]PO Report'!$A:$Z,15,0)</f>
        <v>94.44</v>
      </c>
      <c r="H249">
        <f t="shared" si="6"/>
        <v>0</v>
      </c>
      <c r="J249">
        <f t="shared" si="7"/>
        <v>0</v>
      </c>
    </row>
    <row r="250" spans="1:10" x14ac:dyDescent="0.25">
      <c r="A250" t="s">
        <v>2230</v>
      </c>
      <c r="B250">
        <v>16</v>
      </c>
      <c r="C250">
        <f>_xlfn.XLOOKUP(Recon!A250,[1]Backup!AJ:AJ,[1]Backup!L:L)</f>
        <v>78.62</v>
      </c>
      <c r="D250">
        <f>_xlfn.XLOOKUP(Recon!A250,[1]Backup!AJ:AJ,[1]Backup!K:K)</f>
        <v>2.6730800000000001</v>
      </c>
      <c r="E250">
        <f>SUMIF('[1]PO Report'!A:A,Recon!A250,'[1]PO Report'!P:P)</f>
        <v>16</v>
      </c>
      <c r="F250">
        <f>VLOOKUP(A250,'[1]PO Report'!$A:$Z,15,0)</f>
        <v>78.62</v>
      </c>
      <c r="H250">
        <f t="shared" si="6"/>
        <v>0</v>
      </c>
      <c r="J250">
        <f t="shared" si="7"/>
        <v>0</v>
      </c>
    </row>
    <row r="251" spans="1:10" x14ac:dyDescent="0.25">
      <c r="A251" t="s">
        <v>2231</v>
      </c>
      <c r="B251">
        <v>980</v>
      </c>
      <c r="C251">
        <f>_xlfn.XLOOKUP(Recon!A251,[1]Backup!AJ:AJ,[1]Backup!L:L)</f>
        <v>36.93</v>
      </c>
      <c r="D251">
        <f>_xlfn.XLOOKUP(Recon!A251,[1]Backup!AJ:AJ,[1]Backup!K:K)</f>
        <v>1.25562</v>
      </c>
      <c r="E251">
        <f>SUMIF('[1]PO Report'!A:A,Recon!A251,'[1]PO Report'!P:P)</f>
        <v>980</v>
      </c>
      <c r="F251">
        <f>VLOOKUP(A251,'[1]PO Report'!$A:$Z,15,0)</f>
        <v>36.93</v>
      </c>
      <c r="H251">
        <f t="shared" si="6"/>
        <v>0</v>
      </c>
      <c r="J251">
        <f t="shared" si="7"/>
        <v>0</v>
      </c>
    </row>
    <row r="252" spans="1:10" x14ac:dyDescent="0.25">
      <c r="A252" t="s">
        <v>2232</v>
      </c>
      <c r="B252">
        <v>64</v>
      </c>
      <c r="C252">
        <f>_xlfn.XLOOKUP(Recon!A252,[1]Backup!AJ:AJ,[1]Backup!L:L)</f>
        <v>83</v>
      </c>
      <c r="D252">
        <f>_xlfn.XLOOKUP(Recon!A252,[1]Backup!AJ:AJ,[1]Backup!K:K)</f>
        <v>2.8220000000000001</v>
      </c>
      <c r="E252">
        <f>SUMIF('[1]PO Report'!A:A,Recon!A252,'[1]PO Report'!P:P)</f>
        <v>64</v>
      </c>
      <c r="F252">
        <f>VLOOKUP(A252,'[1]PO Report'!$A:$Z,15,0)</f>
        <v>83</v>
      </c>
      <c r="H252">
        <f t="shared" si="6"/>
        <v>0</v>
      </c>
      <c r="J252">
        <f t="shared" si="7"/>
        <v>0</v>
      </c>
    </row>
    <row r="253" spans="1:10" x14ac:dyDescent="0.25">
      <c r="A253" t="s">
        <v>2233</v>
      </c>
      <c r="B253">
        <v>56</v>
      </c>
      <c r="C253">
        <f>_xlfn.XLOOKUP(Recon!A253,[1]Backup!AJ:AJ,[1]Backup!L:L)</f>
        <v>79.73</v>
      </c>
      <c r="D253">
        <f>_xlfn.XLOOKUP(Recon!A253,[1]Backup!AJ:AJ,[1]Backup!K:K)</f>
        <v>2.7108199999999996</v>
      </c>
      <c r="E253">
        <f>SUMIF('[1]PO Report'!A:A,Recon!A253,'[1]PO Report'!P:P)</f>
        <v>56</v>
      </c>
      <c r="F253">
        <f>VLOOKUP(A253,'[1]PO Report'!$A:$Z,15,0)</f>
        <v>79.73</v>
      </c>
      <c r="H253">
        <f t="shared" si="6"/>
        <v>0</v>
      </c>
      <c r="J253">
        <f t="shared" si="7"/>
        <v>0</v>
      </c>
    </row>
    <row r="254" spans="1:10" x14ac:dyDescent="0.25">
      <c r="A254" t="s">
        <v>2234</v>
      </c>
      <c r="B254">
        <v>160</v>
      </c>
      <c r="C254">
        <f>_xlfn.XLOOKUP(Recon!A254,[1]Backup!AJ:AJ,[1]Backup!L:L)</f>
        <v>47.480000000000004</v>
      </c>
      <c r="D254">
        <f>_xlfn.XLOOKUP(Recon!A254,[1]Backup!AJ:AJ,[1]Backup!K:K)</f>
        <v>1.61432</v>
      </c>
      <c r="E254">
        <f>SUMIF('[1]PO Report'!A:A,Recon!A254,'[1]PO Report'!P:P)</f>
        <v>160</v>
      </c>
      <c r="F254">
        <f>VLOOKUP(A254,'[1]PO Report'!$A:$Z,15,0)</f>
        <v>47.48</v>
      </c>
      <c r="H254">
        <f t="shared" si="6"/>
        <v>0</v>
      </c>
      <c r="J254">
        <f t="shared" si="7"/>
        <v>0</v>
      </c>
    </row>
    <row r="255" spans="1:10" x14ac:dyDescent="0.25">
      <c r="A255" t="s">
        <v>2235</v>
      </c>
      <c r="B255">
        <v>216</v>
      </c>
      <c r="C255">
        <f>_xlfn.XLOOKUP(Recon!A255,[1]Backup!AJ:AJ,[1]Backup!L:L)</f>
        <v>42.86</v>
      </c>
      <c r="D255">
        <f>_xlfn.XLOOKUP(Recon!A255,[1]Backup!AJ:AJ,[1]Backup!K:K)</f>
        <v>1.4572400000000001</v>
      </c>
      <c r="E255">
        <f>SUMIF('[1]PO Report'!A:A,Recon!A255,'[1]PO Report'!P:P)</f>
        <v>216</v>
      </c>
      <c r="F255">
        <f>VLOOKUP(A255,'[1]PO Report'!$A:$Z,15,0)</f>
        <v>42.86</v>
      </c>
      <c r="H255">
        <f t="shared" si="6"/>
        <v>0</v>
      </c>
      <c r="J255">
        <f t="shared" si="7"/>
        <v>0</v>
      </c>
    </row>
    <row r="256" spans="1:10" x14ac:dyDescent="0.25">
      <c r="A256" t="s">
        <v>2236</v>
      </c>
      <c r="B256">
        <v>52</v>
      </c>
      <c r="C256">
        <f>_xlfn.XLOOKUP(Recon!A256,[1]Backup!AJ:AJ,[1]Backup!L:L)</f>
        <v>105</v>
      </c>
      <c r="D256">
        <f>_xlfn.XLOOKUP(Recon!A256,[1]Backup!AJ:AJ,[1]Backup!K:K)</f>
        <v>3.57</v>
      </c>
      <c r="E256">
        <f>SUMIF('[1]PO Report'!A:A,Recon!A256,'[1]PO Report'!P:P)</f>
        <v>52</v>
      </c>
      <c r="F256">
        <f>VLOOKUP(A256,'[1]PO Report'!$A:$Z,15,0)</f>
        <v>105</v>
      </c>
      <c r="H256">
        <f t="shared" si="6"/>
        <v>0</v>
      </c>
      <c r="J256">
        <f t="shared" si="7"/>
        <v>0</v>
      </c>
    </row>
    <row r="257" spans="1:10" x14ac:dyDescent="0.25">
      <c r="A257" t="s">
        <v>2237</v>
      </c>
      <c r="B257">
        <v>8</v>
      </c>
      <c r="C257">
        <f>_xlfn.XLOOKUP(Recon!A257,[1]Backup!AJ:AJ,[1]Backup!L:L)</f>
        <v>103.06</v>
      </c>
      <c r="D257">
        <f>_xlfn.XLOOKUP(Recon!A257,[1]Backup!AJ:AJ,[1]Backup!K:K)</f>
        <v>3.5040399999999998</v>
      </c>
      <c r="E257">
        <f>SUMIF('[1]PO Report'!A:A,Recon!A257,'[1]PO Report'!P:P)</f>
        <v>8</v>
      </c>
      <c r="F257">
        <f>VLOOKUP(A257,'[1]PO Report'!$A:$Z,15,0)</f>
        <v>103.06</v>
      </c>
      <c r="H257">
        <f t="shared" si="6"/>
        <v>0</v>
      </c>
      <c r="J257">
        <f t="shared" si="7"/>
        <v>0</v>
      </c>
    </row>
    <row r="258" spans="1:10" x14ac:dyDescent="0.25">
      <c r="A258" t="s">
        <v>2238</v>
      </c>
      <c r="B258">
        <v>372</v>
      </c>
      <c r="C258">
        <f>_xlfn.XLOOKUP(Recon!A258,[1]Backup!AJ:AJ,[1]Backup!L:L)</f>
        <v>73.34</v>
      </c>
      <c r="D258">
        <f>_xlfn.XLOOKUP(Recon!A258,[1]Backup!AJ:AJ,[1]Backup!K:K)</f>
        <v>2.49356</v>
      </c>
      <c r="E258">
        <f>SUMIF('[1]PO Report'!A:A,Recon!A258,'[1]PO Report'!P:P)</f>
        <v>372</v>
      </c>
      <c r="F258">
        <f>VLOOKUP(A258,'[1]PO Report'!$A:$Z,15,0)</f>
        <v>73.34</v>
      </c>
      <c r="H258">
        <f t="shared" si="6"/>
        <v>0</v>
      </c>
      <c r="J258">
        <f t="shared" si="7"/>
        <v>0</v>
      </c>
    </row>
    <row r="259" spans="1:10" x14ac:dyDescent="0.25">
      <c r="A259" t="s">
        <v>2239</v>
      </c>
      <c r="B259">
        <v>4</v>
      </c>
      <c r="C259">
        <f>_xlfn.XLOOKUP(Recon!A259,[1]Backup!AJ:AJ,[1]Backup!L:L)</f>
        <v>57.51</v>
      </c>
      <c r="D259">
        <f>_xlfn.XLOOKUP(Recon!A259,[1]Backup!AJ:AJ,[1]Backup!K:K)</f>
        <v>1.9553400000000001</v>
      </c>
      <c r="E259">
        <f>SUMIF('[1]PO Report'!A:A,Recon!A259,'[1]PO Report'!P:P)</f>
        <v>4</v>
      </c>
      <c r="F259">
        <f>VLOOKUP(A259,'[1]PO Report'!$A:$Z,15,0)</f>
        <v>57.51</v>
      </c>
      <c r="H259">
        <f t="shared" si="6"/>
        <v>0</v>
      </c>
      <c r="J259">
        <f t="shared" si="7"/>
        <v>0</v>
      </c>
    </row>
    <row r="260" spans="1:10" x14ac:dyDescent="0.25">
      <c r="A260" t="s">
        <v>2240</v>
      </c>
      <c r="B260">
        <v>12</v>
      </c>
      <c r="C260">
        <f>_xlfn.XLOOKUP(Recon!A260,[1]Backup!AJ:AJ,[1]Backup!L:L)</f>
        <v>35.130000000000003</v>
      </c>
      <c r="D260">
        <f>_xlfn.XLOOKUP(Recon!A260,[1]Backup!AJ:AJ,[1]Backup!K:K)</f>
        <v>1.19442</v>
      </c>
      <c r="E260">
        <f>SUMIF('[1]PO Report'!A:A,Recon!A260,'[1]PO Report'!P:P)</f>
        <v>12</v>
      </c>
      <c r="F260">
        <f>VLOOKUP(A260,'[1]PO Report'!$A:$Z,15,0)</f>
        <v>35.130000000000003</v>
      </c>
      <c r="H260">
        <f t="shared" ref="H260:H323" si="8">B260-E260</f>
        <v>0</v>
      </c>
      <c r="J260">
        <f t="shared" ref="J260:J323" si="9">C260-F260</f>
        <v>0</v>
      </c>
    </row>
    <row r="261" spans="1:10" x14ac:dyDescent="0.25">
      <c r="A261" t="s">
        <v>2241</v>
      </c>
      <c r="B261">
        <v>4</v>
      </c>
      <c r="C261">
        <f>_xlfn.XLOOKUP(Recon!A261,[1]Backup!AJ:AJ,[1]Backup!L:L)</f>
        <v>35.130000000000003</v>
      </c>
      <c r="D261">
        <f>_xlfn.XLOOKUP(Recon!A261,[1]Backup!AJ:AJ,[1]Backup!K:K)</f>
        <v>1.19442</v>
      </c>
      <c r="E261">
        <f>SUMIF('[1]PO Report'!A:A,Recon!A261,'[1]PO Report'!P:P)</f>
        <v>4</v>
      </c>
      <c r="F261">
        <f>VLOOKUP(A261,'[1]PO Report'!$A:$Z,15,0)</f>
        <v>35.130000000000003</v>
      </c>
      <c r="H261">
        <f t="shared" si="8"/>
        <v>0</v>
      </c>
      <c r="J261">
        <f t="shared" si="9"/>
        <v>0</v>
      </c>
    </row>
    <row r="262" spans="1:10" x14ac:dyDescent="0.25">
      <c r="A262" t="s">
        <v>2242</v>
      </c>
      <c r="B262">
        <v>10</v>
      </c>
      <c r="C262">
        <f>_xlfn.XLOOKUP(Recon!A262,[1]Backup!AJ:AJ,[1]Backup!L:L)</f>
        <v>26.369999999999997</v>
      </c>
      <c r="D262">
        <f>_xlfn.XLOOKUP(Recon!A262,[1]Backup!AJ:AJ,[1]Backup!K:K)</f>
        <v>0.89657999999999993</v>
      </c>
      <c r="E262">
        <f>SUMIF('[1]PO Report'!A:A,Recon!A262,'[1]PO Report'!P:P)</f>
        <v>10</v>
      </c>
      <c r="F262">
        <f>VLOOKUP(A262,'[1]PO Report'!$A:$Z,15,0)</f>
        <v>26.37</v>
      </c>
      <c r="H262">
        <f t="shared" si="8"/>
        <v>0</v>
      </c>
      <c r="J262">
        <f t="shared" si="9"/>
        <v>0</v>
      </c>
    </row>
    <row r="263" spans="1:10" x14ac:dyDescent="0.25">
      <c r="A263" t="s">
        <v>2243</v>
      </c>
      <c r="B263">
        <v>48</v>
      </c>
      <c r="C263">
        <f>_xlfn.XLOOKUP(Recon!A263,[1]Backup!AJ:AJ,[1]Backup!L:L)</f>
        <v>83.89</v>
      </c>
      <c r="D263">
        <f>_xlfn.XLOOKUP(Recon!A263,[1]Backup!AJ:AJ,[1]Backup!K:K)</f>
        <v>2.8522599999999998</v>
      </c>
      <c r="E263">
        <f>SUMIF('[1]PO Report'!A:A,Recon!A263,'[1]PO Report'!P:P)</f>
        <v>48</v>
      </c>
      <c r="F263">
        <f>VLOOKUP(A263,'[1]PO Report'!$A:$Z,15,0)</f>
        <v>83.89</v>
      </c>
      <c r="H263">
        <f t="shared" si="8"/>
        <v>0</v>
      </c>
      <c r="J263">
        <f t="shared" si="9"/>
        <v>0</v>
      </c>
    </row>
    <row r="264" spans="1:10" x14ac:dyDescent="0.25">
      <c r="A264" t="s">
        <v>2244</v>
      </c>
      <c r="B264">
        <v>10</v>
      </c>
      <c r="C264">
        <f>_xlfn.XLOOKUP(Recon!A264,[1]Backup!AJ:AJ,[1]Backup!L:L)</f>
        <v>31.9</v>
      </c>
      <c r="D264">
        <f>_xlfn.XLOOKUP(Recon!A264,[1]Backup!AJ:AJ,[1]Backup!K:K)</f>
        <v>1.0846</v>
      </c>
      <c r="E264">
        <f>SUMIF('[1]PO Report'!A:A,Recon!A264,'[1]PO Report'!P:P)</f>
        <v>10</v>
      </c>
      <c r="F264">
        <f>VLOOKUP(A264,'[1]PO Report'!$A:$Z,15,0)</f>
        <v>31.9</v>
      </c>
      <c r="H264">
        <f t="shared" si="8"/>
        <v>0</v>
      </c>
      <c r="J264">
        <f t="shared" si="9"/>
        <v>0</v>
      </c>
    </row>
    <row r="265" spans="1:10" x14ac:dyDescent="0.25">
      <c r="A265" t="s">
        <v>2245</v>
      </c>
      <c r="B265">
        <v>60</v>
      </c>
      <c r="C265">
        <f>_xlfn.XLOOKUP(Recon!A265,[1]Backup!AJ:AJ,[1]Backup!L:L)</f>
        <v>32.21</v>
      </c>
      <c r="D265">
        <f>_xlfn.XLOOKUP(Recon!A265,[1]Backup!AJ:AJ,[1]Backup!K:K)</f>
        <v>1.09514</v>
      </c>
      <c r="E265">
        <f>SUMIF('[1]PO Report'!A:A,Recon!A265,'[1]PO Report'!P:P)</f>
        <v>60</v>
      </c>
      <c r="F265">
        <f>VLOOKUP(A265,'[1]PO Report'!$A:$Z,15,0)</f>
        <v>32.21</v>
      </c>
      <c r="H265">
        <f t="shared" si="8"/>
        <v>0</v>
      </c>
      <c r="J265">
        <f t="shared" si="9"/>
        <v>0</v>
      </c>
    </row>
    <row r="266" spans="1:10" x14ac:dyDescent="0.25">
      <c r="A266" t="s">
        <v>2246</v>
      </c>
      <c r="B266">
        <v>44</v>
      </c>
      <c r="C266">
        <f>_xlfn.XLOOKUP(Recon!A266,[1]Backup!AJ:AJ,[1]Backup!L:L)</f>
        <v>36.93</v>
      </c>
      <c r="D266">
        <f>_xlfn.XLOOKUP(Recon!A266,[1]Backup!AJ:AJ,[1]Backup!K:K)</f>
        <v>1.2556200000000002</v>
      </c>
      <c r="E266">
        <f>SUMIF('[1]PO Report'!A:A,Recon!A266,'[1]PO Report'!P:P)</f>
        <v>44</v>
      </c>
      <c r="F266">
        <f>VLOOKUP(A266,'[1]PO Report'!$A:$Z,15,0)</f>
        <v>36.93</v>
      </c>
      <c r="H266">
        <f t="shared" si="8"/>
        <v>0</v>
      </c>
      <c r="J266">
        <f t="shared" si="9"/>
        <v>0</v>
      </c>
    </row>
    <row r="267" spans="1:10" x14ac:dyDescent="0.25">
      <c r="A267" t="s">
        <v>2247</v>
      </c>
      <c r="B267">
        <v>16</v>
      </c>
      <c r="C267">
        <f>_xlfn.XLOOKUP(Recon!A267,[1]Backup!AJ:AJ,[1]Backup!L:L)</f>
        <v>32.21</v>
      </c>
      <c r="D267">
        <f>_xlfn.XLOOKUP(Recon!A267,[1]Backup!AJ:AJ,[1]Backup!K:K)</f>
        <v>1.09514</v>
      </c>
      <c r="E267">
        <f>SUMIF('[1]PO Report'!A:A,Recon!A267,'[1]PO Report'!P:P)</f>
        <v>16</v>
      </c>
      <c r="F267">
        <f>VLOOKUP(A267,'[1]PO Report'!$A:$Z,15,0)</f>
        <v>32.21</v>
      </c>
      <c r="H267">
        <f t="shared" si="8"/>
        <v>0</v>
      </c>
      <c r="J267">
        <f t="shared" si="9"/>
        <v>0</v>
      </c>
    </row>
    <row r="268" spans="1:10" x14ac:dyDescent="0.25">
      <c r="A268" t="s">
        <v>2248</v>
      </c>
      <c r="B268">
        <v>8</v>
      </c>
      <c r="C268">
        <f>_xlfn.XLOOKUP(Recon!A268,[1]Backup!AJ:AJ,[1]Backup!L:L)</f>
        <v>69.58</v>
      </c>
      <c r="D268">
        <f>_xlfn.XLOOKUP(Recon!A268,[1]Backup!AJ:AJ,[1]Backup!K:K)</f>
        <v>2.36572</v>
      </c>
      <c r="E268">
        <f>SUMIF('[1]PO Report'!A:A,Recon!A268,'[1]PO Report'!P:P)</f>
        <v>8</v>
      </c>
      <c r="F268">
        <f>VLOOKUP(A268,'[1]PO Report'!$A:$Z,15,0)</f>
        <v>69.58</v>
      </c>
      <c r="H268">
        <f t="shared" si="8"/>
        <v>0</v>
      </c>
      <c r="J268">
        <f t="shared" si="9"/>
        <v>0</v>
      </c>
    </row>
    <row r="269" spans="1:10" x14ac:dyDescent="0.25">
      <c r="A269" t="s">
        <v>2249</v>
      </c>
      <c r="B269">
        <v>20</v>
      </c>
      <c r="C269">
        <f>_xlfn.XLOOKUP(Recon!A269,[1]Backup!AJ:AJ,[1]Backup!L:L)</f>
        <v>16.39</v>
      </c>
      <c r="D269">
        <f>_xlfn.XLOOKUP(Recon!A269,[1]Backup!AJ:AJ,[1]Backup!K:K)</f>
        <v>0.55726000000000009</v>
      </c>
      <c r="E269">
        <f>SUMIF('[1]PO Report'!A:A,Recon!A269,'[1]PO Report'!P:P)</f>
        <v>20</v>
      </c>
      <c r="F269">
        <f>VLOOKUP(A269,'[1]PO Report'!$A:$Z,15,0)</f>
        <v>16.39</v>
      </c>
      <c r="H269">
        <f t="shared" si="8"/>
        <v>0</v>
      </c>
      <c r="J269">
        <f t="shared" si="9"/>
        <v>0</v>
      </c>
    </row>
    <row r="270" spans="1:10" x14ac:dyDescent="0.25">
      <c r="A270" t="s">
        <v>2250</v>
      </c>
      <c r="B270">
        <v>10</v>
      </c>
      <c r="C270">
        <f>_xlfn.XLOOKUP(Recon!A270,[1]Backup!AJ:AJ,[1]Backup!L:L)</f>
        <v>81.210000000000008</v>
      </c>
      <c r="D270">
        <f>_xlfn.XLOOKUP(Recon!A270,[1]Backup!AJ:AJ,[1]Backup!K:K)</f>
        <v>2.7611400000000001</v>
      </c>
      <c r="E270">
        <f>SUMIF('[1]PO Report'!A:A,Recon!A270,'[1]PO Report'!P:P)</f>
        <v>10</v>
      </c>
      <c r="F270">
        <f>VLOOKUP(A270,'[1]PO Report'!$A:$Z,15,0)</f>
        <v>81.209999999999994</v>
      </c>
      <c r="H270">
        <f t="shared" si="8"/>
        <v>0</v>
      </c>
      <c r="J270">
        <f t="shared" si="9"/>
        <v>0</v>
      </c>
    </row>
    <row r="271" spans="1:10" x14ac:dyDescent="0.25">
      <c r="A271" t="s">
        <v>2251</v>
      </c>
      <c r="B271">
        <v>16</v>
      </c>
      <c r="C271">
        <f>_xlfn.XLOOKUP(Recon!A271,[1]Backup!AJ:AJ,[1]Backup!L:L)</f>
        <v>179.16</v>
      </c>
      <c r="D271">
        <f>_xlfn.XLOOKUP(Recon!A271,[1]Backup!AJ:AJ,[1]Backup!K:K)</f>
        <v>6.0914400000000004</v>
      </c>
      <c r="E271">
        <f>SUMIF('[1]PO Report'!A:A,Recon!A271,'[1]PO Report'!P:P)</f>
        <v>16</v>
      </c>
      <c r="F271">
        <f>VLOOKUP(A271,'[1]PO Report'!$A:$Z,15,0)</f>
        <v>179.16</v>
      </c>
      <c r="H271">
        <f t="shared" si="8"/>
        <v>0</v>
      </c>
      <c r="J271">
        <f t="shared" si="9"/>
        <v>0</v>
      </c>
    </row>
    <row r="272" spans="1:10" x14ac:dyDescent="0.25">
      <c r="A272" t="s">
        <v>2252</v>
      </c>
      <c r="B272">
        <v>30</v>
      </c>
      <c r="C272">
        <f>_xlfn.XLOOKUP(Recon!A272,[1]Backup!AJ:AJ,[1]Backup!L:L)</f>
        <v>31.9</v>
      </c>
      <c r="D272">
        <f>_xlfn.XLOOKUP(Recon!A272,[1]Backup!AJ:AJ,[1]Backup!K:K)</f>
        <v>1.0845999999999998</v>
      </c>
      <c r="E272">
        <f>SUMIF('[1]PO Report'!A:A,Recon!A272,'[1]PO Report'!P:P)</f>
        <v>30</v>
      </c>
      <c r="F272">
        <f>VLOOKUP(A272,'[1]PO Report'!$A:$Z,15,0)</f>
        <v>31.9</v>
      </c>
      <c r="H272">
        <f t="shared" si="8"/>
        <v>0</v>
      </c>
      <c r="J272">
        <f t="shared" si="9"/>
        <v>0</v>
      </c>
    </row>
    <row r="273" spans="1:10" x14ac:dyDescent="0.25">
      <c r="A273" t="s">
        <v>2253</v>
      </c>
      <c r="B273">
        <v>8</v>
      </c>
      <c r="C273">
        <f>_xlfn.XLOOKUP(Recon!A273,[1]Backup!AJ:AJ,[1]Backup!L:L)</f>
        <v>69.03</v>
      </c>
      <c r="D273">
        <f>_xlfn.XLOOKUP(Recon!A273,[1]Backup!AJ:AJ,[1]Backup!K:K)</f>
        <v>2.3470200000000001</v>
      </c>
      <c r="E273">
        <f>SUMIF('[1]PO Report'!A:A,Recon!A273,'[1]PO Report'!P:P)</f>
        <v>8</v>
      </c>
      <c r="F273">
        <f>VLOOKUP(A273,'[1]PO Report'!$A:$Z,15,0)</f>
        <v>69.03</v>
      </c>
      <c r="H273">
        <f t="shared" si="8"/>
        <v>0</v>
      </c>
      <c r="J273">
        <f t="shared" si="9"/>
        <v>0</v>
      </c>
    </row>
    <row r="274" spans="1:10" x14ac:dyDescent="0.25">
      <c r="A274" t="s">
        <v>2254</v>
      </c>
      <c r="B274">
        <v>272</v>
      </c>
      <c r="C274">
        <f>_xlfn.XLOOKUP(Recon!A274,[1]Backup!AJ:AJ,[1]Backup!L:L)</f>
        <v>81.209999999999994</v>
      </c>
      <c r="D274">
        <f>_xlfn.XLOOKUP(Recon!A274,[1]Backup!AJ:AJ,[1]Backup!K:K)</f>
        <v>2.7611400000000001</v>
      </c>
      <c r="E274">
        <f>SUMIF('[1]PO Report'!A:A,Recon!A274,'[1]PO Report'!P:P)</f>
        <v>272</v>
      </c>
      <c r="F274">
        <f>VLOOKUP(A274,'[1]PO Report'!$A:$Z,15,0)</f>
        <v>81.209999999999994</v>
      </c>
      <c r="H274">
        <f t="shared" si="8"/>
        <v>0</v>
      </c>
      <c r="J274">
        <f t="shared" si="9"/>
        <v>0</v>
      </c>
    </row>
    <row r="275" spans="1:10" x14ac:dyDescent="0.25">
      <c r="A275" t="s">
        <v>2255</v>
      </c>
      <c r="B275">
        <v>8</v>
      </c>
      <c r="C275">
        <f>_xlfn.XLOOKUP(Recon!A275,[1]Backup!AJ:AJ,[1]Backup!L:L)</f>
        <v>63.23</v>
      </c>
      <c r="D275">
        <f>_xlfn.XLOOKUP(Recon!A275,[1]Backup!AJ:AJ,[1]Backup!K:K)</f>
        <v>2.1498200000000001</v>
      </c>
      <c r="E275">
        <f>SUMIF('[1]PO Report'!A:A,Recon!A275,'[1]PO Report'!P:P)</f>
        <v>8</v>
      </c>
      <c r="F275">
        <f>VLOOKUP(A275,'[1]PO Report'!$A:$Z,15,0)</f>
        <v>63.23</v>
      </c>
      <c r="H275">
        <f t="shared" si="8"/>
        <v>0</v>
      </c>
      <c r="J275">
        <f t="shared" si="9"/>
        <v>0</v>
      </c>
    </row>
    <row r="276" spans="1:10" x14ac:dyDescent="0.25">
      <c r="A276" t="s">
        <v>2256</v>
      </c>
      <c r="B276">
        <v>180</v>
      </c>
      <c r="C276">
        <f>_xlfn.XLOOKUP(Recon!A276,[1]Backup!AJ:AJ,[1]Backup!L:L)</f>
        <v>26.35</v>
      </c>
      <c r="D276">
        <f>_xlfn.XLOOKUP(Recon!A276,[1]Backup!AJ:AJ,[1]Backup!K:K)</f>
        <v>0.89590000000000003</v>
      </c>
      <c r="E276">
        <f>SUMIF('[1]PO Report'!A:A,Recon!A276,'[1]PO Report'!P:P)</f>
        <v>180</v>
      </c>
      <c r="F276">
        <f>VLOOKUP(A276,'[1]PO Report'!$A:$Z,15,0)</f>
        <v>26.35</v>
      </c>
      <c r="H276">
        <f t="shared" si="8"/>
        <v>0</v>
      </c>
      <c r="J276">
        <f t="shared" si="9"/>
        <v>0</v>
      </c>
    </row>
    <row r="277" spans="1:10" x14ac:dyDescent="0.25">
      <c r="A277" t="s">
        <v>2257</v>
      </c>
      <c r="B277">
        <v>10</v>
      </c>
      <c r="C277">
        <f>_xlfn.XLOOKUP(Recon!A277,[1]Backup!AJ:AJ,[1]Backup!L:L)</f>
        <v>29.28</v>
      </c>
      <c r="D277">
        <f>_xlfn.XLOOKUP(Recon!A277,[1]Backup!AJ:AJ,[1]Backup!K:K)</f>
        <v>0.99551999999999996</v>
      </c>
      <c r="E277">
        <f>SUMIF('[1]PO Report'!A:A,Recon!A277,'[1]PO Report'!P:P)</f>
        <v>10</v>
      </c>
      <c r="F277">
        <f>VLOOKUP(A277,'[1]PO Report'!$A:$Z,15,0)</f>
        <v>29.28</v>
      </c>
      <c r="H277">
        <f t="shared" si="8"/>
        <v>0</v>
      </c>
      <c r="J277">
        <f t="shared" si="9"/>
        <v>0</v>
      </c>
    </row>
    <row r="278" spans="1:10" x14ac:dyDescent="0.25">
      <c r="A278" t="s">
        <v>2258</v>
      </c>
      <c r="B278">
        <v>16</v>
      </c>
      <c r="C278">
        <f>_xlfn.XLOOKUP(Recon!A278,[1]Backup!AJ:AJ,[1]Backup!L:L)</f>
        <v>32.21</v>
      </c>
      <c r="D278">
        <f>_xlfn.XLOOKUP(Recon!A278,[1]Backup!AJ:AJ,[1]Backup!K:K)</f>
        <v>1.09514</v>
      </c>
      <c r="E278">
        <f>SUMIF('[1]PO Report'!A:A,Recon!A278,'[1]PO Report'!P:P)</f>
        <v>8</v>
      </c>
      <c r="F278">
        <f>VLOOKUP(A278,'[1]PO Report'!$A:$Z,15,0)</f>
        <v>32.21</v>
      </c>
      <c r="H278">
        <f t="shared" si="8"/>
        <v>8</v>
      </c>
      <c r="I278">
        <f>H278*D278</f>
        <v>8.76112</v>
      </c>
      <c r="J278">
        <f t="shared" si="9"/>
        <v>0</v>
      </c>
    </row>
    <row r="279" spans="1:10" x14ac:dyDescent="0.25">
      <c r="A279" t="s">
        <v>2259</v>
      </c>
      <c r="B279">
        <v>64</v>
      </c>
      <c r="C279">
        <f>_xlfn.XLOOKUP(Recon!A279,[1]Backup!AJ:AJ,[1]Backup!L:L)</f>
        <v>32.21</v>
      </c>
      <c r="D279">
        <f>_xlfn.XLOOKUP(Recon!A279,[1]Backup!AJ:AJ,[1]Backup!K:K)</f>
        <v>1.09514</v>
      </c>
      <c r="E279">
        <f>SUMIF('[1]PO Report'!A:A,Recon!A279,'[1]PO Report'!P:P)</f>
        <v>64</v>
      </c>
      <c r="F279">
        <f>VLOOKUP(A279,'[1]PO Report'!$A:$Z,15,0)</f>
        <v>32.21</v>
      </c>
      <c r="H279">
        <f t="shared" si="8"/>
        <v>0</v>
      </c>
      <c r="J279">
        <f t="shared" si="9"/>
        <v>0</v>
      </c>
    </row>
    <row r="280" spans="1:10" x14ac:dyDescent="0.25">
      <c r="A280" t="s">
        <v>2260</v>
      </c>
      <c r="B280">
        <v>8</v>
      </c>
      <c r="C280">
        <f>_xlfn.XLOOKUP(Recon!A280,[1]Backup!AJ:AJ,[1]Backup!L:L)</f>
        <v>133.41999999999999</v>
      </c>
      <c r="D280">
        <f>_xlfn.XLOOKUP(Recon!A280,[1]Backup!AJ:AJ,[1]Backup!K:K)</f>
        <v>4.5362799999999996</v>
      </c>
      <c r="E280">
        <f>SUMIF('[1]PO Report'!A:A,Recon!A280,'[1]PO Report'!P:P)</f>
        <v>8</v>
      </c>
      <c r="F280">
        <f>VLOOKUP(A280,'[1]PO Report'!$A:$Z,15,0)</f>
        <v>133.41999999999999</v>
      </c>
      <c r="H280">
        <f t="shared" si="8"/>
        <v>0</v>
      </c>
      <c r="J280">
        <f t="shared" si="9"/>
        <v>0</v>
      </c>
    </row>
    <row r="281" spans="1:10" x14ac:dyDescent="0.25">
      <c r="A281" t="s">
        <v>2261</v>
      </c>
      <c r="B281">
        <v>12</v>
      </c>
      <c r="C281">
        <f>_xlfn.XLOOKUP(Recon!A281,[1]Backup!AJ:AJ,[1]Backup!L:L)</f>
        <v>73.34</v>
      </c>
      <c r="D281">
        <f>_xlfn.XLOOKUP(Recon!A281,[1]Backup!AJ:AJ,[1]Backup!K:K)</f>
        <v>2.49356</v>
      </c>
      <c r="E281">
        <f>SUMIF('[1]PO Report'!A:A,Recon!A281,'[1]PO Report'!P:P)</f>
        <v>12</v>
      </c>
      <c r="F281">
        <f>VLOOKUP(A281,'[1]PO Report'!$A:$Z,15,0)</f>
        <v>73.34</v>
      </c>
      <c r="H281">
        <f t="shared" si="8"/>
        <v>0</v>
      </c>
      <c r="J281">
        <f t="shared" si="9"/>
        <v>0</v>
      </c>
    </row>
    <row r="282" spans="1:10" x14ac:dyDescent="0.25">
      <c r="A282" t="s">
        <v>2262</v>
      </c>
      <c r="B282">
        <v>4</v>
      </c>
      <c r="C282">
        <f>_xlfn.XLOOKUP(Recon!A282,[1]Backup!AJ:AJ,[1]Backup!L:L)</f>
        <v>69.03</v>
      </c>
      <c r="D282">
        <f>_xlfn.XLOOKUP(Recon!A282,[1]Backup!AJ:AJ,[1]Backup!K:K)</f>
        <v>2.3470200000000001</v>
      </c>
      <c r="E282">
        <f>SUMIF('[1]PO Report'!A:A,Recon!A282,'[1]PO Report'!P:P)</f>
        <v>4</v>
      </c>
      <c r="F282">
        <f>VLOOKUP(A282,'[1]PO Report'!$A:$Z,15,0)</f>
        <v>69.03</v>
      </c>
      <c r="H282">
        <f t="shared" si="8"/>
        <v>0</v>
      </c>
      <c r="J282">
        <f t="shared" si="9"/>
        <v>0</v>
      </c>
    </row>
    <row r="283" spans="1:10" x14ac:dyDescent="0.25">
      <c r="A283" t="s">
        <v>2263</v>
      </c>
      <c r="B283">
        <v>40</v>
      </c>
      <c r="C283">
        <f>_xlfn.XLOOKUP(Recon!A283,[1]Backup!AJ:AJ,[1]Backup!L:L)</f>
        <v>16.39</v>
      </c>
      <c r="D283">
        <f>_xlfn.XLOOKUP(Recon!A283,[1]Backup!AJ:AJ,[1]Backup!K:K)</f>
        <v>0.55726000000000009</v>
      </c>
      <c r="E283">
        <f>SUMIF('[1]PO Report'!A:A,Recon!A283,'[1]PO Report'!P:P)</f>
        <v>40</v>
      </c>
      <c r="F283">
        <f>VLOOKUP(A283,'[1]PO Report'!$A:$Z,15,0)</f>
        <v>16.39</v>
      </c>
      <c r="H283">
        <f t="shared" si="8"/>
        <v>0</v>
      </c>
      <c r="J283">
        <f t="shared" si="9"/>
        <v>0</v>
      </c>
    </row>
    <row r="284" spans="1:10" x14ac:dyDescent="0.25">
      <c r="A284" t="s">
        <v>2264</v>
      </c>
      <c r="B284">
        <v>72</v>
      </c>
      <c r="C284">
        <f>_xlfn.XLOOKUP(Recon!A284,[1]Backup!AJ:AJ,[1]Backup!L:L)</f>
        <v>32.21</v>
      </c>
      <c r="D284">
        <f>_xlfn.XLOOKUP(Recon!A284,[1]Backup!AJ:AJ,[1]Backup!K:K)</f>
        <v>1.09514</v>
      </c>
      <c r="E284">
        <f>SUMIF('[1]PO Report'!A:A,Recon!A284,'[1]PO Report'!P:P)</f>
        <v>72</v>
      </c>
      <c r="F284">
        <f>VLOOKUP(A284,'[1]PO Report'!$A:$Z,15,0)</f>
        <v>32.21</v>
      </c>
      <c r="H284">
        <f t="shared" si="8"/>
        <v>0</v>
      </c>
      <c r="J284">
        <f t="shared" si="9"/>
        <v>0</v>
      </c>
    </row>
    <row r="285" spans="1:10" x14ac:dyDescent="0.25">
      <c r="A285" t="s">
        <v>2265</v>
      </c>
      <c r="B285">
        <v>12</v>
      </c>
      <c r="C285">
        <f>_xlfn.XLOOKUP(Recon!A285,[1]Backup!AJ:AJ,[1]Backup!L:L)</f>
        <v>55.1</v>
      </c>
      <c r="D285">
        <f>_xlfn.XLOOKUP(Recon!A285,[1]Backup!AJ:AJ,[1]Backup!K:K)</f>
        <v>1.8734</v>
      </c>
      <c r="E285">
        <f>SUMIF('[1]PO Report'!A:A,Recon!A285,'[1]PO Report'!P:P)</f>
        <v>12</v>
      </c>
      <c r="F285">
        <f>VLOOKUP(A285,'[1]PO Report'!$A:$Z,15,0)</f>
        <v>55.1</v>
      </c>
      <c r="H285">
        <f t="shared" si="8"/>
        <v>0</v>
      </c>
      <c r="J285">
        <f t="shared" si="9"/>
        <v>0</v>
      </c>
    </row>
    <row r="286" spans="1:10" x14ac:dyDescent="0.25">
      <c r="A286" t="s">
        <v>2266</v>
      </c>
      <c r="B286">
        <v>4</v>
      </c>
      <c r="C286">
        <f>_xlfn.XLOOKUP(Recon!A286,[1]Backup!AJ:AJ,[1]Backup!L:L)</f>
        <v>63.23</v>
      </c>
      <c r="D286">
        <f>_xlfn.XLOOKUP(Recon!A286,[1]Backup!AJ:AJ,[1]Backup!K:K)</f>
        <v>2.1498200000000001</v>
      </c>
      <c r="E286">
        <f>SUMIF('[1]PO Report'!A:A,Recon!A286,'[1]PO Report'!P:P)</f>
        <v>4</v>
      </c>
      <c r="F286">
        <f>VLOOKUP(A286,'[1]PO Report'!$A:$Z,15,0)</f>
        <v>63.23</v>
      </c>
      <c r="H286">
        <f t="shared" si="8"/>
        <v>0</v>
      </c>
      <c r="J286">
        <f t="shared" si="9"/>
        <v>0</v>
      </c>
    </row>
    <row r="287" spans="1:10" x14ac:dyDescent="0.25">
      <c r="A287" t="s">
        <v>2267</v>
      </c>
      <c r="B287">
        <v>24</v>
      </c>
      <c r="C287">
        <f>_xlfn.XLOOKUP(Recon!A287,[1]Backup!AJ:AJ,[1]Backup!L:L)</f>
        <v>40.6</v>
      </c>
      <c r="D287">
        <f>_xlfn.XLOOKUP(Recon!A287,[1]Backup!AJ:AJ,[1]Backup!K:K)</f>
        <v>1.3804000000000001</v>
      </c>
      <c r="E287">
        <f>SUMIF('[1]PO Report'!A:A,Recon!A287,'[1]PO Report'!P:P)</f>
        <v>24</v>
      </c>
      <c r="F287">
        <f>VLOOKUP(A287,'[1]PO Report'!$A:$Z,15,0)</f>
        <v>40.6</v>
      </c>
      <c r="H287">
        <f t="shared" si="8"/>
        <v>0</v>
      </c>
      <c r="J287">
        <f t="shared" si="9"/>
        <v>0</v>
      </c>
    </row>
    <row r="288" spans="1:10" x14ac:dyDescent="0.25">
      <c r="A288" t="s">
        <v>2268</v>
      </c>
      <c r="B288">
        <v>268</v>
      </c>
      <c r="C288">
        <f>_xlfn.XLOOKUP(Recon!A288,[1]Backup!AJ:AJ,[1]Backup!L:L)</f>
        <v>83.89</v>
      </c>
      <c r="D288">
        <f>_xlfn.XLOOKUP(Recon!A288,[1]Backup!AJ:AJ,[1]Backup!K:K)</f>
        <v>2.8522599999999998</v>
      </c>
      <c r="E288">
        <f>SUMIF('[1]PO Report'!A:A,Recon!A288,'[1]PO Report'!P:P)</f>
        <v>268</v>
      </c>
      <c r="F288">
        <f>VLOOKUP(A288,'[1]PO Report'!$A:$Z,15,0)</f>
        <v>83.89</v>
      </c>
      <c r="H288">
        <f t="shared" si="8"/>
        <v>0</v>
      </c>
      <c r="J288">
        <f t="shared" si="9"/>
        <v>0</v>
      </c>
    </row>
    <row r="289" spans="1:10" x14ac:dyDescent="0.25">
      <c r="A289" t="s">
        <v>2269</v>
      </c>
      <c r="B289">
        <v>528</v>
      </c>
      <c r="C289">
        <f>_xlfn.XLOOKUP(Recon!A289,[1]Backup!AJ:AJ,[1]Backup!L:L)</f>
        <v>36.93</v>
      </c>
      <c r="D289">
        <f>_xlfn.XLOOKUP(Recon!A289,[1]Backup!AJ:AJ,[1]Backup!K:K)</f>
        <v>1.25562</v>
      </c>
      <c r="E289">
        <f>SUMIF('[1]PO Report'!A:A,Recon!A289,'[1]PO Report'!P:P)</f>
        <v>532</v>
      </c>
      <c r="F289">
        <f>VLOOKUP(A289,'[1]PO Report'!$A:$Z,15,0)</f>
        <v>36.93</v>
      </c>
      <c r="H289">
        <f t="shared" si="8"/>
        <v>-4</v>
      </c>
      <c r="J289">
        <f t="shared" si="9"/>
        <v>0</v>
      </c>
    </row>
    <row r="290" spans="1:10" x14ac:dyDescent="0.25">
      <c r="A290" t="s">
        <v>2270</v>
      </c>
      <c r="B290">
        <v>164</v>
      </c>
      <c r="C290">
        <f>_xlfn.XLOOKUP(Recon!A290,[1]Backup!AJ:AJ,[1]Backup!L:L)</f>
        <v>79.72999999999999</v>
      </c>
      <c r="D290">
        <f>_xlfn.XLOOKUP(Recon!A290,[1]Backup!AJ:AJ,[1]Backup!K:K)</f>
        <v>2.71082</v>
      </c>
      <c r="E290">
        <f>SUMIF('[1]PO Report'!A:A,Recon!A290,'[1]PO Report'!P:P)</f>
        <v>168</v>
      </c>
      <c r="F290">
        <f>VLOOKUP(A290,'[1]PO Report'!$A:$Z,15,0)</f>
        <v>79.73</v>
      </c>
      <c r="H290">
        <f t="shared" si="8"/>
        <v>-4</v>
      </c>
      <c r="J290">
        <f t="shared" si="9"/>
        <v>0</v>
      </c>
    </row>
    <row r="291" spans="1:10" x14ac:dyDescent="0.25">
      <c r="A291" t="s">
        <v>2271</v>
      </c>
      <c r="B291">
        <v>90</v>
      </c>
      <c r="C291">
        <f>_xlfn.XLOOKUP(Recon!A291,[1]Backup!AJ:AJ,[1]Backup!L:L)</f>
        <v>31.9</v>
      </c>
      <c r="D291">
        <f>_xlfn.XLOOKUP(Recon!A291,[1]Backup!AJ:AJ,[1]Backup!K:K)</f>
        <v>1.0846</v>
      </c>
      <c r="E291">
        <f>SUMIF('[1]PO Report'!A:A,Recon!A291,'[1]PO Report'!P:P)</f>
        <v>90</v>
      </c>
      <c r="F291">
        <f>VLOOKUP(A291,'[1]PO Report'!$A:$Z,15,0)</f>
        <v>31.9</v>
      </c>
      <c r="H291">
        <f t="shared" si="8"/>
        <v>0</v>
      </c>
      <c r="J291">
        <f t="shared" si="9"/>
        <v>0</v>
      </c>
    </row>
    <row r="292" spans="1:10" x14ac:dyDescent="0.25">
      <c r="A292" t="s">
        <v>2272</v>
      </c>
      <c r="B292">
        <v>12</v>
      </c>
      <c r="C292">
        <f>_xlfn.XLOOKUP(Recon!A292,[1]Backup!AJ:AJ,[1]Backup!L:L)</f>
        <v>63.23</v>
      </c>
      <c r="D292">
        <f>_xlfn.XLOOKUP(Recon!A292,[1]Backup!AJ:AJ,[1]Backup!K:K)</f>
        <v>2.1498200000000001</v>
      </c>
      <c r="E292">
        <f>SUMIF('[1]PO Report'!A:A,Recon!A292,'[1]PO Report'!P:P)</f>
        <v>8</v>
      </c>
      <c r="F292">
        <f>VLOOKUP(A292,'[1]PO Report'!$A:$Z,15,0)</f>
        <v>63.23</v>
      </c>
      <c r="H292">
        <f t="shared" si="8"/>
        <v>4</v>
      </c>
      <c r="I292">
        <f>H292*D292</f>
        <v>8.5992800000000003</v>
      </c>
      <c r="J292">
        <f t="shared" si="9"/>
        <v>0</v>
      </c>
    </row>
    <row r="293" spans="1:10" x14ac:dyDescent="0.25">
      <c r="A293" t="s">
        <v>2273</v>
      </c>
      <c r="B293">
        <v>8</v>
      </c>
      <c r="C293">
        <f>_xlfn.XLOOKUP(Recon!A293,[1]Backup!AJ:AJ,[1]Backup!L:L)</f>
        <v>21.1</v>
      </c>
      <c r="D293">
        <f>_xlfn.XLOOKUP(Recon!A293,[1]Backup!AJ:AJ,[1]Backup!K:K)</f>
        <v>0.71740000000000004</v>
      </c>
      <c r="E293">
        <f>SUMIF('[1]PO Report'!A:A,Recon!A293,'[1]PO Report'!P:P)</f>
        <v>8</v>
      </c>
      <c r="F293">
        <f>VLOOKUP(A293,'[1]PO Report'!$A:$Z,15,0)</f>
        <v>21.1</v>
      </c>
      <c r="H293">
        <f t="shared" si="8"/>
        <v>0</v>
      </c>
      <c r="J293">
        <f t="shared" si="9"/>
        <v>0</v>
      </c>
    </row>
    <row r="294" spans="1:10" x14ac:dyDescent="0.25">
      <c r="A294" t="s">
        <v>2274</v>
      </c>
      <c r="B294">
        <v>4</v>
      </c>
      <c r="C294">
        <f>_xlfn.XLOOKUP(Recon!A294,[1]Backup!AJ:AJ,[1]Backup!L:L)</f>
        <v>83.89</v>
      </c>
      <c r="D294">
        <f>_xlfn.XLOOKUP(Recon!A294,[1]Backup!AJ:AJ,[1]Backup!K:K)</f>
        <v>2.8522599999999998</v>
      </c>
      <c r="E294">
        <f>SUMIF('[1]PO Report'!A:A,Recon!A294,'[1]PO Report'!P:P)</f>
        <v>4</v>
      </c>
      <c r="F294">
        <f>VLOOKUP(A294,'[1]PO Report'!$A:$Z,15,0)</f>
        <v>83.89</v>
      </c>
      <c r="H294">
        <f t="shared" si="8"/>
        <v>0</v>
      </c>
      <c r="J294">
        <f t="shared" si="9"/>
        <v>0</v>
      </c>
    </row>
    <row r="295" spans="1:10" x14ac:dyDescent="0.25">
      <c r="A295" t="s">
        <v>2275</v>
      </c>
      <c r="B295">
        <v>4</v>
      </c>
      <c r="C295">
        <f>_xlfn.XLOOKUP(Recon!A295,[1]Backup!AJ:AJ,[1]Backup!L:L)</f>
        <v>57.51</v>
      </c>
      <c r="D295">
        <f>_xlfn.XLOOKUP(Recon!A295,[1]Backup!AJ:AJ,[1]Backup!K:K)</f>
        <v>1.9553400000000001</v>
      </c>
      <c r="E295">
        <f>SUMIF('[1]PO Report'!A:A,Recon!A295,'[1]PO Report'!P:P)</f>
        <v>4</v>
      </c>
      <c r="F295">
        <f>VLOOKUP(A295,'[1]PO Report'!$A:$Z,15,0)</f>
        <v>57.51</v>
      </c>
      <c r="H295">
        <f t="shared" si="8"/>
        <v>0</v>
      </c>
      <c r="J295">
        <f t="shared" si="9"/>
        <v>0</v>
      </c>
    </row>
    <row r="296" spans="1:10" x14ac:dyDescent="0.25">
      <c r="A296" t="s">
        <v>2276</v>
      </c>
      <c r="B296">
        <v>9</v>
      </c>
      <c r="C296">
        <f>_xlfn.XLOOKUP(Recon!A296,[1]Backup!AJ:AJ,[1]Backup!L:L)</f>
        <v>132.66999999999999</v>
      </c>
      <c r="D296">
        <f>_xlfn.XLOOKUP(Recon!A296,[1]Backup!AJ:AJ,[1]Backup!K:K)</f>
        <v>4.5107800000000005</v>
      </c>
      <c r="E296">
        <f>SUMIF('[1]PO Report'!A:A,Recon!A296,'[1]PO Report'!P:P)</f>
        <v>9</v>
      </c>
      <c r="F296">
        <f>VLOOKUP(A296,'[1]PO Report'!$A:$Z,15,0)</f>
        <v>132.66999999999999</v>
      </c>
      <c r="H296">
        <f t="shared" si="8"/>
        <v>0</v>
      </c>
      <c r="J296">
        <f t="shared" si="9"/>
        <v>0</v>
      </c>
    </row>
    <row r="297" spans="1:10" x14ac:dyDescent="0.25">
      <c r="A297" t="s">
        <v>2277</v>
      </c>
      <c r="B297">
        <v>12</v>
      </c>
      <c r="C297">
        <f>_xlfn.XLOOKUP(Recon!A297,[1]Backup!AJ:AJ,[1]Backup!L:L)</f>
        <v>36.93</v>
      </c>
      <c r="D297">
        <f>_xlfn.XLOOKUP(Recon!A297,[1]Backup!AJ:AJ,[1]Backup!K:K)</f>
        <v>1.25562</v>
      </c>
      <c r="E297">
        <f>SUMIF('[1]PO Report'!A:A,Recon!A297,'[1]PO Report'!P:P)</f>
        <v>12</v>
      </c>
      <c r="F297">
        <f>VLOOKUP(A297,'[1]PO Report'!$A:$Z,15,0)</f>
        <v>36.93</v>
      </c>
      <c r="H297">
        <f t="shared" si="8"/>
        <v>0</v>
      </c>
      <c r="J297">
        <f t="shared" si="9"/>
        <v>0</v>
      </c>
    </row>
    <row r="298" spans="1:10" x14ac:dyDescent="0.25">
      <c r="A298" t="s">
        <v>2278</v>
      </c>
      <c r="B298">
        <v>172</v>
      </c>
      <c r="C298">
        <f>_xlfn.XLOOKUP(Recon!A298,[1]Backup!AJ:AJ,[1]Backup!L:L)</f>
        <v>73.34</v>
      </c>
      <c r="D298">
        <f>_xlfn.XLOOKUP(Recon!A298,[1]Backup!AJ:AJ,[1]Backup!K:K)</f>
        <v>2.49356</v>
      </c>
      <c r="E298">
        <f>SUMIF('[1]PO Report'!A:A,Recon!A298,'[1]PO Report'!P:P)</f>
        <v>172</v>
      </c>
      <c r="F298">
        <f>VLOOKUP(A298,'[1]PO Report'!$A:$Z,15,0)</f>
        <v>73.34</v>
      </c>
      <c r="H298">
        <f t="shared" si="8"/>
        <v>0</v>
      </c>
      <c r="J298">
        <f t="shared" si="9"/>
        <v>0</v>
      </c>
    </row>
    <row r="299" spans="1:10" x14ac:dyDescent="0.25">
      <c r="A299" t="s">
        <v>2279</v>
      </c>
      <c r="B299">
        <v>8</v>
      </c>
      <c r="C299">
        <f>_xlfn.XLOOKUP(Recon!A299,[1]Backup!AJ:AJ,[1]Backup!L:L)</f>
        <v>24.2</v>
      </c>
      <c r="D299">
        <f>_xlfn.XLOOKUP(Recon!A299,[1]Backup!AJ:AJ,[1]Backup!K:K)</f>
        <v>0.82279999999999998</v>
      </c>
      <c r="E299">
        <f>SUMIF('[1]PO Report'!A:A,Recon!A299,'[1]PO Report'!P:P)</f>
        <v>8</v>
      </c>
      <c r="F299">
        <f>VLOOKUP(A299,'[1]PO Report'!$A:$Z,15,0)</f>
        <v>24.2</v>
      </c>
      <c r="H299">
        <f t="shared" si="8"/>
        <v>0</v>
      </c>
      <c r="J299">
        <f t="shared" si="9"/>
        <v>0</v>
      </c>
    </row>
    <row r="300" spans="1:10" x14ac:dyDescent="0.25">
      <c r="A300" t="s">
        <v>2280</v>
      </c>
      <c r="B300">
        <v>160</v>
      </c>
      <c r="C300">
        <f>_xlfn.XLOOKUP(Recon!A300,[1]Backup!AJ:AJ,[1]Backup!L:L)</f>
        <v>69.03</v>
      </c>
      <c r="D300">
        <f>_xlfn.XLOOKUP(Recon!A300,[1]Backup!AJ:AJ,[1]Backup!K:K)</f>
        <v>2.3470199999999997</v>
      </c>
      <c r="E300">
        <f>SUMIF('[1]PO Report'!A:A,Recon!A300,'[1]PO Report'!P:P)</f>
        <v>160</v>
      </c>
      <c r="F300">
        <f>VLOOKUP(A300,'[1]PO Report'!$A:$Z,15,0)</f>
        <v>69.03</v>
      </c>
      <c r="H300">
        <f t="shared" si="8"/>
        <v>0</v>
      </c>
      <c r="J300">
        <f t="shared" si="9"/>
        <v>0</v>
      </c>
    </row>
    <row r="301" spans="1:10" x14ac:dyDescent="0.25">
      <c r="A301" t="s">
        <v>2281</v>
      </c>
      <c r="B301">
        <v>28</v>
      </c>
      <c r="C301">
        <f>_xlfn.XLOOKUP(Recon!A301,[1]Backup!AJ:AJ,[1]Backup!L:L)</f>
        <v>116.89</v>
      </c>
      <c r="D301">
        <f>_xlfn.XLOOKUP(Recon!A301,[1]Backup!AJ:AJ,[1]Backup!K:K)</f>
        <v>3.9742600000000001</v>
      </c>
      <c r="E301">
        <f>SUMIF('[1]PO Report'!A:A,Recon!A301,'[1]PO Report'!P:P)</f>
        <v>28</v>
      </c>
      <c r="F301">
        <f>VLOOKUP(A301,'[1]PO Report'!$A:$Z,15,0)</f>
        <v>116.89</v>
      </c>
      <c r="H301">
        <f t="shared" si="8"/>
        <v>0</v>
      </c>
      <c r="J301">
        <f t="shared" si="9"/>
        <v>0</v>
      </c>
    </row>
    <row r="302" spans="1:10" x14ac:dyDescent="0.25">
      <c r="A302" t="s">
        <v>2282</v>
      </c>
      <c r="B302">
        <v>12</v>
      </c>
      <c r="C302">
        <f>_xlfn.XLOOKUP(Recon!A302,[1]Backup!AJ:AJ,[1]Backup!L:L)</f>
        <v>83.89</v>
      </c>
      <c r="D302">
        <f>_xlfn.XLOOKUP(Recon!A302,[1]Backup!AJ:AJ,[1]Backup!K:K)</f>
        <v>2.8522599999999998</v>
      </c>
      <c r="E302">
        <f>SUMIF('[1]PO Report'!A:A,Recon!A302,'[1]PO Report'!P:P)</f>
        <v>12</v>
      </c>
      <c r="F302">
        <f>VLOOKUP(A302,'[1]PO Report'!$A:$Z,15,0)</f>
        <v>83.89</v>
      </c>
      <c r="H302">
        <f t="shared" si="8"/>
        <v>0</v>
      </c>
      <c r="J302">
        <f t="shared" si="9"/>
        <v>0</v>
      </c>
    </row>
    <row r="303" spans="1:10" x14ac:dyDescent="0.25">
      <c r="A303" t="s">
        <v>2283</v>
      </c>
      <c r="B303">
        <v>16</v>
      </c>
      <c r="C303">
        <f>_xlfn.XLOOKUP(Recon!A303,[1]Backup!AJ:AJ,[1]Backup!L:L)</f>
        <v>69.61</v>
      </c>
      <c r="D303">
        <f>_xlfn.XLOOKUP(Recon!A303,[1]Backup!AJ:AJ,[1]Backup!K:K)</f>
        <v>2.3667400000000001</v>
      </c>
      <c r="E303">
        <f>SUMIF('[1]PO Report'!A:A,Recon!A303,'[1]PO Report'!P:P)</f>
        <v>16</v>
      </c>
      <c r="F303">
        <f>VLOOKUP(A303,'[1]PO Report'!$A:$Z,15,0)</f>
        <v>69.61</v>
      </c>
      <c r="H303">
        <f t="shared" si="8"/>
        <v>0</v>
      </c>
      <c r="J303">
        <f t="shared" si="9"/>
        <v>0</v>
      </c>
    </row>
    <row r="304" spans="1:10" x14ac:dyDescent="0.25">
      <c r="A304" t="s">
        <v>2284</v>
      </c>
      <c r="B304">
        <v>30</v>
      </c>
      <c r="C304">
        <f>_xlfn.XLOOKUP(Recon!A304,[1]Backup!AJ:AJ,[1]Backup!L:L)</f>
        <v>58</v>
      </c>
      <c r="D304">
        <f>_xlfn.XLOOKUP(Recon!A304,[1]Backup!AJ:AJ,[1]Backup!K:K)</f>
        <v>1.972</v>
      </c>
      <c r="E304">
        <f>SUMIF('[1]PO Report'!A:A,Recon!A304,'[1]PO Report'!P:P)</f>
        <v>30</v>
      </c>
      <c r="F304">
        <f>VLOOKUP(A304,'[1]PO Report'!$A:$Z,15,0)</f>
        <v>58</v>
      </c>
      <c r="H304">
        <f t="shared" si="8"/>
        <v>0</v>
      </c>
      <c r="J304">
        <f t="shared" si="9"/>
        <v>0</v>
      </c>
    </row>
    <row r="305" spans="1:10" x14ac:dyDescent="0.25">
      <c r="A305" t="s">
        <v>2285</v>
      </c>
      <c r="B305">
        <v>100</v>
      </c>
      <c r="C305">
        <f>_xlfn.XLOOKUP(Recon!A305,[1]Backup!AJ:AJ,[1]Backup!L:L)</f>
        <v>31.12</v>
      </c>
      <c r="D305">
        <f>_xlfn.XLOOKUP(Recon!A305,[1]Backup!AJ:AJ,[1]Backup!K:K)</f>
        <v>1.0580800000000001</v>
      </c>
      <c r="E305">
        <f>SUMIF('[1]PO Report'!A:A,Recon!A305,'[1]PO Report'!P:P)</f>
        <v>100</v>
      </c>
      <c r="F305">
        <f>VLOOKUP(A305,'[1]PO Report'!$A:$Z,15,0)</f>
        <v>31.12</v>
      </c>
      <c r="H305">
        <f t="shared" si="8"/>
        <v>0</v>
      </c>
      <c r="J305">
        <f t="shared" si="9"/>
        <v>0</v>
      </c>
    </row>
    <row r="306" spans="1:10" x14ac:dyDescent="0.25">
      <c r="A306" t="s">
        <v>2286</v>
      </c>
      <c r="B306">
        <v>84</v>
      </c>
      <c r="C306">
        <f>_xlfn.XLOOKUP(Recon!A306,[1]Backup!AJ:AJ,[1]Backup!L:L)</f>
        <v>23.74</v>
      </c>
      <c r="D306">
        <f>_xlfn.XLOOKUP(Recon!A306,[1]Backup!AJ:AJ,[1]Backup!K:K)</f>
        <v>0.80715999999999999</v>
      </c>
      <c r="E306">
        <f>SUMIF('[1]PO Report'!A:A,Recon!A306,'[1]PO Report'!P:P)</f>
        <v>80</v>
      </c>
      <c r="F306">
        <f>VLOOKUP(A306,'[1]PO Report'!$A:$Z,15,0)</f>
        <v>23.74</v>
      </c>
      <c r="H306">
        <f t="shared" si="8"/>
        <v>4</v>
      </c>
      <c r="I306">
        <f>H306*D306</f>
        <v>3.22864</v>
      </c>
      <c r="J306">
        <f t="shared" si="9"/>
        <v>0</v>
      </c>
    </row>
    <row r="307" spans="1:10" x14ac:dyDescent="0.25">
      <c r="A307" t="s">
        <v>2287</v>
      </c>
      <c r="B307">
        <v>4</v>
      </c>
      <c r="C307">
        <f>_xlfn.XLOOKUP(Recon!A307,[1]Backup!AJ:AJ,[1]Backup!L:L)</f>
        <v>44.95</v>
      </c>
      <c r="D307">
        <f>_xlfn.XLOOKUP(Recon!A307,[1]Backup!AJ:AJ,[1]Backup!K:K)</f>
        <v>1.5283</v>
      </c>
      <c r="E307">
        <f>SUMIF('[1]PO Report'!A:A,Recon!A307,'[1]PO Report'!P:P)</f>
        <v>4</v>
      </c>
      <c r="F307">
        <f>VLOOKUP(A307,'[1]PO Report'!$A:$Z,15,0)</f>
        <v>44.95</v>
      </c>
      <c r="H307">
        <f t="shared" si="8"/>
        <v>0</v>
      </c>
      <c r="J307">
        <f t="shared" si="9"/>
        <v>0</v>
      </c>
    </row>
    <row r="308" spans="1:10" x14ac:dyDescent="0.25">
      <c r="A308" t="s">
        <v>2288</v>
      </c>
      <c r="B308">
        <v>44</v>
      </c>
      <c r="C308">
        <f>_xlfn.XLOOKUP(Recon!A308,[1]Backup!AJ:AJ,[1]Backup!L:L)</f>
        <v>18.46</v>
      </c>
      <c r="D308">
        <f>_xlfn.XLOOKUP(Recon!A308,[1]Backup!AJ:AJ,[1]Backup!K:K)</f>
        <v>0.62763999999999998</v>
      </c>
      <c r="E308">
        <f>SUMIF('[1]PO Report'!A:A,Recon!A308,'[1]PO Report'!P:P)</f>
        <v>44</v>
      </c>
      <c r="F308">
        <f>VLOOKUP(A308,'[1]PO Report'!$A:$Z,15,0)</f>
        <v>18.46</v>
      </c>
      <c r="H308">
        <f t="shared" si="8"/>
        <v>0</v>
      </c>
      <c r="J308">
        <f t="shared" si="9"/>
        <v>0</v>
      </c>
    </row>
    <row r="309" spans="1:10" x14ac:dyDescent="0.25">
      <c r="A309" t="s">
        <v>2289</v>
      </c>
      <c r="B309">
        <v>4</v>
      </c>
      <c r="C309">
        <f>_xlfn.XLOOKUP(Recon!A309,[1]Backup!AJ:AJ,[1]Backup!L:L)</f>
        <v>68.06</v>
      </c>
      <c r="D309">
        <f>_xlfn.XLOOKUP(Recon!A309,[1]Backup!AJ:AJ,[1]Backup!K:K)</f>
        <v>2.3140399999999999</v>
      </c>
      <c r="E309">
        <f>SUMIF('[1]PO Report'!A:A,Recon!A309,'[1]PO Report'!P:P)</f>
        <v>4</v>
      </c>
      <c r="F309">
        <f>VLOOKUP(A309,'[1]PO Report'!$A:$Z,15,0)</f>
        <v>68.06</v>
      </c>
      <c r="H309">
        <f t="shared" si="8"/>
        <v>0</v>
      </c>
      <c r="J309">
        <f t="shared" si="9"/>
        <v>0</v>
      </c>
    </row>
    <row r="310" spans="1:10" x14ac:dyDescent="0.25">
      <c r="A310" t="s">
        <v>2290</v>
      </c>
      <c r="B310">
        <v>24</v>
      </c>
      <c r="C310">
        <f>_xlfn.XLOOKUP(Recon!A310,[1]Backup!AJ:AJ,[1]Backup!L:L)</f>
        <v>116.02</v>
      </c>
      <c r="D310">
        <f>_xlfn.XLOOKUP(Recon!A310,[1]Backup!AJ:AJ,[1]Backup!K:K)</f>
        <v>3.94468</v>
      </c>
      <c r="E310">
        <f>SUMIF('[1]PO Report'!A:A,Recon!A310,'[1]PO Report'!P:P)</f>
        <v>24</v>
      </c>
      <c r="F310">
        <f>VLOOKUP(A310,'[1]PO Report'!$A:$Z,15,0)</f>
        <v>116.02</v>
      </c>
      <c r="H310">
        <f t="shared" si="8"/>
        <v>0</v>
      </c>
      <c r="J310">
        <f t="shared" si="9"/>
        <v>0</v>
      </c>
    </row>
    <row r="311" spans="1:10" x14ac:dyDescent="0.25">
      <c r="A311" t="s">
        <v>2291</v>
      </c>
      <c r="B311">
        <v>4</v>
      </c>
      <c r="C311">
        <f>_xlfn.XLOOKUP(Recon!A311,[1]Backup!AJ:AJ,[1]Backup!L:L)</f>
        <v>52.76</v>
      </c>
      <c r="D311">
        <f>_xlfn.XLOOKUP(Recon!A311,[1]Backup!AJ:AJ,[1]Backup!K:K)</f>
        <v>1.7938400000000001</v>
      </c>
      <c r="E311">
        <f>SUMIF('[1]PO Report'!A:A,Recon!A311,'[1]PO Report'!P:P)</f>
        <v>4</v>
      </c>
      <c r="F311">
        <f>VLOOKUP(A311,'[1]PO Report'!$A:$Z,15,0)</f>
        <v>52.76</v>
      </c>
      <c r="H311">
        <f t="shared" si="8"/>
        <v>0</v>
      </c>
      <c r="J311">
        <f t="shared" si="9"/>
        <v>0</v>
      </c>
    </row>
    <row r="312" spans="1:10" x14ac:dyDescent="0.25">
      <c r="A312" t="s">
        <v>2292</v>
      </c>
      <c r="B312">
        <v>4</v>
      </c>
      <c r="C312">
        <f>_xlfn.XLOOKUP(Recon!A312,[1]Backup!AJ:AJ,[1]Backup!L:L)</f>
        <v>23.74</v>
      </c>
      <c r="D312">
        <f>_xlfn.XLOOKUP(Recon!A312,[1]Backup!AJ:AJ,[1]Backup!K:K)</f>
        <v>0.80715999999999999</v>
      </c>
      <c r="E312">
        <f>SUMIF('[1]PO Report'!A:A,Recon!A312,'[1]PO Report'!P:P)</f>
        <v>4</v>
      </c>
      <c r="F312">
        <f>VLOOKUP(A312,'[1]PO Report'!$A:$Z,15,0)</f>
        <v>23.74</v>
      </c>
      <c r="H312">
        <f t="shared" si="8"/>
        <v>0</v>
      </c>
      <c r="J312">
        <f t="shared" si="9"/>
        <v>0</v>
      </c>
    </row>
    <row r="313" spans="1:10" x14ac:dyDescent="0.25">
      <c r="A313" t="s">
        <v>2293</v>
      </c>
      <c r="B313">
        <v>32</v>
      </c>
      <c r="C313">
        <f>_xlfn.XLOOKUP(Recon!A313,[1]Backup!AJ:AJ,[1]Backup!L:L)</f>
        <v>11.6</v>
      </c>
      <c r="D313">
        <f>_xlfn.XLOOKUP(Recon!A313,[1]Backup!AJ:AJ,[1]Backup!K:K)</f>
        <v>0.39439999999999997</v>
      </c>
      <c r="E313">
        <f>SUMIF('[1]PO Report'!A:A,Recon!A313,'[1]PO Report'!P:P)</f>
        <v>32</v>
      </c>
      <c r="F313">
        <f>VLOOKUP(A313,'[1]PO Report'!$A:$Z,15,0)</f>
        <v>11.6</v>
      </c>
      <c r="H313">
        <f t="shared" si="8"/>
        <v>0</v>
      </c>
      <c r="J313">
        <f t="shared" si="9"/>
        <v>0</v>
      </c>
    </row>
    <row r="314" spans="1:10" x14ac:dyDescent="0.25">
      <c r="A314" t="s">
        <v>2294</v>
      </c>
      <c r="B314">
        <v>40</v>
      </c>
      <c r="C314">
        <f>_xlfn.XLOOKUP(Recon!A314,[1]Backup!AJ:AJ,[1]Backup!L:L)</f>
        <v>11.6</v>
      </c>
      <c r="D314">
        <f>_xlfn.XLOOKUP(Recon!A314,[1]Backup!AJ:AJ,[1]Backup!K:K)</f>
        <v>0.39439999999999997</v>
      </c>
      <c r="E314">
        <f>SUMIF('[1]PO Report'!A:A,Recon!A314,'[1]PO Report'!P:P)</f>
        <v>40</v>
      </c>
      <c r="F314">
        <f>VLOOKUP(A314,'[1]PO Report'!$A:$Z,15,0)</f>
        <v>11.6</v>
      </c>
      <c r="H314">
        <f t="shared" si="8"/>
        <v>0</v>
      </c>
      <c r="J314">
        <f t="shared" si="9"/>
        <v>0</v>
      </c>
    </row>
    <row r="315" spans="1:10" x14ac:dyDescent="0.25">
      <c r="A315" t="s">
        <v>2295</v>
      </c>
      <c r="B315">
        <v>104</v>
      </c>
      <c r="C315">
        <f>_xlfn.XLOOKUP(Recon!A315,[1]Backup!AJ:AJ,[1]Backup!L:L)</f>
        <v>116.02</v>
      </c>
      <c r="D315">
        <f>_xlfn.XLOOKUP(Recon!A315,[1]Backup!AJ:AJ,[1]Backup!K:K)</f>
        <v>3.94468</v>
      </c>
      <c r="E315">
        <f>SUMIF('[1]PO Report'!A:A,Recon!A315,'[1]PO Report'!P:P)</f>
        <v>104</v>
      </c>
      <c r="F315">
        <f>VLOOKUP(A315,'[1]PO Report'!$A:$Z,15,0)</f>
        <v>116.02</v>
      </c>
      <c r="H315">
        <f t="shared" si="8"/>
        <v>0</v>
      </c>
      <c r="J315">
        <f t="shared" si="9"/>
        <v>0</v>
      </c>
    </row>
    <row r="316" spans="1:10" x14ac:dyDescent="0.25">
      <c r="A316" t="s">
        <v>2296</v>
      </c>
      <c r="B316">
        <v>8</v>
      </c>
      <c r="C316">
        <f>_xlfn.XLOOKUP(Recon!A316,[1]Backup!AJ:AJ,[1]Backup!L:L)</f>
        <v>44.84</v>
      </c>
      <c r="D316">
        <f>_xlfn.XLOOKUP(Recon!A316,[1]Backup!AJ:AJ,[1]Backup!K:K)</f>
        <v>1.5245599999999999</v>
      </c>
      <c r="E316">
        <f>SUMIF('[1]PO Report'!A:A,Recon!A316,'[1]PO Report'!P:P)</f>
        <v>8</v>
      </c>
      <c r="F316">
        <f>VLOOKUP(A316,'[1]PO Report'!$A:$Z,15,0)</f>
        <v>44.84</v>
      </c>
      <c r="H316">
        <f t="shared" si="8"/>
        <v>0</v>
      </c>
      <c r="J316">
        <f t="shared" si="9"/>
        <v>0</v>
      </c>
    </row>
    <row r="317" spans="1:10" x14ac:dyDescent="0.25">
      <c r="A317" t="s">
        <v>2297</v>
      </c>
      <c r="B317">
        <v>282</v>
      </c>
      <c r="C317">
        <f>_xlfn.XLOOKUP(Recon!A317,[1]Backup!AJ:AJ,[1]Backup!L:L)</f>
        <v>89.17</v>
      </c>
      <c r="D317">
        <f>_xlfn.XLOOKUP(Recon!A317,[1]Backup!AJ:AJ,[1]Backup!K:K)</f>
        <v>3.0317799999999999</v>
      </c>
      <c r="E317">
        <f>SUMIF('[1]PO Report'!A:A,Recon!A317,'[1]PO Report'!P:P)</f>
        <v>282</v>
      </c>
      <c r="F317">
        <f>VLOOKUP(A317,'[1]PO Report'!$A:$Z,15,0)</f>
        <v>89.17</v>
      </c>
      <c r="H317">
        <f t="shared" si="8"/>
        <v>0</v>
      </c>
      <c r="J317">
        <f t="shared" si="9"/>
        <v>0</v>
      </c>
    </row>
    <row r="318" spans="1:10" x14ac:dyDescent="0.25">
      <c r="A318" t="s">
        <v>2298</v>
      </c>
      <c r="B318">
        <v>16</v>
      </c>
      <c r="C318">
        <f>_xlfn.XLOOKUP(Recon!A318,[1]Backup!AJ:AJ,[1]Backup!L:L)</f>
        <v>96.83</v>
      </c>
      <c r="D318">
        <f>_xlfn.XLOOKUP(Recon!A318,[1]Backup!AJ:AJ,[1]Backup!K:K)</f>
        <v>3.2922199999999999</v>
      </c>
      <c r="E318">
        <f>SUMIF('[1]PO Report'!A:A,Recon!A318,'[1]PO Report'!P:P)</f>
        <v>16</v>
      </c>
      <c r="F318">
        <f>VLOOKUP(A318,'[1]PO Report'!$A:$Z,15,0)</f>
        <v>96.83</v>
      </c>
      <c r="H318">
        <f t="shared" si="8"/>
        <v>0</v>
      </c>
      <c r="J318">
        <f t="shared" si="9"/>
        <v>0</v>
      </c>
    </row>
    <row r="319" spans="1:10" x14ac:dyDescent="0.25">
      <c r="A319" t="s">
        <v>2299</v>
      </c>
      <c r="B319">
        <v>30</v>
      </c>
      <c r="C319">
        <f>_xlfn.XLOOKUP(Recon!A319,[1]Backup!AJ:AJ,[1]Backup!L:L)</f>
        <v>10.53</v>
      </c>
      <c r="D319">
        <f>_xlfn.XLOOKUP(Recon!A319,[1]Backup!AJ:AJ,[1]Backup!K:K)</f>
        <v>0.35802</v>
      </c>
      <c r="E319">
        <f>SUMIF('[1]PO Report'!A:A,Recon!A319,'[1]PO Report'!P:P)</f>
        <v>30</v>
      </c>
      <c r="F319">
        <f>VLOOKUP(A319,'[1]PO Report'!$A:$Z,15,0)</f>
        <v>10.53</v>
      </c>
      <c r="H319">
        <f t="shared" si="8"/>
        <v>0</v>
      </c>
      <c r="J319">
        <f t="shared" si="9"/>
        <v>0</v>
      </c>
    </row>
    <row r="320" spans="1:10" x14ac:dyDescent="0.25">
      <c r="A320" t="s">
        <v>2300</v>
      </c>
      <c r="B320">
        <v>20</v>
      </c>
      <c r="C320">
        <f>_xlfn.XLOOKUP(Recon!A320,[1]Backup!AJ:AJ,[1]Backup!L:L)</f>
        <v>35.130000000000003</v>
      </c>
      <c r="D320">
        <f>_xlfn.XLOOKUP(Recon!A320,[1]Backup!AJ:AJ,[1]Backup!K:K)</f>
        <v>1.19442</v>
      </c>
      <c r="E320">
        <f>SUMIF('[1]PO Report'!A:A,Recon!A320,'[1]PO Report'!P:P)</f>
        <v>20</v>
      </c>
      <c r="F320">
        <f>VLOOKUP(A320,'[1]PO Report'!$A:$Z,15,0)</f>
        <v>35.130000000000003</v>
      </c>
      <c r="H320">
        <f t="shared" si="8"/>
        <v>0</v>
      </c>
      <c r="J320">
        <f t="shared" si="9"/>
        <v>0</v>
      </c>
    </row>
    <row r="321" spans="1:10" x14ac:dyDescent="0.25">
      <c r="A321" t="s">
        <v>2301</v>
      </c>
      <c r="B321">
        <v>12</v>
      </c>
      <c r="C321">
        <f>_xlfn.XLOOKUP(Recon!A321,[1]Backup!AJ:AJ,[1]Backup!L:L)</f>
        <v>126</v>
      </c>
      <c r="D321">
        <f>_xlfn.XLOOKUP(Recon!A321,[1]Backup!AJ:AJ,[1]Backup!K:K)</f>
        <v>4.2839999999999998</v>
      </c>
      <c r="E321">
        <f>SUMIF('[1]PO Report'!A:A,Recon!A321,'[1]PO Report'!P:P)</f>
        <v>12</v>
      </c>
      <c r="F321">
        <f>VLOOKUP(A321,'[1]PO Report'!$A:$Z,15,0)</f>
        <v>126</v>
      </c>
      <c r="H321">
        <f t="shared" si="8"/>
        <v>0</v>
      </c>
      <c r="J321">
        <f t="shared" si="9"/>
        <v>0</v>
      </c>
    </row>
    <row r="322" spans="1:10" x14ac:dyDescent="0.25">
      <c r="A322" t="s">
        <v>2302</v>
      </c>
      <c r="B322">
        <v>40</v>
      </c>
      <c r="C322">
        <f>_xlfn.XLOOKUP(Recon!A322,[1]Backup!AJ:AJ,[1]Backup!L:L)</f>
        <v>34.29</v>
      </c>
      <c r="D322">
        <f>_xlfn.XLOOKUP(Recon!A322,[1]Backup!AJ:AJ,[1]Backup!K:K)</f>
        <v>1.1658599999999999</v>
      </c>
      <c r="E322">
        <f>SUMIF('[1]PO Report'!A:A,Recon!A322,'[1]PO Report'!P:P)</f>
        <v>40</v>
      </c>
      <c r="F322">
        <f>VLOOKUP(A322,'[1]PO Report'!$A:$Z,15,0)</f>
        <v>34.29</v>
      </c>
      <c r="H322">
        <f t="shared" si="8"/>
        <v>0</v>
      </c>
      <c r="J322">
        <f t="shared" si="9"/>
        <v>0</v>
      </c>
    </row>
    <row r="323" spans="1:10" x14ac:dyDescent="0.25">
      <c r="A323" t="s">
        <v>2303</v>
      </c>
      <c r="B323">
        <v>80</v>
      </c>
      <c r="C323">
        <f>_xlfn.XLOOKUP(Recon!A323,[1]Backup!AJ:AJ,[1]Backup!L:L)</f>
        <v>39.56</v>
      </c>
      <c r="D323">
        <f>_xlfn.XLOOKUP(Recon!A323,[1]Backup!AJ:AJ,[1]Backup!K:K)</f>
        <v>1.34504</v>
      </c>
      <c r="E323">
        <f>SUMIF('[1]PO Report'!A:A,Recon!A323,'[1]PO Report'!P:P)</f>
        <v>80</v>
      </c>
      <c r="F323">
        <f>VLOOKUP(A323,'[1]PO Report'!$A:$Z,15,0)</f>
        <v>39.56</v>
      </c>
      <c r="H323">
        <f t="shared" si="8"/>
        <v>0</v>
      </c>
      <c r="J323">
        <f t="shared" si="9"/>
        <v>0</v>
      </c>
    </row>
    <row r="324" spans="1:10" x14ac:dyDescent="0.25">
      <c r="A324" t="s">
        <v>2304</v>
      </c>
      <c r="B324">
        <v>108</v>
      </c>
      <c r="C324">
        <f>_xlfn.XLOOKUP(Recon!A324,[1]Backup!AJ:AJ,[1]Backup!L:L)</f>
        <v>36.660000000000004</v>
      </c>
      <c r="D324">
        <f>_xlfn.XLOOKUP(Recon!A324,[1]Backup!AJ:AJ,[1]Backup!K:K)</f>
        <v>1.24644</v>
      </c>
      <c r="E324">
        <f>SUMIF('[1]PO Report'!A:A,Recon!A324,'[1]PO Report'!P:P)</f>
        <v>108</v>
      </c>
      <c r="F324">
        <f>VLOOKUP(A324,'[1]PO Report'!$A:$Z,15,0)</f>
        <v>36.659999999999997</v>
      </c>
      <c r="H324">
        <f t="shared" ref="H324:H387" si="10">B324-E324</f>
        <v>0</v>
      </c>
      <c r="J324">
        <f t="shared" ref="J324:J387" si="11">C324-F324</f>
        <v>0</v>
      </c>
    </row>
    <row r="325" spans="1:10" x14ac:dyDescent="0.25">
      <c r="A325" t="s">
        <v>2305</v>
      </c>
      <c r="B325">
        <v>610</v>
      </c>
      <c r="C325">
        <f>_xlfn.XLOOKUP(Recon!A325,[1]Backup!AJ:AJ,[1]Backup!L:L)</f>
        <v>32.21</v>
      </c>
      <c r="D325">
        <f>_xlfn.XLOOKUP(Recon!A325,[1]Backup!AJ:AJ,[1]Backup!K:K)</f>
        <v>1.09514</v>
      </c>
      <c r="E325">
        <f>SUMIF('[1]PO Report'!A:A,Recon!A325,'[1]PO Report'!P:P)</f>
        <v>610</v>
      </c>
      <c r="F325">
        <f>VLOOKUP(A325,'[1]PO Report'!$A:$Z,15,0)</f>
        <v>32.21</v>
      </c>
      <c r="H325">
        <f t="shared" si="10"/>
        <v>0</v>
      </c>
      <c r="J325">
        <f t="shared" si="11"/>
        <v>0</v>
      </c>
    </row>
    <row r="326" spans="1:10" x14ac:dyDescent="0.25">
      <c r="A326" t="s">
        <v>2306</v>
      </c>
      <c r="B326">
        <v>2</v>
      </c>
      <c r="C326">
        <f>_xlfn.XLOOKUP(Recon!A326,[1]Backup!AJ:AJ,[1]Backup!L:L)</f>
        <v>81.41</v>
      </c>
      <c r="D326">
        <f>_xlfn.XLOOKUP(Recon!A326,[1]Backup!AJ:AJ,[1]Backup!K:K)</f>
        <v>2.7679399999999998</v>
      </c>
      <c r="E326">
        <f>SUMIF('[1]PO Report'!A:A,Recon!A326,'[1]PO Report'!P:P)</f>
        <v>2</v>
      </c>
      <c r="F326">
        <f>VLOOKUP(A326,'[1]PO Report'!$A:$Z,15,0)</f>
        <v>81.41</v>
      </c>
      <c r="H326">
        <f t="shared" si="10"/>
        <v>0</v>
      </c>
      <c r="J326">
        <f t="shared" si="11"/>
        <v>0</v>
      </c>
    </row>
    <row r="327" spans="1:10" x14ac:dyDescent="0.25">
      <c r="A327" t="s">
        <v>2307</v>
      </c>
      <c r="B327">
        <v>8</v>
      </c>
      <c r="C327">
        <f>_xlfn.XLOOKUP(Recon!A327,[1]Backup!AJ:AJ,[1]Backup!L:L)</f>
        <v>44.95</v>
      </c>
      <c r="D327">
        <f>_xlfn.XLOOKUP(Recon!A327,[1]Backup!AJ:AJ,[1]Backup!K:K)</f>
        <v>1.5283</v>
      </c>
      <c r="E327">
        <f>SUMIF('[1]PO Report'!A:A,Recon!A327,'[1]PO Report'!P:P)</f>
        <v>8</v>
      </c>
      <c r="F327">
        <f>VLOOKUP(A327,'[1]PO Report'!$A:$Z,15,0)</f>
        <v>44.95</v>
      </c>
      <c r="H327">
        <f t="shared" si="10"/>
        <v>0</v>
      </c>
      <c r="J327">
        <f t="shared" si="11"/>
        <v>0</v>
      </c>
    </row>
    <row r="328" spans="1:10" x14ac:dyDescent="0.25">
      <c r="A328" t="s">
        <v>2308</v>
      </c>
      <c r="B328">
        <v>70</v>
      </c>
      <c r="C328">
        <f>_xlfn.XLOOKUP(Recon!A328,[1]Backup!AJ:AJ,[1]Backup!L:L)</f>
        <v>9.3600000000000012</v>
      </c>
      <c r="D328">
        <f>_xlfn.XLOOKUP(Recon!A328,[1]Backup!AJ:AJ,[1]Backup!K:K)</f>
        <v>0.31824000000000002</v>
      </c>
      <c r="E328">
        <f>SUMIF('[1]PO Report'!A:A,Recon!A328,'[1]PO Report'!P:P)</f>
        <v>70</v>
      </c>
      <c r="F328">
        <f>VLOOKUP(A328,'[1]PO Report'!$A:$Z,15,0)</f>
        <v>9.36</v>
      </c>
      <c r="H328">
        <f t="shared" si="10"/>
        <v>0</v>
      </c>
      <c r="J328">
        <f t="shared" si="11"/>
        <v>0</v>
      </c>
    </row>
    <row r="329" spans="1:10" x14ac:dyDescent="0.25">
      <c r="A329" t="s">
        <v>2309</v>
      </c>
      <c r="B329">
        <v>440</v>
      </c>
      <c r="C329">
        <f>_xlfn.XLOOKUP(Recon!A329,[1]Backup!AJ:AJ,[1]Backup!L:L)</f>
        <v>16.39</v>
      </c>
      <c r="D329">
        <f>_xlfn.XLOOKUP(Recon!A329,[1]Backup!AJ:AJ,[1]Backup!K:K)</f>
        <v>0.55726000000000009</v>
      </c>
      <c r="E329">
        <f>SUMIF('[1]PO Report'!A:A,Recon!A329,'[1]PO Report'!P:P)</f>
        <v>450</v>
      </c>
      <c r="F329">
        <f>VLOOKUP(A329,'[1]PO Report'!$A:$Z,15,0)</f>
        <v>16.39</v>
      </c>
      <c r="H329">
        <f t="shared" si="10"/>
        <v>-10</v>
      </c>
      <c r="J329">
        <f t="shared" si="11"/>
        <v>0</v>
      </c>
    </row>
    <row r="330" spans="1:10" x14ac:dyDescent="0.25">
      <c r="A330" t="s">
        <v>2310</v>
      </c>
      <c r="B330">
        <v>110</v>
      </c>
      <c r="C330">
        <f>_xlfn.XLOOKUP(Recon!A330,[1]Backup!AJ:AJ,[1]Backup!L:L)</f>
        <v>43.92</v>
      </c>
      <c r="D330">
        <f>_xlfn.XLOOKUP(Recon!A330,[1]Backup!AJ:AJ,[1]Backup!K:K)</f>
        <v>1.4932799999999999</v>
      </c>
      <c r="E330">
        <f>SUMIF('[1]PO Report'!A:A,Recon!A330,'[1]PO Report'!P:P)</f>
        <v>110</v>
      </c>
      <c r="F330">
        <f>VLOOKUP(A330,'[1]PO Report'!$A:$Z,15,0)</f>
        <v>43.92</v>
      </c>
      <c r="H330">
        <f t="shared" si="10"/>
        <v>0</v>
      </c>
      <c r="J330">
        <f t="shared" si="11"/>
        <v>0</v>
      </c>
    </row>
    <row r="331" spans="1:10" x14ac:dyDescent="0.25">
      <c r="A331" t="s">
        <v>2311</v>
      </c>
      <c r="B331">
        <v>12</v>
      </c>
      <c r="C331">
        <f>_xlfn.XLOOKUP(Recon!A331,[1]Backup!AJ:AJ,[1]Backup!L:L)</f>
        <v>73.34</v>
      </c>
      <c r="D331">
        <f>_xlfn.XLOOKUP(Recon!A331,[1]Backup!AJ:AJ,[1]Backup!K:K)</f>
        <v>2.49356</v>
      </c>
      <c r="E331">
        <f>SUMIF('[1]PO Report'!A:A,Recon!A331,'[1]PO Report'!P:P)</f>
        <v>12</v>
      </c>
      <c r="F331">
        <f>VLOOKUP(A331,'[1]PO Report'!$A:$Z,15,0)</f>
        <v>73.34</v>
      </c>
      <c r="H331">
        <f t="shared" si="10"/>
        <v>0</v>
      </c>
      <c r="J331">
        <f t="shared" si="11"/>
        <v>0</v>
      </c>
    </row>
    <row r="332" spans="1:10" x14ac:dyDescent="0.25">
      <c r="A332" t="s">
        <v>2312</v>
      </c>
      <c r="B332">
        <v>16</v>
      </c>
      <c r="C332">
        <f>_xlfn.XLOOKUP(Recon!A332,[1]Backup!AJ:AJ,[1]Backup!L:L)</f>
        <v>83</v>
      </c>
      <c r="D332">
        <f>_xlfn.XLOOKUP(Recon!A332,[1]Backup!AJ:AJ,[1]Backup!K:K)</f>
        <v>2.8220000000000001</v>
      </c>
      <c r="E332">
        <f>SUMIF('[1]PO Report'!A:A,Recon!A332,'[1]PO Report'!P:P)</f>
        <v>16</v>
      </c>
      <c r="F332">
        <f>VLOOKUP(A332,'[1]PO Report'!$A:$Z,15,0)</f>
        <v>83</v>
      </c>
      <c r="H332">
        <f t="shared" si="10"/>
        <v>0</v>
      </c>
      <c r="J332">
        <f t="shared" si="11"/>
        <v>0</v>
      </c>
    </row>
    <row r="333" spans="1:10" x14ac:dyDescent="0.25">
      <c r="A333" t="s">
        <v>2313</v>
      </c>
      <c r="B333">
        <v>4</v>
      </c>
      <c r="C333">
        <f>_xlfn.XLOOKUP(Recon!A333,[1]Backup!AJ:AJ,[1]Backup!L:L)</f>
        <v>106.49</v>
      </c>
      <c r="D333">
        <f>_xlfn.XLOOKUP(Recon!A333,[1]Backup!AJ:AJ,[1]Backup!K:K)</f>
        <v>3.62066</v>
      </c>
      <c r="E333">
        <f>SUMIF('[1]PO Report'!A:A,Recon!A333,'[1]PO Report'!P:P)</f>
        <v>4</v>
      </c>
      <c r="F333">
        <f>VLOOKUP(A333,'[1]PO Report'!$A:$Z,15,0)</f>
        <v>106.49</v>
      </c>
      <c r="H333">
        <f t="shared" si="10"/>
        <v>0</v>
      </c>
      <c r="J333">
        <f t="shared" si="11"/>
        <v>0</v>
      </c>
    </row>
    <row r="334" spans="1:10" x14ac:dyDescent="0.25">
      <c r="A334" t="s">
        <v>2314</v>
      </c>
      <c r="B334">
        <v>38</v>
      </c>
      <c r="C334">
        <f>_xlfn.XLOOKUP(Recon!A334,[1]Backup!AJ:AJ,[1]Backup!L:L)</f>
        <v>106.49</v>
      </c>
      <c r="D334">
        <f>_xlfn.XLOOKUP(Recon!A334,[1]Backup!AJ:AJ,[1]Backup!K:K)</f>
        <v>3.62066</v>
      </c>
      <c r="E334">
        <f>SUMIF('[1]PO Report'!A:A,Recon!A334,'[1]PO Report'!P:P)</f>
        <v>38</v>
      </c>
      <c r="F334">
        <f>VLOOKUP(A334,'[1]PO Report'!$A:$Z,15,0)</f>
        <v>106.49</v>
      </c>
      <c r="H334">
        <f t="shared" si="10"/>
        <v>0</v>
      </c>
      <c r="J334">
        <f t="shared" si="11"/>
        <v>0</v>
      </c>
    </row>
    <row r="335" spans="1:10" x14ac:dyDescent="0.25">
      <c r="A335" t="s">
        <v>2315</v>
      </c>
      <c r="B335">
        <v>40</v>
      </c>
      <c r="C335">
        <f>_xlfn.XLOOKUP(Recon!A335,[1]Backup!AJ:AJ,[1]Backup!L:L)</f>
        <v>105</v>
      </c>
      <c r="D335">
        <f>_xlfn.XLOOKUP(Recon!A335,[1]Backup!AJ:AJ,[1]Backup!K:K)</f>
        <v>3.57</v>
      </c>
      <c r="E335">
        <f>SUMIF('[1]PO Report'!A:A,Recon!A335,'[1]PO Report'!P:P)</f>
        <v>40</v>
      </c>
      <c r="F335">
        <f>VLOOKUP(A335,'[1]PO Report'!$A:$Z,15,0)</f>
        <v>105</v>
      </c>
      <c r="H335">
        <f t="shared" si="10"/>
        <v>0</v>
      </c>
      <c r="J335">
        <f t="shared" si="11"/>
        <v>0</v>
      </c>
    </row>
    <row r="336" spans="1:10" x14ac:dyDescent="0.25">
      <c r="A336" t="s">
        <v>2316</v>
      </c>
      <c r="B336">
        <v>24</v>
      </c>
      <c r="C336">
        <f>_xlfn.XLOOKUP(Recon!A336,[1]Backup!AJ:AJ,[1]Backup!L:L)</f>
        <v>103.06</v>
      </c>
      <c r="D336">
        <f>_xlfn.XLOOKUP(Recon!A336,[1]Backup!AJ:AJ,[1]Backup!K:K)</f>
        <v>3.5040399999999998</v>
      </c>
      <c r="E336">
        <f>SUMIF('[1]PO Report'!A:A,Recon!A336,'[1]PO Report'!P:P)</f>
        <v>24</v>
      </c>
      <c r="F336">
        <f>VLOOKUP(A336,'[1]PO Report'!$A:$Z,15,0)</f>
        <v>103.06</v>
      </c>
      <c r="H336">
        <f t="shared" si="10"/>
        <v>0</v>
      </c>
      <c r="J336">
        <f t="shared" si="11"/>
        <v>0</v>
      </c>
    </row>
    <row r="337" spans="1:10" x14ac:dyDescent="0.25">
      <c r="A337" t="s">
        <v>2317</v>
      </c>
      <c r="B337">
        <v>20</v>
      </c>
      <c r="C337">
        <f>_xlfn.XLOOKUP(Recon!A337,[1]Backup!AJ:AJ,[1]Backup!L:L)</f>
        <v>234.48000000000002</v>
      </c>
      <c r="D337">
        <f>_xlfn.XLOOKUP(Recon!A337,[1]Backup!AJ:AJ,[1]Backup!K:K)</f>
        <v>7.9723200000000007</v>
      </c>
      <c r="E337">
        <f>SUMIF('[1]PO Report'!A:A,Recon!A337,'[1]PO Report'!P:P)</f>
        <v>20</v>
      </c>
      <c r="F337">
        <f>VLOOKUP(A337,'[1]PO Report'!$A:$Z,15,0)</f>
        <v>234.48</v>
      </c>
      <c r="H337">
        <f t="shared" si="10"/>
        <v>0</v>
      </c>
      <c r="J337">
        <f t="shared" si="11"/>
        <v>0</v>
      </c>
    </row>
    <row r="338" spans="1:10" x14ac:dyDescent="0.25">
      <c r="A338" t="s">
        <v>2318</v>
      </c>
      <c r="B338">
        <v>116</v>
      </c>
      <c r="C338">
        <f>_xlfn.XLOOKUP(Recon!A338,[1]Backup!AJ:AJ,[1]Backup!L:L)</f>
        <v>35.130000000000003</v>
      </c>
      <c r="D338">
        <f>_xlfn.XLOOKUP(Recon!A338,[1]Backup!AJ:AJ,[1]Backup!K:K)</f>
        <v>1.19442</v>
      </c>
      <c r="E338">
        <f>SUMIF('[1]PO Report'!A:A,Recon!A338,'[1]PO Report'!P:P)</f>
        <v>116</v>
      </c>
      <c r="F338">
        <f>VLOOKUP(A338,'[1]PO Report'!$A:$Z,15,0)</f>
        <v>35.130000000000003</v>
      </c>
      <c r="H338">
        <f t="shared" si="10"/>
        <v>0</v>
      </c>
      <c r="J338">
        <f t="shared" si="11"/>
        <v>0</v>
      </c>
    </row>
    <row r="339" spans="1:10" x14ac:dyDescent="0.25">
      <c r="A339" t="s">
        <v>2319</v>
      </c>
      <c r="B339">
        <v>200</v>
      </c>
      <c r="C339">
        <f>_xlfn.XLOOKUP(Recon!A339,[1]Backup!AJ:AJ,[1]Backup!L:L)</f>
        <v>46.4</v>
      </c>
      <c r="D339">
        <f>_xlfn.XLOOKUP(Recon!A339,[1]Backup!AJ:AJ,[1]Backup!K:K)</f>
        <v>1.5776000000000001</v>
      </c>
      <c r="E339">
        <f>SUMIF('[1]PO Report'!A:A,Recon!A339,'[1]PO Report'!P:P)</f>
        <v>200</v>
      </c>
      <c r="F339">
        <f>VLOOKUP(A339,'[1]PO Report'!$A:$Z,15,0)</f>
        <v>46.4</v>
      </c>
      <c r="H339">
        <f t="shared" si="10"/>
        <v>0</v>
      </c>
      <c r="J339">
        <f t="shared" si="11"/>
        <v>0</v>
      </c>
    </row>
    <row r="340" spans="1:10" x14ac:dyDescent="0.25">
      <c r="A340" t="s">
        <v>2320</v>
      </c>
      <c r="B340">
        <v>4</v>
      </c>
      <c r="C340">
        <f>_xlfn.XLOOKUP(Recon!A340,[1]Backup!AJ:AJ,[1]Backup!L:L)</f>
        <v>764.09</v>
      </c>
      <c r="D340">
        <f>_xlfn.XLOOKUP(Recon!A340,[1]Backup!AJ:AJ,[1]Backup!K:K)</f>
        <v>25.97906</v>
      </c>
      <c r="E340">
        <f>SUMIF('[1]PO Report'!A:A,Recon!A340,'[1]PO Report'!P:P)</f>
        <v>4</v>
      </c>
      <c r="F340">
        <f>VLOOKUP(A340,'[1]PO Report'!$A:$Z,15,0)</f>
        <v>764.09</v>
      </c>
      <c r="H340">
        <f t="shared" si="10"/>
        <v>0</v>
      </c>
      <c r="J340">
        <f t="shared" si="11"/>
        <v>0</v>
      </c>
    </row>
    <row r="341" spans="1:10" x14ac:dyDescent="0.25">
      <c r="A341" t="s">
        <v>2321</v>
      </c>
      <c r="B341">
        <v>8</v>
      </c>
      <c r="C341">
        <f>_xlfn.XLOOKUP(Recon!A341,[1]Backup!AJ:AJ,[1]Backup!L:L)</f>
        <v>40.6</v>
      </c>
      <c r="D341">
        <f>_xlfn.XLOOKUP(Recon!A341,[1]Backup!AJ:AJ,[1]Backup!K:K)</f>
        <v>1.3804000000000001</v>
      </c>
      <c r="E341">
        <f>SUMIF('[1]PO Report'!A:A,Recon!A341,'[1]PO Report'!P:P)</f>
        <v>8</v>
      </c>
      <c r="F341">
        <f>VLOOKUP(A341,'[1]PO Report'!$A:$Z,15,0)</f>
        <v>40.6</v>
      </c>
      <c r="H341">
        <f t="shared" si="10"/>
        <v>0</v>
      </c>
      <c r="J341">
        <f t="shared" si="11"/>
        <v>0</v>
      </c>
    </row>
    <row r="342" spans="1:10" x14ac:dyDescent="0.25">
      <c r="A342" t="s">
        <v>2322</v>
      </c>
      <c r="B342">
        <v>16</v>
      </c>
      <c r="C342">
        <f>_xlfn.XLOOKUP(Recon!A342,[1]Backup!AJ:AJ,[1]Backup!L:L)</f>
        <v>32.21</v>
      </c>
      <c r="D342">
        <f>_xlfn.XLOOKUP(Recon!A342,[1]Backup!AJ:AJ,[1]Backup!K:K)</f>
        <v>1.09514</v>
      </c>
      <c r="E342">
        <f>SUMIF('[1]PO Report'!A:A,Recon!A342,'[1]PO Report'!P:P)</f>
        <v>16</v>
      </c>
      <c r="F342">
        <f>VLOOKUP(A342,'[1]PO Report'!$A:$Z,15,0)</f>
        <v>32.21</v>
      </c>
      <c r="H342">
        <f t="shared" si="10"/>
        <v>0</v>
      </c>
      <c r="J342">
        <f t="shared" si="11"/>
        <v>0</v>
      </c>
    </row>
    <row r="343" spans="1:10" x14ac:dyDescent="0.25">
      <c r="A343" t="s">
        <v>2323</v>
      </c>
      <c r="B343">
        <v>4</v>
      </c>
      <c r="C343">
        <f>_xlfn.XLOOKUP(Recon!A343,[1]Backup!AJ:AJ,[1]Backup!L:L)</f>
        <v>83.89</v>
      </c>
      <c r="D343">
        <f>_xlfn.XLOOKUP(Recon!A343,[1]Backup!AJ:AJ,[1]Backup!K:K)</f>
        <v>2.8522599999999998</v>
      </c>
      <c r="E343">
        <f>SUMIF('[1]PO Report'!A:A,Recon!A343,'[1]PO Report'!P:P)</f>
        <v>4</v>
      </c>
      <c r="F343">
        <f>VLOOKUP(A343,'[1]PO Report'!$A:$Z,15,0)</f>
        <v>83.89</v>
      </c>
      <c r="H343">
        <f t="shared" si="10"/>
        <v>0</v>
      </c>
      <c r="J343">
        <f t="shared" si="11"/>
        <v>0</v>
      </c>
    </row>
    <row r="344" spans="1:10" x14ac:dyDescent="0.25">
      <c r="A344" t="s">
        <v>2324</v>
      </c>
      <c r="B344">
        <v>28</v>
      </c>
      <c r="C344">
        <f>_xlfn.XLOOKUP(Recon!A344,[1]Backup!AJ:AJ,[1]Backup!L:L)</f>
        <v>75.41</v>
      </c>
      <c r="D344">
        <f>_xlfn.XLOOKUP(Recon!A344,[1]Backup!AJ:AJ,[1]Backup!K:K)</f>
        <v>2.5639399999999997</v>
      </c>
      <c r="E344">
        <f>SUMIF('[1]PO Report'!A:A,Recon!A344,'[1]PO Report'!P:P)</f>
        <v>28</v>
      </c>
      <c r="F344">
        <f>VLOOKUP(A344,'[1]PO Report'!$A:$Z,15,0)</f>
        <v>75.41</v>
      </c>
      <c r="H344">
        <f t="shared" si="10"/>
        <v>0</v>
      </c>
      <c r="J344">
        <f t="shared" si="11"/>
        <v>0</v>
      </c>
    </row>
    <row r="345" spans="1:10" x14ac:dyDescent="0.25">
      <c r="A345" t="s">
        <v>2325</v>
      </c>
      <c r="B345">
        <v>20</v>
      </c>
      <c r="C345">
        <f>_xlfn.XLOOKUP(Recon!A345,[1]Backup!AJ:AJ,[1]Backup!L:L)</f>
        <v>73.34</v>
      </c>
      <c r="D345">
        <f>_xlfn.XLOOKUP(Recon!A345,[1]Backup!AJ:AJ,[1]Backup!K:K)</f>
        <v>2.49356</v>
      </c>
      <c r="E345">
        <f>SUMIF('[1]PO Report'!A:A,Recon!A345,'[1]PO Report'!P:P)</f>
        <v>20</v>
      </c>
      <c r="F345">
        <f>VLOOKUP(A345,'[1]PO Report'!$A:$Z,15,0)</f>
        <v>73.34</v>
      </c>
      <c r="H345">
        <f t="shared" si="10"/>
        <v>0</v>
      </c>
      <c r="J345">
        <f t="shared" si="11"/>
        <v>0</v>
      </c>
    </row>
    <row r="346" spans="1:10" x14ac:dyDescent="0.25">
      <c r="A346" t="s">
        <v>2326</v>
      </c>
      <c r="B346">
        <v>28</v>
      </c>
      <c r="C346">
        <f>_xlfn.XLOOKUP(Recon!A346,[1]Backup!AJ:AJ,[1]Backup!L:L)</f>
        <v>69.03</v>
      </c>
      <c r="D346">
        <f>_xlfn.XLOOKUP(Recon!A346,[1]Backup!AJ:AJ,[1]Backup!K:K)</f>
        <v>2.3470200000000001</v>
      </c>
      <c r="E346">
        <f>SUMIF('[1]PO Report'!A:A,Recon!A346,'[1]PO Report'!P:P)</f>
        <v>28</v>
      </c>
      <c r="F346">
        <f>VLOOKUP(A346,'[1]PO Report'!$A:$Z,15,0)</f>
        <v>69.03</v>
      </c>
      <c r="H346">
        <f t="shared" si="10"/>
        <v>0</v>
      </c>
      <c r="J346">
        <f t="shared" si="11"/>
        <v>0</v>
      </c>
    </row>
    <row r="347" spans="1:10" x14ac:dyDescent="0.25">
      <c r="A347" t="s">
        <v>2327</v>
      </c>
      <c r="B347">
        <v>16</v>
      </c>
      <c r="C347">
        <f>_xlfn.XLOOKUP(Recon!A347,[1]Backup!AJ:AJ,[1]Backup!L:L)</f>
        <v>83</v>
      </c>
      <c r="D347">
        <f>_xlfn.XLOOKUP(Recon!A347,[1]Backup!AJ:AJ,[1]Backup!K:K)</f>
        <v>2.8220000000000001</v>
      </c>
      <c r="E347">
        <f>SUMIF('[1]PO Report'!A:A,Recon!A347,'[1]PO Report'!P:P)</f>
        <v>16</v>
      </c>
      <c r="F347">
        <f>VLOOKUP(A347,'[1]PO Report'!$A:$Z,15,0)</f>
        <v>83</v>
      </c>
      <c r="H347">
        <f t="shared" si="10"/>
        <v>0</v>
      </c>
      <c r="J347">
        <f t="shared" si="11"/>
        <v>0</v>
      </c>
    </row>
    <row r="348" spans="1:10" x14ac:dyDescent="0.25">
      <c r="A348" t="s">
        <v>2328</v>
      </c>
      <c r="B348">
        <v>8</v>
      </c>
      <c r="C348">
        <f>_xlfn.XLOOKUP(Recon!A348,[1]Backup!AJ:AJ,[1]Backup!L:L)</f>
        <v>32.21</v>
      </c>
      <c r="D348">
        <f>_xlfn.XLOOKUP(Recon!A348,[1]Backup!AJ:AJ,[1]Backup!K:K)</f>
        <v>1.09514</v>
      </c>
      <c r="E348">
        <f>SUMIF('[1]PO Report'!A:A,Recon!A348,'[1]PO Report'!P:P)</f>
        <v>8</v>
      </c>
      <c r="F348">
        <f>VLOOKUP(A348,'[1]PO Report'!$A:$Z,15,0)</f>
        <v>32.21</v>
      </c>
      <c r="H348">
        <f t="shared" si="10"/>
        <v>0</v>
      </c>
      <c r="J348">
        <f t="shared" si="11"/>
        <v>0</v>
      </c>
    </row>
    <row r="349" spans="1:10" x14ac:dyDescent="0.25">
      <c r="A349" t="s">
        <v>2329</v>
      </c>
      <c r="B349">
        <v>16</v>
      </c>
      <c r="C349">
        <f>_xlfn.XLOOKUP(Recon!A349,[1]Backup!AJ:AJ,[1]Backup!L:L)</f>
        <v>36.93</v>
      </c>
      <c r="D349">
        <f>_xlfn.XLOOKUP(Recon!A349,[1]Backup!AJ:AJ,[1]Backup!K:K)</f>
        <v>1.25562</v>
      </c>
      <c r="E349">
        <f>SUMIF('[1]PO Report'!A:A,Recon!A349,'[1]PO Report'!P:P)</f>
        <v>16</v>
      </c>
      <c r="F349">
        <f>VLOOKUP(A349,'[1]PO Report'!$A:$Z,15,0)</f>
        <v>36.93</v>
      </c>
      <c r="H349">
        <f t="shared" si="10"/>
        <v>0</v>
      </c>
      <c r="J349">
        <f t="shared" si="11"/>
        <v>0</v>
      </c>
    </row>
    <row r="350" spans="1:10" x14ac:dyDescent="0.25">
      <c r="A350" t="s">
        <v>2330</v>
      </c>
      <c r="B350">
        <v>200</v>
      </c>
      <c r="C350">
        <f>_xlfn.XLOOKUP(Recon!A350,[1]Backup!AJ:AJ,[1]Backup!L:L)</f>
        <v>92.24</v>
      </c>
      <c r="D350">
        <f>_xlfn.XLOOKUP(Recon!A350,[1]Backup!AJ:AJ,[1]Backup!K:K)</f>
        <v>3.1361599999999998</v>
      </c>
      <c r="E350">
        <f>SUMIF('[1]PO Report'!A:A,Recon!A350,'[1]PO Report'!P:P)</f>
        <v>200</v>
      </c>
      <c r="F350">
        <f>VLOOKUP(A350,'[1]PO Report'!$A:$Z,15,0)</f>
        <v>92.24</v>
      </c>
      <c r="H350">
        <f t="shared" si="10"/>
        <v>0</v>
      </c>
      <c r="J350">
        <f t="shared" si="11"/>
        <v>0</v>
      </c>
    </row>
    <row r="351" spans="1:10" x14ac:dyDescent="0.25">
      <c r="A351" t="s">
        <v>2331</v>
      </c>
      <c r="B351">
        <v>12</v>
      </c>
      <c r="C351">
        <f>_xlfn.XLOOKUP(Recon!A351,[1]Backup!AJ:AJ,[1]Backup!L:L)</f>
        <v>75.41</v>
      </c>
      <c r="D351">
        <f>_xlfn.XLOOKUP(Recon!A351,[1]Backup!AJ:AJ,[1]Backup!K:K)</f>
        <v>2.5639400000000001</v>
      </c>
      <c r="E351">
        <f>SUMIF('[1]PO Report'!A:A,Recon!A351,'[1]PO Report'!P:P)</f>
        <v>12</v>
      </c>
      <c r="F351">
        <f>VLOOKUP(A351,'[1]PO Report'!$A:$Z,15,0)</f>
        <v>75.41</v>
      </c>
      <c r="H351">
        <f t="shared" si="10"/>
        <v>0</v>
      </c>
      <c r="J351">
        <f t="shared" si="11"/>
        <v>0</v>
      </c>
    </row>
    <row r="352" spans="1:10" x14ac:dyDescent="0.25">
      <c r="A352" t="s">
        <v>2332</v>
      </c>
      <c r="B352">
        <v>8</v>
      </c>
      <c r="C352">
        <f>_xlfn.XLOOKUP(Recon!A352,[1]Backup!AJ:AJ,[1]Backup!L:L)</f>
        <v>94.44</v>
      </c>
      <c r="D352">
        <f>_xlfn.XLOOKUP(Recon!A352,[1]Backup!AJ:AJ,[1]Backup!K:K)</f>
        <v>3.21096</v>
      </c>
      <c r="E352">
        <f>SUMIF('[1]PO Report'!A:A,Recon!A352,'[1]PO Report'!P:P)</f>
        <v>8</v>
      </c>
      <c r="F352">
        <f>VLOOKUP(A352,'[1]PO Report'!$A:$Z,15,0)</f>
        <v>94.44</v>
      </c>
      <c r="H352">
        <f t="shared" si="10"/>
        <v>0</v>
      </c>
      <c r="J352">
        <f t="shared" si="11"/>
        <v>0</v>
      </c>
    </row>
    <row r="353" spans="1:10" x14ac:dyDescent="0.25">
      <c r="A353" t="s">
        <v>2333</v>
      </c>
      <c r="B353">
        <v>36</v>
      </c>
      <c r="C353">
        <f>_xlfn.XLOOKUP(Recon!A353,[1]Backup!AJ:AJ,[1]Backup!L:L)</f>
        <v>83.89</v>
      </c>
      <c r="D353">
        <f>_xlfn.XLOOKUP(Recon!A353,[1]Backup!AJ:AJ,[1]Backup!K:K)</f>
        <v>2.8522599999999998</v>
      </c>
      <c r="E353">
        <f>SUMIF('[1]PO Report'!A:A,Recon!A353,'[1]PO Report'!P:P)</f>
        <v>36</v>
      </c>
      <c r="F353">
        <f>VLOOKUP(A353,'[1]PO Report'!$A:$Z,15,0)</f>
        <v>83.89</v>
      </c>
      <c r="H353">
        <f t="shared" si="10"/>
        <v>0</v>
      </c>
      <c r="J353">
        <f t="shared" si="11"/>
        <v>0</v>
      </c>
    </row>
    <row r="354" spans="1:10" x14ac:dyDescent="0.25">
      <c r="A354" t="s">
        <v>2334</v>
      </c>
      <c r="B354">
        <v>24</v>
      </c>
      <c r="C354">
        <f>_xlfn.XLOOKUP(Recon!A354,[1]Backup!AJ:AJ,[1]Backup!L:L)</f>
        <v>32.21</v>
      </c>
      <c r="D354">
        <f>_xlfn.XLOOKUP(Recon!A354,[1]Backup!AJ:AJ,[1]Backup!K:K)</f>
        <v>1.09514</v>
      </c>
      <c r="E354">
        <f>SUMIF('[1]PO Report'!A:A,Recon!A354,'[1]PO Report'!P:P)</f>
        <v>24</v>
      </c>
      <c r="F354">
        <f>VLOOKUP(A354,'[1]PO Report'!$A:$Z,15,0)</f>
        <v>32.21</v>
      </c>
      <c r="H354">
        <f t="shared" si="10"/>
        <v>0</v>
      </c>
      <c r="J354">
        <f t="shared" si="11"/>
        <v>0</v>
      </c>
    </row>
    <row r="355" spans="1:10" x14ac:dyDescent="0.25">
      <c r="A355" t="s">
        <v>2335</v>
      </c>
      <c r="B355">
        <v>4</v>
      </c>
      <c r="C355">
        <f>_xlfn.XLOOKUP(Recon!A355,[1]Backup!AJ:AJ,[1]Backup!L:L)</f>
        <v>73.34</v>
      </c>
      <c r="D355">
        <f>_xlfn.XLOOKUP(Recon!A355,[1]Backup!AJ:AJ,[1]Backup!K:K)</f>
        <v>2.49356</v>
      </c>
      <c r="E355">
        <f>SUMIF('[1]PO Report'!A:A,Recon!A355,'[1]PO Report'!P:P)</f>
        <v>4</v>
      </c>
      <c r="F355">
        <f>VLOOKUP(A355,'[1]PO Report'!$A:$Z,15,0)</f>
        <v>73.34</v>
      </c>
      <c r="H355">
        <f t="shared" si="10"/>
        <v>0</v>
      </c>
      <c r="J355">
        <f t="shared" si="11"/>
        <v>0</v>
      </c>
    </row>
    <row r="356" spans="1:10" x14ac:dyDescent="0.25">
      <c r="A356" t="s">
        <v>2336</v>
      </c>
      <c r="B356">
        <v>8</v>
      </c>
      <c r="C356">
        <f>_xlfn.XLOOKUP(Recon!A356,[1]Backup!AJ:AJ,[1]Backup!L:L)</f>
        <v>133.41999999999999</v>
      </c>
      <c r="D356">
        <f>_xlfn.XLOOKUP(Recon!A356,[1]Backup!AJ:AJ,[1]Backup!K:K)</f>
        <v>4.5362799999999996</v>
      </c>
      <c r="E356">
        <f>SUMIF('[1]PO Report'!A:A,Recon!A356,'[1]PO Report'!P:P)</f>
        <v>8</v>
      </c>
      <c r="F356">
        <f>VLOOKUP(A356,'[1]PO Report'!$A:$Z,15,0)</f>
        <v>133.41999999999999</v>
      </c>
      <c r="H356">
        <f t="shared" si="10"/>
        <v>0</v>
      </c>
      <c r="J356">
        <f t="shared" si="11"/>
        <v>0</v>
      </c>
    </row>
    <row r="357" spans="1:10" x14ac:dyDescent="0.25">
      <c r="A357" t="s">
        <v>2337</v>
      </c>
      <c r="B357">
        <v>8</v>
      </c>
      <c r="C357">
        <f>_xlfn.XLOOKUP(Recon!A357,[1]Backup!AJ:AJ,[1]Backup!L:L)</f>
        <v>69.03</v>
      </c>
      <c r="D357">
        <f>_xlfn.XLOOKUP(Recon!A357,[1]Backup!AJ:AJ,[1]Backup!K:K)</f>
        <v>2.3470200000000001</v>
      </c>
      <c r="E357">
        <f>SUMIF('[1]PO Report'!A:A,Recon!A357,'[1]PO Report'!P:P)</f>
        <v>8</v>
      </c>
      <c r="F357">
        <f>VLOOKUP(A357,'[1]PO Report'!$A:$Z,15,0)</f>
        <v>69.03</v>
      </c>
      <c r="H357">
        <f t="shared" si="10"/>
        <v>0</v>
      </c>
      <c r="J357">
        <f t="shared" si="11"/>
        <v>0</v>
      </c>
    </row>
    <row r="358" spans="1:10" x14ac:dyDescent="0.25">
      <c r="A358" t="s">
        <v>2338</v>
      </c>
      <c r="B358">
        <v>72</v>
      </c>
      <c r="C358">
        <f>_xlfn.XLOOKUP(Recon!A358,[1]Backup!AJ:AJ,[1]Backup!L:L)</f>
        <v>83.89</v>
      </c>
      <c r="D358">
        <f>_xlfn.XLOOKUP(Recon!A358,[1]Backup!AJ:AJ,[1]Backup!K:K)</f>
        <v>2.8522599999999998</v>
      </c>
      <c r="E358">
        <f>SUMIF('[1]PO Report'!A:A,Recon!A358,'[1]PO Report'!P:P)</f>
        <v>68</v>
      </c>
      <c r="F358">
        <f>VLOOKUP(A358,'[1]PO Report'!$A:$Z,15,0)</f>
        <v>83.89</v>
      </c>
      <c r="H358">
        <f t="shared" si="10"/>
        <v>4</v>
      </c>
      <c r="I358">
        <f>H358*D358</f>
        <v>11.409039999999999</v>
      </c>
      <c r="J358">
        <f t="shared" si="11"/>
        <v>0</v>
      </c>
    </row>
    <row r="359" spans="1:10" x14ac:dyDescent="0.25">
      <c r="A359" t="s">
        <v>2339</v>
      </c>
      <c r="B359">
        <v>24</v>
      </c>
      <c r="C359">
        <f>_xlfn.XLOOKUP(Recon!A359,[1]Backup!AJ:AJ,[1]Backup!L:L)</f>
        <v>55.1</v>
      </c>
      <c r="D359">
        <f>_xlfn.XLOOKUP(Recon!A359,[1]Backup!AJ:AJ,[1]Backup!K:K)</f>
        <v>1.8734</v>
      </c>
      <c r="E359">
        <f>SUMIF('[1]PO Report'!A:A,Recon!A359,'[1]PO Report'!P:P)</f>
        <v>24</v>
      </c>
      <c r="F359">
        <f>VLOOKUP(A359,'[1]PO Report'!$A:$Z,15,0)</f>
        <v>55.1</v>
      </c>
      <c r="H359">
        <f t="shared" si="10"/>
        <v>0</v>
      </c>
      <c r="J359">
        <f t="shared" si="11"/>
        <v>0</v>
      </c>
    </row>
    <row r="360" spans="1:10" x14ac:dyDescent="0.25">
      <c r="A360" t="s">
        <v>2340</v>
      </c>
      <c r="B360">
        <v>24</v>
      </c>
      <c r="C360">
        <f>_xlfn.XLOOKUP(Recon!A360,[1]Backup!AJ:AJ,[1]Backup!L:L)</f>
        <v>40.6</v>
      </c>
      <c r="D360">
        <f>_xlfn.XLOOKUP(Recon!A360,[1]Backup!AJ:AJ,[1]Backup!K:K)</f>
        <v>1.3804000000000001</v>
      </c>
      <c r="E360">
        <f>SUMIF('[1]PO Report'!A:A,Recon!A360,'[1]PO Report'!P:P)</f>
        <v>24</v>
      </c>
      <c r="F360">
        <f>VLOOKUP(A360,'[1]PO Report'!$A:$Z,15,0)</f>
        <v>40.6</v>
      </c>
      <c r="H360">
        <f t="shared" si="10"/>
        <v>0</v>
      </c>
      <c r="J360">
        <f t="shared" si="11"/>
        <v>0</v>
      </c>
    </row>
    <row r="361" spans="1:10" x14ac:dyDescent="0.25">
      <c r="A361" t="s">
        <v>2341</v>
      </c>
      <c r="B361">
        <v>8</v>
      </c>
      <c r="C361">
        <f>_xlfn.XLOOKUP(Recon!A361,[1]Backup!AJ:AJ,[1]Backup!L:L)</f>
        <v>75.39</v>
      </c>
      <c r="D361">
        <f>_xlfn.XLOOKUP(Recon!A361,[1]Backup!AJ:AJ,[1]Backup!K:K)</f>
        <v>2.5632600000000001</v>
      </c>
      <c r="E361">
        <f>SUMIF('[1]PO Report'!A:A,Recon!A361,'[1]PO Report'!P:P)</f>
        <v>8</v>
      </c>
      <c r="F361">
        <f>VLOOKUP(A361,'[1]PO Report'!$A:$Z,15,0)</f>
        <v>75.39</v>
      </c>
      <c r="H361">
        <f t="shared" si="10"/>
        <v>0</v>
      </c>
      <c r="J361">
        <f t="shared" si="11"/>
        <v>0</v>
      </c>
    </row>
    <row r="362" spans="1:10" x14ac:dyDescent="0.25">
      <c r="A362" t="s">
        <v>2342</v>
      </c>
      <c r="B362">
        <v>12</v>
      </c>
      <c r="C362">
        <f>_xlfn.XLOOKUP(Recon!A362,[1]Backup!AJ:AJ,[1]Backup!L:L)</f>
        <v>46.4</v>
      </c>
      <c r="D362">
        <f>_xlfn.XLOOKUP(Recon!A362,[1]Backup!AJ:AJ,[1]Backup!K:K)</f>
        <v>1.5776000000000001</v>
      </c>
      <c r="E362">
        <f>SUMIF('[1]PO Report'!A:A,Recon!A362,'[1]PO Report'!P:P)</f>
        <v>12</v>
      </c>
      <c r="F362">
        <f>VLOOKUP(A362,'[1]PO Report'!$A:$Z,15,0)</f>
        <v>46.4</v>
      </c>
      <c r="H362">
        <f t="shared" si="10"/>
        <v>0</v>
      </c>
      <c r="J362">
        <f t="shared" si="11"/>
        <v>0</v>
      </c>
    </row>
    <row r="363" spans="1:10" x14ac:dyDescent="0.25">
      <c r="A363" t="s">
        <v>2343</v>
      </c>
      <c r="B363">
        <v>20</v>
      </c>
      <c r="C363">
        <f>_xlfn.XLOOKUP(Recon!A363,[1]Backup!AJ:AJ,[1]Backup!L:L)</f>
        <v>63.23</v>
      </c>
      <c r="D363">
        <f>_xlfn.XLOOKUP(Recon!A363,[1]Backup!AJ:AJ,[1]Backup!K:K)</f>
        <v>2.1498200000000001</v>
      </c>
      <c r="E363">
        <f>SUMIF('[1]PO Report'!A:A,Recon!A363,'[1]PO Report'!P:P)</f>
        <v>16</v>
      </c>
      <c r="F363">
        <f>VLOOKUP(A363,'[1]PO Report'!$A:$Z,15,0)</f>
        <v>63.23</v>
      </c>
      <c r="H363">
        <f t="shared" si="10"/>
        <v>4</v>
      </c>
      <c r="I363">
        <f>H363*D363</f>
        <v>8.5992800000000003</v>
      </c>
      <c r="J363">
        <f t="shared" si="11"/>
        <v>0</v>
      </c>
    </row>
    <row r="364" spans="1:10" x14ac:dyDescent="0.25">
      <c r="A364" t="s">
        <v>2344</v>
      </c>
      <c r="B364">
        <v>36</v>
      </c>
      <c r="C364">
        <f>_xlfn.XLOOKUP(Recon!A364,[1]Backup!AJ:AJ,[1]Backup!L:L)</f>
        <v>21.1</v>
      </c>
      <c r="D364">
        <f>_xlfn.XLOOKUP(Recon!A364,[1]Backup!AJ:AJ,[1]Backup!K:K)</f>
        <v>0.71740000000000004</v>
      </c>
      <c r="E364">
        <f>SUMIF('[1]PO Report'!A:A,Recon!A364,'[1]PO Report'!P:P)</f>
        <v>36</v>
      </c>
      <c r="F364">
        <f>VLOOKUP(A364,'[1]PO Report'!$A:$Z,15,0)</f>
        <v>21.1</v>
      </c>
      <c r="H364">
        <f t="shared" si="10"/>
        <v>0</v>
      </c>
      <c r="J364">
        <f t="shared" si="11"/>
        <v>0</v>
      </c>
    </row>
    <row r="365" spans="1:10" x14ac:dyDescent="0.25">
      <c r="A365" t="s">
        <v>2345</v>
      </c>
      <c r="B365">
        <v>16</v>
      </c>
      <c r="C365">
        <f>_xlfn.XLOOKUP(Recon!A365,[1]Backup!AJ:AJ,[1]Backup!L:L)</f>
        <v>83.89</v>
      </c>
      <c r="D365">
        <f>_xlfn.XLOOKUP(Recon!A365,[1]Backup!AJ:AJ,[1]Backup!K:K)</f>
        <v>2.8522599999999998</v>
      </c>
      <c r="E365">
        <f>SUMIF('[1]PO Report'!A:A,Recon!A365,'[1]PO Report'!P:P)</f>
        <v>16</v>
      </c>
      <c r="F365">
        <f>VLOOKUP(A365,'[1]PO Report'!$A:$Z,15,0)</f>
        <v>83.89</v>
      </c>
      <c r="H365">
        <f t="shared" si="10"/>
        <v>0</v>
      </c>
      <c r="J365">
        <f t="shared" si="11"/>
        <v>0</v>
      </c>
    </row>
    <row r="366" spans="1:10" x14ac:dyDescent="0.25">
      <c r="A366" t="s">
        <v>2346</v>
      </c>
      <c r="B366">
        <v>4</v>
      </c>
      <c r="C366">
        <f>_xlfn.XLOOKUP(Recon!A366,[1]Backup!AJ:AJ,[1]Backup!L:L)</f>
        <v>57.51</v>
      </c>
      <c r="D366">
        <f>_xlfn.XLOOKUP(Recon!A366,[1]Backup!AJ:AJ,[1]Backup!K:K)</f>
        <v>1.9553400000000001</v>
      </c>
      <c r="E366">
        <f>SUMIF('[1]PO Report'!A:A,Recon!A366,'[1]PO Report'!P:P)</f>
        <v>4</v>
      </c>
      <c r="F366">
        <f>VLOOKUP(A366,'[1]PO Report'!$A:$Z,15,0)</f>
        <v>57.51</v>
      </c>
      <c r="H366">
        <f t="shared" si="10"/>
        <v>0</v>
      </c>
      <c r="J366">
        <f t="shared" si="11"/>
        <v>0</v>
      </c>
    </row>
    <row r="367" spans="1:10" x14ac:dyDescent="0.25">
      <c r="A367" t="s">
        <v>2347</v>
      </c>
      <c r="B367">
        <v>6</v>
      </c>
      <c r="C367">
        <f>_xlfn.XLOOKUP(Recon!A367,[1]Backup!AJ:AJ,[1]Backup!L:L)</f>
        <v>66.66</v>
      </c>
      <c r="D367">
        <f>_xlfn.XLOOKUP(Recon!A367,[1]Backup!AJ:AJ,[1]Backup!K:K)</f>
        <v>2.2664399999999998</v>
      </c>
      <c r="E367">
        <f>SUMIF('[1]PO Report'!A:A,Recon!A367,'[1]PO Report'!P:P)</f>
        <v>6</v>
      </c>
      <c r="F367">
        <f>VLOOKUP(A367,'[1]PO Report'!$A:$Z,15,0)</f>
        <v>66.66</v>
      </c>
      <c r="H367">
        <f t="shared" si="10"/>
        <v>0</v>
      </c>
      <c r="J367">
        <f t="shared" si="11"/>
        <v>0</v>
      </c>
    </row>
    <row r="368" spans="1:10" x14ac:dyDescent="0.25">
      <c r="A368" t="s">
        <v>2348</v>
      </c>
      <c r="B368">
        <v>288</v>
      </c>
      <c r="C368">
        <f>_xlfn.XLOOKUP(Recon!A368,[1]Backup!AJ:AJ,[1]Backup!L:L)</f>
        <v>73.34</v>
      </c>
      <c r="D368">
        <f>_xlfn.XLOOKUP(Recon!A368,[1]Backup!AJ:AJ,[1]Backup!K:K)</f>
        <v>2.49356</v>
      </c>
      <c r="E368">
        <f>SUMIF('[1]PO Report'!A:A,Recon!A368,'[1]PO Report'!P:P)</f>
        <v>288</v>
      </c>
      <c r="F368">
        <f>VLOOKUP(A368,'[1]PO Report'!$A:$Z,15,0)</f>
        <v>73.34</v>
      </c>
      <c r="H368">
        <f t="shared" si="10"/>
        <v>0</v>
      </c>
      <c r="J368">
        <f t="shared" si="11"/>
        <v>0</v>
      </c>
    </row>
    <row r="369" spans="1:10" x14ac:dyDescent="0.25">
      <c r="A369" t="s">
        <v>2349</v>
      </c>
      <c r="B369">
        <v>472</v>
      </c>
      <c r="C369">
        <f>_xlfn.XLOOKUP(Recon!A369,[1]Backup!AJ:AJ,[1]Backup!L:L)</f>
        <v>69.03</v>
      </c>
      <c r="D369">
        <f>_xlfn.XLOOKUP(Recon!A369,[1]Backup!AJ:AJ,[1]Backup!K:K)</f>
        <v>2.3470199999999997</v>
      </c>
      <c r="E369">
        <f>SUMIF('[1]PO Report'!A:A,Recon!A369,'[1]PO Report'!P:P)</f>
        <v>472</v>
      </c>
      <c r="F369">
        <f>VLOOKUP(A369,'[1]PO Report'!$A:$Z,15,0)</f>
        <v>69.03</v>
      </c>
      <c r="H369">
        <f t="shared" si="10"/>
        <v>0</v>
      </c>
      <c r="J369">
        <f t="shared" si="11"/>
        <v>0</v>
      </c>
    </row>
    <row r="370" spans="1:10" x14ac:dyDescent="0.25">
      <c r="A370" t="s">
        <v>2350</v>
      </c>
      <c r="B370">
        <v>8</v>
      </c>
      <c r="C370">
        <f>_xlfn.XLOOKUP(Recon!A370,[1]Backup!AJ:AJ,[1]Backup!L:L)</f>
        <v>116.89</v>
      </c>
      <c r="D370">
        <f>_xlfn.XLOOKUP(Recon!A370,[1]Backup!AJ:AJ,[1]Backup!K:K)</f>
        <v>3.9742600000000001</v>
      </c>
      <c r="E370">
        <f>SUMIF('[1]PO Report'!A:A,Recon!A370,'[1]PO Report'!P:P)</f>
        <v>8</v>
      </c>
      <c r="F370">
        <f>VLOOKUP(A370,'[1]PO Report'!$A:$Z,15,0)</f>
        <v>116.89</v>
      </c>
      <c r="H370">
        <f t="shared" si="10"/>
        <v>0</v>
      </c>
      <c r="J370">
        <f t="shared" si="11"/>
        <v>0</v>
      </c>
    </row>
    <row r="371" spans="1:10" x14ac:dyDescent="0.25">
      <c r="A371" t="s">
        <v>2351</v>
      </c>
      <c r="B371">
        <v>228</v>
      </c>
      <c r="C371">
        <f>_xlfn.XLOOKUP(Recon!A371,[1]Backup!AJ:AJ,[1]Backup!L:L)</f>
        <v>83.889999999999986</v>
      </c>
      <c r="D371">
        <f>_xlfn.XLOOKUP(Recon!A371,[1]Backup!AJ:AJ,[1]Backup!K:K)</f>
        <v>2.8522600000000002</v>
      </c>
      <c r="E371">
        <f>SUMIF('[1]PO Report'!A:A,Recon!A371,'[1]PO Report'!P:P)</f>
        <v>228</v>
      </c>
      <c r="F371">
        <f>VLOOKUP(A371,'[1]PO Report'!$A:$Z,15,0)</f>
        <v>83.89</v>
      </c>
      <c r="H371">
        <f t="shared" si="10"/>
        <v>0</v>
      </c>
      <c r="J371">
        <f t="shared" si="11"/>
        <v>0</v>
      </c>
    </row>
    <row r="372" spans="1:10" x14ac:dyDescent="0.25">
      <c r="A372" t="s">
        <v>2352</v>
      </c>
      <c r="B372">
        <v>72</v>
      </c>
      <c r="C372">
        <f>_xlfn.XLOOKUP(Recon!A372,[1]Backup!AJ:AJ,[1]Backup!L:L)</f>
        <v>11.59</v>
      </c>
      <c r="D372">
        <f>_xlfn.XLOOKUP(Recon!A372,[1]Backup!AJ:AJ,[1]Backup!K:K)</f>
        <v>0.39405999999999997</v>
      </c>
      <c r="E372">
        <f>SUMIF('[1]PO Report'!A:A,Recon!A372,'[1]PO Report'!P:P)</f>
        <v>72</v>
      </c>
      <c r="F372">
        <f>VLOOKUP(A372,'[1]PO Report'!$A:$Z,15,0)</f>
        <v>11.59</v>
      </c>
      <c r="H372">
        <f t="shared" si="10"/>
        <v>0</v>
      </c>
      <c r="J372">
        <f t="shared" si="11"/>
        <v>0</v>
      </c>
    </row>
    <row r="373" spans="1:10" x14ac:dyDescent="0.25">
      <c r="A373" t="s">
        <v>2353</v>
      </c>
      <c r="B373">
        <v>4</v>
      </c>
      <c r="C373">
        <f>_xlfn.XLOOKUP(Recon!A373,[1]Backup!AJ:AJ,[1]Backup!L:L)</f>
        <v>21.1</v>
      </c>
      <c r="D373">
        <f>_xlfn.XLOOKUP(Recon!A373,[1]Backup!AJ:AJ,[1]Backup!K:K)</f>
        <v>0.71740000000000004</v>
      </c>
      <c r="E373">
        <f>SUMIF('[1]PO Report'!A:A,Recon!A373,'[1]PO Report'!P:P)</f>
        <v>4</v>
      </c>
      <c r="F373">
        <f>VLOOKUP(A373,'[1]PO Report'!$A:$Z,15,0)</f>
        <v>21.1</v>
      </c>
      <c r="H373">
        <f t="shared" si="10"/>
        <v>0</v>
      </c>
      <c r="J373">
        <f t="shared" si="11"/>
        <v>0</v>
      </c>
    </row>
    <row r="374" spans="1:10" x14ac:dyDescent="0.25">
      <c r="A374" t="s">
        <v>2354</v>
      </c>
      <c r="B374">
        <v>90</v>
      </c>
      <c r="C374">
        <f>_xlfn.XLOOKUP(Recon!A374,[1]Backup!AJ:AJ,[1]Backup!L:L)</f>
        <v>58</v>
      </c>
      <c r="D374">
        <f>_xlfn.XLOOKUP(Recon!A374,[1]Backup!AJ:AJ,[1]Backup!K:K)</f>
        <v>1.972</v>
      </c>
      <c r="E374">
        <f>SUMIF('[1]PO Report'!A:A,Recon!A374,'[1]PO Report'!P:P)</f>
        <v>90</v>
      </c>
      <c r="F374">
        <f>VLOOKUP(A374,'[1]PO Report'!$A:$Z,15,0)</f>
        <v>58</v>
      </c>
      <c r="H374">
        <f t="shared" si="10"/>
        <v>0</v>
      </c>
      <c r="J374">
        <f t="shared" si="11"/>
        <v>0</v>
      </c>
    </row>
    <row r="375" spans="1:10" x14ac:dyDescent="0.25">
      <c r="A375" t="s">
        <v>2355</v>
      </c>
      <c r="B375">
        <v>20</v>
      </c>
      <c r="C375">
        <f>_xlfn.XLOOKUP(Recon!A375,[1]Backup!AJ:AJ,[1]Backup!L:L)</f>
        <v>8.89</v>
      </c>
      <c r="D375">
        <f>_xlfn.XLOOKUP(Recon!A375,[1]Backup!AJ:AJ,[1]Backup!K:K)</f>
        <v>0.30226000000000003</v>
      </c>
      <c r="E375">
        <f>SUMIF('[1]PO Report'!A:A,Recon!A375,'[1]PO Report'!P:P)</f>
        <v>20</v>
      </c>
      <c r="F375">
        <f>VLOOKUP(A375,'[1]PO Report'!$A:$Z,15,0)</f>
        <v>8.89</v>
      </c>
      <c r="H375">
        <f t="shared" si="10"/>
        <v>0</v>
      </c>
      <c r="J375">
        <f t="shared" si="11"/>
        <v>0</v>
      </c>
    </row>
    <row r="376" spans="1:10" x14ac:dyDescent="0.25">
      <c r="A376" t="s">
        <v>2356</v>
      </c>
      <c r="B376">
        <v>80</v>
      </c>
      <c r="C376">
        <f>_xlfn.XLOOKUP(Recon!A376,[1]Backup!AJ:AJ,[1]Backup!L:L)</f>
        <v>8.89</v>
      </c>
      <c r="D376">
        <f>_xlfn.XLOOKUP(Recon!A376,[1]Backup!AJ:AJ,[1]Backup!K:K)</f>
        <v>0.30226000000000003</v>
      </c>
      <c r="E376">
        <f>SUMIF('[1]PO Report'!A:A,Recon!A376,'[1]PO Report'!P:P)</f>
        <v>80</v>
      </c>
      <c r="F376">
        <f>VLOOKUP(A376,'[1]PO Report'!$A:$Z,15,0)</f>
        <v>8.89</v>
      </c>
      <c r="H376">
        <f t="shared" si="10"/>
        <v>0</v>
      </c>
      <c r="J376">
        <f t="shared" si="11"/>
        <v>0</v>
      </c>
    </row>
    <row r="377" spans="1:10" x14ac:dyDescent="0.25">
      <c r="A377" t="s">
        <v>2357</v>
      </c>
      <c r="B377">
        <v>60</v>
      </c>
      <c r="C377">
        <f>_xlfn.XLOOKUP(Recon!A377,[1]Backup!AJ:AJ,[1]Backup!L:L)</f>
        <v>31.12</v>
      </c>
      <c r="D377">
        <f>_xlfn.XLOOKUP(Recon!A377,[1]Backup!AJ:AJ,[1]Backup!K:K)</f>
        <v>1.0580799999999999</v>
      </c>
      <c r="E377">
        <f>SUMIF('[1]PO Report'!A:A,Recon!A377,'[1]PO Report'!P:P)</f>
        <v>60</v>
      </c>
      <c r="F377">
        <f>VLOOKUP(A377,'[1]PO Report'!$A:$Z,15,0)</f>
        <v>31.12</v>
      </c>
      <c r="H377">
        <f t="shared" si="10"/>
        <v>0</v>
      </c>
      <c r="J377">
        <f t="shared" si="11"/>
        <v>0</v>
      </c>
    </row>
    <row r="378" spans="1:10" x14ac:dyDescent="0.25">
      <c r="A378" t="s">
        <v>2358</v>
      </c>
      <c r="B378">
        <v>4</v>
      </c>
      <c r="C378">
        <f>_xlfn.XLOOKUP(Recon!A378,[1]Backup!AJ:AJ,[1]Backup!L:L)</f>
        <v>44.95</v>
      </c>
      <c r="D378">
        <f>_xlfn.XLOOKUP(Recon!A378,[1]Backup!AJ:AJ,[1]Backup!K:K)</f>
        <v>1.5283</v>
      </c>
      <c r="E378">
        <f>SUMIF('[1]PO Report'!A:A,Recon!A378,'[1]PO Report'!P:P)</f>
        <v>4</v>
      </c>
      <c r="F378">
        <f>VLOOKUP(A378,'[1]PO Report'!$A:$Z,15,0)</f>
        <v>44.95</v>
      </c>
      <c r="H378">
        <f t="shared" si="10"/>
        <v>0</v>
      </c>
      <c r="J378">
        <f t="shared" si="11"/>
        <v>0</v>
      </c>
    </row>
    <row r="379" spans="1:10" x14ac:dyDescent="0.25">
      <c r="A379" t="s">
        <v>2359</v>
      </c>
      <c r="B379">
        <v>36</v>
      </c>
      <c r="C379">
        <f>_xlfn.XLOOKUP(Recon!A379,[1]Backup!AJ:AJ,[1]Backup!L:L)</f>
        <v>6.32</v>
      </c>
      <c r="D379">
        <f>_xlfn.XLOOKUP(Recon!A379,[1]Backup!AJ:AJ,[1]Backup!K:K)</f>
        <v>0.21488000000000002</v>
      </c>
      <c r="E379">
        <f>SUMIF('[1]PO Report'!A:A,Recon!A379,'[1]PO Report'!P:P)</f>
        <v>36</v>
      </c>
      <c r="F379">
        <f>VLOOKUP(A379,'[1]PO Report'!$A:$Z,15,0)</f>
        <v>6.32</v>
      </c>
      <c r="H379">
        <f t="shared" si="10"/>
        <v>0</v>
      </c>
      <c r="J379">
        <f t="shared" si="11"/>
        <v>0</v>
      </c>
    </row>
    <row r="380" spans="1:10" x14ac:dyDescent="0.25">
      <c r="A380" t="s">
        <v>2360</v>
      </c>
      <c r="B380">
        <v>4</v>
      </c>
      <c r="C380">
        <f>_xlfn.XLOOKUP(Recon!A380,[1]Backup!AJ:AJ,[1]Backup!L:L)</f>
        <v>23.74</v>
      </c>
      <c r="D380">
        <f>_xlfn.XLOOKUP(Recon!A380,[1]Backup!AJ:AJ,[1]Backup!K:K)</f>
        <v>0.80715999999999999</v>
      </c>
      <c r="E380">
        <f>SUMIF('[1]PO Report'!A:A,Recon!A380,'[1]PO Report'!P:P)</f>
        <v>4</v>
      </c>
      <c r="F380">
        <f>VLOOKUP(A380,'[1]PO Report'!$A:$Z,15,0)</f>
        <v>23.74</v>
      </c>
      <c r="H380">
        <f t="shared" si="10"/>
        <v>0</v>
      </c>
      <c r="J380">
        <f t="shared" si="11"/>
        <v>0</v>
      </c>
    </row>
    <row r="381" spans="1:10" x14ac:dyDescent="0.25">
      <c r="A381" t="s">
        <v>2361</v>
      </c>
      <c r="B381">
        <v>8</v>
      </c>
      <c r="C381">
        <f>_xlfn.XLOOKUP(Recon!A381,[1]Backup!AJ:AJ,[1]Backup!L:L)</f>
        <v>44.95</v>
      </c>
      <c r="D381">
        <f>_xlfn.XLOOKUP(Recon!A381,[1]Backup!AJ:AJ,[1]Backup!K:K)</f>
        <v>1.5283</v>
      </c>
      <c r="E381">
        <f>SUMIF('[1]PO Report'!A:A,Recon!A381,'[1]PO Report'!P:P)</f>
        <v>8</v>
      </c>
      <c r="F381">
        <f>VLOOKUP(A381,'[1]PO Report'!$A:$Z,15,0)</f>
        <v>44.95</v>
      </c>
      <c r="H381">
        <f t="shared" si="10"/>
        <v>0</v>
      </c>
      <c r="J381">
        <f t="shared" si="11"/>
        <v>0</v>
      </c>
    </row>
    <row r="382" spans="1:10" x14ac:dyDescent="0.25">
      <c r="A382" t="s">
        <v>2362</v>
      </c>
      <c r="B382">
        <v>4</v>
      </c>
      <c r="C382">
        <f>_xlfn.XLOOKUP(Recon!A382,[1]Backup!AJ:AJ,[1]Backup!L:L)</f>
        <v>68.06</v>
      </c>
      <c r="D382">
        <f>_xlfn.XLOOKUP(Recon!A382,[1]Backup!AJ:AJ,[1]Backup!K:K)</f>
        <v>2.3140399999999999</v>
      </c>
      <c r="E382">
        <f>SUMIF('[1]PO Report'!A:A,Recon!A382,'[1]PO Report'!P:P)</f>
        <v>4</v>
      </c>
      <c r="F382">
        <f>VLOOKUP(A382,'[1]PO Report'!$A:$Z,15,0)</f>
        <v>68.06</v>
      </c>
      <c r="H382">
        <f t="shared" si="10"/>
        <v>0</v>
      </c>
      <c r="J382">
        <f t="shared" si="11"/>
        <v>0</v>
      </c>
    </row>
    <row r="383" spans="1:10" x14ac:dyDescent="0.25">
      <c r="A383" t="s">
        <v>2363</v>
      </c>
      <c r="B383">
        <v>80</v>
      </c>
      <c r="C383">
        <f>_xlfn.XLOOKUP(Recon!A383,[1]Backup!AJ:AJ,[1]Backup!L:L)</f>
        <v>116.02000000000001</v>
      </c>
      <c r="D383">
        <f>_xlfn.XLOOKUP(Recon!A383,[1]Backup!AJ:AJ,[1]Backup!K:K)</f>
        <v>3.9446800000000004</v>
      </c>
      <c r="E383">
        <f>SUMIF('[1]PO Report'!A:A,Recon!A383,'[1]PO Report'!P:P)</f>
        <v>80</v>
      </c>
      <c r="F383">
        <f>VLOOKUP(A383,'[1]PO Report'!$A:$Z,15,0)</f>
        <v>116.02</v>
      </c>
      <c r="H383">
        <f t="shared" si="10"/>
        <v>0</v>
      </c>
      <c r="J383">
        <f t="shared" si="11"/>
        <v>0</v>
      </c>
    </row>
    <row r="384" spans="1:10" x14ac:dyDescent="0.25">
      <c r="A384" t="s">
        <v>2364</v>
      </c>
      <c r="B384">
        <v>24</v>
      </c>
      <c r="C384">
        <f>_xlfn.XLOOKUP(Recon!A384,[1]Backup!AJ:AJ,[1]Backup!L:L)</f>
        <v>104.41000000000001</v>
      </c>
      <c r="D384">
        <f>_xlfn.XLOOKUP(Recon!A384,[1]Backup!AJ:AJ,[1]Backup!K:K)</f>
        <v>3.5499399999999999</v>
      </c>
      <c r="E384">
        <f>SUMIF('[1]PO Report'!A:A,Recon!A384,'[1]PO Report'!P:P)</f>
        <v>24</v>
      </c>
      <c r="F384">
        <f>VLOOKUP(A384,'[1]PO Report'!$A:$Z,15,0)</f>
        <v>104.41</v>
      </c>
      <c r="H384">
        <f t="shared" si="10"/>
        <v>0</v>
      </c>
      <c r="J384">
        <f t="shared" si="11"/>
        <v>0</v>
      </c>
    </row>
    <row r="385" spans="1:10" x14ac:dyDescent="0.25">
      <c r="A385" t="s">
        <v>2365</v>
      </c>
      <c r="B385">
        <v>4</v>
      </c>
      <c r="C385">
        <f>_xlfn.XLOOKUP(Recon!A385,[1]Backup!AJ:AJ,[1]Backup!L:L)</f>
        <v>76.08</v>
      </c>
      <c r="D385">
        <f>_xlfn.XLOOKUP(Recon!A385,[1]Backup!AJ:AJ,[1]Backup!K:K)</f>
        <v>2.5867200000000001</v>
      </c>
      <c r="E385">
        <f>SUMIF('[1]PO Report'!A:A,Recon!A385,'[1]PO Report'!P:P)</f>
        <v>4</v>
      </c>
      <c r="F385">
        <f>VLOOKUP(A385,'[1]PO Report'!$A:$Z,15,0)</f>
        <v>76.08</v>
      </c>
      <c r="H385">
        <f t="shared" si="10"/>
        <v>0</v>
      </c>
      <c r="J385">
        <f t="shared" si="11"/>
        <v>0</v>
      </c>
    </row>
    <row r="386" spans="1:10" x14ac:dyDescent="0.25">
      <c r="A386" t="s">
        <v>2366</v>
      </c>
      <c r="B386">
        <v>8</v>
      </c>
      <c r="C386">
        <f>_xlfn.XLOOKUP(Recon!A386,[1]Backup!AJ:AJ,[1]Backup!L:L)</f>
        <v>52.76</v>
      </c>
      <c r="D386">
        <f>_xlfn.XLOOKUP(Recon!A386,[1]Backup!AJ:AJ,[1]Backup!K:K)</f>
        <v>1.7938400000000001</v>
      </c>
      <c r="E386">
        <f>SUMIF('[1]PO Report'!A:A,Recon!A386,'[1]PO Report'!P:P)</f>
        <v>8</v>
      </c>
      <c r="F386">
        <f>VLOOKUP(A386,'[1]PO Report'!$A:$Z,15,0)</f>
        <v>52.76</v>
      </c>
      <c r="H386">
        <f t="shared" si="10"/>
        <v>0</v>
      </c>
      <c r="J386">
        <f t="shared" si="11"/>
        <v>0</v>
      </c>
    </row>
    <row r="387" spans="1:10" x14ac:dyDescent="0.25">
      <c r="A387" t="s">
        <v>2367</v>
      </c>
      <c r="B387">
        <v>4</v>
      </c>
      <c r="C387">
        <f>_xlfn.XLOOKUP(Recon!A387,[1]Backup!AJ:AJ,[1]Backup!L:L)</f>
        <v>23.74</v>
      </c>
      <c r="D387">
        <f>_xlfn.XLOOKUP(Recon!A387,[1]Backup!AJ:AJ,[1]Backup!K:K)</f>
        <v>0.80715999999999999</v>
      </c>
      <c r="E387">
        <f>SUMIF('[1]PO Report'!A:A,Recon!A387,'[1]PO Report'!P:P)</f>
        <v>4</v>
      </c>
      <c r="F387">
        <f>VLOOKUP(A387,'[1]PO Report'!$A:$Z,15,0)</f>
        <v>23.74</v>
      </c>
      <c r="H387">
        <f t="shared" si="10"/>
        <v>0</v>
      </c>
      <c r="J387">
        <f t="shared" si="11"/>
        <v>0</v>
      </c>
    </row>
    <row r="388" spans="1:10" x14ac:dyDescent="0.25">
      <c r="A388" t="s">
        <v>2368</v>
      </c>
      <c r="B388">
        <v>6</v>
      </c>
      <c r="C388">
        <f>_xlfn.XLOOKUP(Recon!A388,[1]Backup!AJ:AJ,[1]Backup!L:L)</f>
        <v>63.830000000000005</v>
      </c>
      <c r="D388">
        <f>_xlfn.XLOOKUP(Recon!A388,[1]Backup!AJ:AJ,[1]Backup!K:K)</f>
        <v>2.17022</v>
      </c>
      <c r="E388">
        <f>SUMIF('[1]PO Report'!A:A,Recon!A388,'[1]PO Report'!P:P)</f>
        <v>6</v>
      </c>
      <c r="F388">
        <f>VLOOKUP(A388,'[1]PO Report'!$A:$Z,15,0)</f>
        <v>63.83</v>
      </c>
      <c r="H388">
        <f t="shared" ref="H388:H451" si="12">B388-E388</f>
        <v>0</v>
      </c>
      <c r="J388">
        <f t="shared" ref="J388:J451" si="13">C388-F388</f>
        <v>0</v>
      </c>
    </row>
    <row r="389" spans="1:10" x14ac:dyDescent="0.25">
      <c r="A389" t="s">
        <v>2369</v>
      </c>
      <c r="B389">
        <v>4</v>
      </c>
      <c r="C389">
        <f>_xlfn.XLOOKUP(Recon!A389,[1]Backup!AJ:AJ,[1]Backup!L:L)</f>
        <v>94.44</v>
      </c>
      <c r="D389">
        <f>_xlfn.XLOOKUP(Recon!A389,[1]Backup!AJ:AJ,[1]Backup!K:K)</f>
        <v>3.21096</v>
      </c>
      <c r="E389">
        <f>SUMIF('[1]PO Report'!A:A,Recon!A389,'[1]PO Report'!P:P)</f>
        <v>4</v>
      </c>
      <c r="F389">
        <f>VLOOKUP(A389,'[1]PO Report'!$A:$Z,15,0)</f>
        <v>94.44</v>
      </c>
      <c r="H389">
        <f t="shared" si="12"/>
        <v>0</v>
      </c>
      <c r="J389">
        <f t="shared" si="13"/>
        <v>0</v>
      </c>
    </row>
    <row r="390" spans="1:10" x14ac:dyDescent="0.25">
      <c r="A390" t="s">
        <v>2370</v>
      </c>
      <c r="B390">
        <v>552</v>
      </c>
      <c r="C390">
        <f>_xlfn.XLOOKUP(Recon!A390,[1]Backup!AJ:AJ,[1]Backup!L:L)</f>
        <v>20.5</v>
      </c>
      <c r="D390">
        <f>_xlfn.XLOOKUP(Recon!A390,[1]Backup!AJ:AJ,[1]Backup!K:K)</f>
        <v>0.69699999999999995</v>
      </c>
      <c r="E390">
        <f>SUMIF('[1]PO Report'!A:A,Recon!A390,'[1]PO Report'!P:P)</f>
        <v>552</v>
      </c>
      <c r="F390">
        <f>VLOOKUP(A390,'[1]PO Report'!$A:$Z,15,0)</f>
        <v>20.5</v>
      </c>
      <c r="H390">
        <f t="shared" si="12"/>
        <v>0</v>
      </c>
      <c r="J390">
        <f t="shared" si="13"/>
        <v>0</v>
      </c>
    </row>
    <row r="391" spans="1:10" x14ac:dyDescent="0.25">
      <c r="A391" t="s">
        <v>2371</v>
      </c>
      <c r="B391">
        <v>68</v>
      </c>
      <c r="C391">
        <f>_xlfn.XLOOKUP(Recon!A391,[1]Backup!AJ:AJ,[1]Backup!L:L)</f>
        <v>29.01</v>
      </c>
      <c r="D391">
        <f>_xlfn.XLOOKUP(Recon!A391,[1]Backup!AJ:AJ,[1]Backup!K:K)</f>
        <v>0.98633999999999988</v>
      </c>
      <c r="E391">
        <f>SUMIF('[1]PO Report'!A:A,Recon!A391,'[1]PO Report'!P:P)</f>
        <v>68</v>
      </c>
      <c r="F391">
        <f>VLOOKUP(A391,'[1]PO Report'!$A:$Z,15,0)</f>
        <v>29.01</v>
      </c>
      <c r="H391">
        <f t="shared" si="12"/>
        <v>0</v>
      </c>
      <c r="J391">
        <f t="shared" si="13"/>
        <v>0</v>
      </c>
    </row>
    <row r="392" spans="1:10" x14ac:dyDescent="0.25">
      <c r="A392" t="s">
        <v>2372</v>
      </c>
      <c r="B392">
        <v>44</v>
      </c>
      <c r="C392">
        <f>_xlfn.XLOOKUP(Recon!A392,[1]Backup!AJ:AJ,[1]Backup!L:L)</f>
        <v>34.29</v>
      </c>
      <c r="D392">
        <f>_xlfn.XLOOKUP(Recon!A392,[1]Backup!AJ:AJ,[1]Backup!K:K)</f>
        <v>1.1658600000000001</v>
      </c>
      <c r="E392">
        <f>SUMIF('[1]PO Report'!A:A,Recon!A392,'[1]PO Report'!P:P)</f>
        <v>44</v>
      </c>
      <c r="F392">
        <f>VLOOKUP(A392,'[1]PO Report'!$A:$Z,15,0)</f>
        <v>34.29</v>
      </c>
      <c r="H392">
        <f t="shared" si="12"/>
        <v>0</v>
      </c>
      <c r="J392">
        <f t="shared" si="13"/>
        <v>0</v>
      </c>
    </row>
    <row r="393" spans="1:10" x14ac:dyDescent="0.25">
      <c r="A393" t="s">
        <v>2373</v>
      </c>
      <c r="B393">
        <v>104</v>
      </c>
      <c r="C393">
        <f>_xlfn.XLOOKUP(Recon!A393,[1]Backup!AJ:AJ,[1]Backup!L:L)</f>
        <v>29.28</v>
      </c>
      <c r="D393">
        <f>_xlfn.XLOOKUP(Recon!A393,[1]Backup!AJ:AJ,[1]Backup!K:K)</f>
        <v>0.99551999999999996</v>
      </c>
      <c r="E393">
        <f>SUMIF('[1]PO Report'!A:A,Recon!A393,'[1]PO Report'!P:P)</f>
        <v>104</v>
      </c>
      <c r="F393">
        <f>VLOOKUP(A393,'[1]PO Report'!$A:$Z,15,0)</f>
        <v>29.28</v>
      </c>
      <c r="H393">
        <f t="shared" si="12"/>
        <v>0</v>
      </c>
      <c r="J393">
        <f t="shared" si="13"/>
        <v>0</v>
      </c>
    </row>
    <row r="394" spans="1:10" x14ac:dyDescent="0.25">
      <c r="A394" t="s">
        <v>2374</v>
      </c>
      <c r="B394">
        <v>20</v>
      </c>
      <c r="C394">
        <f>_xlfn.XLOOKUP(Recon!A394,[1]Backup!AJ:AJ,[1]Backup!L:L)</f>
        <v>86</v>
      </c>
      <c r="D394">
        <f>_xlfn.XLOOKUP(Recon!A394,[1]Backup!AJ:AJ,[1]Backup!K:K)</f>
        <v>2.9239999999999999</v>
      </c>
      <c r="E394">
        <f>SUMIF('[1]PO Report'!A:A,Recon!A394,'[1]PO Report'!P:P)</f>
        <v>20</v>
      </c>
      <c r="F394">
        <f>VLOOKUP(A394,'[1]PO Report'!$A:$Z,15,0)</f>
        <v>86</v>
      </c>
      <c r="H394">
        <f t="shared" si="12"/>
        <v>0</v>
      </c>
      <c r="J394">
        <f t="shared" si="13"/>
        <v>0</v>
      </c>
    </row>
    <row r="395" spans="1:10" x14ac:dyDescent="0.25">
      <c r="A395" t="s">
        <v>2375</v>
      </c>
      <c r="B395">
        <v>16</v>
      </c>
      <c r="C395">
        <f>_xlfn.XLOOKUP(Recon!A395,[1]Backup!AJ:AJ,[1]Backup!L:L)</f>
        <v>32.21</v>
      </c>
      <c r="D395">
        <f>_xlfn.XLOOKUP(Recon!A395,[1]Backup!AJ:AJ,[1]Backup!K:K)</f>
        <v>1.09514</v>
      </c>
      <c r="E395">
        <f>SUMIF('[1]PO Report'!A:A,Recon!A395,'[1]PO Report'!P:P)</f>
        <v>16</v>
      </c>
      <c r="F395">
        <f>VLOOKUP(A395,'[1]PO Report'!$A:$Z,15,0)</f>
        <v>32.21</v>
      </c>
      <c r="H395">
        <f t="shared" si="12"/>
        <v>0</v>
      </c>
      <c r="J395">
        <f t="shared" si="13"/>
        <v>0</v>
      </c>
    </row>
    <row r="396" spans="1:10" x14ac:dyDescent="0.25">
      <c r="A396" t="s">
        <v>2376</v>
      </c>
      <c r="B396">
        <v>8</v>
      </c>
      <c r="C396">
        <f>_xlfn.XLOOKUP(Recon!A396,[1]Backup!AJ:AJ,[1]Backup!L:L)</f>
        <v>40.6</v>
      </c>
      <c r="D396">
        <f>_xlfn.XLOOKUP(Recon!A396,[1]Backup!AJ:AJ,[1]Backup!K:K)</f>
        <v>1.3804000000000001</v>
      </c>
      <c r="E396">
        <f>SUMIF('[1]PO Report'!A:A,Recon!A396,'[1]PO Report'!P:P)</f>
        <v>8</v>
      </c>
      <c r="F396">
        <f>VLOOKUP(A396,'[1]PO Report'!$A:$Z,15,0)</f>
        <v>40.6</v>
      </c>
      <c r="H396">
        <f t="shared" si="12"/>
        <v>0</v>
      </c>
      <c r="J396">
        <f t="shared" si="13"/>
        <v>0</v>
      </c>
    </row>
    <row r="397" spans="1:10" x14ac:dyDescent="0.25">
      <c r="A397" t="s">
        <v>2377</v>
      </c>
      <c r="B397">
        <v>16</v>
      </c>
      <c r="C397">
        <f>_xlfn.XLOOKUP(Recon!A397,[1]Backup!AJ:AJ,[1]Backup!L:L)</f>
        <v>26.37</v>
      </c>
      <c r="D397">
        <f>_xlfn.XLOOKUP(Recon!A397,[1]Backup!AJ:AJ,[1]Backup!K:K)</f>
        <v>0.89658000000000004</v>
      </c>
      <c r="E397">
        <f>SUMIF('[1]PO Report'!A:A,Recon!A397,'[1]PO Report'!P:P)</f>
        <v>16</v>
      </c>
      <c r="F397">
        <f>VLOOKUP(A397,'[1]PO Report'!$A:$Z,15,0)</f>
        <v>26.37</v>
      </c>
      <c r="H397">
        <f t="shared" si="12"/>
        <v>0</v>
      </c>
      <c r="J397">
        <f t="shared" si="13"/>
        <v>0</v>
      </c>
    </row>
    <row r="398" spans="1:10" x14ac:dyDescent="0.25">
      <c r="A398" t="s">
        <v>2378</v>
      </c>
      <c r="B398">
        <v>24</v>
      </c>
      <c r="C398">
        <f>_xlfn.XLOOKUP(Recon!A398,[1]Backup!AJ:AJ,[1]Backup!L:L)</f>
        <v>32.21</v>
      </c>
      <c r="D398">
        <f>_xlfn.XLOOKUP(Recon!A398,[1]Backup!AJ:AJ,[1]Backup!K:K)</f>
        <v>1.09514</v>
      </c>
      <c r="E398">
        <f>SUMIF('[1]PO Report'!A:A,Recon!A398,'[1]PO Report'!P:P)</f>
        <v>24</v>
      </c>
      <c r="F398">
        <f>VLOOKUP(A398,'[1]PO Report'!$A:$Z,15,0)</f>
        <v>32.21</v>
      </c>
      <c r="H398">
        <f t="shared" si="12"/>
        <v>0</v>
      </c>
      <c r="J398">
        <f t="shared" si="13"/>
        <v>0</v>
      </c>
    </row>
    <row r="399" spans="1:10" x14ac:dyDescent="0.25">
      <c r="A399" t="s">
        <v>2379</v>
      </c>
      <c r="B399">
        <v>8</v>
      </c>
      <c r="C399">
        <f>_xlfn.XLOOKUP(Recon!A399,[1]Backup!AJ:AJ,[1]Backup!L:L)</f>
        <v>44.95</v>
      </c>
      <c r="D399">
        <f>_xlfn.XLOOKUP(Recon!A399,[1]Backup!AJ:AJ,[1]Backup!K:K)</f>
        <v>1.5283</v>
      </c>
      <c r="E399">
        <f>SUMIF('[1]PO Report'!A:A,Recon!A399,'[1]PO Report'!P:P)</f>
        <v>8</v>
      </c>
      <c r="F399">
        <f>VLOOKUP(A399,'[1]PO Report'!$A:$Z,15,0)</f>
        <v>44.95</v>
      </c>
      <c r="H399">
        <f t="shared" si="12"/>
        <v>0</v>
      </c>
      <c r="J399">
        <f t="shared" si="13"/>
        <v>0</v>
      </c>
    </row>
    <row r="400" spans="1:10" x14ac:dyDescent="0.25">
      <c r="A400" t="s">
        <v>2380</v>
      </c>
      <c r="B400">
        <v>10</v>
      </c>
      <c r="C400">
        <f>_xlfn.XLOOKUP(Recon!A400,[1]Backup!AJ:AJ,[1]Backup!L:L)</f>
        <v>32.21</v>
      </c>
      <c r="D400">
        <f>_xlfn.XLOOKUP(Recon!A400,[1]Backup!AJ:AJ,[1]Backup!K:K)</f>
        <v>1.09514</v>
      </c>
      <c r="E400">
        <f>SUMIF('[1]PO Report'!A:A,Recon!A400,'[1]PO Report'!P:P)</f>
        <v>10</v>
      </c>
      <c r="F400">
        <f>VLOOKUP(A400,'[1]PO Report'!$A:$Z,15,0)</f>
        <v>32.21</v>
      </c>
      <c r="H400">
        <f t="shared" si="12"/>
        <v>0</v>
      </c>
      <c r="J400">
        <f t="shared" si="13"/>
        <v>0</v>
      </c>
    </row>
    <row r="401" spans="1:10" x14ac:dyDescent="0.25">
      <c r="A401" t="s">
        <v>2381</v>
      </c>
      <c r="B401">
        <v>30</v>
      </c>
      <c r="C401">
        <f>_xlfn.XLOOKUP(Recon!A401,[1]Backup!AJ:AJ,[1]Backup!L:L)</f>
        <v>9.3600000000000012</v>
      </c>
      <c r="D401">
        <f>_xlfn.XLOOKUP(Recon!A401,[1]Backup!AJ:AJ,[1]Backup!K:K)</f>
        <v>0.31824000000000002</v>
      </c>
      <c r="E401">
        <f>SUMIF('[1]PO Report'!A:A,Recon!A401,'[1]PO Report'!P:P)</f>
        <v>30</v>
      </c>
      <c r="F401">
        <f>VLOOKUP(A401,'[1]PO Report'!$A:$Z,15,0)</f>
        <v>9.36</v>
      </c>
      <c r="H401">
        <f t="shared" si="12"/>
        <v>0</v>
      </c>
      <c r="J401">
        <f t="shared" si="13"/>
        <v>0</v>
      </c>
    </row>
    <row r="402" spans="1:10" x14ac:dyDescent="0.25">
      <c r="A402" t="s">
        <v>2382</v>
      </c>
      <c r="B402">
        <v>56</v>
      </c>
      <c r="C402">
        <f>_xlfn.XLOOKUP(Recon!A402,[1]Backup!AJ:AJ,[1]Backup!L:L)</f>
        <v>69.61</v>
      </c>
      <c r="D402">
        <f>_xlfn.XLOOKUP(Recon!A402,[1]Backup!AJ:AJ,[1]Backup!K:K)</f>
        <v>2.3667400000000001</v>
      </c>
      <c r="E402">
        <f>SUMIF('[1]PO Report'!A:A,Recon!A402,'[1]PO Report'!P:P)</f>
        <v>56</v>
      </c>
      <c r="F402">
        <f>VLOOKUP(A402,'[1]PO Report'!$A:$Z,15,0)</f>
        <v>69.61</v>
      </c>
      <c r="H402">
        <f t="shared" si="12"/>
        <v>0</v>
      </c>
      <c r="J402">
        <f t="shared" si="13"/>
        <v>0</v>
      </c>
    </row>
    <row r="403" spans="1:10" x14ac:dyDescent="0.25">
      <c r="A403" t="s">
        <v>2383</v>
      </c>
      <c r="B403">
        <v>90</v>
      </c>
      <c r="C403">
        <f>_xlfn.XLOOKUP(Recon!A403,[1]Backup!AJ:AJ,[1]Backup!L:L)</f>
        <v>16.39</v>
      </c>
      <c r="D403">
        <f>_xlfn.XLOOKUP(Recon!A403,[1]Backup!AJ:AJ,[1]Backup!K:K)</f>
        <v>0.55725999999999998</v>
      </c>
      <c r="E403">
        <f>SUMIF('[1]PO Report'!A:A,Recon!A403,'[1]PO Report'!P:P)</f>
        <v>90</v>
      </c>
      <c r="F403">
        <f>VLOOKUP(A403,'[1]PO Report'!$A:$Z,15,0)</f>
        <v>16.39</v>
      </c>
      <c r="H403">
        <f t="shared" si="12"/>
        <v>0</v>
      </c>
      <c r="J403">
        <f t="shared" si="13"/>
        <v>0</v>
      </c>
    </row>
    <row r="404" spans="1:10" x14ac:dyDescent="0.25">
      <c r="A404" t="s">
        <v>2384</v>
      </c>
      <c r="B404">
        <v>128</v>
      </c>
      <c r="C404">
        <f>_xlfn.XLOOKUP(Recon!A404,[1]Backup!AJ:AJ,[1]Backup!L:L)</f>
        <v>73.34</v>
      </c>
      <c r="D404">
        <f>_xlfn.XLOOKUP(Recon!A404,[1]Backup!AJ:AJ,[1]Backup!K:K)</f>
        <v>2.49356</v>
      </c>
      <c r="E404">
        <f>SUMIF('[1]PO Report'!A:A,Recon!A404,'[1]PO Report'!P:P)</f>
        <v>128</v>
      </c>
      <c r="F404">
        <f>VLOOKUP(A404,'[1]PO Report'!$A:$Z,15,0)</f>
        <v>73.34</v>
      </c>
      <c r="H404">
        <f t="shared" si="12"/>
        <v>0</v>
      </c>
      <c r="J404">
        <f t="shared" si="13"/>
        <v>0</v>
      </c>
    </row>
    <row r="405" spans="1:10" x14ac:dyDescent="0.25">
      <c r="A405" t="s">
        <v>2385</v>
      </c>
      <c r="B405">
        <v>4</v>
      </c>
      <c r="C405">
        <f>_xlfn.XLOOKUP(Recon!A405,[1]Backup!AJ:AJ,[1]Backup!L:L)</f>
        <v>166</v>
      </c>
      <c r="D405">
        <f>_xlfn.XLOOKUP(Recon!A405,[1]Backup!AJ:AJ,[1]Backup!K:K)</f>
        <v>5.6440000000000001</v>
      </c>
      <c r="E405">
        <f>SUMIF('[1]PO Report'!A:A,Recon!A405,'[1]PO Report'!P:P)</f>
        <v>4</v>
      </c>
      <c r="F405">
        <f>VLOOKUP(A405,'[1]PO Report'!$A:$Z,15,0)</f>
        <v>166</v>
      </c>
      <c r="H405">
        <f t="shared" si="12"/>
        <v>0</v>
      </c>
      <c r="J405">
        <f t="shared" si="13"/>
        <v>0</v>
      </c>
    </row>
    <row r="406" spans="1:10" x14ac:dyDescent="0.25">
      <c r="A406" t="s">
        <v>2386</v>
      </c>
      <c r="B406">
        <v>30</v>
      </c>
      <c r="C406">
        <f>_xlfn.XLOOKUP(Recon!A406,[1]Backup!AJ:AJ,[1]Backup!L:L)</f>
        <v>157.76000000000002</v>
      </c>
      <c r="D406">
        <f>_xlfn.XLOOKUP(Recon!A406,[1]Backup!AJ:AJ,[1]Backup!K:K)</f>
        <v>5.3638399999999997</v>
      </c>
      <c r="E406">
        <f>SUMIF('[1]PO Report'!A:A,Recon!A406,'[1]PO Report'!P:P)</f>
        <v>30</v>
      </c>
      <c r="F406">
        <f>VLOOKUP(A406,'[1]PO Report'!$A:$Z,15,0)</f>
        <v>157.76</v>
      </c>
      <c r="H406">
        <f t="shared" si="12"/>
        <v>0</v>
      </c>
      <c r="J406">
        <f t="shared" si="13"/>
        <v>0</v>
      </c>
    </row>
    <row r="407" spans="1:10" x14ac:dyDescent="0.25">
      <c r="A407" t="s">
        <v>2387</v>
      </c>
      <c r="B407">
        <v>8</v>
      </c>
      <c r="C407">
        <f>_xlfn.XLOOKUP(Recon!A407,[1]Backup!AJ:AJ,[1]Backup!L:L)</f>
        <v>103.06</v>
      </c>
      <c r="D407">
        <f>_xlfn.XLOOKUP(Recon!A407,[1]Backup!AJ:AJ,[1]Backup!K:K)</f>
        <v>3.5040399999999998</v>
      </c>
      <c r="E407">
        <f>SUMIF('[1]PO Report'!A:A,Recon!A407,'[1]PO Report'!P:P)</f>
        <v>8</v>
      </c>
      <c r="F407">
        <f>VLOOKUP(A407,'[1]PO Report'!$A:$Z,15,0)</f>
        <v>103.06</v>
      </c>
      <c r="H407">
        <f t="shared" si="12"/>
        <v>0</v>
      </c>
      <c r="J407">
        <f t="shared" si="13"/>
        <v>0</v>
      </c>
    </row>
    <row r="408" spans="1:10" x14ac:dyDescent="0.25">
      <c r="A408" t="s">
        <v>2388</v>
      </c>
      <c r="B408">
        <v>90</v>
      </c>
      <c r="C408">
        <f>_xlfn.XLOOKUP(Recon!A408,[1]Backup!AJ:AJ,[1]Backup!L:L)</f>
        <v>16.39</v>
      </c>
      <c r="D408">
        <f>_xlfn.XLOOKUP(Recon!A408,[1]Backup!AJ:AJ,[1]Backup!K:K)</f>
        <v>0.55726000000000009</v>
      </c>
      <c r="E408">
        <f>SUMIF('[1]PO Report'!A:A,Recon!A408,'[1]PO Report'!P:P)</f>
        <v>80</v>
      </c>
      <c r="F408">
        <f>VLOOKUP(A408,'[1]PO Report'!$A:$Z,15,0)</f>
        <v>16.39</v>
      </c>
      <c r="H408">
        <f t="shared" si="12"/>
        <v>10</v>
      </c>
      <c r="I408">
        <f>H408*D408</f>
        <v>5.5726000000000013</v>
      </c>
      <c r="J408">
        <f t="shared" si="13"/>
        <v>0</v>
      </c>
    </row>
    <row r="409" spans="1:10" x14ac:dyDescent="0.25">
      <c r="A409" t="s">
        <v>2389</v>
      </c>
      <c r="B409">
        <v>44</v>
      </c>
      <c r="C409">
        <f>_xlfn.XLOOKUP(Recon!A409,[1]Backup!AJ:AJ,[1]Backup!L:L)</f>
        <v>35.130000000000003</v>
      </c>
      <c r="D409">
        <f>_xlfn.XLOOKUP(Recon!A409,[1]Backup!AJ:AJ,[1]Backup!K:K)</f>
        <v>1.19442</v>
      </c>
      <c r="E409">
        <f>SUMIF('[1]PO Report'!A:A,Recon!A409,'[1]PO Report'!P:P)</f>
        <v>44</v>
      </c>
      <c r="F409">
        <f>VLOOKUP(A409,'[1]PO Report'!$A:$Z,15,0)</f>
        <v>35.130000000000003</v>
      </c>
      <c r="H409">
        <f t="shared" si="12"/>
        <v>0</v>
      </c>
      <c r="J409">
        <f t="shared" si="13"/>
        <v>0</v>
      </c>
    </row>
    <row r="410" spans="1:10" x14ac:dyDescent="0.25">
      <c r="A410" t="s">
        <v>2390</v>
      </c>
      <c r="B410">
        <v>8</v>
      </c>
      <c r="C410">
        <f>_xlfn.XLOOKUP(Recon!A410,[1]Backup!AJ:AJ,[1]Backup!L:L)</f>
        <v>29.28</v>
      </c>
      <c r="D410">
        <f>_xlfn.XLOOKUP(Recon!A410,[1]Backup!AJ:AJ,[1]Backup!K:K)</f>
        <v>0.99551999999999996</v>
      </c>
      <c r="E410">
        <f>SUMIF('[1]PO Report'!A:A,Recon!A410,'[1]PO Report'!P:P)</f>
        <v>8</v>
      </c>
      <c r="F410">
        <f>VLOOKUP(A410,'[1]PO Report'!$A:$Z,15,0)</f>
        <v>29.28</v>
      </c>
      <c r="H410">
        <f t="shared" si="12"/>
        <v>0</v>
      </c>
      <c r="J410">
        <f t="shared" si="13"/>
        <v>0</v>
      </c>
    </row>
    <row r="411" spans="1:10" x14ac:dyDescent="0.25">
      <c r="A411" t="s">
        <v>2391</v>
      </c>
      <c r="B411">
        <v>24</v>
      </c>
      <c r="C411">
        <f>_xlfn.XLOOKUP(Recon!A411,[1]Backup!AJ:AJ,[1]Backup!L:L)</f>
        <v>35.130000000000003</v>
      </c>
      <c r="D411">
        <f>_xlfn.XLOOKUP(Recon!A411,[1]Backup!AJ:AJ,[1]Backup!K:K)</f>
        <v>1.19442</v>
      </c>
      <c r="E411">
        <f>SUMIF('[1]PO Report'!A:A,Recon!A411,'[1]PO Report'!P:P)</f>
        <v>24</v>
      </c>
      <c r="F411">
        <f>VLOOKUP(A411,'[1]PO Report'!$A:$Z,15,0)</f>
        <v>35.130000000000003</v>
      </c>
      <c r="H411">
        <f t="shared" si="12"/>
        <v>0</v>
      </c>
      <c r="J411">
        <f t="shared" si="13"/>
        <v>0</v>
      </c>
    </row>
    <row r="412" spans="1:10" x14ac:dyDescent="0.25">
      <c r="A412" t="s">
        <v>2392</v>
      </c>
      <c r="B412">
        <v>24</v>
      </c>
      <c r="C412">
        <f>_xlfn.XLOOKUP(Recon!A412,[1]Backup!AJ:AJ,[1]Backup!L:L)</f>
        <v>83.89</v>
      </c>
      <c r="D412">
        <f>_xlfn.XLOOKUP(Recon!A412,[1]Backup!AJ:AJ,[1]Backup!K:K)</f>
        <v>2.8522599999999998</v>
      </c>
      <c r="E412">
        <f>SUMIF('[1]PO Report'!A:A,Recon!A412,'[1]PO Report'!P:P)</f>
        <v>24</v>
      </c>
      <c r="F412">
        <f>VLOOKUP(A412,'[1]PO Report'!$A:$Z,15,0)</f>
        <v>83.89</v>
      </c>
      <c r="H412">
        <f t="shared" si="12"/>
        <v>0</v>
      </c>
      <c r="J412">
        <f t="shared" si="13"/>
        <v>0</v>
      </c>
    </row>
    <row r="413" spans="1:10" x14ac:dyDescent="0.25">
      <c r="A413" t="s">
        <v>2393</v>
      </c>
      <c r="B413">
        <v>120</v>
      </c>
      <c r="C413">
        <f>_xlfn.XLOOKUP(Recon!A413,[1]Backup!AJ:AJ,[1]Backup!L:L)</f>
        <v>44.84</v>
      </c>
      <c r="D413">
        <f>_xlfn.XLOOKUP(Recon!A413,[1]Backup!AJ:AJ,[1]Backup!K:K)</f>
        <v>1.5245600000000001</v>
      </c>
      <c r="E413">
        <f>SUMIF('[1]PO Report'!A:A,Recon!A413,'[1]PO Report'!P:P)</f>
        <v>120</v>
      </c>
      <c r="F413">
        <f>VLOOKUP(A413,'[1]PO Report'!$A:$Z,15,0)</f>
        <v>44.84</v>
      </c>
      <c r="H413">
        <f t="shared" si="12"/>
        <v>0</v>
      </c>
      <c r="J413">
        <f t="shared" si="13"/>
        <v>0</v>
      </c>
    </row>
    <row r="414" spans="1:10" x14ac:dyDescent="0.25">
      <c r="A414" t="s">
        <v>2394</v>
      </c>
      <c r="B414">
        <v>160</v>
      </c>
      <c r="C414">
        <f>_xlfn.XLOOKUP(Recon!A414,[1]Backup!AJ:AJ,[1]Backup!L:L)</f>
        <v>32.21</v>
      </c>
      <c r="D414">
        <f>_xlfn.XLOOKUP(Recon!A414,[1]Backup!AJ:AJ,[1]Backup!K:K)</f>
        <v>1.09514</v>
      </c>
      <c r="E414">
        <f>SUMIF('[1]PO Report'!A:A,Recon!A414,'[1]PO Report'!P:P)</f>
        <v>160</v>
      </c>
      <c r="F414">
        <f>VLOOKUP(A414,'[1]PO Report'!$A:$Z,15,0)</f>
        <v>32.21</v>
      </c>
      <c r="H414">
        <f t="shared" si="12"/>
        <v>0</v>
      </c>
      <c r="J414">
        <f t="shared" si="13"/>
        <v>0</v>
      </c>
    </row>
    <row r="415" spans="1:10" x14ac:dyDescent="0.25">
      <c r="A415" t="s">
        <v>2395</v>
      </c>
      <c r="B415">
        <v>252</v>
      </c>
      <c r="C415">
        <f>_xlfn.XLOOKUP(Recon!A415,[1]Backup!AJ:AJ,[1]Backup!L:L)</f>
        <v>16.39</v>
      </c>
      <c r="D415">
        <f>_xlfn.XLOOKUP(Recon!A415,[1]Backup!AJ:AJ,[1]Backup!K:K)</f>
        <v>0.55725999999999998</v>
      </c>
      <c r="E415">
        <f>SUMIF('[1]PO Report'!A:A,Recon!A415,'[1]PO Report'!P:P)</f>
        <v>250</v>
      </c>
      <c r="F415">
        <f>VLOOKUP(A415,'[1]PO Report'!$A:$Z,15,0)</f>
        <v>16.39</v>
      </c>
      <c r="H415">
        <f t="shared" si="12"/>
        <v>2</v>
      </c>
      <c r="I415">
        <f>H415*D415</f>
        <v>1.11452</v>
      </c>
      <c r="J415">
        <f t="shared" si="13"/>
        <v>0</v>
      </c>
    </row>
    <row r="416" spans="1:10" x14ac:dyDescent="0.25">
      <c r="A416" t="s">
        <v>2396</v>
      </c>
      <c r="B416">
        <v>60</v>
      </c>
      <c r="C416">
        <f>_xlfn.XLOOKUP(Recon!A416,[1]Backup!AJ:AJ,[1]Backup!L:L)</f>
        <v>120.83</v>
      </c>
      <c r="D416">
        <f>_xlfn.XLOOKUP(Recon!A416,[1]Backup!AJ:AJ,[1]Backup!K:K)</f>
        <v>4.1082200000000002</v>
      </c>
      <c r="E416">
        <f>SUMIF('[1]PO Report'!A:A,Recon!A416,'[1]PO Report'!P:P)</f>
        <v>60</v>
      </c>
      <c r="F416">
        <f>VLOOKUP(A416,'[1]PO Report'!$A:$Z,15,0)</f>
        <v>120.83</v>
      </c>
      <c r="H416">
        <f t="shared" si="12"/>
        <v>0</v>
      </c>
      <c r="J416">
        <f t="shared" si="13"/>
        <v>0</v>
      </c>
    </row>
    <row r="417" spans="1:10" x14ac:dyDescent="0.25">
      <c r="A417" t="s">
        <v>2397</v>
      </c>
      <c r="B417">
        <v>72</v>
      </c>
      <c r="C417">
        <f>_xlfn.XLOOKUP(Recon!A417,[1]Backup!AJ:AJ,[1]Backup!L:L)</f>
        <v>53.51</v>
      </c>
      <c r="D417">
        <f>_xlfn.XLOOKUP(Recon!A417,[1]Backup!AJ:AJ,[1]Backup!K:K)</f>
        <v>1.81934</v>
      </c>
      <c r="E417">
        <f>SUMIF('[1]PO Report'!A:A,Recon!A417,'[1]PO Report'!P:P)</f>
        <v>72</v>
      </c>
      <c r="F417">
        <f>VLOOKUP(A417,'[1]PO Report'!$A:$Z,15,0)</f>
        <v>53.51</v>
      </c>
      <c r="H417">
        <f t="shared" si="12"/>
        <v>0</v>
      </c>
      <c r="J417">
        <f t="shared" si="13"/>
        <v>0</v>
      </c>
    </row>
    <row r="418" spans="1:10" x14ac:dyDescent="0.25">
      <c r="A418" t="s">
        <v>2398</v>
      </c>
      <c r="B418">
        <v>8</v>
      </c>
      <c r="C418">
        <f>_xlfn.XLOOKUP(Recon!A418,[1]Backup!AJ:AJ,[1]Backup!L:L)</f>
        <v>75.41</v>
      </c>
      <c r="D418">
        <f>_xlfn.XLOOKUP(Recon!A418,[1]Backup!AJ:AJ,[1]Backup!K:K)</f>
        <v>2.5639400000000001</v>
      </c>
      <c r="E418">
        <f>SUMIF('[1]PO Report'!A:A,Recon!A418,'[1]PO Report'!P:P)</f>
        <v>8</v>
      </c>
      <c r="F418">
        <f>VLOOKUP(A418,'[1]PO Report'!$A:$Z,15,0)</f>
        <v>75.41</v>
      </c>
      <c r="H418">
        <f t="shared" si="12"/>
        <v>0</v>
      </c>
      <c r="J418">
        <f t="shared" si="13"/>
        <v>0</v>
      </c>
    </row>
    <row r="419" spans="1:10" x14ac:dyDescent="0.25">
      <c r="A419" t="s">
        <v>2399</v>
      </c>
      <c r="B419">
        <v>4</v>
      </c>
      <c r="C419">
        <f>_xlfn.XLOOKUP(Recon!A419,[1]Backup!AJ:AJ,[1]Backup!L:L)</f>
        <v>83.89</v>
      </c>
      <c r="D419">
        <f>_xlfn.XLOOKUP(Recon!A419,[1]Backup!AJ:AJ,[1]Backup!K:K)</f>
        <v>2.8522599999999998</v>
      </c>
      <c r="E419">
        <f>SUMIF('[1]PO Report'!A:A,Recon!A419,'[1]PO Report'!P:P)</f>
        <v>4</v>
      </c>
      <c r="F419">
        <f>VLOOKUP(A419,'[1]PO Report'!$A:$Z,15,0)</f>
        <v>83.89</v>
      </c>
      <c r="H419">
        <f t="shared" si="12"/>
        <v>0</v>
      </c>
      <c r="J419">
        <f t="shared" si="13"/>
        <v>0</v>
      </c>
    </row>
    <row r="420" spans="1:10" x14ac:dyDescent="0.25">
      <c r="A420" t="s">
        <v>2400</v>
      </c>
      <c r="B420">
        <v>20</v>
      </c>
      <c r="C420">
        <f>_xlfn.XLOOKUP(Recon!A420,[1]Backup!AJ:AJ,[1]Backup!L:L)</f>
        <v>16.39</v>
      </c>
      <c r="D420">
        <f>_xlfn.XLOOKUP(Recon!A420,[1]Backup!AJ:AJ,[1]Backup!K:K)</f>
        <v>0.55726000000000009</v>
      </c>
      <c r="E420">
        <f>SUMIF('[1]PO Report'!A:A,Recon!A420,'[1]PO Report'!P:P)</f>
        <v>20</v>
      </c>
      <c r="F420">
        <f>VLOOKUP(A420,'[1]PO Report'!$A:$Z,15,0)</f>
        <v>16.39</v>
      </c>
      <c r="H420">
        <f t="shared" si="12"/>
        <v>0</v>
      </c>
      <c r="J420">
        <f t="shared" si="13"/>
        <v>0</v>
      </c>
    </row>
    <row r="421" spans="1:10" x14ac:dyDescent="0.25">
      <c r="A421" t="s">
        <v>2401</v>
      </c>
      <c r="B421">
        <v>332</v>
      </c>
      <c r="C421">
        <f>_xlfn.XLOOKUP(Recon!A421,[1]Backup!AJ:AJ,[1]Backup!L:L)</f>
        <v>75.41</v>
      </c>
      <c r="D421">
        <f>_xlfn.XLOOKUP(Recon!A421,[1]Backup!AJ:AJ,[1]Backup!K:K)</f>
        <v>2.5639400000000001</v>
      </c>
      <c r="E421">
        <f>SUMIF('[1]PO Report'!A:A,Recon!A421,'[1]PO Report'!P:P)</f>
        <v>332</v>
      </c>
      <c r="F421">
        <f>VLOOKUP(A421,'[1]PO Report'!$A:$Z,15,0)</f>
        <v>75.41</v>
      </c>
      <c r="H421">
        <f t="shared" si="12"/>
        <v>0</v>
      </c>
      <c r="J421">
        <f t="shared" si="13"/>
        <v>0</v>
      </c>
    </row>
    <row r="422" spans="1:10" x14ac:dyDescent="0.25">
      <c r="A422" t="s">
        <v>2402</v>
      </c>
      <c r="B422">
        <v>124</v>
      </c>
      <c r="C422">
        <f>_xlfn.XLOOKUP(Recon!A422,[1]Backup!AJ:AJ,[1]Backup!L:L)</f>
        <v>81.210000000000008</v>
      </c>
      <c r="D422">
        <f>_xlfn.XLOOKUP(Recon!A422,[1]Backup!AJ:AJ,[1]Backup!K:K)</f>
        <v>2.7611399999999997</v>
      </c>
      <c r="E422">
        <f>SUMIF('[1]PO Report'!A:A,Recon!A422,'[1]PO Report'!P:P)</f>
        <v>124</v>
      </c>
      <c r="F422">
        <f>VLOOKUP(A422,'[1]PO Report'!$A:$Z,15,0)</f>
        <v>81.209999999999994</v>
      </c>
      <c r="H422">
        <f t="shared" si="12"/>
        <v>0</v>
      </c>
      <c r="J422">
        <f t="shared" si="13"/>
        <v>0</v>
      </c>
    </row>
    <row r="423" spans="1:10" x14ac:dyDescent="0.25">
      <c r="A423" t="s">
        <v>2403</v>
      </c>
      <c r="B423">
        <v>36</v>
      </c>
      <c r="C423">
        <f>_xlfn.XLOOKUP(Recon!A423,[1]Backup!AJ:AJ,[1]Backup!L:L)</f>
        <v>75.410000000000011</v>
      </c>
      <c r="D423">
        <f>_xlfn.XLOOKUP(Recon!A423,[1]Backup!AJ:AJ,[1]Backup!K:K)</f>
        <v>2.5639400000000001</v>
      </c>
      <c r="E423">
        <f>SUMIF('[1]PO Report'!A:A,Recon!A423,'[1]PO Report'!P:P)</f>
        <v>36</v>
      </c>
      <c r="F423">
        <f>VLOOKUP(A423,'[1]PO Report'!$A:$Z,15,0)</f>
        <v>75.41</v>
      </c>
      <c r="H423">
        <f t="shared" si="12"/>
        <v>0</v>
      </c>
      <c r="J423">
        <f t="shared" si="13"/>
        <v>0</v>
      </c>
    </row>
    <row r="424" spans="1:10" x14ac:dyDescent="0.25">
      <c r="A424" t="s">
        <v>2404</v>
      </c>
      <c r="B424">
        <v>24</v>
      </c>
      <c r="C424">
        <f>_xlfn.XLOOKUP(Recon!A424,[1]Backup!AJ:AJ,[1]Backup!L:L)</f>
        <v>32.21</v>
      </c>
      <c r="D424">
        <f>_xlfn.XLOOKUP(Recon!A424,[1]Backup!AJ:AJ,[1]Backup!K:K)</f>
        <v>1.09514</v>
      </c>
      <c r="E424">
        <f>SUMIF('[1]PO Report'!A:A,Recon!A424,'[1]PO Report'!P:P)</f>
        <v>24</v>
      </c>
      <c r="F424">
        <f>VLOOKUP(A424,'[1]PO Report'!$A:$Z,15,0)</f>
        <v>32.21</v>
      </c>
      <c r="H424">
        <f t="shared" si="12"/>
        <v>0</v>
      </c>
      <c r="J424">
        <f t="shared" si="13"/>
        <v>0</v>
      </c>
    </row>
    <row r="425" spans="1:10" x14ac:dyDescent="0.25">
      <c r="A425" t="s">
        <v>2405</v>
      </c>
      <c r="B425">
        <v>4</v>
      </c>
      <c r="C425">
        <f>_xlfn.XLOOKUP(Recon!A425,[1]Backup!AJ:AJ,[1]Backup!L:L)</f>
        <v>73.34</v>
      </c>
      <c r="D425">
        <f>_xlfn.XLOOKUP(Recon!A425,[1]Backup!AJ:AJ,[1]Backup!K:K)</f>
        <v>2.49356</v>
      </c>
      <c r="E425">
        <f>SUMIF('[1]PO Report'!A:A,Recon!A425,'[1]PO Report'!P:P)</f>
        <v>4</v>
      </c>
      <c r="F425">
        <f>VLOOKUP(A425,'[1]PO Report'!$A:$Z,15,0)</f>
        <v>73.34</v>
      </c>
      <c r="H425">
        <f t="shared" si="12"/>
        <v>0</v>
      </c>
      <c r="J425">
        <f t="shared" si="13"/>
        <v>0</v>
      </c>
    </row>
    <row r="426" spans="1:10" x14ac:dyDescent="0.25">
      <c r="A426" t="s">
        <v>2406</v>
      </c>
      <c r="B426">
        <v>40</v>
      </c>
      <c r="C426">
        <f>_xlfn.XLOOKUP(Recon!A426,[1]Backup!AJ:AJ,[1]Backup!L:L)</f>
        <v>133.42000000000002</v>
      </c>
      <c r="D426">
        <f>_xlfn.XLOOKUP(Recon!A426,[1]Backup!AJ:AJ,[1]Backup!K:K)</f>
        <v>4.5362799999999996</v>
      </c>
      <c r="E426">
        <f>SUMIF('[1]PO Report'!A:A,Recon!A426,'[1]PO Report'!P:P)</f>
        <v>40</v>
      </c>
      <c r="F426">
        <f>VLOOKUP(A426,'[1]PO Report'!$A:$Z,15,0)</f>
        <v>133.41999999999999</v>
      </c>
      <c r="H426">
        <f t="shared" si="12"/>
        <v>0</v>
      </c>
      <c r="J426">
        <f t="shared" si="13"/>
        <v>0</v>
      </c>
    </row>
    <row r="427" spans="1:10" x14ac:dyDescent="0.25">
      <c r="A427" t="s">
        <v>2407</v>
      </c>
      <c r="B427">
        <v>4</v>
      </c>
      <c r="C427">
        <f>_xlfn.XLOOKUP(Recon!A427,[1]Backup!AJ:AJ,[1]Backup!L:L)</f>
        <v>80.64</v>
      </c>
      <c r="D427">
        <f>_xlfn.XLOOKUP(Recon!A427,[1]Backup!AJ:AJ,[1]Backup!K:K)</f>
        <v>2.7417600000000002</v>
      </c>
      <c r="E427">
        <f>SUMIF('[1]PO Report'!A:A,Recon!A427,'[1]PO Report'!P:P)</f>
        <v>4</v>
      </c>
      <c r="F427">
        <f>VLOOKUP(A427,'[1]PO Report'!$A:$Z,15,0)</f>
        <v>80.64</v>
      </c>
      <c r="H427">
        <f t="shared" si="12"/>
        <v>0</v>
      </c>
      <c r="J427">
        <f t="shared" si="13"/>
        <v>0</v>
      </c>
    </row>
    <row r="428" spans="1:10" x14ac:dyDescent="0.25">
      <c r="A428" t="s">
        <v>2408</v>
      </c>
      <c r="B428">
        <v>144</v>
      </c>
      <c r="C428">
        <f>_xlfn.XLOOKUP(Recon!A428,[1]Backup!AJ:AJ,[1]Backup!L:L)</f>
        <v>69.03</v>
      </c>
      <c r="D428">
        <f>_xlfn.XLOOKUP(Recon!A428,[1]Backup!AJ:AJ,[1]Backup!K:K)</f>
        <v>2.3470200000000001</v>
      </c>
      <c r="E428">
        <f>SUMIF('[1]PO Report'!A:A,Recon!A428,'[1]PO Report'!P:P)</f>
        <v>144</v>
      </c>
      <c r="F428">
        <f>VLOOKUP(A428,'[1]PO Report'!$A:$Z,15,0)</f>
        <v>69.03</v>
      </c>
      <c r="H428">
        <f t="shared" si="12"/>
        <v>0</v>
      </c>
      <c r="J428">
        <f t="shared" si="13"/>
        <v>0</v>
      </c>
    </row>
    <row r="429" spans="1:10" x14ac:dyDescent="0.25">
      <c r="A429" t="s">
        <v>2409</v>
      </c>
      <c r="B429">
        <v>120</v>
      </c>
      <c r="C429">
        <f>_xlfn.XLOOKUP(Recon!A429,[1]Backup!AJ:AJ,[1]Backup!L:L)</f>
        <v>63.230000000000004</v>
      </c>
      <c r="D429">
        <f>_xlfn.XLOOKUP(Recon!A429,[1]Backup!AJ:AJ,[1]Backup!K:K)</f>
        <v>2.1498200000000001</v>
      </c>
      <c r="E429">
        <f>SUMIF('[1]PO Report'!A:A,Recon!A429,'[1]PO Report'!P:P)</f>
        <v>120</v>
      </c>
      <c r="F429">
        <f>VLOOKUP(A429,'[1]PO Report'!$A:$Z,15,0)</f>
        <v>63.23</v>
      </c>
      <c r="H429">
        <f t="shared" si="12"/>
        <v>0</v>
      </c>
      <c r="J429">
        <f t="shared" si="13"/>
        <v>0</v>
      </c>
    </row>
    <row r="430" spans="1:10" x14ac:dyDescent="0.25">
      <c r="A430" t="s">
        <v>2410</v>
      </c>
      <c r="B430">
        <v>40</v>
      </c>
      <c r="C430">
        <f>_xlfn.XLOOKUP(Recon!A430,[1]Backup!AJ:AJ,[1]Backup!L:L)</f>
        <v>40.6</v>
      </c>
      <c r="D430">
        <f>_xlfn.XLOOKUP(Recon!A430,[1]Backup!AJ:AJ,[1]Backup!K:K)</f>
        <v>1.3804000000000001</v>
      </c>
      <c r="E430">
        <f>SUMIF('[1]PO Report'!A:A,Recon!A430,'[1]PO Report'!P:P)</f>
        <v>40</v>
      </c>
      <c r="F430">
        <f>VLOOKUP(A430,'[1]PO Report'!$A:$Z,15,0)</f>
        <v>40.6</v>
      </c>
      <c r="H430">
        <f t="shared" si="12"/>
        <v>0</v>
      </c>
      <c r="J430">
        <f t="shared" si="13"/>
        <v>0</v>
      </c>
    </row>
    <row r="431" spans="1:10" x14ac:dyDescent="0.25">
      <c r="A431" t="s">
        <v>2411</v>
      </c>
      <c r="B431">
        <v>4</v>
      </c>
      <c r="C431">
        <f>_xlfn.XLOOKUP(Recon!A431,[1]Backup!AJ:AJ,[1]Backup!L:L)</f>
        <v>63.23</v>
      </c>
      <c r="D431">
        <f>_xlfn.XLOOKUP(Recon!A431,[1]Backup!AJ:AJ,[1]Backup!K:K)</f>
        <v>2.1498200000000001</v>
      </c>
      <c r="E431">
        <f>SUMIF('[1]PO Report'!A:A,Recon!A431,'[1]PO Report'!P:P)</f>
        <v>4</v>
      </c>
      <c r="F431">
        <f>VLOOKUP(A431,'[1]PO Report'!$A:$Z,15,0)</f>
        <v>63.23</v>
      </c>
      <c r="H431">
        <f t="shared" si="12"/>
        <v>0</v>
      </c>
      <c r="J431">
        <f t="shared" si="13"/>
        <v>0</v>
      </c>
    </row>
    <row r="432" spans="1:10" x14ac:dyDescent="0.25">
      <c r="A432" t="s">
        <v>2412</v>
      </c>
      <c r="B432">
        <v>8</v>
      </c>
      <c r="C432">
        <f>_xlfn.XLOOKUP(Recon!A432,[1]Backup!AJ:AJ,[1]Backup!L:L)</f>
        <v>122.81</v>
      </c>
      <c r="D432">
        <f>_xlfn.XLOOKUP(Recon!A432,[1]Backup!AJ:AJ,[1]Backup!K:K)</f>
        <v>4.1755399999999998</v>
      </c>
      <c r="E432">
        <f>SUMIF('[1]PO Report'!A:A,Recon!A432,'[1]PO Report'!P:P)</f>
        <v>8</v>
      </c>
      <c r="F432">
        <f>VLOOKUP(A432,'[1]PO Report'!$A:$Z,15,0)</f>
        <v>122.81</v>
      </c>
      <c r="H432">
        <f t="shared" si="12"/>
        <v>0</v>
      </c>
      <c r="J432">
        <f t="shared" si="13"/>
        <v>0</v>
      </c>
    </row>
    <row r="433" spans="1:10" x14ac:dyDescent="0.25">
      <c r="A433" t="s">
        <v>2413</v>
      </c>
      <c r="B433">
        <v>16</v>
      </c>
      <c r="C433">
        <f>_xlfn.XLOOKUP(Recon!A433,[1]Backup!AJ:AJ,[1]Backup!L:L)</f>
        <v>46.4</v>
      </c>
      <c r="D433">
        <f>_xlfn.XLOOKUP(Recon!A433,[1]Backup!AJ:AJ,[1]Backup!K:K)</f>
        <v>1.5775999999999999</v>
      </c>
      <c r="E433">
        <f>SUMIF('[1]PO Report'!A:A,Recon!A433,'[1]PO Report'!P:P)</f>
        <v>16</v>
      </c>
      <c r="F433">
        <f>VLOOKUP(A433,'[1]PO Report'!$A:$Z,15,0)</f>
        <v>46.4</v>
      </c>
      <c r="H433">
        <f t="shared" si="12"/>
        <v>0</v>
      </c>
      <c r="J433">
        <f t="shared" si="13"/>
        <v>0</v>
      </c>
    </row>
    <row r="434" spans="1:10" x14ac:dyDescent="0.25">
      <c r="A434" t="s">
        <v>2414</v>
      </c>
      <c r="B434">
        <v>4</v>
      </c>
      <c r="C434">
        <f>_xlfn.XLOOKUP(Recon!A434,[1]Backup!AJ:AJ,[1]Backup!L:L)</f>
        <v>298.58999999999997</v>
      </c>
      <c r="D434">
        <f>_xlfn.XLOOKUP(Recon!A434,[1]Backup!AJ:AJ,[1]Backup!K:K)</f>
        <v>10.152060000000001</v>
      </c>
      <c r="E434">
        <f>SUMIF('[1]PO Report'!A:A,Recon!A434,'[1]PO Report'!P:P)</f>
        <v>4</v>
      </c>
      <c r="F434">
        <f>VLOOKUP(A434,'[1]PO Report'!$A:$Z,15,0)</f>
        <v>298.58999999999997</v>
      </c>
      <c r="H434">
        <f t="shared" si="12"/>
        <v>0</v>
      </c>
      <c r="J434">
        <f t="shared" si="13"/>
        <v>0</v>
      </c>
    </row>
    <row r="435" spans="1:10" x14ac:dyDescent="0.25">
      <c r="A435" t="s">
        <v>2415</v>
      </c>
      <c r="B435">
        <v>60</v>
      </c>
      <c r="C435">
        <f>_xlfn.XLOOKUP(Recon!A435,[1]Backup!AJ:AJ,[1]Backup!L:L)</f>
        <v>35.130000000000003</v>
      </c>
      <c r="D435">
        <f>_xlfn.XLOOKUP(Recon!A435,[1]Backup!AJ:AJ,[1]Backup!K:K)</f>
        <v>1.19442</v>
      </c>
      <c r="E435">
        <f>SUMIF('[1]PO Report'!A:A,Recon!A435,'[1]PO Report'!P:P)</f>
        <v>60</v>
      </c>
      <c r="F435">
        <f>VLOOKUP(A435,'[1]PO Report'!$A:$Z,15,0)</f>
        <v>35.130000000000003</v>
      </c>
      <c r="H435">
        <f t="shared" si="12"/>
        <v>0</v>
      </c>
      <c r="J435">
        <f t="shared" si="13"/>
        <v>0</v>
      </c>
    </row>
    <row r="436" spans="1:10" x14ac:dyDescent="0.25">
      <c r="A436" t="s">
        <v>2416</v>
      </c>
      <c r="B436">
        <v>50</v>
      </c>
      <c r="C436">
        <f>_xlfn.XLOOKUP(Recon!A436,[1]Backup!AJ:AJ,[1]Backup!L:L)</f>
        <v>9.36</v>
      </c>
      <c r="D436">
        <f>_xlfn.XLOOKUP(Recon!A436,[1]Backup!AJ:AJ,[1]Backup!K:K)</f>
        <v>0.31824000000000002</v>
      </c>
      <c r="E436">
        <f>SUMIF('[1]PO Report'!A:A,Recon!A436,'[1]PO Report'!P:P)</f>
        <v>50</v>
      </c>
      <c r="F436">
        <f>VLOOKUP(A436,'[1]PO Report'!$A:$Z,15,0)</f>
        <v>9.36</v>
      </c>
      <c r="H436">
        <f t="shared" si="12"/>
        <v>0</v>
      </c>
      <c r="J436">
        <f t="shared" si="13"/>
        <v>0</v>
      </c>
    </row>
    <row r="437" spans="1:10" x14ac:dyDescent="0.25">
      <c r="A437" t="s">
        <v>2417</v>
      </c>
      <c r="B437">
        <v>4</v>
      </c>
      <c r="C437">
        <f>_xlfn.XLOOKUP(Recon!A437,[1]Backup!AJ:AJ,[1]Backup!L:L)</f>
        <v>83.89</v>
      </c>
      <c r="D437">
        <f>_xlfn.XLOOKUP(Recon!A437,[1]Backup!AJ:AJ,[1]Backup!K:K)</f>
        <v>2.8522599999999998</v>
      </c>
      <c r="E437">
        <f>SUMIF('[1]PO Report'!A:A,Recon!A437,'[1]PO Report'!P:P)</f>
        <v>4</v>
      </c>
      <c r="F437">
        <f>VLOOKUP(A437,'[1]PO Report'!$A:$Z,15,0)</f>
        <v>83.89</v>
      </c>
      <c r="H437">
        <f t="shared" si="12"/>
        <v>0</v>
      </c>
      <c r="J437">
        <f t="shared" si="13"/>
        <v>0</v>
      </c>
    </row>
    <row r="438" spans="1:10" x14ac:dyDescent="0.25">
      <c r="A438" t="s">
        <v>2418</v>
      </c>
      <c r="B438">
        <v>1300</v>
      </c>
      <c r="C438">
        <f>_xlfn.XLOOKUP(Recon!A438,[1]Backup!AJ:AJ,[1]Backup!L:L)</f>
        <v>10.53</v>
      </c>
      <c r="D438">
        <f>_xlfn.XLOOKUP(Recon!A438,[1]Backup!AJ:AJ,[1]Backup!K:K)</f>
        <v>0.35802</v>
      </c>
      <c r="E438">
        <f>SUMIF('[1]PO Report'!A:A,Recon!A438,'[1]PO Report'!P:P)</f>
        <v>1300</v>
      </c>
      <c r="F438">
        <f>VLOOKUP(A438,'[1]PO Report'!$A:$Z,15,0)</f>
        <v>10.53</v>
      </c>
      <c r="H438">
        <f t="shared" si="12"/>
        <v>0</v>
      </c>
      <c r="J438">
        <f t="shared" si="13"/>
        <v>0</v>
      </c>
    </row>
    <row r="439" spans="1:10" x14ac:dyDescent="0.25">
      <c r="A439" t="s">
        <v>2419</v>
      </c>
      <c r="B439">
        <v>40</v>
      </c>
      <c r="C439">
        <f>_xlfn.XLOOKUP(Recon!A439,[1]Backup!AJ:AJ,[1]Backup!L:L)</f>
        <v>9.36</v>
      </c>
      <c r="D439">
        <f>_xlfn.XLOOKUP(Recon!A439,[1]Backup!AJ:AJ,[1]Backup!K:K)</f>
        <v>0.31823999999999997</v>
      </c>
      <c r="E439">
        <f>SUMIF('[1]PO Report'!A:A,Recon!A439,'[1]PO Report'!P:P)</f>
        <v>40</v>
      </c>
      <c r="F439">
        <f>VLOOKUP(A439,'[1]PO Report'!$A:$Z,15,0)</f>
        <v>9.36</v>
      </c>
      <c r="H439">
        <f t="shared" si="12"/>
        <v>0</v>
      </c>
      <c r="J439">
        <f t="shared" si="13"/>
        <v>0</v>
      </c>
    </row>
    <row r="440" spans="1:10" x14ac:dyDescent="0.25">
      <c r="A440" t="s">
        <v>2420</v>
      </c>
      <c r="B440">
        <v>16</v>
      </c>
      <c r="C440">
        <f>_xlfn.XLOOKUP(Recon!A440,[1]Backup!AJ:AJ,[1]Backup!L:L)</f>
        <v>12.88</v>
      </c>
      <c r="D440">
        <f>_xlfn.XLOOKUP(Recon!A440,[1]Backup!AJ:AJ,[1]Backup!K:K)</f>
        <v>0.43791999999999998</v>
      </c>
      <c r="E440">
        <f>SUMIF('[1]PO Report'!A:A,Recon!A440,'[1]PO Report'!P:P)</f>
        <v>16</v>
      </c>
      <c r="F440">
        <f>VLOOKUP(A440,'[1]PO Report'!$A:$Z,15,0)</f>
        <v>12.88</v>
      </c>
      <c r="H440">
        <f t="shared" si="12"/>
        <v>0</v>
      </c>
      <c r="J440">
        <f t="shared" si="13"/>
        <v>0</v>
      </c>
    </row>
    <row r="441" spans="1:10" x14ac:dyDescent="0.25">
      <c r="A441" t="s">
        <v>2421</v>
      </c>
      <c r="B441">
        <v>8</v>
      </c>
      <c r="C441">
        <f>_xlfn.XLOOKUP(Recon!A441,[1]Backup!AJ:AJ,[1]Backup!L:L)</f>
        <v>39.56</v>
      </c>
      <c r="D441">
        <f>_xlfn.XLOOKUP(Recon!A441,[1]Backup!AJ:AJ,[1]Backup!K:K)</f>
        <v>1.34504</v>
      </c>
      <c r="E441">
        <f>SUMIF('[1]PO Report'!A:A,Recon!A441,'[1]PO Report'!P:P)</f>
        <v>8</v>
      </c>
      <c r="F441">
        <f>VLOOKUP(A441,'[1]PO Report'!$A:$Z,15,0)</f>
        <v>39.56</v>
      </c>
      <c r="H441">
        <f t="shared" si="12"/>
        <v>0</v>
      </c>
      <c r="J441">
        <f t="shared" si="13"/>
        <v>0</v>
      </c>
    </row>
    <row r="442" spans="1:10" x14ac:dyDescent="0.25">
      <c r="A442" t="s">
        <v>2422</v>
      </c>
      <c r="B442">
        <v>176</v>
      </c>
      <c r="C442">
        <f>_xlfn.XLOOKUP(Recon!A442,[1]Backup!AJ:AJ,[1]Backup!L:L)</f>
        <v>40.6</v>
      </c>
      <c r="D442">
        <f>_xlfn.XLOOKUP(Recon!A442,[1]Backup!AJ:AJ,[1]Backup!K:K)</f>
        <v>1.3804000000000001</v>
      </c>
      <c r="E442">
        <f>SUMIF('[1]PO Report'!A:A,Recon!A442,'[1]PO Report'!P:P)</f>
        <v>176</v>
      </c>
      <c r="F442">
        <f>VLOOKUP(A442,'[1]PO Report'!$A:$Z,15,0)</f>
        <v>40.6</v>
      </c>
      <c r="H442">
        <f t="shared" si="12"/>
        <v>0</v>
      </c>
      <c r="J442">
        <f t="shared" si="13"/>
        <v>0</v>
      </c>
    </row>
    <row r="443" spans="1:10" x14ac:dyDescent="0.25">
      <c r="A443" t="s">
        <v>2423</v>
      </c>
      <c r="B443">
        <v>10</v>
      </c>
      <c r="C443">
        <f>_xlfn.XLOOKUP(Recon!A443,[1]Backup!AJ:AJ,[1]Backup!L:L)</f>
        <v>32.21</v>
      </c>
      <c r="D443">
        <f>_xlfn.XLOOKUP(Recon!A443,[1]Backup!AJ:AJ,[1]Backup!K:K)</f>
        <v>1.09514</v>
      </c>
      <c r="E443">
        <f>SUMIF('[1]PO Report'!A:A,Recon!A443,'[1]PO Report'!P:P)</f>
        <v>10</v>
      </c>
      <c r="F443">
        <f>VLOOKUP(A443,'[1]PO Report'!$A:$Z,15,0)</f>
        <v>32.21</v>
      </c>
      <c r="H443">
        <f t="shared" si="12"/>
        <v>0</v>
      </c>
      <c r="J443">
        <f t="shared" si="13"/>
        <v>0</v>
      </c>
    </row>
    <row r="444" spans="1:10" x14ac:dyDescent="0.25">
      <c r="A444" t="s">
        <v>2424</v>
      </c>
      <c r="B444">
        <v>160</v>
      </c>
      <c r="C444">
        <f>_xlfn.XLOOKUP(Recon!A444,[1]Backup!AJ:AJ,[1]Backup!L:L)</f>
        <v>32.21</v>
      </c>
      <c r="D444">
        <f>_xlfn.XLOOKUP(Recon!A444,[1]Backup!AJ:AJ,[1]Backup!K:K)</f>
        <v>1.09514</v>
      </c>
      <c r="E444">
        <f>SUMIF('[1]PO Report'!A:A,Recon!A444,'[1]PO Report'!P:P)</f>
        <v>160</v>
      </c>
      <c r="F444">
        <f>VLOOKUP(A444,'[1]PO Report'!$A:$Z,15,0)</f>
        <v>32.21</v>
      </c>
      <c r="H444">
        <f t="shared" si="12"/>
        <v>0</v>
      </c>
      <c r="J444">
        <f t="shared" si="13"/>
        <v>0</v>
      </c>
    </row>
    <row r="445" spans="1:10" x14ac:dyDescent="0.25">
      <c r="A445" t="s">
        <v>2425</v>
      </c>
      <c r="B445">
        <v>72</v>
      </c>
      <c r="C445">
        <f>_xlfn.XLOOKUP(Recon!A445,[1]Backup!AJ:AJ,[1]Backup!L:L)</f>
        <v>32.21</v>
      </c>
      <c r="D445">
        <f>_xlfn.XLOOKUP(Recon!A445,[1]Backup!AJ:AJ,[1]Backup!K:K)</f>
        <v>1.09514</v>
      </c>
      <c r="E445">
        <f>SUMIF('[1]PO Report'!A:A,Recon!A445,'[1]PO Report'!P:P)</f>
        <v>72</v>
      </c>
      <c r="F445">
        <f>VLOOKUP(A445,'[1]PO Report'!$A:$Z,15,0)</f>
        <v>32.21</v>
      </c>
      <c r="H445">
        <f t="shared" si="12"/>
        <v>0</v>
      </c>
      <c r="J445">
        <f t="shared" si="13"/>
        <v>0</v>
      </c>
    </row>
    <row r="446" spans="1:10" x14ac:dyDescent="0.25">
      <c r="A446" t="s">
        <v>2426</v>
      </c>
      <c r="B446">
        <v>32</v>
      </c>
      <c r="C446">
        <f>_xlfn.XLOOKUP(Recon!A446,[1]Backup!AJ:AJ,[1]Backup!L:L)</f>
        <v>44.95</v>
      </c>
      <c r="D446">
        <f>_xlfn.XLOOKUP(Recon!A446,[1]Backup!AJ:AJ,[1]Backup!K:K)</f>
        <v>1.5283</v>
      </c>
      <c r="E446">
        <f>SUMIF('[1]PO Report'!A:A,Recon!A446,'[1]PO Report'!P:P)</f>
        <v>32</v>
      </c>
      <c r="F446">
        <f>VLOOKUP(A446,'[1]PO Report'!$A:$Z,15,0)</f>
        <v>44.95</v>
      </c>
      <c r="H446">
        <f t="shared" si="12"/>
        <v>0</v>
      </c>
      <c r="J446">
        <f t="shared" si="13"/>
        <v>0</v>
      </c>
    </row>
    <row r="447" spans="1:10" x14ac:dyDescent="0.25">
      <c r="A447" t="s">
        <v>2427</v>
      </c>
      <c r="B447">
        <v>210</v>
      </c>
      <c r="C447">
        <f>_xlfn.XLOOKUP(Recon!A447,[1]Backup!AJ:AJ,[1]Backup!L:L)</f>
        <v>16.39</v>
      </c>
      <c r="D447">
        <f>_xlfn.XLOOKUP(Recon!A447,[1]Backup!AJ:AJ,[1]Backup!K:K)</f>
        <v>0.55725999999999998</v>
      </c>
      <c r="E447">
        <f>SUMIF('[1]PO Report'!A:A,Recon!A447,'[1]PO Report'!P:P)</f>
        <v>210</v>
      </c>
      <c r="F447">
        <f>VLOOKUP(A447,'[1]PO Report'!$A:$Z,15,0)</f>
        <v>16.39</v>
      </c>
      <c r="H447">
        <f t="shared" si="12"/>
        <v>0</v>
      </c>
      <c r="J447">
        <f t="shared" si="13"/>
        <v>0</v>
      </c>
    </row>
    <row r="448" spans="1:10" x14ac:dyDescent="0.25">
      <c r="A448" t="s">
        <v>2428</v>
      </c>
      <c r="B448">
        <v>148</v>
      </c>
      <c r="C448">
        <f>_xlfn.XLOOKUP(Recon!A448,[1]Backup!AJ:AJ,[1]Backup!L:L)</f>
        <v>78.62</v>
      </c>
      <c r="D448">
        <f>_xlfn.XLOOKUP(Recon!A448,[1]Backup!AJ:AJ,[1]Backup!K:K)</f>
        <v>2.6730800000000001</v>
      </c>
      <c r="E448">
        <f>SUMIF('[1]PO Report'!A:A,Recon!A448,'[1]PO Report'!P:P)</f>
        <v>148</v>
      </c>
      <c r="F448">
        <f>VLOOKUP(A448,'[1]PO Report'!$A:$Z,15,0)</f>
        <v>78.62</v>
      </c>
      <c r="H448">
        <f t="shared" si="12"/>
        <v>0</v>
      </c>
      <c r="J448">
        <f t="shared" si="13"/>
        <v>0</v>
      </c>
    </row>
    <row r="449" spans="1:10" x14ac:dyDescent="0.25">
      <c r="A449" t="s">
        <v>2429</v>
      </c>
      <c r="B449">
        <v>8</v>
      </c>
      <c r="C449">
        <f>_xlfn.XLOOKUP(Recon!A449,[1]Backup!AJ:AJ,[1]Backup!L:L)</f>
        <v>36.93</v>
      </c>
      <c r="D449">
        <f>_xlfn.XLOOKUP(Recon!A449,[1]Backup!AJ:AJ,[1]Backup!K:K)</f>
        <v>1.25562</v>
      </c>
      <c r="E449">
        <f>SUMIF('[1]PO Report'!A:A,Recon!A449,'[1]PO Report'!P:P)</f>
        <v>8</v>
      </c>
      <c r="F449">
        <f>VLOOKUP(A449,'[1]PO Report'!$A:$Z,15,0)</f>
        <v>36.93</v>
      </c>
      <c r="H449">
        <f t="shared" si="12"/>
        <v>0</v>
      </c>
      <c r="J449">
        <f t="shared" si="13"/>
        <v>0</v>
      </c>
    </row>
    <row r="450" spans="1:10" x14ac:dyDescent="0.25">
      <c r="A450" t="s">
        <v>2430</v>
      </c>
      <c r="B450">
        <v>2</v>
      </c>
      <c r="C450">
        <f>_xlfn.XLOOKUP(Recon!A450,[1]Backup!AJ:AJ,[1]Backup!L:L)</f>
        <v>106.49</v>
      </c>
      <c r="D450">
        <f>_xlfn.XLOOKUP(Recon!A450,[1]Backup!AJ:AJ,[1]Backup!K:K)</f>
        <v>3.62066</v>
      </c>
      <c r="E450">
        <f>SUMIF('[1]PO Report'!A:A,Recon!A450,'[1]PO Report'!P:P)</f>
        <v>2</v>
      </c>
      <c r="F450">
        <f>VLOOKUP(A450,'[1]PO Report'!$A:$Z,15,0)</f>
        <v>106.49</v>
      </c>
      <c r="H450">
        <f t="shared" si="12"/>
        <v>0</v>
      </c>
      <c r="J450">
        <f t="shared" si="13"/>
        <v>0</v>
      </c>
    </row>
    <row r="451" spans="1:10" x14ac:dyDescent="0.25">
      <c r="A451" t="s">
        <v>2431</v>
      </c>
      <c r="B451">
        <v>96</v>
      </c>
      <c r="C451">
        <f>_xlfn.XLOOKUP(Recon!A451,[1]Backup!AJ:AJ,[1]Backup!L:L)</f>
        <v>105</v>
      </c>
      <c r="D451">
        <f>_xlfn.XLOOKUP(Recon!A451,[1]Backup!AJ:AJ,[1]Backup!K:K)</f>
        <v>3.5700000000000003</v>
      </c>
      <c r="E451">
        <f>SUMIF('[1]PO Report'!A:A,Recon!A451,'[1]PO Report'!P:P)</f>
        <v>96</v>
      </c>
      <c r="F451">
        <f>VLOOKUP(A451,'[1]PO Report'!$A:$Z,15,0)</f>
        <v>105</v>
      </c>
      <c r="H451">
        <f t="shared" si="12"/>
        <v>0</v>
      </c>
      <c r="J451">
        <f t="shared" si="13"/>
        <v>0</v>
      </c>
    </row>
    <row r="452" spans="1:10" x14ac:dyDescent="0.25">
      <c r="A452" t="s">
        <v>2432</v>
      </c>
      <c r="B452">
        <v>48</v>
      </c>
      <c r="C452">
        <f>_xlfn.XLOOKUP(Recon!A452,[1]Backup!AJ:AJ,[1]Backup!L:L)</f>
        <v>73.34</v>
      </c>
      <c r="D452">
        <f>_xlfn.XLOOKUP(Recon!A452,[1]Backup!AJ:AJ,[1]Backup!K:K)</f>
        <v>2.49356</v>
      </c>
      <c r="E452">
        <f>SUMIF('[1]PO Report'!A:A,Recon!A452,'[1]PO Report'!P:P)</f>
        <v>48</v>
      </c>
      <c r="F452">
        <f>VLOOKUP(A452,'[1]PO Report'!$A:$Z,15,0)</f>
        <v>73.34</v>
      </c>
      <c r="H452">
        <f t="shared" ref="H452:H515" si="14">B452-E452</f>
        <v>0</v>
      </c>
      <c r="J452">
        <f t="shared" ref="J452:J515" si="15">C452-F452</f>
        <v>0</v>
      </c>
    </row>
    <row r="453" spans="1:10" x14ac:dyDescent="0.25">
      <c r="A453" t="s">
        <v>2433</v>
      </c>
      <c r="B453">
        <v>16</v>
      </c>
      <c r="C453">
        <f>_xlfn.XLOOKUP(Recon!A453,[1]Backup!AJ:AJ,[1]Backup!L:L)</f>
        <v>35.130000000000003</v>
      </c>
      <c r="D453">
        <f>_xlfn.XLOOKUP(Recon!A453,[1]Backup!AJ:AJ,[1]Backup!K:K)</f>
        <v>1.19442</v>
      </c>
      <c r="E453">
        <f>SUMIF('[1]PO Report'!A:A,Recon!A453,'[1]PO Report'!P:P)</f>
        <v>16</v>
      </c>
      <c r="F453">
        <f>VLOOKUP(A453,'[1]PO Report'!$A:$Z,15,0)</f>
        <v>35.130000000000003</v>
      </c>
      <c r="H453">
        <f t="shared" si="14"/>
        <v>0</v>
      </c>
      <c r="J453">
        <f t="shared" si="15"/>
        <v>0</v>
      </c>
    </row>
    <row r="454" spans="1:10" x14ac:dyDescent="0.25">
      <c r="A454" t="s">
        <v>2434</v>
      </c>
      <c r="B454">
        <v>392</v>
      </c>
      <c r="C454">
        <f>_xlfn.XLOOKUP(Recon!A454,[1]Backup!AJ:AJ,[1]Backup!L:L)</f>
        <v>29.28</v>
      </c>
      <c r="D454">
        <f>_xlfn.XLOOKUP(Recon!A454,[1]Backup!AJ:AJ,[1]Backup!K:K)</f>
        <v>0.99551999999999996</v>
      </c>
      <c r="E454">
        <f>SUMIF('[1]PO Report'!A:A,Recon!A454,'[1]PO Report'!P:P)</f>
        <v>392</v>
      </c>
      <c r="F454">
        <f>VLOOKUP(A454,'[1]PO Report'!$A:$Z,15,0)</f>
        <v>29.28</v>
      </c>
      <c r="H454">
        <f t="shared" si="14"/>
        <v>0</v>
      </c>
      <c r="J454">
        <f t="shared" si="15"/>
        <v>0</v>
      </c>
    </row>
    <row r="455" spans="1:10" x14ac:dyDescent="0.25">
      <c r="A455" t="s">
        <v>2435</v>
      </c>
      <c r="B455">
        <v>40</v>
      </c>
      <c r="C455">
        <f>_xlfn.XLOOKUP(Recon!A455,[1]Backup!AJ:AJ,[1]Backup!L:L)</f>
        <v>32.21</v>
      </c>
      <c r="D455">
        <f>_xlfn.XLOOKUP(Recon!A455,[1]Backup!AJ:AJ,[1]Backup!K:K)</f>
        <v>1.09514</v>
      </c>
      <c r="E455">
        <f>SUMIF('[1]PO Report'!A:A,Recon!A455,'[1]PO Report'!P:P)</f>
        <v>40</v>
      </c>
      <c r="F455">
        <f>VLOOKUP(A455,'[1]PO Report'!$A:$Z,15,0)</f>
        <v>32.21</v>
      </c>
      <c r="H455">
        <f t="shared" si="14"/>
        <v>0</v>
      </c>
      <c r="J455">
        <f t="shared" si="15"/>
        <v>0</v>
      </c>
    </row>
    <row r="456" spans="1:10" x14ac:dyDescent="0.25">
      <c r="A456" t="s">
        <v>2436</v>
      </c>
      <c r="B456">
        <v>20</v>
      </c>
      <c r="C456">
        <f>_xlfn.XLOOKUP(Recon!A456,[1]Backup!AJ:AJ,[1]Backup!L:L)</f>
        <v>26.369999999999997</v>
      </c>
      <c r="D456">
        <f>_xlfn.XLOOKUP(Recon!A456,[1]Backup!AJ:AJ,[1]Backup!K:K)</f>
        <v>0.89657999999999993</v>
      </c>
      <c r="E456">
        <f>SUMIF('[1]PO Report'!A:A,Recon!A456,'[1]PO Report'!P:P)</f>
        <v>20</v>
      </c>
      <c r="F456">
        <f>VLOOKUP(A456,'[1]PO Report'!$A:$Z,15,0)</f>
        <v>26.37</v>
      </c>
      <c r="H456">
        <f t="shared" si="14"/>
        <v>0</v>
      </c>
      <c r="J456">
        <f t="shared" si="15"/>
        <v>0</v>
      </c>
    </row>
    <row r="457" spans="1:10" x14ac:dyDescent="0.25">
      <c r="A457" t="s">
        <v>2437</v>
      </c>
      <c r="B457">
        <v>4</v>
      </c>
      <c r="C457">
        <f>_xlfn.XLOOKUP(Recon!A457,[1]Backup!AJ:AJ,[1]Backup!L:L)</f>
        <v>47.48</v>
      </c>
      <c r="D457">
        <f>_xlfn.XLOOKUP(Recon!A457,[1]Backup!AJ:AJ,[1]Backup!K:K)</f>
        <v>1.61432</v>
      </c>
      <c r="E457">
        <f>SUMIF('[1]PO Report'!A:A,Recon!A457,'[1]PO Report'!P:P)</f>
        <v>4</v>
      </c>
      <c r="F457">
        <f>VLOOKUP(A457,'[1]PO Report'!$A:$Z,15,0)</f>
        <v>47.48</v>
      </c>
      <c r="H457">
        <f t="shared" si="14"/>
        <v>0</v>
      </c>
      <c r="J457">
        <f t="shared" si="15"/>
        <v>0</v>
      </c>
    </row>
    <row r="458" spans="1:10" x14ac:dyDescent="0.25">
      <c r="A458" t="s">
        <v>2438</v>
      </c>
      <c r="B458">
        <v>16</v>
      </c>
      <c r="C458">
        <f>_xlfn.XLOOKUP(Recon!A458,[1]Backup!AJ:AJ,[1]Backup!L:L)</f>
        <v>32.21</v>
      </c>
      <c r="D458">
        <f>_xlfn.XLOOKUP(Recon!A458,[1]Backup!AJ:AJ,[1]Backup!K:K)</f>
        <v>1.09514</v>
      </c>
      <c r="E458">
        <f>SUMIF('[1]PO Report'!A:A,Recon!A458,'[1]PO Report'!P:P)</f>
        <v>16</v>
      </c>
      <c r="F458">
        <f>VLOOKUP(A458,'[1]PO Report'!$A:$Z,15,0)</f>
        <v>32.21</v>
      </c>
      <c r="H458">
        <f t="shared" si="14"/>
        <v>0</v>
      </c>
      <c r="J458">
        <f t="shared" si="15"/>
        <v>0</v>
      </c>
    </row>
    <row r="459" spans="1:10" x14ac:dyDescent="0.25">
      <c r="A459" t="s">
        <v>2439</v>
      </c>
      <c r="B459">
        <v>20</v>
      </c>
      <c r="C459">
        <f>_xlfn.XLOOKUP(Recon!A459,[1]Backup!AJ:AJ,[1]Backup!L:L)</f>
        <v>83.89</v>
      </c>
      <c r="D459">
        <f>_xlfn.XLOOKUP(Recon!A459,[1]Backup!AJ:AJ,[1]Backup!K:K)</f>
        <v>2.8522600000000002</v>
      </c>
      <c r="E459">
        <f>SUMIF('[1]PO Report'!A:A,Recon!A459,'[1]PO Report'!P:P)</f>
        <v>20</v>
      </c>
      <c r="F459">
        <f>VLOOKUP(A459,'[1]PO Report'!$A:$Z,15,0)</f>
        <v>83.89</v>
      </c>
      <c r="H459">
        <f t="shared" si="14"/>
        <v>0</v>
      </c>
      <c r="J459">
        <f t="shared" si="15"/>
        <v>0</v>
      </c>
    </row>
    <row r="460" spans="1:10" x14ac:dyDescent="0.25">
      <c r="A460" t="s">
        <v>2440</v>
      </c>
      <c r="B460">
        <v>12</v>
      </c>
      <c r="C460">
        <f>_xlfn.XLOOKUP(Recon!A460,[1]Backup!AJ:AJ,[1]Backup!L:L)</f>
        <v>75.41</v>
      </c>
      <c r="D460">
        <f>_xlfn.XLOOKUP(Recon!A460,[1]Backup!AJ:AJ,[1]Backup!K:K)</f>
        <v>2.5639400000000001</v>
      </c>
      <c r="E460">
        <f>SUMIF('[1]PO Report'!A:A,Recon!A460,'[1]PO Report'!P:P)</f>
        <v>12</v>
      </c>
      <c r="F460">
        <f>VLOOKUP(A460,'[1]PO Report'!$A:$Z,15,0)</f>
        <v>75.41</v>
      </c>
      <c r="H460">
        <f t="shared" si="14"/>
        <v>0</v>
      </c>
      <c r="J460">
        <f t="shared" si="15"/>
        <v>0</v>
      </c>
    </row>
    <row r="461" spans="1:10" x14ac:dyDescent="0.25">
      <c r="A461" t="s">
        <v>2441</v>
      </c>
      <c r="B461">
        <v>28</v>
      </c>
      <c r="C461">
        <f>_xlfn.XLOOKUP(Recon!A461,[1]Backup!AJ:AJ,[1]Backup!L:L)</f>
        <v>75.41</v>
      </c>
      <c r="D461">
        <f>_xlfn.XLOOKUP(Recon!A461,[1]Backup!AJ:AJ,[1]Backup!K:K)</f>
        <v>2.5639399999999997</v>
      </c>
      <c r="E461">
        <f>SUMIF('[1]PO Report'!A:A,Recon!A461,'[1]PO Report'!P:P)</f>
        <v>28</v>
      </c>
      <c r="F461">
        <f>VLOOKUP(A461,'[1]PO Report'!$A:$Z,15,0)</f>
        <v>75.41</v>
      </c>
      <c r="H461">
        <f t="shared" si="14"/>
        <v>0</v>
      </c>
      <c r="J461">
        <f t="shared" si="15"/>
        <v>0</v>
      </c>
    </row>
    <row r="462" spans="1:10" x14ac:dyDescent="0.25">
      <c r="A462" t="s">
        <v>2442</v>
      </c>
      <c r="B462">
        <v>8</v>
      </c>
      <c r="C462">
        <f>_xlfn.XLOOKUP(Recon!A462,[1]Backup!AJ:AJ,[1]Backup!L:L)</f>
        <v>32.21</v>
      </c>
      <c r="D462">
        <f>_xlfn.XLOOKUP(Recon!A462,[1]Backup!AJ:AJ,[1]Backup!K:K)</f>
        <v>1.09514</v>
      </c>
      <c r="E462">
        <f>SUMIF('[1]PO Report'!A:A,Recon!A462,'[1]PO Report'!P:P)</f>
        <v>8</v>
      </c>
      <c r="F462">
        <f>VLOOKUP(A462,'[1]PO Report'!$A:$Z,15,0)</f>
        <v>32.21</v>
      </c>
      <c r="H462">
        <f t="shared" si="14"/>
        <v>0</v>
      </c>
      <c r="J462">
        <f t="shared" si="15"/>
        <v>0</v>
      </c>
    </row>
    <row r="463" spans="1:10" x14ac:dyDescent="0.25">
      <c r="A463" t="s">
        <v>2443</v>
      </c>
      <c r="B463">
        <v>16</v>
      </c>
      <c r="C463">
        <f>_xlfn.XLOOKUP(Recon!A463,[1]Backup!AJ:AJ,[1]Backup!L:L)</f>
        <v>69.03</v>
      </c>
      <c r="D463">
        <f>_xlfn.XLOOKUP(Recon!A463,[1]Backup!AJ:AJ,[1]Backup!K:K)</f>
        <v>2.3470200000000001</v>
      </c>
      <c r="E463">
        <f>SUMIF('[1]PO Report'!A:A,Recon!A463,'[1]PO Report'!P:P)</f>
        <v>16</v>
      </c>
      <c r="F463">
        <f>VLOOKUP(A463,'[1]PO Report'!$A:$Z,15,0)</f>
        <v>69.03</v>
      </c>
      <c r="H463">
        <f t="shared" si="14"/>
        <v>0</v>
      </c>
      <c r="J463">
        <f t="shared" si="15"/>
        <v>0</v>
      </c>
    </row>
    <row r="464" spans="1:10" x14ac:dyDescent="0.25">
      <c r="A464" t="s">
        <v>2444</v>
      </c>
      <c r="B464">
        <v>4</v>
      </c>
      <c r="C464">
        <f>_xlfn.XLOOKUP(Recon!A464,[1]Backup!AJ:AJ,[1]Backup!L:L)</f>
        <v>75.41</v>
      </c>
      <c r="D464">
        <f>_xlfn.XLOOKUP(Recon!A464,[1]Backup!AJ:AJ,[1]Backup!K:K)</f>
        <v>2.5639400000000001</v>
      </c>
      <c r="E464">
        <f>SUMIF('[1]PO Report'!A:A,Recon!A464,'[1]PO Report'!P:P)</f>
        <v>4</v>
      </c>
      <c r="F464">
        <f>VLOOKUP(A464,'[1]PO Report'!$A:$Z,15,0)</f>
        <v>75.41</v>
      </c>
      <c r="H464">
        <f t="shared" si="14"/>
        <v>0</v>
      </c>
      <c r="J464">
        <f t="shared" si="15"/>
        <v>0</v>
      </c>
    </row>
    <row r="465" spans="1:10" x14ac:dyDescent="0.25">
      <c r="A465" t="s">
        <v>2445</v>
      </c>
      <c r="B465">
        <v>4</v>
      </c>
      <c r="C465">
        <f>_xlfn.XLOOKUP(Recon!A465,[1]Backup!AJ:AJ,[1]Backup!L:L)</f>
        <v>75.41</v>
      </c>
      <c r="D465">
        <f>_xlfn.XLOOKUP(Recon!A465,[1]Backup!AJ:AJ,[1]Backup!K:K)</f>
        <v>2.5639400000000001</v>
      </c>
      <c r="E465">
        <f>SUMIF('[1]PO Report'!A:A,Recon!A465,'[1]PO Report'!P:P)</f>
        <v>4</v>
      </c>
      <c r="F465">
        <f>VLOOKUP(A465,'[1]PO Report'!$A:$Z,15,0)</f>
        <v>75.41</v>
      </c>
      <c r="H465">
        <f t="shared" si="14"/>
        <v>0</v>
      </c>
      <c r="J465">
        <f t="shared" si="15"/>
        <v>0</v>
      </c>
    </row>
    <row r="466" spans="1:10" x14ac:dyDescent="0.25">
      <c r="A466" t="s">
        <v>2446</v>
      </c>
      <c r="B466">
        <v>40</v>
      </c>
      <c r="C466">
        <f>_xlfn.XLOOKUP(Recon!A466,[1]Backup!AJ:AJ,[1]Backup!L:L)</f>
        <v>179.16</v>
      </c>
      <c r="D466">
        <f>_xlfn.XLOOKUP(Recon!A466,[1]Backup!AJ:AJ,[1]Backup!K:K)</f>
        <v>6.0914400000000004</v>
      </c>
      <c r="E466">
        <f>SUMIF('[1]PO Report'!A:A,Recon!A466,'[1]PO Report'!P:P)</f>
        <v>40</v>
      </c>
      <c r="F466">
        <f>VLOOKUP(A466,'[1]PO Report'!$A:$Z,15,0)</f>
        <v>179.16</v>
      </c>
      <c r="H466">
        <f t="shared" si="14"/>
        <v>0</v>
      </c>
      <c r="J466">
        <f t="shared" si="15"/>
        <v>0</v>
      </c>
    </row>
    <row r="467" spans="1:10" x14ac:dyDescent="0.25">
      <c r="A467" t="s">
        <v>2447</v>
      </c>
      <c r="B467">
        <v>4</v>
      </c>
      <c r="C467">
        <f>_xlfn.XLOOKUP(Recon!A467,[1]Backup!AJ:AJ,[1]Backup!L:L)</f>
        <v>81.209999999999994</v>
      </c>
      <c r="D467">
        <f>_xlfn.XLOOKUP(Recon!A467,[1]Backup!AJ:AJ,[1]Backup!K:K)</f>
        <v>2.7611400000000001</v>
      </c>
      <c r="E467">
        <f>SUMIF('[1]PO Report'!A:A,Recon!A467,'[1]PO Report'!P:P)</f>
        <v>4</v>
      </c>
      <c r="F467">
        <f>VLOOKUP(A467,'[1]PO Report'!$A:$Z,15,0)</f>
        <v>81.209999999999994</v>
      </c>
      <c r="H467">
        <f t="shared" si="14"/>
        <v>0</v>
      </c>
      <c r="J467">
        <f t="shared" si="15"/>
        <v>0</v>
      </c>
    </row>
    <row r="468" spans="1:10" x14ac:dyDescent="0.25">
      <c r="A468" t="s">
        <v>2448</v>
      </c>
      <c r="B468">
        <v>128</v>
      </c>
      <c r="C468">
        <f>_xlfn.XLOOKUP(Recon!A468,[1]Backup!AJ:AJ,[1]Backup!L:L)</f>
        <v>75.41</v>
      </c>
      <c r="D468">
        <f>_xlfn.XLOOKUP(Recon!A468,[1]Backup!AJ:AJ,[1]Backup!K:K)</f>
        <v>2.5639400000000001</v>
      </c>
      <c r="E468">
        <f>SUMIF('[1]PO Report'!A:A,Recon!A468,'[1]PO Report'!P:P)</f>
        <v>128</v>
      </c>
      <c r="F468">
        <f>VLOOKUP(A468,'[1]PO Report'!$A:$Z,15,0)</f>
        <v>75.41</v>
      </c>
      <c r="H468">
        <f t="shared" si="14"/>
        <v>0</v>
      </c>
      <c r="J468">
        <f t="shared" si="15"/>
        <v>0</v>
      </c>
    </row>
    <row r="469" spans="1:10" x14ac:dyDescent="0.25">
      <c r="A469" t="s">
        <v>2449</v>
      </c>
      <c r="B469">
        <v>8</v>
      </c>
      <c r="C469">
        <f>_xlfn.XLOOKUP(Recon!A469,[1]Backup!AJ:AJ,[1]Backup!L:L)</f>
        <v>94.44</v>
      </c>
      <c r="D469">
        <f>_xlfn.XLOOKUP(Recon!A469,[1]Backup!AJ:AJ,[1]Backup!K:K)</f>
        <v>3.21096</v>
      </c>
      <c r="E469">
        <f>SUMIF('[1]PO Report'!A:A,Recon!A469,'[1]PO Report'!P:P)</f>
        <v>8</v>
      </c>
      <c r="F469">
        <f>VLOOKUP(A469,'[1]PO Report'!$A:$Z,15,0)</f>
        <v>94.44</v>
      </c>
      <c r="H469">
        <f t="shared" si="14"/>
        <v>0</v>
      </c>
      <c r="J469">
        <f t="shared" si="15"/>
        <v>0</v>
      </c>
    </row>
    <row r="470" spans="1:10" x14ac:dyDescent="0.25">
      <c r="A470" t="s">
        <v>2450</v>
      </c>
      <c r="B470">
        <v>4</v>
      </c>
      <c r="C470">
        <f>_xlfn.XLOOKUP(Recon!A470,[1]Backup!AJ:AJ,[1]Backup!L:L)</f>
        <v>83.89</v>
      </c>
      <c r="D470">
        <f>_xlfn.XLOOKUP(Recon!A470,[1]Backup!AJ:AJ,[1]Backup!K:K)</f>
        <v>2.8522599999999998</v>
      </c>
      <c r="E470">
        <f>SUMIF('[1]PO Report'!A:A,Recon!A470,'[1]PO Report'!P:P)</f>
        <v>4</v>
      </c>
      <c r="F470">
        <f>VLOOKUP(A470,'[1]PO Report'!$A:$Z,15,0)</f>
        <v>83.89</v>
      </c>
      <c r="H470">
        <f t="shared" si="14"/>
        <v>0</v>
      </c>
      <c r="J470">
        <f t="shared" si="15"/>
        <v>0</v>
      </c>
    </row>
    <row r="471" spans="1:10" x14ac:dyDescent="0.25">
      <c r="A471" t="s">
        <v>2451</v>
      </c>
      <c r="B471">
        <v>548</v>
      </c>
      <c r="C471">
        <f>_xlfn.XLOOKUP(Recon!A471,[1]Backup!AJ:AJ,[1]Backup!L:L)</f>
        <v>75.41</v>
      </c>
      <c r="D471">
        <f>_xlfn.XLOOKUP(Recon!A471,[1]Backup!AJ:AJ,[1]Backup!K:K)</f>
        <v>2.5639399999999997</v>
      </c>
      <c r="E471">
        <f>SUMIF('[1]PO Report'!A:A,Recon!A471,'[1]PO Report'!P:P)</f>
        <v>552</v>
      </c>
      <c r="F471">
        <f>VLOOKUP(A471,'[1]PO Report'!$A:$Z,15,0)</f>
        <v>75.41</v>
      </c>
      <c r="H471">
        <f t="shared" si="14"/>
        <v>-4</v>
      </c>
      <c r="J471">
        <f t="shared" si="15"/>
        <v>0</v>
      </c>
    </row>
    <row r="472" spans="1:10" x14ac:dyDescent="0.25">
      <c r="A472" t="s">
        <v>2452</v>
      </c>
      <c r="B472">
        <v>8</v>
      </c>
      <c r="C472">
        <f>_xlfn.XLOOKUP(Recon!A472,[1]Backup!AJ:AJ,[1]Backup!L:L)</f>
        <v>133.41999999999999</v>
      </c>
      <c r="D472">
        <f>_xlfn.XLOOKUP(Recon!A472,[1]Backup!AJ:AJ,[1]Backup!K:K)</f>
        <v>4.5362799999999996</v>
      </c>
      <c r="E472">
        <f>SUMIF('[1]PO Report'!A:A,Recon!A472,'[1]PO Report'!P:P)</f>
        <v>8</v>
      </c>
      <c r="F472">
        <f>VLOOKUP(A472,'[1]PO Report'!$A:$Z,15,0)</f>
        <v>133.41999999999999</v>
      </c>
      <c r="H472">
        <f t="shared" si="14"/>
        <v>0</v>
      </c>
      <c r="J472">
        <f t="shared" si="15"/>
        <v>0</v>
      </c>
    </row>
    <row r="473" spans="1:10" x14ac:dyDescent="0.25">
      <c r="A473" t="s">
        <v>2453</v>
      </c>
      <c r="B473">
        <v>20</v>
      </c>
      <c r="C473">
        <f>_xlfn.XLOOKUP(Recon!A473,[1]Backup!AJ:AJ,[1]Backup!L:L)</f>
        <v>16.39</v>
      </c>
      <c r="D473">
        <f>_xlfn.XLOOKUP(Recon!A473,[1]Backup!AJ:AJ,[1]Backup!K:K)</f>
        <v>0.55726000000000009</v>
      </c>
      <c r="E473">
        <f>SUMIF('[1]PO Report'!A:A,Recon!A473,'[1]PO Report'!P:P)</f>
        <v>20</v>
      </c>
      <c r="F473">
        <f>VLOOKUP(A473,'[1]PO Report'!$A:$Z,15,0)</f>
        <v>16.39</v>
      </c>
      <c r="H473">
        <f t="shared" si="14"/>
        <v>0</v>
      </c>
      <c r="J473">
        <f t="shared" si="15"/>
        <v>0</v>
      </c>
    </row>
    <row r="474" spans="1:10" x14ac:dyDescent="0.25">
      <c r="A474" t="s">
        <v>2454</v>
      </c>
      <c r="B474">
        <v>112</v>
      </c>
      <c r="C474">
        <f>_xlfn.XLOOKUP(Recon!A474,[1]Backup!AJ:AJ,[1]Backup!L:L)</f>
        <v>83.89</v>
      </c>
      <c r="D474">
        <f>_xlfn.XLOOKUP(Recon!A474,[1]Backup!AJ:AJ,[1]Backup!K:K)</f>
        <v>2.8522599999999998</v>
      </c>
      <c r="E474">
        <f>SUMIF('[1]PO Report'!A:A,Recon!A474,'[1]PO Report'!P:P)</f>
        <v>112</v>
      </c>
      <c r="F474">
        <f>VLOOKUP(A474,'[1]PO Report'!$A:$Z,15,0)</f>
        <v>83.89</v>
      </c>
      <c r="H474">
        <f t="shared" si="14"/>
        <v>0</v>
      </c>
      <c r="J474">
        <f t="shared" si="15"/>
        <v>0</v>
      </c>
    </row>
    <row r="475" spans="1:10" x14ac:dyDescent="0.25">
      <c r="A475" t="s">
        <v>2455</v>
      </c>
      <c r="B475">
        <v>12</v>
      </c>
      <c r="C475">
        <f>_xlfn.XLOOKUP(Recon!A475,[1]Backup!AJ:AJ,[1]Backup!L:L)</f>
        <v>55.1</v>
      </c>
      <c r="D475">
        <f>_xlfn.XLOOKUP(Recon!A475,[1]Backup!AJ:AJ,[1]Backup!K:K)</f>
        <v>1.8734</v>
      </c>
      <c r="E475">
        <f>SUMIF('[1]PO Report'!A:A,Recon!A475,'[1]PO Report'!P:P)</f>
        <v>12</v>
      </c>
      <c r="F475">
        <f>VLOOKUP(A475,'[1]PO Report'!$A:$Z,15,0)</f>
        <v>55.1</v>
      </c>
      <c r="H475">
        <f t="shared" si="14"/>
        <v>0</v>
      </c>
      <c r="J475">
        <f t="shared" si="15"/>
        <v>0</v>
      </c>
    </row>
    <row r="476" spans="1:10" x14ac:dyDescent="0.25">
      <c r="A476" t="s">
        <v>2456</v>
      </c>
      <c r="B476">
        <v>8</v>
      </c>
      <c r="C476">
        <f>_xlfn.XLOOKUP(Recon!A476,[1]Backup!AJ:AJ,[1]Backup!L:L)</f>
        <v>40.6</v>
      </c>
      <c r="D476">
        <f>_xlfn.XLOOKUP(Recon!A476,[1]Backup!AJ:AJ,[1]Backup!K:K)</f>
        <v>1.3804000000000001</v>
      </c>
      <c r="E476">
        <f>SUMIF('[1]PO Report'!A:A,Recon!A476,'[1]PO Report'!P:P)</f>
        <v>8</v>
      </c>
      <c r="F476">
        <f>VLOOKUP(A476,'[1]PO Report'!$A:$Z,15,0)</f>
        <v>40.6</v>
      </c>
      <c r="H476">
        <f t="shared" si="14"/>
        <v>0</v>
      </c>
      <c r="J476">
        <f t="shared" si="15"/>
        <v>0</v>
      </c>
    </row>
    <row r="477" spans="1:10" x14ac:dyDescent="0.25">
      <c r="A477" t="s">
        <v>2457</v>
      </c>
      <c r="B477">
        <v>320</v>
      </c>
      <c r="C477">
        <f>_xlfn.XLOOKUP(Recon!A477,[1]Backup!AJ:AJ,[1]Backup!L:L)</f>
        <v>8.1999999999999993</v>
      </c>
      <c r="D477">
        <f>_xlfn.XLOOKUP(Recon!A477,[1]Backup!AJ:AJ,[1]Backup!K:K)</f>
        <v>0.27879999999999999</v>
      </c>
      <c r="E477">
        <f>SUMIF('[1]PO Report'!A:A,Recon!A477,'[1]PO Report'!P:P)</f>
        <v>320</v>
      </c>
      <c r="F477">
        <f>VLOOKUP(A477,'[1]PO Report'!$A:$Z,15,0)</f>
        <v>8.1999999999999993</v>
      </c>
      <c r="H477">
        <f t="shared" si="14"/>
        <v>0</v>
      </c>
      <c r="J477">
        <f t="shared" si="15"/>
        <v>0</v>
      </c>
    </row>
    <row r="478" spans="1:10" x14ac:dyDescent="0.25">
      <c r="A478" t="s">
        <v>2458</v>
      </c>
      <c r="B478">
        <v>4</v>
      </c>
      <c r="C478">
        <f>_xlfn.XLOOKUP(Recon!A478,[1]Backup!AJ:AJ,[1]Backup!L:L)</f>
        <v>75.41</v>
      </c>
      <c r="D478">
        <f>_xlfn.XLOOKUP(Recon!A478,[1]Backup!AJ:AJ,[1]Backup!K:K)</f>
        <v>2.5639400000000001</v>
      </c>
      <c r="E478">
        <f>SUMIF('[1]PO Report'!A:A,Recon!A478,'[1]PO Report'!P:P)</f>
        <v>4</v>
      </c>
      <c r="F478">
        <f>VLOOKUP(A478,'[1]PO Report'!$A:$Z,15,0)</f>
        <v>75.41</v>
      </c>
      <c r="H478">
        <f t="shared" si="14"/>
        <v>0</v>
      </c>
      <c r="J478">
        <f t="shared" si="15"/>
        <v>0</v>
      </c>
    </row>
    <row r="479" spans="1:10" x14ac:dyDescent="0.25">
      <c r="A479" t="s">
        <v>2459</v>
      </c>
      <c r="B479">
        <v>12</v>
      </c>
      <c r="C479">
        <f>_xlfn.XLOOKUP(Recon!A479,[1]Backup!AJ:AJ,[1]Backup!L:L)</f>
        <v>11.71</v>
      </c>
      <c r="D479">
        <f>_xlfn.XLOOKUP(Recon!A479,[1]Backup!AJ:AJ,[1]Backup!K:K)</f>
        <v>0.39813999999999999</v>
      </c>
      <c r="E479">
        <f>SUMIF('[1]PO Report'!A:A,Recon!A479,'[1]PO Report'!P:P)</f>
        <v>12</v>
      </c>
      <c r="F479">
        <f>VLOOKUP(A479,'[1]PO Report'!$A:$Z,15,0)</f>
        <v>11.71</v>
      </c>
      <c r="H479">
        <f t="shared" si="14"/>
        <v>0</v>
      </c>
      <c r="J479">
        <f t="shared" si="15"/>
        <v>0</v>
      </c>
    </row>
    <row r="480" spans="1:10" x14ac:dyDescent="0.25">
      <c r="A480" t="s">
        <v>2460</v>
      </c>
      <c r="B480">
        <v>8</v>
      </c>
      <c r="C480">
        <f>_xlfn.XLOOKUP(Recon!A480,[1]Backup!AJ:AJ,[1]Backup!L:L)</f>
        <v>63.23</v>
      </c>
      <c r="D480">
        <f>_xlfn.XLOOKUP(Recon!A480,[1]Backup!AJ:AJ,[1]Backup!K:K)</f>
        <v>2.1498200000000001</v>
      </c>
      <c r="E480">
        <f>SUMIF('[1]PO Report'!A:A,Recon!A480,'[1]PO Report'!P:P)</f>
        <v>8</v>
      </c>
      <c r="F480">
        <f>VLOOKUP(A480,'[1]PO Report'!$A:$Z,15,0)</f>
        <v>63.23</v>
      </c>
      <c r="H480">
        <f t="shared" si="14"/>
        <v>0</v>
      </c>
      <c r="J480">
        <f t="shared" si="15"/>
        <v>0</v>
      </c>
    </row>
    <row r="481" spans="1:10" x14ac:dyDescent="0.25">
      <c r="A481" t="s">
        <v>2461</v>
      </c>
      <c r="B481">
        <v>40</v>
      </c>
      <c r="C481">
        <f>_xlfn.XLOOKUP(Recon!A481,[1]Backup!AJ:AJ,[1]Backup!L:L)</f>
        <v>32.21</v>
      </c>
      <c r="D481">
        <f>_xlfn.XLOOKUP(Recon!A481,[1]Backup!AJ:AJ,[1]Backup!K:K)</f>
        <v>1.09514</v>
      </c>
      <c r="E481">
        <f>SUMIF('[1]PO Report'!A:A,Recon!A481,'[1]PO Report'!P:P)</f>
        <v>40</v>
      </c>
      <c r="F481">
        <f>VLOOKUP(A481,'[1]PO Report'!$A:$Z,15,0)</f>
        <v>32.21</v>
      </c>
      <c r="H481">
        <f t="shared" si="14"/>
        <v>0</v>
      </c>
      <c r="J481">
        <f t="shared" si="15"/>
        <v>0</v>
      </c>
    </row>
    <row r="482" spans="1:10" x14ac:dyDescent="0.25">
      <c r="A482" t="s">
        <v>2462</v>
      </c>
      <c r="B482">
        <v>180</v>
      </c>
      <c r="C482">
        <f>_xlfn.XLOOKUP(Recon!A482,[1]Backup!AJ:AJ,[1]Backup!L:L)</f>
        <v>26.35</v>
      </c>
      <c r="D482">
        <f>_xlfn.XLOOKUP(Recon!A482,[1]Backup!AJ:AJ,[1]Backup!K:K)</f>
        <v>0.89590000000000003</v>
      </c>
      <c r="E482">
        <f>SUMIF('[1]PO Report'!A:A,Recon!A482,'[1]PO Report'!P:P)</f>
        <v>90</v>
      </c>
      <c r="F482">
        <f>VLOOKUP(A482,'[1]PO Report'!$A:$Z,15,0)</f>
        <v>26.35</v>
      </c>
      <c r="H482">
        <f t="shared" si="14"/>
        <v>90</v>
      </c>
      <c r="I482">
        <f>H482*D482</f>
        <v>80.631</v>
      </c>
      <c r="J482">
        <f t="shared" si="15"/>
        <v>0</v>
      </c>
    </row>
    <row r="483" spans="1:10" x14ac:dyDescent="0.25">
      <c r="A483" t="s">
        <v>2463</v>
      </c>
      <c r="B483">
        <v>8</v>
      </c>
      <c r="C483">
        <f>_xlfn.XLOOKUP(Recon!A483,[1]Backup!AJ:AJ,[1]Backup!L:L)</f>
        <v>40.6</v>
      </c>
      <c r="D483">
        <f>_xlfn.XLOOKUP(Recon!A483,[1]Backup!AJ:AJ,[1]Backup!K:K)</f>
        <v>1.3804000000000001</v>
      </c>
      <c r="E483">
        <f>SUMIF('[1]PO Report'!A:A,Recon!A483,'[1]PO Report'!P:P)</f>
        <v>8</v>
      </c>
      <c r="F483">
        <f>VLOOKUP(A483,'[1]PO Report'!$A:$Z,15,0)</f>
        <v>40.6</v>
      </c>
      <c r="H483">
        <f t="shared" si="14"/>
        <v>0</v>
      </c>
      <c r="J483">
        <f t="shared" si="15"/>
        <v>0</v>
      </c>
    </row>
    <row r="484" spans="1:10" x14ac:dyDescent="0.25">
      <c r="A484" t="s">
        <v>2464</v>
      </c>
      <c r="B484">
        <v>136</v>
      </c>
      <c r="C484">
        <f>_xlfn.XLOOKUP(Recon!A484,[1]Backup!AJ:AJ,[1]Backup!L:L)</f>
        <v>44.949999999999996</v>
      </c>
      <c r="D484">
        <f>_xlfn.XLOOKUP(Recon!A484,[1]Backup!AJ:AJ,[1]Backup!K:K)</f>
        <v>1.5283</v>
      </c>
      <c r="E484">
        <f>SUMIF('[1]PO Report'!A:A,Recon!A484,'[1]PO Report'!P:P)</f>
        <v>136</v>
      </c>
      <c r="F484">
        <f>VLOOKUP(A484,'[1]PO Report'!$A:$Z,15,0)</f>
        <v>44.95</v>
      </c>
      <c r="H484">
        <f t="shared" si="14"/>
        <v>0</v>
      </c>
      <c r="J484">
        <f t="shared" si="15"/>
        <v>0</v>
      </c>
    </row>
    <row r="485" spans="1:10" x14ac:dyDescent="0.25">
      <c r="A485" t="s">
        <v>2465</v>
      </c>
      <c r="B485">
        <v>48</v>
      </c>
      <c r="C485">
        <f>_xlfn.XLOOKUP(Recon!A485,[1]Backup!AJ:AJ,[1]Backup!L:L)</f>
        <v>69.61</v>
      </c>
      <c r="D485">
        <f>_xlfn.XLOOKUP(Recon!A485,[1]Backup!AJ:AJ,[1]Backup!K:K)</f>
        <v>2.3667400000000001</v>
      </c>
      <c r="E485">
        <f>SUMIF('[1]PO Report'!A:A,Recon!A485,'[1]PO Report'!P:P)</f>
        <v>48</v>
      </c>
      <c r="F485">
        <f>VLOOKUP(A485,'[1]PO Report'!$A:$Z,15,0)</f>
        <v>69.61</v>
      </c>
      <c r="H485">
        <f t="shared" si="14"/>
        <v>0</v>
      </c>
      <c r="J485">
        <f t="shared" si="15"/>
        <v>0</v>
      </c>
    </row>
    <row r="486" spans="1:10" x14ac:dyDescent="0.25">
      <c r="A486" t="s">
        <v>2466</v>
      </c>
      <c r="B486">
        <v>20</v>
      </c>
      <c r="C486">
        <f>_xlfn.XLOOKUP(Recon!A486,[1]Backup!AJ:AJ,[1]Backup!L:L)</f>
        <v>116.89000000000001</v>
      </c>
      <c r="D486">
        <f>_xlfn.XLOOKUP(Recon!A486,[1]Backup!AJ:AJ,[1]Backup!K:K)</f>
        <v>3.9742600000000001</v>
      </c>
      <c r="E486">
        <f>SUMIF('[1]PO Report'!A:A,Recon!A486,'[1]PO Report'!P:P)</f>
        <v>20</v>
      </c>
      <c r="F486">
        <f>VLOOKUP(A486,'[1]PO Report'!$A:$Z,15,0)</f>
        <v>116.89</v>
      </c>
      <c r="H486">
        <f t="shared" si="14"/>
        <v>0</v>
      </c>
      <c r="J486">
        <f t="shared" si="15"/>
        <v>0</v>
      </c>
    </row>
    <row r="487" spans="1:10" x14ac:dyDescent="0.25">
      <c r="A487" t="s">
        <v>2467</v>
      </c>
      <c r="B487">
        <v>16</v>
      </c>
      <c r="C487">
        <f>_xlfn.XLOOKUP(Recon!A487,[1]Backup!AJ:AJ,[1]Backup!L:L)</f>
        <v>69.03</v>
      </c>
      <c r="D487">
        <f>_xlfn.XLOOKUP(Recon!A487,[1]Backup!AJ:AJ,[1]Backup!K:K)</f>
        <v>2.3470200000000001</v>
      </c>
      <c r="E487">
        <f>SUMIF('[1]PO Report'!A:A,Recon!A487,'[1]PO Report'!P:P)</f>
        <v>16</v>
      </c>
      <c r="F487">
        <f>VLOOKUP(A487,'[1]PO Report'!$A:$Z,15,0)</f>
        <v>69.03</v>
      </c>
      <c r="H487">
        <f t="shared" si="14"/>
        <v>0</v>
      </c>
      <c r="J487">
        <f t="shared" si="15"/>
        <v>0</v>
      </c>
    </row>
    <row r="488" spans="1:10" x14ac:dyDescent="0.25">
      <c r="A488" t="s">
        <v>2468</v>
      </c>
      <c r="B488">
        <v>72</v>
      </c>
      <c r="C488">
        <f>_xlfn.XLOOKUP(Recon!A488,[1]Backup!AJ:AJ,[1]Backup!L:L)</f>
        <v>116.89</v>
      </c>
      <c r="D488">
        <f>_xlfn.XLOOKUP(Recon!A488,[1]Backup!AJ:AJ,[1]Backup!K:K)</f>
        <v>3.9742600000000001</v>
      </c>
      <c r="E488">
        <f>SUMIF('[1]PO Report'!A:A,Recon!A488,'[1]PO Report'!P:P)</f>
        <v>72</v>
      </c>
      <c r="F488">
        <f>VLOOKUP(A488,'[1]PO Report'!$A:$Z,15,0)</f>
        <v>116.89</v>
      </c>
      <c r="H488">
        <f t="shared" si="14"/>
        <v>0</v>
      </c>
      <c r="J488">
        <f t="shared" si="15"/>
        <v>0</v>
      </c>
    </row>
    <row r="489" spans="1:10" x14ac:dyDescent="0.25">
      <c r="A489" t="s">
        <v>2469</v>
      </c>
      <c r="B489">
        <v>8</v>
      </c>
      <c r="C489">
        <f>_xlfn.XLOOKUP(Recon!A489,[1]Backup!AJ:AJ,[1]Backup!L:L)</f>
        <v>26.37</v>
      </c>
      <c r="D489">
        <f>_xlfn.XLOOKUP(Recon!A489,[1]Backup!AJ:AJ,[1]Backup!K:K)</f>
        <v>0.89658000000000004</v>
      </c>
      <c r="E489">
        <f>SUMIF('[1]PO Report'!A:A,Recon!A489,'[1]PO Report'!P:P)</f>
        <v>8</v>
      </c>
      <c r="F489">
        <f>VLOOKUP(A489,'[1]PO Report'!$A:$Z,15,0)</f>
        <v>26.37</v>
      </c>
      <c r="H489">
        <f t="shared" si="14"/>
        <v>0</v>
      </c>
      <c r="J489">
        <f t="shared" si="15"/>
        <v>0</v>
      </c>
    </row>
    <row r="490" spans="1:10" x14ac:dyDescent="0.25">
      <c r="A490" t="s">
        <v>2470</v>
      </c>
      <c r="B490">
        <v>20</v>
      </c>
      <c r="C490">
        <f>_xlfn.XLOOKUP(Recon!A490,[1]Backup!AJ:AJ,[1]Backup!L:L)</f>
        <v>8.89</v>
      </c>
      <c r="D490">
        <f>_xlfn.XLOOKUP(Recon!A490,[1]Backup!AJ:AJ,[1]Backup!K:K)</f>
        <v>0.30226000000000003</v>
      </c>
      <c r="E490">
        <f>SUMIF('[1]PO Report'!A:A,Recon!A490,'[1]PO Report'!P:P)</f>
        <v>20</v>
      </c>
      <c r="F490">
        <f>VLOOKUP(A490,'[1]PO Report'!$A:$Z,15,0)</f>
        <v>8.89</v>
      </c>
      <c r="H490">
        <f t="shared" si="14"/>
        <v>0</v>
      </c>
      <c r="J490">
        <f t="shared" si="15"/>
        <v>0</v>
      </c>
    </row>
    <row r="491" spans="1:10" x14ac:dyDescent="0.25">
      <c r="A491" t="s">
        <v>2471</v>
      </c>
      <c r="B491">
        <v>220</v>
      </c>
      <c r="C491">
        <f>_xlfn.XLOOKUP(Recon!A491,[1]Backup!AJ:AJ,[1]Backup!L:L)</f>
        <v>31.119999999999997</v>
      </c>
      <c r="D491">
        <f>_xlfn.XLOOKUP(Recon!A491,[1]Backup!AJ:AJ,[1]Backup!K:K)</f>
        <v>1.0580800000000001</v>
      </c>
      <c r="E491">
        <f>SUMIF('[1]PO Report'!A:A,Recon!A491,'[1]PO Report'!P:P)</f>
        <v>220</v>
      </c>
      <c r="F491">
        <f>VLOOKUP(A491,'[1]PO Report'!$A:$Z,15,0)</f>
        <v>31.12</v>
      </c>
      <c r="H491">
        <f t="shared" si="14"/>
        <v>0</v>
      </c>
      <c r="J491">
        <f t="shared" si="15"/>
        <v>0</v>
      </c>
    </row>
    <row r="492" spans="1:10" x14ac:dyDescent="0.25">
      <c r="A492" t="s">
        <v>2472</v>
      </c>
      <c r="B492">
        <v>4</v>
      </c>
      <c r="C492">
        <f>_xlfn.XLOOKUP(Recon!A492,[1]Backup!AJ:AJ,[1]Backup!L:L)</f>
        <v>44.95</v>
      </c>
      <c r="D492">
        <f>_xlfn.XLOOKUP(Recon!A492,[1]Backup!AJ:AJ,[1]Backup!K:K)</f>
        <v>1.5283</v>
      </c>
      <c r="E492">
        <f>SUMIF('[1]PO Report'!A:A,Recon!A492,'[1]PO Report'!P:P)</f>
        <v>4</v>
      </c>
      <c r="F492">
        <f>VLOOKUP(A492,'[1]PO Report'!$A:$Z,15,0)</f>
        <v>44.95</v>
      </c>
      <c r="H492">
        <f t="shared" si="14"/>
        <v>0</v>
      </c>
      <c r="J492">
        <f t="shared" si="15"/>
        <v>0</v>
      </c>
    </row>
    <row r="493" spans="1:10" x14ac:dyDescent="0.25">
      <c r="A493" t="s">
        <v>2473</v>
      </c>
      <c r="B493">
        <v>4</v>
      </c>
      <c r="C493">
        <f>_xlfn.XLOOKUP(Recon!A493,[1]Backup!AJ:AJ,[1]Backup!L:L)</f>
        <v>26.37</v>
      </c>
      <c r="D493">
        <f>_xlfn.XLOOKUP(Recon!A493,[1]Backup!AJ:AJ,[1]Backup!K:K)</f>
        <v>0.89658000000000004</v>
      </c>
      <c r="E493">
        <f>SUMIF('[1]PO Report'!A:A,Recon!A493,'[1]PO Report'!P:P)</f>
        <v>4</v>
      </c>
      <c r="F493">
        <f>VLOOKUP(A493,'[1]PO Report'!$A:$Z,15,0)</f>
        <v>26.37</v>
      </c>
      <c r="H493">
        <f t="shared" si="14"/>
        <v>0</v>
      </c>
      <c r="J493">
        <f t="shared" si="15"/>
        <v>0</v>
      </c>
    </row>
    <row r="494" spans="1:10" x14ac:dyDescent="0.25">
      <c r="A494" t="s">
        <v>2474</v>
      </c>
      <c r="B494">
        <v>4</v>
      </c>
      <c r="C494">
        <f>_xlfn.XLOOKUP(Recon!A494,[1]Backup!AJ:AJ,[1]Backup!L:L)</f>
        <v>26.37</v>
      </c>
      <c r="D494">
        <f>_xlfn.XLOOKUP(Recon!A494,[1]Backup!AJ:AJ,[1]Backup!K:K)</f>
        <v>0.89658000000000004</v>
      </c>
      <c r="E494">
        <f>SUMIF('[1]PO Report'!A:A,Recon!A494,'[1]PO Report'!P:P)</f>
        <v>4</v>
      </c>
      <c r="F494">
        <f>VLOOKUP(A494,'[1]PO Report'!$A:$Z,15,0)</f>
        <v>26.37</v>
      </c>
      <c r="H494">
        <f t="shared" si="14"/>
        <v>0</v>
      </c>
      <c r="J494">
        <f t="shared" si="15"/>
        <v>0</v>
      </c>
    </row>
    <row r="495" spans="1:10" x14ac:dyDescent="0.25">
      <c r="A495" t="s">
        <v>2475</v>
      </c>
      <c r="B495">
        <v>4</v>
      </c>
      <c r="C495">
        <f>_xlfn.XLOOKUP(Recon!A495,[1]Backup!AJ:AJ,[1]Backup!L:L)</f>
        <v>122.81</v>
      </c>
      <c r="D495">
        <f>_xlfn.XLOOKUP(Recon!A495,[1]Backup!AJ:AJ,[1]Backup!K:K)</f>
        <v>4.1755399999999998</v>
      </c>
      <c r="E495">
        <f>SUMIF('[1]PO Report'!A:A,Recon!A495,'[1]PO Report'!P:P)</f>
        <v>4</v>
      </c>
      <c r="F495">
        <f>VLOOKUP(A495,'[1]PO Report'!$A:$Z,15,0)</f>
        <v>122.81</v>
      </c>
      <c r="H495">
        <f t="shared" si="14"/>
        <v>0</v>
      </c>
      <c r="J495">
        <f t="shared" si="15"/>
        <v>0</v>
      </c>
    </row>
    <row r="496" spans="1:10" x14ac:dyDescent="0.25">
      <c r="A496" t="s">
        <v>2476</v>
      </c>
      <c r="B496">
        <v>16</v>
      </c>
      <c r="C496">
        <f>_xlfn.XLOOKUP(Recon!A496,[1]Backup!AJ:AJ,[1]Backup!L:L)</f>
        <v>34.29</v>
      </c>
      <c r="D496">
        <f>_xlfn.XLOOKUP(Recon!A496,[1]Backup!AJ:AJ,[1]Backup!K:K)</f>
        <v>1.1658599999999999</v>
      </c>
      <c r="E496">
        <f>SUMIF('[1]PO Report'!A:A,Recon!A496,'[1]PO Report'!P:P)</f>
        <v>16</v>
      </c>
      <c r="F496">
        <f>VLOOKUP(A496,'[1]PO Report'!$A:$Z,15,0)</f>
        <v>34.29</v>
      </c>
      <c r="H496">
        <f t="shared" si="14"/>
        <v>0</v>
      </c>
      <c r="J496">
        <f t="shared" si="15"/>
        <v>0</v>
      </c>
    </row>
    <row r="497" spans="1:10" x14ac:dyDescent="0.25">
      <c r="A497" t="s">
        <v>2477</v>
      </c>
      <c r="B497">
        <v>30</v>
      </c>
      <c r="C497">
        <f>_xlfn.XLOOKUP(Recon!A497,[1]Backup!AJ:AJ,[1]Backup!L:L)</f>
        <v>10.53</v>
      </c>
      <c r="D497">
        <f>_xlfn.XLOOKUP(Recon!A497,[1]Backup!AJ:AJ,[1]Backup!K:K)</f>
        <v>0.35802</v>
      </c>
      <c r="E497">
        <f>SUMIF('[1]PO Report'!A:A,Recon!A497,'[1]PO Report'!P:P)</f>
        <v>30</v>
      </c>
      <c r="F497">
        <f>VLOOKUP(A497,'[1]PO Report'!$A:$Z,15,0)</f>
        <v>10.53</v>
      </c>
      <c r="H497">
        <f t="shared" si="14"/>
        <v>0</v>
      </c>
      <c r="J497">
        <f t="shared" si="15"/>
        <v>0</v>
      </c>
    </row>
    <row r="498" spans="1:10" x14ac:dyDescent="0.25">
      <c r="A498" t="s">
        <v>2478</v>
      </c>
      <c r="B498">
        <v>10</v>
      </c>
      <c r="C498">
        <f>_xlfn.XLOOKUP(Recon!A498,[1]Backup!AJ:AJ,[1]Backup!L:L)</f>
        <v>32.21</v>
      </c>
      <c r="D498">
        <f>_xlfn.XLOOKUP(Recon!A498,[1]Backup!AJ:AJ,[1]Backup!K:K)</f>
        <v>1.09514</v>
      </c>
      <c r="E498">
        <f>SUMIF('[1]PO Report'!A:A,Recon!A498,'[1]PO Report'!P:P)</f>
        <v>10</v>
      </c>
      <c r="F498">
        <f>VLOOKUP(A498,'[1]PO Report'!$A:$Z,15,0)</f>
        <v>32.21</v>
      </c>
      <c r="H498">
        <f t="shared" si="14"/>
        <v>0</v>
      </c>
      <c r="J498">
        <f t="shared" si="15"/>
        <v>0</v>
      </c>
    </row>
    <row r="499" spans="1:10" x14ac:dyDescent="0.25">
      <c r="A499" t="s">
        <v>2479</v>
      </c>
      <c r="B499">
        <v>30</v>
      </c>
      <c r="C499">
        <f>_xlfn.XLOOKUP(Recon!A499,[1]Backup!AJ:AJ,[1]Backup!L:L)</f>
        <v>26.35</v>
      </c>
      <c r="D499">
        <f>_xlfn.XLOOKUP(Recon!A499,[1]Backup!AJ:AJ,[1]Backup!K:K)</f>
        <v>0.89589999999999992</v>
      </c>
      <c r="E499">
        <f>SUMIF('[1]PO Report'!A:A,Recon!A499,'[1]PO Report'!P:P)</f>
        <v>30</v>
      </c>
      <c r="F499">
        <f>VLOOKUP(A499,'[1]PO Report'!$A:$Z,15,0)</f>
        <v>26.35</v>
      </c>
      <c r="H499">
        <f t="shared" si="14"/>
        <v>0</v>
      </c>
      <c r="J499">
        <f t="shared" si="15"/>
        <v>0</v>
      </c>
    </row>
    <row r="500" spans="1:10" x14ac:dyDescent="0.25">
      <c r="A500" t="s">
        <v>2480</v>
      </c>
      <c r="B500">
        <v>48</v>
      </c>
      <c r="C500">
        <f>_xlfn.XLOOKUP(Recon!A500,[1]Backup!AJ:AJ,[1]Backup!L:L)</f>
        <v>40.99</v>
      </c>
      <c r="D500">
        <f>_xlfn.XLOOKUP(Recon!A500,[1]Backup!AJ:AJ,[1]Backup!K:K)</f>
        <v>1.3936600000000001</v>
      </c>
      <c r="E500">
        <f>SUMIF('[1]PO Report'!A:A,Recon!A500,'[1]PO Report'!P:P)</f>
        <v>48</v>
      </c>
      <c r="F500">
        <f>VLOOKUP(A500,'[1]PO Report'!$A:$Z,15,0)</f>
        <v>40.99</v>
      </c>
      <c r="H500">
        <f t="shared" si="14"/>
        <v>0</v>
      </c>
      <c r="J500">
        <f t="shared" si="15"/>
        <v>0</v>
      </c>
    </row>
    <row r="501" spans="1:10" x14ac:dyDescent="0.25">
      <c r="A501" t="s">
        <v>2481</v>
      </c>
      <c r="B501">
        <v>24</v>
      </c>
      <c r="C501">
        <f>_xlfn.XLOOKUP(Recon!A501,[1]Backup!AJ:AJ,[1]Backup!L:L)</f>
        <v>79.73</v>
      </c>
      <c r="D501">
        <f>_xlfn.XLOOKUP(Recon!A501,[1]Backup!AJ:AJ,[1]Backup!K:K)</f>
        <v>2.71082</v>
      </c>
      <c r="E501">
        <f>SUMIF('[1]PO Report'!A:A,Recon!A501,'[1]PO Report'!P:P)</f>
        <v>24</v>
      </c>
      <c r="F501">
        <f>VLOOKUP(A501,'[1]PO Report'!$A:$Z,15,0)</f>
        <v>79.73</v>
      </c>
      <c r="H501">
        <f t="shared" si="14"/>
        <v>0</v>
      </c>
      <c r="J501">
        <f t="shared" si="15"/>
        <v>0</v>
      </c>
    </row>
    <row r="502" spans="1:10" x14ac:dyDescent="0.25">
      <c r="A502" t="s">
        <v>2482</v>
      </c>
      <c r="B502">
        <v>52</v>
      </c>
      <c r="C502">
        <f>_xlfn.XLOOKUP(Recon!A502,[1]Backup!AJ:AJ,[1]Backup!L:L)</f>
        <v>75.41</v>
      </c>
      <c r="D502">
        <f>_xlfn.XLOOKUP(Recon!A502,[1]Backup!AJ:AJ,[1]Backup!K:K)</f>
        <v>2.5639400000000001</v>
      </c>
      <c r="E502">
        <f>SUMIF('[1]PO Report'!A:A,Recon!A502,'[1]PO Report'!P:P)</f>
        <v>52</v>
      </c>
      <c r="F502">
        <f>VLOOKUP(A502,'[1]PO Report'!$A:$Z,15,0)</f>
        <v>75.41</v>
      </c>
      <c r="H502">
        <f t="shared" si="14"/>
        <v>0</v>
      </c>
      <c r="J502">
        <f t="shared" si="15"/>
        <v>0</v>
      </c>
    </row>
    <row r="503" spans="1:10" x14ac:dyDescent="0.25">
      <c r="A503" t="s">
        <v>2483</v>
      </c>
      <c r="B503">
        <v>88</v>
      </c>
      <c r="C503">
        <f>_xlfn.XLOOKUP(Recon!A503,[1]Backup!AJ:AJ,[1]Backup!L:L)</f>
        <v>44.84</v>
      </c>
      <c r="D503">
        <f>_xlfn.XLOOKUP(Recon!A503,[1]Backup!AJ:AJ,[1]Backup!K:K)</f>
        <v>1.5245600000000001</v>
      </c>
      <c r="E503">
        <f>SUMIF('[1]PO Report'!A:A,Recon!A503,'[1]PO Report'!P:P)</f>
        <v>88</v>
      </c>
      <c r="F503">
        <f>VLOOKUP(A503,'[1]PO Report'!$A:$Z,15,0)</f>
        <v>44.84</v>
      </c>
      <c r="H503">
        <f t="shared" si="14"/>
        <v>0</v>
      </c>
      <c r="J503">
        <f t="shared" si="15"/>
        <v>0</v>
      </c>
    </row>
    <row r="504" spans="1:10" x14ac:dyDescent="0.25">
      <c r="A504" t="s">
        <v>2484</v>
      </c>
      <c r="B504">
        <v>8</v>
      </c>
      <c r="C504">
        <f>_xlfn.XLOOKUP(Recon!A504,[1]Backup!AJ:AJ,[1]Backup!L:L)</f>
        <v>63.23</v>
      </c>
      <c r="D504">
        <f>_xlfn.XLOOKUP(Recon!A504,[1]Backup!AJ:AJ,[1]Backup!K:K)</f>
        <v>2.1498200000000001</v>
      </c>
      <c r="E504">
        <f>SUMIF('[1]PO Report'!A:A,Recon!A504,'[1]PO Report'!P:P)</f>
        <v>8</v>
      </c>
      <c r="F504">
        <f>VLOOKUP(A504,'[1]PO Report'!$A:$Z,15,0)</f>
        <v>63.23</v>
      </c>
      <c r="H504">
        <f t="shared" si="14"/>
        <v>0</v>
      </c>
      <c r="J504">
        <f t="shared" si="15"/>
        <v>0</v>
      </c>
    </row>
    <row r="505" spans="1:10" x14ac:dyDescent="0.25">
      <c r="A505" t="s">
        <v>2485</v>
      </c>
      <c r="B505">
        <v>8</v>
      </c>
      <c r="C505">
        <f>_xlfn.XLOOKUP(Recon!A505,[1]Backup!AJ:AJ,[1]Backup!L:L)</f>
        <v>40.03</v>
      </c>
      <c r="D505">
        <f>_xlfn.XLOOKUP(Recon!A505,[1]Backup!AJ:AJ,[1]Backup!K:K)</f>
        <v>1.3610199999999999</v>
      </c>
      <c r="E505">
        <f>SUMIF('[1]PO Report'!A:A,Recon!A505,'[1]PO Report'!P:P)</f>
        <v>8</v>
      </c>
      <c r="F505">
        <f>VLOOKUP(A505,'[1]PO Report'!$A:$Z,15,0)</f>
        <v>40.03</v>
      </c>
      <c r="H505">
        <f t="shared" si="14"/>
        <v>0</v>
      </c>
      <c r="J505">
        <f t="shared" si="15"/>
        <v>0</v>
      </c>
    </row>
    <row r="506" spans="1:10" x14ac:dyDescent="0.25">
      <c r="A506" t="s">
        <v>2486</v>
      </c>
      <c r="B506">
        <v>4</v>
      </c>
      <c r="C506">
        <f>_xlfn.XLOOKUP(Recon!A506,[1]Backup!AJ:AJ,[1]Backup!L:L)</f>
        <v>83.89</v>
      </c>
      <c r="D506">
        <f>_xlfn.XLOOKUP(Recon!A506,[1]Backup!AJ:AJ,[1]Backup!K:K)</f>
        <v>2.8522599999999998</v>
      </c>
      <c r="E506">
        <f>SUMIF('[1]PO Report'!A:A,Recon!A506,'[1]PO Report'!P:P)</f>
        <v>4</v>
      </c>
      <c r="F506">
        <f>VLOOKUP(A506,'[1]PO Report'!$A:$Z,15,0)</f>
        <v>83.89</v>
      </c>
      <c r="H506">
        <f t="shared" si="14"/>
        <v>0</v>
      </c>
      <c r="J506">
        <f t="shared" si="15"/>
        <v>0</v>
      </c>
    </row>
    <row r="507" spans="1:10" x14ac:dyDescent="0.25">
      <c r="A507" t="s">
        <v>2487</v>
      </c>
      <c r="B507">
        <v>40</v>
      </c>
      <c r="C507">
        <f>_xlfn.XLOOKUP(Recon!A507,[1]Backup!AJ:AJ,[1]Backup!L:L)</f>
        <v>16.39</v>
      </c>
      <c r="D507">
        <f>_xlfn.XLOOKUP(Recon!A507,[1]Backup!AJ:AJ,[1]Backup!K:K)</f>
        <v>0.55726000000000009</v>
      </c>
      <c r="E507">
        <f>SUMIF('[1]PO Report'!A:A,Recon!A507,'[1]PO Report'!P:P)</f>
        <v>40</v>
      </c>
      <c r="F507">
        <f>VLOOKUP(A507,'[1]PO Report'!$A:$Z,15,0)</f>
        <v>16.39</v>
      </c>
      <c r="H507">
        <f t="shared" si="14"/>
        <v>0</v>
      </c>
      <c r="J507">
        <f t="shared" si="15"/>
        <v>0</v>
      </c>
    </row>
    <row r="508" spans="1:10" x14ac:dyDescent="0.25">
      <c r="A508" t="s">
        <v>2488</v>
      </c>
      <c r="B508">
        <v>50</v>
      </c>
      <c r="C508">
        <f>_xlfn.XLOOKUP(Recon!A508,[1]Backup!AJ:AJ,[1]Backup!L:L)</f>
        <v>31.9</v>
      </c>
      <c r="D508">
        <f>_xlfn.XLOOKUP(Recon!A508,[1]Backup!AJ:AJ,[1]Backup!K:K)</f>
        <v>1.0846</v>
      </c>
      <c r="E508">
        <f>SUMIF('[1]PO Report'!A:A,Recon!A508,'[1]PO Report'!P:P)</f>
        <v>50</v>
      </c>
      <c r="F508">
        <f>VLOOKUP(A508,'[1]PO Report'!$A:$Z,15,0)</f>
        <v>31.9</v>
      </c>
      <c r="H508">
        <f t="shared" si="14"/>
        <v>0</v>
      </c>
      <c r="J508">
        <f t="shared" si="15"/>
        <v>0</v>
      </c>
    </row>
    <row r="509" spans="1:10" x14ac:dyDescent="0.25">
      <c r="A509" t="s">
        <v>2489</v>
      </c>
      <c r="B509">
        <v>8</v>
      </c>
      <c r="C509">
        <f>_xlfn.XLOOKUP(Recon!A509,[1]Backup!AJ:AJ,[1]Backup!L:L)</f>
        <v>53.51</v>
      </c>
      <c r="D509">
        <f>_xlfn.XLOOKUP(Recon!A509,[1]Backup!AJ:AJ,[1]Backup!K:K)</f>
        <v>1.81934</v>
      </c>
      <c r="E509">
        <f>SUMIF('[1]PO Report'!A:A,Recon!A509,'[1]PO Report'!P:P)</f>
        <v>8</v>
      </c>
      <c r="F509">
        <f>VLOOKUP(A509,'[1]PO Report'!$A:$Z,15,0)</f>
        <v>53.51</v>
      </c>
      <c r="H509">
        <f t="shared" si="14"/>
        <v>0</v>
      </c>
      <c r="J509">
        <f t="shared" si="15"/>
        <v>0</v>
      </c>
    </row>
    <row r="510" spans="1:10" x14ac:dyDescent="0.25">
      <c r="A510" t="s">
        <v>2490</v>
      </c>
      <c r="B510">
        <v>200</v>
      </c>
      <c r="C510">
        <f>_xlfn.XLOOKUP(Recon!A510,[1]Backup!AJ:AJ,[1]Backup!L:L)</f>
        <v>8.1999999999999993</v>
      </c>
      <c r="D510">
        <f>_xlfn.XLOOKUP(Recon!A510,[1]Backup!AJ:AJ,[1]Backup!K:K)</f>
        <v>0.27879999999999999</v>
      </c>
      <c r="E510">
        <f>SUMIF('[1]PO Report'!A:A,Recon!A510,'[1]PO Report'!P:P)</f>
        <v>200</v>
      </c>
      <c r="F510">
        <f>VLOOKUP(A510,'[1]PO Report'!$A:$Z,15,0)</f>
        <v>8.1999999999999993</v>
      </c>
      <c r="H510">
        <f t="shared" si="14"/>
        <v>0</v>
      </c>
      <c r="J510">
        <f t="shared" si="15"/>
        <v>0</v>
      </c>
    </row>
    <row r="511" spans="1:10" x14ac:dyDescent="0.25">
      <c r="A511" t="s">
        <v>2491</v>
      </c>
      <c r="B511">
        <v>8</v>
      </c>
      <c r="C511">
        <f>_xlfn.XLOOKUP(Recon!A511,[1]Backup!AJ:AJ,[1]Backup!L:L)</f>
        <v>32.21</v>
      </c>
      <c r="D511">
        <f>_xlfn.XLOOKUP(Recon!A511,[1]Backup!AJ:AJ,[1]Backup!K:K)</f>
        <v>1.09514</v>
      </c>
      <c r="E511">
        <f>SUMIF('[1]PO Report'!A:A,Recon!A511,'[1]PO Report'!P:P)</f>
        <v>8</v>
      </c>
      <c r="F511">
        <f>VLOOKUP(A511,'[1]PO Report'!$A:$Z,15,0)</f>
        <v>32.21</v>
      </c>
      <c r="H511">
        <f t="shared" si="14"/>
        <v>0</v>
      </c>
      <c r="J511">
        <f t="shared" si="15"/>
        <v>0</v>
      </c>
    </row>
    <row r="512" spans="1:10" x14ac:dyDescent="0.25">
      <c r="A512" t="s">
        <v>2492</v>
      </c>
      <c r="B512">
        <v>80</v>
      </c>
      <c r="C512">
        <f>_xlfn.XLOOKUP(Recon!A512,[1]Backup!AJ:AJ,[1]Backup!L:L)</f>
        <v>75.41</v>
      </c>
      <c r="D512">
        <f>_xlfn.XLOOKUP(Recon!A512,[1]Backup!AJ:AJ,[1]Backup!K:K)</f>
        <v>2.5639399999999997</v>
      </c>
      <c r="E512">
        <f>SUMIF('[1]PO Report'!A:A,Recon!A512,'[1]PO Report'!P:P)</f>
        <v>80</v>
      </c>
      <c r="F512">
        <f>VLOOKUP(A512,'[1]PO Report'!$A:$Z,15,0)</f>
        <v>75.41</v>
      </c>
      <c r="H512">
        <f t="shared" si="14"/>
        <v>0</v>
      </c>
      <c r="J512">
        <f t="shared" si="15"/>
        <v>0</v>
      </c>
    </row>
    <row r="513" spans="1:10" x14ac:dyDescent="0.25">
      <c r="A513" t="s">
        <v>2493</v>
      </c>
      <c r="B513">
        <v>4</v>
      </c>
      <c r="C513">
        <f>_xlfn.XLOOKUP(Recon!A513,[1]Backup!AJ:AJ,[1]Backup!L:L)</f>
        <v>121.25</v>
      </c>
      <c r="D513">
        <f>_xlfn.XLOOKUP(Recon!A513,[1]Backup!AJ:AJ,[1]Backup!K:K)</f>
        <v>4.1224999999999996</v>
      </c>
      <c r="E513">
        <f>SUMIF('[1]PO Report'!A:A,Recon!A513,'[1]PO Report'!P:P)</f>
        <v>4</v>
      </c>
      <c r="F513">
        <f>VLOOKUP(A513,'[1]PO Report'!$A:$Z,15,0)</f>
        <v>121.25</v>
      </c>
      <c r="H513">
        <f t="shared" si="14"/>
        <v>0</v>
      </c>
      <c r="J513">
        <f t="shared" si="15"/>
        <v>0</v>
      </c>
    </row>
    <row r="514" spans="1:10" x14ac:dyDescent="0.25">
      <c r="A514" t="s">
        <v>2494</v>
      </c>
      <c r="B514">
        <v>4</v>
      </c>
      <c r="C514">
        <f>_xlfn.XLOOKUP(Recon!A514,[1]Backup!AJ:AJ,[1]Backup!L:L)</f>
        <v>43.92</v>
      </c>
      <c r="D514">
        <f>_xlfn.XLOOKUP(Recon!A514,[1]Backup!AJ:AJ,[1]Backup!K:K)</f>
        <v>1.4932799999999999</v>
      </c>
      <c r="E514">
        <f>SUMIF('[1]PO Report'!A:A,Recon!A514,'[1]PO Report'!P:P)</f>
        <v>4</v>
      </c>
      <c r="F514">
        <f>VLOOKUP(A514,'[1]PO Report'!$A:$Z,15,0)</f>
        <v>43.92</v>
      </c>
      <c r="H514">
        <f t="shared" si="14"/>
        <v>0</v>
      </c>
      <c r="J514">
        <f t="shared" si="15"/>
        <v>0</v>
      </c>
    </row>
    <row r="515" spans="1:10" x14ac:dyDescent="0.25">
      <c r="A515" t="s">
        <v>2495</v>
      </c>
      <c r="B515">
        <v>8</v>
      </c>
      <c r="C515">
        <f>_xlfn.XLOOKUP(Recon!A515,[1]Backup!AJ:AJ,[1]Backup!L:L)</f>
        <v>57.51</v>
      </c>
      <c r="D515">
        <f>_xlfn.XLOOKUP(Recon!A515,[1]Backup!AJ:AJ,[1]Backup!K:K)</f>
        <v>1.9553400000000001</v>
      </c>
      <c r="E515">
        <f>SUMIF('[1]PO Report'!A:A,Recon!A515,'[1]PO Report'!P:P)</f>
        <v>8</v>
      </c>
      <c r="F515">
        <f>VLOOKUP(A515,'[1]PO Report'!$A:$Z,15,0)</f>
        <v>57.51</v>
      </c>
      <c r="H515">
        <f t="shared" si="14"/>
        <v>0</v>
      </c>
      <c r="J515">
        <f t="shared" si="15"/>
        <v>0</v>
      </c>
    </row>
    <row r="516" spans="1:10" x14ac:dyDescent="0.25">
      <c r="A516" t="s">
        <v>2496</v>
      </c>
      <c r="B516">
        <v>4</v>
      </c>
      <c r="C516">
        <f>_xlfn.XLOOKUP(Recon!A516,[1]Backup!AJ:AJ,[1]Backup!L:L)</f>
        <v>78.62</v>
      </c>
      <c r="D516">
        <f>_xlfn.XLOOKUP(Recon!A516,[1]Backup!AJ:AJ,[1]Backup!K:K)</f>
        <v>2.6730800000000001</v>
      </c>
      <c r="E516">
        <f>SUMIF('[1]PO Report'!A:A,Recon!A516,'[1]PO Report'!P:P)</f>
        <v>100</v>
      </c>
      <c r="F516">
        <f>VLOOKUP(A516,'[1]PO Report'!$A:$Z,15,0)</f>
        <v>78.62</v>
      </c>
      <c r="H516">
        <f t="shared" ref="H516:H579" si="16">B516-E516</f>
        <v>-96</v>
      </c>
      <c r="J516">
        <f t="shared" ref="J516:J579" si="17">C516-F516</f>
        <v>0</v>
      </c>
    </row>
    <row r="517" spans="1:10" x14ac:dyDescent="0.25">
      <c r="A517" t="s">
        <v>2497</v>
      </c>
      <c r="B517">
        <v>4</v>
      </c>
      <c r="C517">
        <f>_xlfn.XLOOKUP(Recon!A517,[1]Backup!AJ:AJ,[1]Backup!L:L)</f>
        <v>64.42</v>
      </c>
      <c r="D517">
        <f>_xlfn.XLOOKUP(Recon!A517,[1]Backup!AJ:AJ,[1]Backup!K:K)</f>
        <v>2.19028</v>
      </c>
      <c r="E517">
        <f>SUMIF('[1]PO Report'!A:A,Recon!A517,'[1]PO Report'!P:P)</f>
        <v>4</v>
      </c>
      <c r="F517">
        <f>VLOOKUP(A517,'[1]PO Report'!$A:$Z,15,0)</f>
        <v>64.42</v>
      </c>
      <c r="H517">
        <f t="shared" si="16"/>
        <v>0</v>
      </c>
      <c r="J517">
        <f t="shared" si="17"/>
        <v>0</v>
      </c>
    </row>
    <row r="518" spans="1:10" x14ac:dyDescent="0.25">
      <c r="A518" t="s">
        <v>2498</v>
      </c>
      <c r="B518">
        <v>4</v>
      </c>
      <c r="C518">
        <f>_xlfn.XLOOKUP(Recon!A518,[1]Backup!AJ:AJ,[1]Backup!L:L)</f>
        <v>35.130000000000003</v>
      </c>
      <c r="D518">
        <f>_xlfn.XLOOKUP(Recon!A518,[1]Backup!AJ:AJ,[1]Backup!K:K)</f>
        <v>1.19442</v>
      </c>
      <c r="E518">
        <f>SUMIF('[1]PO Report'!A:A,Recon!A518,'[1]PO Report'!P:P)</f>
        <v>4</v>
      </c>
      <c r="F518">
        <f>VLOOKUP(A518,'[1]PO Report'!$A:$Z,15,0)</f>
        <v>35.130000000000003</v>
      </c>
      <c r="H518">
        <f t="shared" si="16"/>
        <v>0</v>
      </c>
      <c r="J518">
        <f t="shared" si="17"/>
        <v>0</v>
      </c>
    </row>
    <row r="519" spans="1:10" x14ac:dyDescent="0.25">
      <c r="A519" t="s">
        <v>2499</v>
      </c>
      <c r="B519">
        <v>10</v>
      </c>
      <c r="C519">
        <f>_xlfn.XLOOKUP(Recon!A519,[1]Backup!AJ:AJ,[1]Backup!L:L)</f>
        <v>16.39</v>
      </c>
      <c r="D519">
        <f>_xlfn.XLOOKUP(Recon!A519,[1]Backup!AJ:AJ,[1]Backup!K:K)</f>
        <v>0.55726000000000009</v>
      </c>
      <c r="E519">
        <f>SUMIF('[1]PO Report'!A:A,Recon!A519,'[1]PO Report'!P:P)</f>
        <v>10</v>
      </c>
      <c r="F519">
        <f>VLOOKUP(A519,'[1]PO Report'!$A:$Z,15,0)</f>
        <v>16.39</v>
      </c>
      <c r="H519">
        <f t="shared" si="16"/>
        <v>0</v>
      </c>
      <c r="J519">
        <f t="shared" si="17"/>
        <v>0</v>
      </c>
    </row>
    <row r="520" spans="1:10" x14ac:dyDescent="0.25">
      <c r="A520" t="s">
        <v>2500</v>
      </c>
      <c r="B520">
        <v>6</v>
      </c>
      <c r="C520">
        <f>_xlfn.XLOOKUP(Recon!A520,[1]Backup!AJ:AJ,[1]Backup!L:L)</f>
        <v>26.349999999999998</v>
      </c>
      <c r="D520">
        <f>_xlfn.XLOOKUP(Recon!A520,[1]Backup!AJ:AJ,[1]Backup!K:K)</f>
        <v>0.89590000000000003</v>
      </c>
      <c r="E520">
        <f>SUMIF('[1]PO Report'!A:A,Recon!A520,'[1]PO Report'!P:P)</f>
        <v>6</v>
      </c>
      <c r="F520">
        <f>VLOOKUP(A520,'[1]PO Report'!$A:$Z,15,0)</f>
        <v>26.35</v>
      </c>
      <c r="H520">
        <f t="shared" si="16"/>
        <v>0</v>
      </c>
      <c r="J520">
        <f t="shared" si="17"/>
        <v>0</v>
      </c>
    </row>
    <row r="521" spans="1:10" x14ac:dyDescent="0.25">
      <c r="A521" t="s">
        <v>2501</v>
      </c>
      <c r="B521">
        <v>1</v>
      </c>
      <c r="C521">
        <f>_xlfn.XLOOKUP(Recon!A521,[1]Backup!AJ:AJ,[1]Backup!L:L)</f>
        <v>210.52</v>
      </c>
      <c r="D521">
        <f>_xlfn.XLOOKUP(Recon!A521,[1]Backup!AJ:AJ,[1]Backup!K:K)</f>
        <v>7.15768</v>
      </c>
      <c r="E521">
        <f>SUMIF('[1]PO Report'!A:A,Recon!A521,'[1]PO Report'!P:P)</f>
        <v>1</v>
      </c>
      <c r="F521">
        <f>VLOOKUP(A521,'[1]PO Report'!$A:$Z,15,0)</f>
        <v>210.52</v>
      </c>
      <c r="H521">
        <f t="shared" si="16"/>
        <v>0</v>
      </c>
      <c r="J521">
        <f t="shared" si="17"/>
        <v>0</v>
      </c>
    </row>
    <row r="522" spans="1:10" x14ac:dyDescent="0.25">
      <c r="A522" t="s">
        <v>2502</v>
      </c>
      <c r="B522">
        <v>4</v>
      </c>
      <c r="C522">
        <f>_xlfn.XLOOKUP(Recon!A522,[1]Backup!AJ:AJ,[1]Backup!L:L)</f>
        <v>35.130000000000003</v>
      </c>
      <c r="D522">
        <f>_xlfn.XLOOKUP(Recon!A522,[1]Backup!AJ:AJ,[1]Backup!K:K)</f>
        <v>1.19442</v>
      </c>
      <c r="E522">
        <f>SUMIF('[1]PO Report'!A:A,Recon!A522,'[1]PO Report'!P:P)</f>
        <v>4</v>
      </c>
      <c r="F522">
        <f>VLOOKUP(A522,'[1]PO Report'!$A:$Z,15,0)</f>
        <v>35.130000000000003</v>
      </c>
      <c r="H522">
        <f t="shared" si="16"/>
        <v>0</v>
      </c>
      <c r="J522">
        <f t="shared" si="17"/>
        <v>0</v>
      </c>
    </row>
    <row r="523" spans="1:10" x14ac:dyDescent="0.25">
      <c r="A523" t="s">
        <v>2503</v>
      </c>
      <c r="B523">
        <v>8</v>
      </c>
      <c r="C523">
        <f>_xlfn.XLOOKUP(Recon!A523,[1]Backup!AJ:AJ,[1]Backup!L:L)</f>
        <v>23.42</v>
      </c>
      <c r="D523">
        <f>_xlfn.XLOOKUP(Recon!A523,[1]Backup!AJ:AJ,[1]Backup!K:K)</f>
        <v>0.79627999999999999</v>
      </c>
      <c r="E523">
        <f>SUMIF('[1]PO Report'!A:A,Recon!A523,'[1]PO Report'!P:P)</f>
        <v>8</v>
      </c>
      <c r="F523">
        <f>VLOOKUP(A523,'[1]PO Report'!$A:$Z,15,0)</f>
        <v>23.42</v>
      </c>
      <c r="H523">
        <f t="shared" si="16"/>
        <v>0</v>
      </c>
      <c r="J523">
        <f t="shared" si="17"/>
        <v>0</v>
      </c>
    </row>
    <row r="524" spans="1:10" x14ac:dyDescent="0.25">
      <c r="A524" t="s">
        <v>2504</v>
      </c>
      <c r="B524">
        <v>30</v>
      </c>
      <c r="C524">
        <f>_xlfn.XLOOKUP(Recon!A524,[1]Backup!AJ:AJ,[1]Backup!L:L)</f>
        <v>16.39</v>
      </c>
      <c r="D524">
        <f>_xlfn.XLOOKUP(Recon!A524,[1]Backup!AJ:AJ,[1]Backup!K:K)</f>
        <v>0.55725999999999998</v>
      </c>
      <c r="E524">
        <f>SUMIF('[1]PO Report'!A:A,Recon!A524,'[1]PO Report'!P:P)</f>
        <v>30</v>
      </c>
      <c r="F524">
        <f>VLOOKUP(A524,'[1]PO Report'!$A:$Z,15,0)</f>
        <v>16.39</v>
      </c>
      <c r="H524">
        <f t="shared" si="16"/>
        <v>0</v>
      </c>
      <c r="J524">
        <f t="shared" si="17"/>
        <v>0</v>
      </c>
    </row>
    <row r="525" spans="1:10" x14ac:dyDescent="0.25">
      <c r="A525" t="s">
        <v>2505</v>
      </c>
      <c r="B525">
        <v>4</v>
      </c>
      <c r="C525">
        <f>_xlfn.XLOOKUP(Recon!A525,[1]Backup!AJ:AJ,[1]Backup!L:L)</f>
        <v>57.51</v>
      </c>
      <c r="D525">
        <f>_xlfn.XLOOKUP(Recon!A525,[1]Backup!AJ:AJ,[1]Backup!K:K)</f>
        <v>1.9553400000000001</v>
      </c>
      <c r="E525">
        <f>SUMIF('[1]PO Report'!A:A,Recon!A525,'[1]PO Report'!P:P)</f>
        <v>4</v>
      </c>
      <c r="F525">
        <f>VLOOKUP(A525,'[1]PO Report'!$A:$Z,15,0)</f>
        <v>57.51</v>
      </c>
      <c r="H525">
        <f t="shared" si="16"/>
        <v>0</v>
      </c>
      <c r="J525">
        <f t="shared" si="17"/>
        <v>0</v>
      </c>
    </row>
    <row r="526" spans="1:10" x14ac:dyDescent="0.25">
      <c r="A526" t="s">
        <v>2506</v>
      </c>
      <c r="B526">
        <v>8</v>
      </c>
      <c r="C526">
        <f>_xlfn.XLOOKUP(Recon!A526,[1]Backup!AJ:AJ,[1]Backup!L:L)</f>
        <v>57.51</v>
      </c>
      <c r="D526">
        <f>_xlfn.XLOOKUP(Recon!A526,[1]Backup!AJ:AJ,[1]Backup!K:K)</f>
        <v>1.9553400000000001</v>
      </c>
      <c r="E526">
        <f>SUMIF('[1]PO Report'!A:A,Recon!A526,'[1]PO Report'!P:P)</f>
        <v>8</v>
      </c>
      <c r="F526">
        <f>VLOOKUP(A526,'[1]PO Report'!$A:$Z,15,0)</f>
        <v>57.51</v>
      </c>
      <c r="H526">
        <f t="shared" si="16"/>
        <v>0</v>
      </c>
      <c r="J526">
        <f t="shared" si="17"/>
        <v>0</v>
      </c>
    </row>
    <row r="527" spans="1:10" x14ac:dyDescent="0.25">
      <c r="A527" t="s">
        <v>2507</v>
      </c>
      <c r="B527">
        <v>16</v>
      </c>
      <c r="C527">
        <f>_xlfn.XLOOKUP(Recon!A527,[1]Backup!AJ:AJ,[1]Backup!L:L)</f>
        <v>78.62</v>
      </c>
      <c r="D527">
        <f>_xlfn.XLOOKUP(Recon!A527,[1]Backup!AJ:AJ,[1]Backup!K:K)</f>
        <v>2.6730800000000001</v>
      </c>
      <c r="E527">
        <f>SUMIF('[1]PO Report'!A:A,Recon!A527,'[1]PO Report'!P:P)</f>
        <v>16</v>
      </c>
      <c r="F527">
        <f>VLOOKUP(A527,'[1]PO Report'!$A:$Z,15,0)</f>
        <v>78.62</v>
      </c>
      <c r="H527">
        <f t="shared" si="16"/>
        <v>0</v>
      </c>
      <c r="J527">
        <f t="shared" si="17"/>
        <v>0</v>
      </c>
    </row>
    <row r="528" spans="1:10" x14ac:dyDescent="0.25">
      <c r="A528" t="s">
        <v>2508</v>
      </c>
      <c r="B528">
        <v>10</v>
      </c>
      <c r="C528">
        <f>_xlfn.XLOOKUP(Recon!A528,[1]Backup!AJ:AJ,[1]Backup!L:L)</f>
        <v>16.39</v>
      </c>
      <c r="D528">
        <f>_xlfn.XLOOKUP(Recon!A528,[1]Backup!AJ:AJ,[1]Backup!K:K)</f>
        <v>0.55726000000000009</v>
      </c>
      <c r="E528">
        <f>SUMIF('[1]PO Report'!A:A,Recon!A528,'[1]PO Report'!P:P)</f>
        <v>10</v>
      </c>
      <c r="F528">
        <f>VLOOKUP(A528,'[1]PO Report'!$A:$Z,15,0)</f>
        <v>16.39</v>
      </c>
      <c r="H528">
        <f t="shared" si="16"/>
        <v>0</v>
      </c>
      <c r="J528">
        <f t="shared" si="17"/>
        <v>0</v>
      </c>
    </row>
    <row r="529" spans="1:10" x14ac:dyDescent="0.25">
      <c r="A529" t="s">
        <v>2509</v>
      </c>
      <c r="B529">
        <v>16</v>
      </c>
      <c r="C529">
        <f>_xlfn.XLOOKUP(Recon!A529,[1]Backup!AJ:AJ,[1]Backup!L:L)</f>
        <v>141.93</v>
      </c>
      <c r="D529">
        <f>_xlfn.XLOOKUP(Recon!A529,[1]Backup!AJ:AJ,[1]Backup!K:K)</f>
        <v>4.8256199999999998</v>
      </c>
      <c r="E529">
        <f>SUMIF('[1]PO Report'!A:A,Recon!A529,'[1]PO Report'!P:P)</f>
        <v>16</v>
      </c>
      <c r="F529">
        <f>VLOOKUP(A529,'[1]PO Report'!$A:$Z,15,0)</f>
        <v>141.93</v>
      </c>
      <c r="H529">
        <f t="shared" si="16"/>
        <v>0</v>
      </c>
      <c r="J529">
        <f t="shared" si="17"/>
        <v>0</v>
      </c>
    </row>
    <row r="530" spans="1:10" x14ac:dyDescent="0.25">
      <c r="A530" t="s">
        <v>2510</v>
      </c>
      <c r="B530">
        <v>11</v>
      </c>
      <c r="C530">
        <f>_xlfn.XLOOKUP(Recon!A530,[1]Backup!AJ:AJ,[1]Backup!L:L)</f>
        <v>240.26999999999998</v>
      </c>
      <c r="D530">
        <f>_xlfn.XLOOKUP(Recon!A530,[1]Backup!AJ:AJ,[1]Backup!K:K)</f>
        <v>8.169179999999999</v>
      </c>
      <c r="E530">
        <f>SUMIF('[1]PO Report'!A:A,Recon!A530,'[1]PO Report'!P:P)</f>
        <v>11</v>
      </c>
      <c r="F530">
        <f>VLOOKUP(A530,'[1]PO Report'!$A:$Z,15,0)</f>
        <v>240.27</v>
      </c>
      <c r="H530">
        <f t="shared" si="16"/>
        <v>0</v>
      </c>
      <c r="J530">
        <f t="shared" si="17"/>
        <v>0</v>
      </c>
    </row>
    <row r="531" spans="1:10" x14ac:dyDescent="0.25">
      <c r="A531" t="s">
        <v>2511</v>
      </c>
      <c r="B531">
        <v>4</v>
      </c>
      <c r="C531">
        <f>_xlfn.XLOOKUP(Recon!A531,[1]Backup!AJ:AJ,[1]Backup!L:L)</f>
        <v>74.84</v>
      </c>
      <c r="D531">
        <f>_xlfn.XLOOKUP(Recon!A531,[1]Backup!AJ:AJ,[1]Backup!K:K)</f>
        <v>2.5445600000000002</v>
      </c>
      <c r="E531">
        <f>SUMIF('[1]PO Report'!A:A,Recon!A531,'[1]PO Report'!P:P)</f>
        <v>4</v>
      </c>
      <c r="F531">
        <f>VLOOKUP(A531,'[1]PO Report'!$A:$Z,15,0)</f>
        <v>74.84</v>
      </c>
      <c r="H531">
        <f t="shared" si="16"/>
        <v>0</v>
      </c>
      <c r="J531">
        <f t="shared" si="17"/>
        <v>0</v>
      </c>
    </row>
    <row r="532" spans="1:10" x14ac:dyDescent="0.25">
      <c r="A532" t="s">
        <v>2512</v>
      </c>
      <c r="B532">
        <v>12</v>
      </c>
      <c r="C532">
        <f>_xlfn.XLOOKUP(Recon!A532,[1]Backup!AJ:AJ,[1]Backup!L:L)</f>
        <v>94.44</v>
      </c>
      <c r="D532">
        <f>_xlfn.XLOOKUP(Recon!A532,[1]Backup!AJ:AJ,[1]Backup!K:K)</f>
        <v>3.21096</v>
      </c>
      <c r="E532">
        <f>SUMIF('[1]PO Report'!A:A,Recon!A532,'[1]PO Report'!P:P)</f>
        <v>12</v>
      </c>
      <c r="F532">
        <f>VLOOKUP(A532,'[1]PO Report'!$A:$Z,15,0)</f>
        <v>94.44</v>
      </c>
      <c r="H532">
        <f t="shared" si="16"/>
        <v>0</v>
      </c>
      <c r="J532">
        <f t="shared" si="17"/>
        <v>0</v>
      </c>
    </row>
    <row r="533" spans="1:10" x14ac:dyDescent="0.25">
      <c r="A533" t="s">
        <v>2513</v>
      </c>
      <c r="B533">
        <v>17</v>
      </c>
      <c r="C533">
        <f>_xlfn.XLOOKUP(Recon!A533,[1]Backup!AJ:AJ,[1]Backup!L:L)</f>
        <v>226.35</v>
      </c>
      <c r="D533">
        <f>_xlfn.XLOOKUP(Recon!A533,[1]Backup!AJ:AJ,[1]Backup!K:K)</f>
        <v>7.6959</v>
      </c>
      <c r="E533">
        <f>SUMIF('[1]PO Report'!A:A,Recon!A533,'[1]PO Report'!P:P)</f>
        <v>17</v>
      </c>
      <c r="F533">
        <f>VLOOKUP(A533,'[1]PO Report'!$A:$Z,15,0)</f>
        <v>226.35</v>
      </c>
      <c r="H533">
        <f t="shared" si="16"/>
        <v>0</v>
      </c>
      <c r="J533">
        <f t="shared" si="17"/>
        <v>0</v>
      </c>
    </row>
    <row r="534" spans="1:10" x14ac:dyDescent="0.25">
      <c r="A534" t="s">
        <v>2514</v>
      </c>
      <c r="B534">
        <v>20</v>
      </c>
      <c r="C534">
        <f>_xlfn.XLOOKUP(Recon!A534,[1]Backup!AJ:AJ,[1]Backup!L:L)</f>
        <v>110.27000000000001</v>
      </c>
      <c r="D534">
        <f>_xlfn.XLOOKUP(Recon!A534,[1]Backup!AJ:AJ,[1]Backup!K:K)</f>
        <v>3.74918</v>
      </c>
      <c r="E534">
        <f>SUMIF('[1]PO Report'!A:A,Recon!A534,'[1]PO Report'!P:P)</f>
        <v>20</v>
      </c>
      <c r="F534">
        <f>VLOOKUP(A534,'[1]PO Report'!$A:$Z,15,0)</f>
        <v>110.27</v>
      </c>
      <c r="H534">
        <f t="shared" si="16"/>
        <v>0</v>
      </c>
      <c r="J534">
        <f t="shared" si="17"/>
        <v>0</v>
      </c>
    </row>
    <row r="535" spans="1:10" x14ac:dyDescent="0.25">
      <c r="A535" t="s">
        <v>2515</v>
      </c>
      <c r="B535">
        <v>230</v>
      </c>
      <c r="C535">
        <f>_xlfn.XLOOKUP(Recon!A535,[1]Backup!AJ:AJ,[1]Backup!L:L)</f>
        <v>9.3600000000000012</v>
      </c>
      <c r="D535">
        <f>_xlfn.XLOOKUP(Recon!A535,[1]Backup!AJ:AJ,[1]Backup!K:K)</f>
        <v>0.31824000000000002</v>
      </c>
      <c r="E535">
        <f>SUMIF('[1]PO Report'!A:A,Recon!A535,'[1]PO Report'!P:P)</f>
        <v>230</v>
      </c>
      <c r="F535">
        <f>VLOOKUP(A535,'[1]PO Report'!$A:$Z,15,0)</f>
        <v>9.36</v>
      </c>
      <c r="H535">
        <f t="shared" si="16"/>
        <v>0</v>
      </c>
      <c r="J535">
        <f t="shared" si="17"/>
        <v>0</v>
      </c>
    </row>
    <row r="536" spans="1:10" x14ac:dyDescent="0.25">
      <c r="A536" t="s">
        <v>2516</v>
      </c>
      <c r="B536">
        <v>351</v>
      </c>
      <c r="C536">
        <f>_xlfn.XLOOKUP(Recon!A536,[1]Backup!AJ:AJ,[1]Backup!L:L)</f>
        <v>221.07000000000002</v>
      </c>
      <c r="D536">
        <f>_xlfn.XLOOKUP(Recon!A536,[1]Backup!AJ:AJ,[1]Backup!K:K)</f>
        <v>7.5163800000000007</v>
      </c>
      <c r="E536">
        <f>SUMIF('[1]PO Report'!A:A,Recon!A536,'[1]PO Report'!P:P)</f>
        <v>351</v>
      </c>
      <c r="F536">
        <f>VLOOKUP(A536,'[1]PO Report'!$A:$Z,15,0)</f>
        <v>221.07</v>
      </c>
      <c r="H536">
        <f t="shared" si="16"/>
        <v>0</v>
      </c>
      <c r="J536">
        <f t="shared" si="17"/>
        <v>0</v>
      </c>
    </row>
    <row r="537" spans="1:10" x14ac:dyDescent="0.25">
      <c r="A537" t="s">
        <v>2517</v>
      </c>
      <c r="B537">
        <v>4</v>
      </c>
      <c r="C537">
        <f>_xlfn.XLOOKUP(Recon!A537,[1]Backup!AJ:AJ,[1]Backup!L:L)</f>
        <v>110.27</v>
      </c>
      <c r="D537">
        <f>_xlfn.XLOOKUP(Recon!A537,[1]Backup!AJ:AJ,[1]Backup!K:K)</f>
        <v>3.74918</v>
      </c>
      <c r="E537">
        <f>SUMIF('[1]PO Report'!A:A,Recon!A537,'[1]PO Report'!P:P)</f>
        <v>4</v>
      </c>
      <c r="F537">
        <f>VLOOKUP(A537,'[1]PO Report'!$A:$Z,15,0)</f>
        <v>110.27</v>
      </c>
      <c r="H537">
        <f t="shared" si="16"/>
        <v>0</v>
      </c>
      <c r="J537">
        <f t="shared" si="17"/>
        <v>0</v>
      </c>
    </row>
    <row r="538" spans="1:10" x14ac:dyDescent="0.25">
      <c r="A538" t="s">
        <v>2518</v>
      </c>
      <c r="B538">
        <v>8</v>
      </c>
      <c r="C538">
        <f>_xlfn.XLOOKUP(Recon!A538,[1]Backup!AJ:AJ,[1]Backup!L:L)</f>
        <v>68.06</v>
      </c>
      <c r="D538">
        <f>_xlfn.XLOOKUP(Recon!A538,[1]Backup!AJ:AJ,[1]Backup!K:K)</f>
        <v>2.3140399999999999</v>
      </c>
      <c r="E538">
        <f>SUMIF('[1]PO Report'!A:A,Recon!A538,'[1]PO Report'!P:P)</f>
        <v>8</v>
      </c>
      <c r="F538">
        <f>VLOOKUP(A538,'[1]PO Report'!$A:$Z,15,0)</f>
        <v>68.06</v>
      </c>
      <c r="H538">
        <f t="shared" si="16"/>
        <v>0</v>
      </c>
      <c r="J538">
        <f t="shared" si="17"/>
        <v>0</v>
      </c>
    </row>
    <row r="539" spans="1:10" x14ac:dyDescent="0.25">
      <c r="A539" t="s">
        <v>2519</v>
      </c>
      <c r="B539">
        <v>300</v>
      </c>
      <c r="C539">
        <f>_xlfn.XLOOKUP(Recon!A539,[1]Backup!AJ:AJ,[1]Backup!L:L)</f>
        <v>81.41</v>
      </c>
      <c r="D539">
        <f>_xlfn.XLOOKUP(Recon!A539,[1]Backup!AJ:AJ,[1]Backup!K:K)</f>
        <v>2.7679399999999998</v>
      </c>
      <c r="E539">
        <f>SUMIF('[1]PO Report'!A:A,Recon!A539,'[1]PO Report'!P:P)</f>
        <v>300</v>
      </c>
      <c r="F539">
        <f>VLOOKUP(A539,'[1]PO Report'!$A:$Z,15,0)</f>
        <v>81.41</v>
      </c>
      <c r="H539">
        <f t="shared" si="16"/>
        <v>0</v>
      </c>
      <c r="J539">
        <f t="shared" si="17"/>
        <v>0</v>
      </c>
    </row>
    <row r="540" spans="1:10" x14ac:dyDescent="0.25">
      <c r="A540" t="s">
        <v>2520</v>
      </c>
      <c r="B540">
        <v>136</v>
      </c>
      <c r="C540">
        <f>_xlfn.XLOOKUP(Recon!A540,[1]Backup!AJ:AJ,[1]Backup!L:L)</f>
        <v>96.83</v>
      </c>
      <c r="D540">
        <f>_xlfn.XLOOKUP(Recon!A540,[1]Backup!AJ:AJ,[1]Backup!K:K)</f>
        <v>3.2922199999999999</v>
      </c>
      <c r="E540">
        <f>SUMIF('[1]PO Report'!A:A,Recon!A540,'[1]PO Report'!P:P)</f>
        <v>136</v>
      </c>
      <c r="F540">
        <f>VLOOKUP(A540,'[1]PO Report'!$A:$Z,15,0)</f>
        <v>96.83</v>
      </c>
      <c r="H540">
        <f t="shared" si="16"/>
        <v>0</v>
      </c>
      <c r="J540">
        <f t="shared" si="17"/>
        <v>0</v>
      </c>
    </row>
    <row r="541" spans="1:10" x14ac:dyDescent="0.25">
      <c r="A541" t="s">
        <v>2521</v>
      </c>
      <c r="B541">
        <v>150</v>
      </c>
      <c r="C541">
        <f>_xlfn.XLOOKUP(Recon!A541,[1]Backup!AJ:AJ,[1]Backup!L:L)</f>
        <v>43.92</v>
      </c>
      <c r="D541">
        <f>_xlfn.XLOOKUP(Recon!A541,[1]Backup!AJ:AJ,[1]Backup!K:K)</f>
        <v>1.4932799999999999</v>
      </c>
      <c r="E541">
        <f>SUMIF('[1]PO Report'!A:A,Recon!A541,'[1]PO Report'!P:P)</f>
        <v>150</v>
      </c>
      <c r="F541">
        <f>VLOOKUP(A541,'[1]PO Report'!$A:$Z,15,0)</f>
        <v>43.92</v>
      </c>
      <c r="H541">
        <f t="shared" si="16"/>
        <v>0</v>
      </c>
      <c r="J541">
        <f t="shared" si="17"/>
        <v>0</v>
      </c>
    </row>
    <row r="542" spans="1:10" x14ac:dyDescent="0.25">
      <c r="A542" t="s">
        <v>2522</v>
      </c>
      <c r="B542">
        <v>200</v>
      </c>
      <c r="C542">
        <f>_xlfn.XLOOKUP(Recon!A542,[1]Backup!AJ:AJ,[1]Backup!L:L)</f>
        <v>42.86</v>
      </c>
      <c r="D542">
        <f>_xlfn.XLOOKUP(Recon!A542,[1]Backup!AJ:AJ,[1]Backup!K:K)</f>
        <v>1.4572399999999999</v>
      </c>
      <c r="E542">
        <f>SUMIF('[1]PO Report'!A:A,Recon!A542,'[1]PO Report'!P:P)</f>
        <v>200</v>
      </c>
      <c r="F542">
        <f>VLOOKUP(A542,'[1]PO Report'!$A:$Z,15,0)</f>
        <v>42.86</v>
      </c>
      <c r="H542">
        <f t="shared" si="16"/>
        <v>0</v>
      </c>
      <c r="J542">
        <f t="shared" si="17"/>
        <v>0</v>
      </c>
    </row>
    <row r="543" spans="1:10" x14ac:dyDescent="0.25">
      <c r="A543" t="s">
        <v>2523</v>
      </c>
      <c r="B543">
        <v>306</v>
      </c>
      <c r="C543">
        <f>_xlfn.XLOOKUP(Recon!A543,[1]Backup!AJ:AJ,[1]Backup!L:L)</f>
        <v>47.480000000000004</v>
      </c>
      <c r="D543">
        <f>_xlfn.XLOOKUP(Recon!A543,[1]Backup!AJ:AJ,[1]Backup!K:K)</f>
        <v>1.61432</v>
      </c>
      <c r="E543">
        <f>SUMIF('[1]PO Report'!A:A,Recon!A543,'[1]PO Report'!P:P)</f>
        <v>300</v>
      </c>
      <c r="F543">
        <f>VLOOKUP(A543,'[1]PO Report'!$A:$Z,15,0)</f>
        <v>47.48</v>
      </c>
      <c r="H543">
        <f t="shared" si="16"/>
        <v>6</v>
      </c>
      <c r="I543">
        <f>H543*D543</f>
        <v>9.6859199999999994</v>
      </c>
      <c r="J543">
        <f t="shared" si="17"/>
        <v>0</v>
      </c>
    </row>
    <row r="544" spans="1:10" x14ac:dyDescent="0.25">
      <c r="A544" t="s">
        <v>2524</v>
      </c>
      <c r="B544">
        <v>264</v>
      </c>
      <c r="C544">
        <f>_xlfn.XLOOKUP(Recon!A544,[1]Backup!AJ:AJ,[1]Backup!L:L)</f>
        <v>32.21</v>
      </c>
      <c r="D544">
        <f>_xlfn.XLOOKUP(Recon!A544,[1]Backup!AJ:AJ,[1]Backup!K:K)</f>
        <v>1.09514</v>
      </c>
      <c r="E544">
        <f>SUMIF('[1]PO Report'!A:A,Recon!A544,'[1]PO Report'!P:P)</f>
        <v>264</v>
      </c>
      <c r="F544">
        <f>VLOOKUP(A544,'[1]PO Report'!$A:$Z,15,0)</f>
        <v>32.21</v>
      </c>
      <c r="H544">
        <f t="shared" si="16"/>
        <v>0</v>
      </c>
      <c r="J544">
        <f t="shared" si="17"/>
        <v>0</v>
      </c>
    </row>
    <row r="545" spans="1:10" x14ac:dyDescent="0.25">
      <c r="A545" t="s">
        <v>2525</v>
      </c>
      <c r="B545">
        <v>50</v>
      </c>
      <c r="C545">
        <f>_xlfn.XLOOKUP(Recon!A545,[1]Backup!AJ:AJ,[1]Backup!L:L)</f>
        <v>31.9</v>
      </c>
      <c r="D545">
        <f>_xlfn.XLOOKUP(Recon!A545,[1]Backup!AJ:AJ,[1]Backup!K:K)</f>
        <v>1.0846</v>
      </c>
      <c r="E545">
        <f>SUMIF('[1]PO Report'!A:A,Recon!A545,'[1]PO Report'!P:P)</f>
        <v>50</v>
      </c>
      <c r="F545">
        <f>VLOOKUP(A545,'[1]PO Report'!$A:$Z,15,0)</f>
        <v>31.9</v>
      </c>
      <c r="H545">
        <f t="shared" si="16"/>
        <v>0</v>
      </c>
      <c r="J545">
        <f t="shared" si="17"/>
        <v>0</v>
      </c>
    </row>
    <row r="546" spans="1:10" x14ac:dyDescent="0.25">
      <c r="A546" t="s">
        <v>2526</v>
      </c>
      <c r="B546">
        <v>204</v>
      </c>
      <c r="C546">
        <f>_xlfn.XLOOKUP(Recon!A546,[1]Backup!AJ:AJ,[1]Backup!L:L)</f>
        <v>36.93</v>
      </c>
      <c r="D546">
        <f>_xlfn.XLOOKUP(Recon!A546,[1]Backup!AJ:AJ,[1]Backup!K:K)</f>
        <v>1.25562</v>
      </c>
      <c r="E546">
        <f>SUMIF('[1]PO Report'!A:A,Recon!A546,'[1]PO Report'!P:P)</f>
        <v>204</v>
      </c>
      <c r="F546">
        <f>VLOOKUP(A546,'[1]PO Report'!$A:$Z,15,0)</f>
        <v>36.93</v>
      </c>
      <c r="H546">
        <f t="shared" si="16"/>
        <v>0</v>
      </c>
      <c r="J546">
        <f t="shared" si="17"/>
        <v>0</v>
      </c>
    </row>
    <row r="547" spans="1:10" x14ac:dyDescent="0.25">
      <c r="A547" t="s">
        <v>2527</v>
      </c>
      <c r="B547">
        <v>180</v>
      </c>
      <c r="C547">
        <f>_xlfn.XLOOKUP(Recon!A547,[1]Backup!AJ:AJ,[1]Backup!L:L)</f>
        <v>29.28</v>
      </c>
      <c r="D547">
        <f>_xlfn.XLOOKUP(Recon!A547,[1]Backup!AJ:AJ,[1]Backup!K:K)</f>
        <v>0.99551999999999996</v>
      </c>
      <c r="E547">
        <f>SUMIF('[1]PO Report'!A:A,Recon!A547,'[1]PO Report'!P:P)</f>
        <v>180</v>
      </c>
      <c r="F547">
        <f>VLOOKUP(A547,'[1]PO Report'!$A:$Z,15,0)</f>
        <v>29.28</v>
      </c>
      <c r="H547">
        <f t="shared" si="16"/>
        <v>0</v>
      </c>
      <c r="J547">
        <f t="shared" si="17"/>
        <v>0</v>
      </c>
    </row>
    <row r="548" spans="1:10" x14ac:dyDescent="0.25">
      <c r="A548" t="s">
        <v>2528</v>
      </c>
      <c r="B548">
        <v>352</v>
      </c>
      <c r="C548">
        <f>_xlfn.XLOOKUP(Recon!A548,[1]Backup!AJ:AJ,[1]Backup!L:L)</f>
        <v>32.21</v>
      </c>
      <c r="D548">
        <f>_xlfn.XLOOKUP(Recon!A548,[1]Backup!AJ:AJ,[1]Backup!K:K)</f>
        <v>1.09514</v>
      </c>
      <c r="E548">
        <f>SUMIF('[1]PO Report'!A:A,Recon!A548,'[1]PO Report'!P:P)</f>
        <v>352</v>
      </c>
      <c r="F548">
        <f>VLOOKUP(A548,'[1]PO Report'!$A:$Z,15,0)</f>
        <v>32.21</v>
      </c>
      <c r="H548">
        <f t="shared" si="16"/>
        <v>0</v>
      </c>
      <c r="J548">
        <f t="shared" si="17"/>
        <v>0</v>
      </c>
    </row>
    <row r="549" spans="1:10" x14ac:dyDescent="0.25">
      <c r="A549" t="s">
        <v>2529</v>
      </c>
      <c r="B549">
        <v>240</v>
      </c>
      <c r="C549">
        <f>_xlfn.XLOOKUP(Recon!A549,[1]Backup!AJ:AJ,[1]Backup!L:L)</f>
        <v>23.42</v>
      </c>
      <c r="D549">
        <f>_xlfn.XLOOKUP(Recon!A549,[1]Backup!AJ:AJ,[1]Backup!K:K)</f>
        <v>0.79627999999999999</v>
      </c>
      <c r="E549">
        <f>SUMIF('[1]PO Report'!A:A,Recon!A549,'[1]PO Report'!P:P)</f>
        <v>260</v>
      </c>
      <c r="F549">
        <f>VLOOKUP(A549,'[1]PO Report'!$A:$Z,15,0)</f>
        <v>23.42</v>
      </c>
      <c r="H549">
        <f t="shared" si="16"/>
        <v>-20</v>
      </c>
      <c r="J549">
        <f t="shared" si="17"/>
        <v>0</v>
      </c>
    </row>
    <row r="550" spans="1:10" x14ac:dyDescent="0.25">
      <c r="A550" t="s">
        <v>2530</v>
      </c>
      <c r="B550">
        <v>112</v>
      </c>
      <c r="C550">
        <f>_xlfn.XLOOKUP(Recon!A550,[1]Backup!AJ:AJ,[1]Backup!L:L)</f>
        <v>75.39</v>
      </c>
      <c r="D550">
        <f>_xlfn.XLOOKUP(Recon!A550,[1]Backup!AJ:AJ,[1]Backup!K:K)</f>
        <v>2.5632600000000001</v>
      </c>
      <c r="E550">
        <f>SUMIF('[1]PO Report'!A:A,Recon!A550,'[1]PO Report'!P:P)</f>
        <v>112</v>
      </c>
      <c r="F550">
        <f>VLOOKUP(A550,'[1]PO Report'!$A:$Z,15,0)</f>
        <v>75.39</v>
      </c>
      <c r="H550">
        <f t="shared" si="16"/>
        <v>0</v>
      </c>
      <c r="J550">
        <f t="shared" si="17"/>
        <v>0</v>
      </c>
    </row>
    <row r="551" spans="1:10" x14ac:dyDescent="0.25">
      <c r="A551" t="s">
        <v>2531</v>
      </c>
      <c r="B551">
        <v>50</v>
      </c>
      <c r="C551">
        <f>_xlfn.XLOOKUP(Recon!A551,[1]Backup!AJ:AJ,[1]Backup!L:L)</f>
        <v>5.26</v>
      </c>
      <c r="D551">
        <f>_xlfn.XLOOKUP(Recon!A551,[1]Backup!AJ:AJ,[1]Backup!K:K)</f>
        <v>0.17884</v>
      </c>
      <c r="E551">
        <f>SUMIF('[1]PO Report'!A:A,Recon!A551,'[1]PO Report'!P:P)</f>
        <v>50</v>
      </c>
      <c r="F551">
        <f>VLOOKUP(A551,'[1]PO Report'!$A:$Z,15,0)</f>
        <v>5.26</v>
      </c>
      <c r="H551">
        <f t="shared" si="16"/>
        <v>0</v>
      </c>
      <c r="J551">
        <f t="shared" si="17"/>
        <v>0</v>
      </c>
    </row>
    <row r="552" spans="1:10" x14ac:dyDescent="0.25">
      <c r="A552" t="s">
        <v>2532</v>
      </c>
      <c r="B552">
        <v>4</v>
      </c>
      <c r="C552">
        <f>_xlfn.XLOOKUP(Recon!A552,[1]Backup!AJ:AJ,[1]Backup!L:L)</f>
        <v>47.48</v>
      </c>
      <c r="D552">
        <f>_xlfn.XLOOKUP(Recon!A552,[1]Backup!AJ:AJ,[1]Backup!K:K)</f>
        <v>1.61432</v>
      </c>
      <c r="E552">
        <f>SUMIF('[1]PO Report'!A:A,Recon!A552,'[1]PO Report'!P:P)</f>
        <v>4</v>
      </c>
      <c r="F552">
        <f>VLOOKUP(A552,'[1]PO Report'!$A:$Z,15,0)</f>
        <v>47.48</v>
      </c>
      <c r="H552">
        <f t="shared" si="16"/>
        <v>0</v>
      </c>
      <c r="J552">
        <f t="shared" si="17"/>
        <v>0</v>
      </c>
    </row>
    <row r="553" spans="1:10" x14ac:dyDescent="0.25">
      <c r="A553" t="s">
        <v>2533</v>
      </c>
      <c r="B553">
        <v>592</v>
      </c>
      <c r="C553">
        <f>_xlfn.XLOOKUP(Recon!A553,[1]Backup!AJ:AJ,[1]Backup!L:L)</f>
        <v>29.279999999999998</v>
      </c>
      <c r="D553">
        <f>_xlfn.XLOOKUP(Recon!A553,[1]Backup!AJ:AJ,[1]Backup!K:K)</f>
        <v>0.99552000000000007</v>
      </c>
      <c r="E553">
        <f>SUMIF('[1]PO Report'!A:A,Recon!A553,'[1]PO Report'!P:P)</f>
        <v>592</v>
      </c>
      <c r="F553">
        <f>VLOOKUP(A553,'[1]PO Report'!$A:$Z,15,0)</f>
        <v>29.28</v>
      </c>
      <c r="H553">
        <f t="shared" si="16"/>
        <v>0</v>
      </c>
      <c r="J553">
        <f t="shared" si="17"/>
        <v>0</v>
      </c>
    </row>
    <row r="554" spans="1:10" x14ac:dyDescent="0.25">
      <c r="A554" t="s">
        <v>2534</v>
      </c>
      <c r="B554">
        <v>20</v>
      </c>
      <c r="C554">
        <f>_xlfn.XLOOKUP(Recon!A554,[1]Backup!AJ:AJ,[1]Backup!L:L)</f>
        <v>16.39</v>
      </c>
      <c r="D554">
        <f>_xlfn.XLOOKUP(Recon!A554,[1]Backup!AJ:AJ,[1]Backup!K:K)</f>
        <v>0.55726000000000009</v>
      </c>
      <c r="E554">
        <f>SUMIF('[1]PO Report'!A:A,Recon!A554,'[1]PO Report'!P:P)</f>
        <v>20</v>
      </c>
      <c r="F554">
        <f>VLOOKUP(A554,'[1]PO Report'!$A:$Z,15,0)</f>
        <v>16.39</v>
      </c>
      <c r="H554">
        <f t="shared" si="16"/>
        <v>0</v>
      </c>
      <c r="J554">
        <f t="shared" si="17"/>
        <v>0</v>
      </c>
    </row>
    <row r="555" spans="1:10" x14ac:dyDescent="0.25">
      <c r="A555" t="s">
        <v>2535</v>
      </c>
      <c r="B555">
        <v>8</v>
      </c>
      <c r="C555">
        <f>_xlfn.XLOOKUP(Recon!A555,[1]Backup!AJ:AJ,[1]Backup!L:L)</f>
        <v>63.23</v>
      </c>
      <c r="D555">
        <f>_xlfn.XLOOKUP(Recon!A555,[1]Backup!AJ:AJ,[1]Backup!K:K)</f>
        <v>2.1498200000000001</v>
      </c>
      <c r="E555">
        <f>SUMIF('[1]PO Report'!A:A,Recon!A555,'[1]PO Report'!P:P)</f>
        <v>8</v>
      </c>
      <c r="F555">
        <f>VLOOKUP(A555,'[1]PO Report'!$A:$Z,15,0)</f>
        <v>63.23</v>
      </c>
      <c r="H555">
        <f t="shared" si="16"/>
        <v>0</v>
      </c>
      <c r="J555">
        <f t="shared" si="17"/>
        <v>0</v>
      </c>
    </row>
    <row r="556" spans="1:10" x14ac:dyDescent="0.25">
      <c r="A556" t="s">
        <v>2536</v>
      </c>
      <c r="B556">
        <v>44</v>
      </c>
      <c r="C556">
        <f>_xlfn.XLOOKUP(Recon!A556,[1]Backup!AJ:AJ,[1]Backup!L:L)</f>
        <v>21.099999999999998</v>
      </c>
      <c r="D556">
        <f>_xlfn.XLOOKUP(Recon!A556,[1]Backup!AJ:AJ,[1]Backup!K:K)</f>
        <v>0.71740000000000004</v>
      </c>
      <c r="E556">
        <f>SUMIF('[1]PO Report'!A:A,Recon!A556,'[1]PO Report'!P:P)</f>
        <v>44</v>
      </c>
      <c r="F556">
        <f>VLOOKUP(A556,'[1]PO Report'!$A:$Z,15,0)</f>
        <v>21.1</v>
      </c>
      <c r="H556">
        <f t="shared" si="16"/>
        <v>0</v>
      </c>
      <c r="J556">
        <f t="shared" si="17"/>
        <v>0</v>
      </c>
    </row>
    <row r="557" spans="1:10" x14ac:dyDescent="0.25">
      <c r="A557" t="s">
        <v>2537</v>
      </c>
      <c r="B557">
        <v>80</v>
      </c>
      <c r="C557">
        <f>_xlfn.XLOOKUP(Recon!A557,[1]Backup!AJ:AJ,[1]Backup!L:L)</f>
        <v>16.39</v>
      </c>
      <c r="D557">
        <f>_xlfn.XLOOKUP(Recon!A557,[1]Backup!AJ:AJ,[1]Backup!K:K)</f>
        <v>0.55725999999999998</v>
      </c>
      <c r="E557">
        <f>SUMIF('[1]PO Report'!A:A,Recon!A557,'[1]PO Report'!P:P)</f>
        <v>80</v>
      </c>
      <c r="F557">
        <f>VLOOKUP(A557,'[1]PO Report'!$A:$Z,15,0)</f>
        <v>16.39</v>
      </c>
      <c r="H557">
        <f t="shared" si="16"/>
        <v>0</v>
      </c>
      <c r="J557">
        <f t="shared" si="17"/>
        <v>0</v>
      </c>
    </row>
    <row r="558" spans="1:10" x14ac:dyDescent="0.25">
      <c r="A558" t="s">
        <v>2538</v>
      </c>
      <c r="B558">
        <v>112</v>
      </c>
      <c r="C558">
        <f>_xlfn.XLOOKUP(Recon!A558,[1]Backup!AJ:AJ,[1]Backup!L:L)</f>
        <v>12.879999999999999</v>
      </c>
      <c r="D558">
        <f>_xlfn.XLOOKUP(Recon!A558,[1]Backup!AJ:AJ,[1]Backup!K:K)</f>
        <v>0.43792000000000003</v>
      </c>
      <c r="E558">
        <f>SUMIF('[1]PO Report'!A:A,Recon!A558,'[1]PO Report'!P:P)</f>
        <v>112</v>
      </c>
      <c r="F558">
        <f>VLOOKUP(A558,'[1]PO Report'!$A:$Z,15,0)</f>
        <v>12.88</v>
      </c>
      <c r="H558">
        <f t="shared" si="16"/>
        <v>0</v>
      </c>
      <c r="J558">
        <f t="shared" si="17"/>
        <v>0</v>
      </c>
    </row>
    <row r="559" spans="1:10" x14ac:dyDescent="0.25">
      <c r="A559" t="s">
        <v>2539</v>
      </c>
      <c r="B559">
        <v>3066</v>
      </c>
      <c r="C559">
        <f>_xlfn.XLOOKUP(Recon!A559,[1]Backup!AJ:AJ,[1]Backup!L:L)</f>
        <v>34.29</v>
      </c>
      <c r="D559">
        <f>_xlfn.XLOOKUP(Recon!A559,[1]Backup!AJ:AJ,[1]Backup!K:K)</f>
        <v>1.1658599999999999</v>
      </c>
      <c r="E559">
        <f>SUMIF('[1]PO Report'!A:A,Recon!A559,'[1]PO Report'!P:P)</f>
        <v>3064</v>
      </c>
      <c r="F559">
        <f>VLOOKUP(A559,'[1]PO Report'!$A:$Z,15,0)</f>
        <v>34.29</v>
      </c>
      <c r="H559">
        <f t="shared" si="16"/>
        <v>2</v>
      </c>
      <c r="I559">
        <f>H559*D559</f>
        <v>2.3317199999999998</v>
      </c>
      <c r="J559">
        <f t="shared" si="17"/>
        <v>0</v>
      </c>
    </row>
    <row r="560" spans="1:10" x14ac:dyDescent="0.25">
      <c r="A560" t="s">
        <v>2540</v>
      </c>
      <c r="B560">
        <v>8</v>
      </c>
      <c r="C560">
        <f>_xlfn.XLOOKUP(Recon!A560,[1]Backup!AJ:AJ,[1]Backup!L:L)</f>
        <v>44.95</v>
      </c>
      <c r="D560">
        <f>_xlfn.XLOOKUP(Recon!A560,[1]Backup!AJ:AJ,[1]Backup!K:K)</f>
        <v>1.5283</v>
      </c>
      <c r="E560">
        <f>SUMIF('[1]PO Report'!A:A,Recon!A560,'[1]PO Report'!P:P)</f>
        <v>8</v>
      </c>
      <c r="F560">
        <f>VLOOKUP(A560,'[1]PO Report'!$A:$Z,15,0)</f>
        <v>44.95</v>
      </c>
      <c r="H560">
        <f t="shared" si="16"/>
        <v>0</v>
      </c>
      <c r="J560">
        <f t="shared" si="17"/>
        <v>0</v>
      </c>
    </row>
    <row r="561" spans="1:10" x14ac:dyDescent="0.25">
      <c r="A561" t="s">
        <v>2541</v>
      </c>
      <c r="B561">
        <v>48</v>
      </c>
      <c r="C561">
        <f>_xlfn.XLOOKUP(Recon!A561,[1]Backup!AJ:AJ,[1]Backup!L:L)</f>
        <v>83.89</v>
      </c>
      <c r="D561">
        <f>_xlfn.XLOOKUP(Recon!A561,[1]Backup!AJ:AJ,[1]Backup!K:K)</f>
        <v>2.8522599999999998</v>
      </c>
      <c r="E561">
        <f>SUMIF('[1]PO Report'!A:A,Recon!A561,'[1]PO Report'!P:P)</f>
        <v>48</v>
      </c>
      <c r="F561">
        <f>VLOOKUP(A561,'[1]PO Report'!$A:$Z,15,0)</f>
        <v>83.89</v>
      </c>
      <c r="H561">
        <f t="shared" si="16"/>
        <v>0</v>
      </c>
      <c r="J561">
        <f t="shared" si="17"/>
        <v>0</v>
      </c>
    </row>
    <row r="562" spans="1:10" x14ac:dyDescent="0.25">
      <c r="A562" t="s">
        <v>2542</v>
      </c>
      <c r="B562">
        <v>148</v>
      </c>
      <c r="C562">
        <f>_xlfn.XLOOKUP(Recon!A562,[1]Backup!AJ:AJ,[1]Backup!L:L)</f>
        <v>83.89</v>
      </c>
      <c r="D562">
        <f>_xlfn.XLOOKUP(Recon!A562,[1]Backup!AJ:AJ,[1]Backup!K:K)</f>
        <v>2.8522599999999998</v>
      </c>
      <c r="E562">
        <f>SUMIF('[1]PO Report'!A:A,Recon!A562,'[1]PO Report'!P:P)</f>
        <v>148</v>
      </c>
      <c r="F562">
        <f>VLOOKUP(A562,'[1]PO Report'!$A:$Z,15,0)</f>
        <v>83.89</v>
      </c>
      <c r="H562">
        <f t="shared" si="16"/>
        <v>0</v>
      </c>
      <c r="J562">
        <f t="shared" si="17"/>
        <v>0</v>
      </c>
    </row>
    <row r="563" spans="1:10" x14ac:dyDescent="0.25">
      <c r="A563" t="s">
        <v>2543</v>
      </c>
      <c r="B563">
        <v>4</v>
      </c>
      <c r="C563">
        <f>_xlfn.XLOOKUP(Recon!A563,[1]Backup!AJ:AJ,[1]Backup!L:L)</f>
        <v>57.51</v>
      </c>
      <c r="D563">
        <f>_xlfn.XLOOKUP(Recon!A563,[1]Backup!AJ:AJ,[1]Backup!K:K)</f>
        <v>1.9553400000000001</v>
      </c>
      <c r="E563">
        <f>SUMIF('[1]PO Report'!A:A,Recon!A563,'[1]PO Report'!P:P)</f>
        <v>4</v>
      </c>
      <c r="F563">
        <f>VLOOKUP(A563,'[1]PO Report'!$A:$Z,15,0)</f>
        <v>57.51</v>
      </c>
      <c r="H563">
        <f t="shared" si="16"/>
        <v>0</v>
      </c>
      <c r="J563">
        <f t="shared" si="17"/>
        <v>0</v>
      </c>
    </row>
    <row r="564" spans="1:10" x14ac:dyDescent="0.25">
      <c r="A564" t="s">
        <v>2544</v>
      </c>
      <c r="B564">
        <v>36</v>
      </c>
      <c r="C564">
        <f>_xlfn.XLOOKUP(Recon!A564,[1]Backup!AJ:AJ,[1]Backup!L:L)</f>
        <v>44.95</v>
      </c>
      <c r="D564">
        <f>_xlfn.XLOOKUP(Recon!A564,[1]Backup!AJ:AJ,[1]Backup!K:K)</f>
        <v>1.5283</v>
      </c>
      <c r="E564">
        <f>SUMIF('[1]PO Report'!A:A,Recon!A564,'[1]PO Report'!P:P)</f>
        <v>36</v>
      </c>
      <c r="F564">
        <f>VLOOKUP(A564,'[1]PO Report'!$A:$Z,15,0)</f>
        <v>44.95</v>
      </c>
      <c r="H564">
        <f t="shared" si="16"/>
        <v>0</v>
      </c>
      <c r="J564">
        <f t="shared" si="17"/>
        <v>0</v>
      </c>
    </row>
    <row r="565" spans="1:10" x14ac:dyDescent="0.25">
      <c r="A565" t="s">
        <v>2545</v>
      </c>
      <c r="B565">
        <v>12</v>
      </c>
      <c r="C565">
        <f>_xlfn.XLOOKUP(Recon!A565,[1]Backup!AJ:AJ,[1]Backup!L:L)</f>
        <v>66.66</v>
      </c>
      <c r="D565">
        <f>_xlfn.XLOOKUP(Recon!A565,[1]Backup!AJ:AJ,[1]Backup!K:K)</f>
        <v>2.2664399999999998</v>
      </c>
      <c r="E565">
        <f>SUMIF('[1]PO Report'!A:A,Recon!A565,'[1]PO Report'!P:P)</f>
        <v>12</v>
      </c>
      <c r="F565">
        <f>VLOOKUP(A565,'[1]PO Report'!$A:$Z,15,0)</f>
        <v>66.66</v>
      </c>
      <c r="H565">
        <f t="shared" si="16"/>
        <v>0</v>
      </c>
      <c r="J565">
        <f t="shared" si="17"/>
        <v>0</v>
      </c>
    </row>
    <row r="566" spans="1:10" x14ac:dyDescent="0.25">
      <c r="A566" t="s">
        <v>2546</v>
      </c>
      <c r="B566">
        <v>8</v>
      </c>
      <c r="C566">
        <f>_xlfn.XLOOKUP(Recon!A566,[1]Backup!AJ:AJ,[1]Backup!L:L)</f>
        <v>144.57</v>
      </c>
      <c r="D566">
        <f>_xlfn.XLOOKUP(Recon!A566,[1]Backup!AJ:AJ,[1]Backup!K:K)</f>
        <v>4.9153799999999999</v>
      </c>
      <c r="E566">
        <f>SUMIF('[1]PO Report'!A:A,Recon!A566,'[1]PO Report'!P:P)</f>
        <v>8</v>
      </c>
      <c r="F566">
        <f>VLOOKUP(A566,'[1]PO Report'!$A:$Z,15,0)</f>
        <v>144.57</v>
      </c>
      <c r="H566">
        <f t="shared" si="16"/>
        <v>0</v>
      </c>
      <c r="J566">
        <f t="shared" si="17"/>
        <v>0</v>
      </c>
    </row>
    <row r="567" spans="1:10" x14ac:dyDescent="0.25">
      <c r="A567" t="s">
        <v>2547</v>
      </c>
      <c r="B567">
        <v>16</v>
      </c>
      <c r="C567">
        <f>_xlfn.XLOOKUP(Recon!A567,[1]Backup!AJ:AJ,[1]Backup!L:L)</f>
        <v>36.93</v>
      </c>
      <c r="D567">
        <f>_xlfn.XLOOKUP(Recon!A567,[1]Backup!AJ:AJ,[1]Backup!K:K)</f>
        <v>1.25562</v>
      </c>
      <c r="E567">
        <f>SUMIF('[1]PO Report'!A:A,Recon!A567,'[1]PO Report'!P:P)</f>
        <v>12</v>
      </c>
      <c r="F567">
        <f>VLOOKUP(A567,'[1]PO Report'!$A:$Z,15,0)</f>
        <v>36.93</v>
      </c>
      <c r="H567">
        <f t="shared" si="16"/>
        <v>4</v>
      </c>
      <c r="I567">
        <f>H567*D567</f>
        <v>5.0224799999999998</v>
      </c>
      <c r="J567">
        <f t="shared" si="17"/>
        <v>0</v>
      </c>
    </row>
    <row r="568" spans="1:10" x14ac:dyDescent="0.25">
      <c r="A568" t="s">
        <v>2548</v>
      </c>
      <c r="B568">
        <v>560</v>
      </c>
      <c r="C568">
        <f>_xlfn.XLOOKUP(Recon!A568,[1]Backup!AJ:AJ,[1]Backup!L:L)</f>
        <v>36.93</v>
      </c>
      <c r="D568">
        <f>_xlfn.XLOOKUP(Recon!A568,[1]Backup!AJ:AJ,[1]Backup!K:K)</f>
        <v>1.25562</v>
      </c>
      <c r="E568">
        <f>SUMIF('[1]PO Report'!A:A,Recon!A568,'[1]PO Report'!P:P)</f>
        <v>564</v>
      </c>
      <c r="F568">
        <f>VLOOKUP(A568,'[1]PO Report'!$A:$Z,15,0)</f>
        <v>36.93</v>
      </c>
      <c r="H568">
        <f t="shared" si="16"/>
        <v>-4</v>
      </c>
      <c r="J568">
        <f t="shared" si="17"/>
        <v>0</v>
      </c>
    </row>
    <row r="569" spans="1:10" x14ac:dyDescent="0.25">
      <c r="A569" t="s">
        <v>2549</v>
      </c>
      <c r="B569">
        <v>128</v>
      </c>
      <c r="C569">
        <f>_xlfn.XLOOKUP(Recon!A569,[1]Backup!AJ:AJ,[1]Backup!L:L)</f>
        <v>73.34</v>
      </c>
      <c r="D569">
        <f>_xlfn.XLOOKUP(Recon!A569,[1]Backup!AJ:AJ,[1]Backup!K:K)</f>
        <v>2.49356</v>
      </c>
      <c r="E569">
        <f>SUMIF('[1]PO Report'!A:A,Recon!A569,'[1]PO Report'!P:P)</f>
        <v>128</v>
      </c>
      <c r="F569">
        <f>VLOOKUP(A569,'[1]PO Report'!$A:$Z,15,0)</f>
        <v>73.34</v>
      </c>
      <c r="H569">
        <f t="shared" si="16"/>
        <v>0</v>
      </c>
      <c r="J569">
        <f t="shared" si="17"/>
        <v>0</v>
      </c>
    </row>
    <row r="570" spans="1:10" x14ac:dyDescent="0.25">
      <c r="A570" t="s">
        <v>2550</v>
      </c>
      <c r="B570">
        <v>144</v>
      </c>
      <c r="C570">
        <f>_xlfn.XLOOKUP(Recon!A570,[1]Backup!AJ:AJ,[1]Backup!L:L)</f>
        <v>69.03</v>
      </c>
      <c r="D570">
        <f>_xlfn.XLOOKUP(Recon!A570,[1]Backup!AJ:AJ,[1]Backup!K:K)</f>
        <v>2.3470200000000001</v>
      </c>
      <c r="E570">
        <f>SUMIF('[1]PO Report'!A:A,Recon!A570,'[1]PO Report'!P:P)</f>
        <v>144</v>
      </c>
      <c r="F570">
        <f>VLOOKUP(A570,'[1]PO Report'!$A:$Z,15,0)</f>
        <v>69.03</v>
      </c>
      <c r="H570">
        <f t="shared" si="16"/>
        <v>0</v>
      </c>
      <c r="J570">
        <f t="shared" si="17"/>
        <v>0</v>
      </c>
    </row>
    <row r="571" spans="1:10" x14ac:dyDescent="0.25">
      <c r="A571" t="s">
        <v>2551</v>
      </c>
      <c r="B571">
        <v>8</v>
      </c>
      <c r="C571">
        <f>_xlfn.XLOOKUP(Recon!A571,[1]Backup!AJ:AJ,[1]Backup!L:L)</f>
        <v>116.89</v>
      </c>
      <c r="D571">
        <f>_xlfn.XLOOKUP(Recon!A571,[1]Backup!AJ:AJ,[1]Backup!K:K)</f>
        <v>3.9742600000000001</v>
      </c>
      <c r="E571">
        <f>SUMIF('[1]PO Report'!A:A,Recon!A571,'[1]PO Report'!P:P)</f>
        <v>8</v>
      </c>
      <c r="F571">
        <f>VLOOKUP(A571,'[1]PO Report'!$A:$Z,15,0)</f>
        <v>116.89</v>
      </c>
      <c r="H571">
        <f t="shared" si="16"/>
        <v>0</v>
      </c>
      <c r="J571">
        <f t="shared" si="17"/>
        <v>0</v>
      </c>
    </row>
    <row r="572" spans="1:10" x14ac:dyDescent="0.25">
      <c r="A572" t="s">
        <v>2552</v>
      </c>
      <c r="B572">
        <v>4820</v>
      </c>
      <c r="C572">
        <f>_xlfn.XLOOKUP(Recon!A572,[1]Backup!AJ:AJ,[1]Backup!L:L)</f>
        <v>63.23</v>
      </c>
      <c r="D572">
        <f>_xlfn.XLOOKUP(Recon!A572,[1]Backup!AJ:AJ,[1]Backup!K:K)</f>
        <v>2.1498200000000001</v>
      </c>
      <c r="E572">
        <f>SUMIF('[1]PO Report'!A:A,Recon!A572,'[1]PO Report'!P:P)</f>
        <v>4816</v>
      </c>
      <c r="F572">
        <f>VLOOKUP(A572,'[1]PO Report'!$A:$Z,15,0)</f>
        <v>63.23</v>
      </c>
      <c r="H572">
        <f t="shared" si="16"/>
        <v>4</v>
      </c>
      <c r="I572">
        <f>H572*D572</f>
        <v>8.5992800000000003</v>
      </c>
      <c r="J572">
        <f t="shared" si="17"/>
        <v>0</v>
      </c>
    </row>
    <row r="573" spans="1:10" x14ac:dyDescent="0.25">
      <c r="A573" t="s">
        <v>2553</v>
      </c>
      <c r="B573">
        <v>10</v>
      </c>
      <c r="C573">
        <f>_xlfn.XLOOKUP(Recon!A573,[1]Backup!AJ:AJ,[1]Backup!L:L)</f>
        <v>78.39</v>
      </c>
      <c r="D573">
        <f>_xlfn.XLOOKUP(Recon!A573,[1]Backup!AJ:AJ,[1]Backup!K:K)</f>
        <v>2.66526</v>
      </c>
      <c r="E573">
        <f>SUMIF('[1]PO Report'!A:A,Recon!A573,'[1]PO Report'!P:P)</f>
        <v>10</v>
      </c>
      <c r="F573">
        <f>VLOOKUP(A573,'[1]PO Report'!$A:$Z,15,0)</f>
        <v>78.39</v>
      </c>
      <c r="H573">
        <f t="shared" si="16"/>
        <v>0</v>
      </c>
      <c r="J573">
        <f t="shared" si="17"/>
        <v>0</v>
      </c>
    </row>
    <row r="574" spans="1:10" x14ac:dyDescent="0.25">
      <c r="A574" t="s">
        <v>2554</v>
      </c>
      <c r="B574">
        <v>8</v>
      </c>
      <c r="C574">
        <f>_xlfn.XLOOKUP(Recon!A574,[1]Backup!AJ:AJ,[1]Backup!L:L)</f>
        <v>26.37</v>
      </c>
      <c r="D574">
        <f>_xlfn.XLOOKUP(Recon!A574,[1]Backup!AJ:AJ,[1]Backup!K:K)</f>
        <v>0.89658000000000004</v>
      </c>
      <c r="E574">
        <f>SUMIF('[1]PO Report'!A:A,Recon!A574,'[1]PO Report'!P:P)</f>
        <v>8</v>
      </c>
      <c r="F574">
        <f>VLOOKUP(A574,'[1]PO Report'!$A:$Z,15,0)</f>
        <v>26.37</v>
      </c>
      <c r="H574">
        <f t="shared" si="16"/>
        <v>0</v>
      </c>
      <c r="J574">
        <f t="shared" si="17"/>
        <v>0</v>
      </c>
    </row>
    <row r="575" spans="1:10" x14ac:dyDescent="0.25">
      <c r="A575" t="s">
        <v>2555</v>
      </c>
      <c r="B575">
        <v>20</v>
      </c>
      <c r="C575">
        <f>_xlfn.XLOOKUP(Recon!A575,[1]Backup!AJ:AJ,[1]Backup!L:L)</f>
        <v>8.89</v>
      </c>
      <c r="D575">
        <f>_xlfn.XLOOKUP(Recon!A575,[1]Backup!AJ:AJ,[1]Backup!K:K)</f>
        <v>0.30226000000000003</v>
      </c>
      <c r="E575">
        <f>SUMIF('[1]PO Report'!A:A,Recon!A575,'[1]PO Report'!P:P)</f>
        <v>20</v>
      </c>
      <c r="F575">
        <f>VLOOKUP(A575,'[1]PO Report'!$A:$Z,15,0)</f>
        <v>8.89</v>
      </c>
      <c r="H575">
        <f t="shared" si="16"/>
        <v>0</v>
      </c>
      <c r="J575">
        <f t="shared" si="17"/>
        <v>0</v>
      </c>
    </row>
    <row r="576" spans="1:10" x14ac:dyDescent="0.25">
      <c r="A576" t="s">
        <v>2556</v>
      </c>
      <c r="B576">
        <v>4</v>
      </c>
      <c r="C576">
        <f>_xlfn.XLOOKUP(Recon!A576,[1]Backup!AJ:AJ,[1]Backup!L:L)</f>
        <v>94.44</v>
      </c>
      <c r="D576">
        <f>_xlfn.XLOOKUP(Recon!A576,[1]Backup!AJ:AJ,[1]Backup!K:K)</f>
        <v>3.21096</v>
      </c>
      <c r="E576">
        <f>SUMIF('[1]PO Report'!A:A,Recon!A576,'[1]PO Report'!P:P)</f>
        <v>4</v>
      </c>
      <c r="F576">
        <f>VLOOKUP(A576,'[1]PO Report'!$A:$Z,15,0)</f>
        <v>94.44</v>
      </c>
      <c r="H576">
        <f t="shared" si="16"/>
        <v>0</v>
      </c>
      <c r="J576">
        <f t="shared" si="17"/>
        <v>0</v>
      </c>
    </row>
    <row r="577" spans="1:10" x14ac:dyDescent="0.25">
      <c r="A577" t="s">
        <v>2557</v>
      </c>
      <c r="B577">
        <v>100</v>
      </c>
      <c r="C577">
        <f>_xlfn.XLOOKUP(Recon!A577,[1]Backup!AJ:AJ,[1]Backup!L:L)</f>
        <v>31.12</v>
      </c>
      <c r="D577">
        <f>_xlfn.XLOOKUP(Recon!A577,[1]Backup!AJ:AJ,[1]Backup!K:K)</f>
        <v>1.0580800000000001</v>
      </c>
      <c r="E577">
        <f>SUMIF('[1]PO Report'!A:A,Recon!A577,'[1]PO Report'!P:P)</f>
        <v>100</v>
      </c>
      <c r="F577">
        <f>VLOOKUP(A577,'[1]PO Report'!$A:$Z,15,0)</f>
        <v>31.12</v>
      </c>
      <c r="H577">
        <f t="shared" si="16"/>
        <v>0</v>
      </c>
      <c r="J577">
        <f t="shared" si="17"/>
        <v>0</v>
      </c>
    </row>
    <row r="578" spans="1:10" x14ac:dyDescent="0.25">
      <c r="A578" t="s">
        <v>2558</v>
      </c>
      <c r="B578">
        <v>4</v>
      </c>
      <c r="C578">
        <f>_xlfn.XLOOKUP(Recon!A578,[1]Backup!AJ:AJ,[1]Backup!L:L)</f>
        <v>44.95</v>
      </c>
      <c r="D578">
        <f>_xlfn.XLOOKUP(Recon!A578,[1]Backup!AJ:AJ,[1]Backup!K:K)</f>
        <v>1.5283</v>
      </c>
      <c r="E578">
        <f>SUMIF('[1]PO Report'!A:A,Recon!A578,'[1]PO Report'!P:P)</f>
        <v>4</v>
      </c>
      <c r="F578">
        <f>VLOOKUP(A578,'[1]PO Report'!$A:$Z,15,0)</f>
        <v>44.95</v>
      </c>
      <c r="H578">
        <f t="shared" si="16"/>
        <v>0</v>
      </c>
      <c r="J578">
        <f t="shared" si="17"/>
        <v>0</v>
      </c>
    </row>
    <row r="579" spans="1:10" x14ac:dyDescent="0.25">
      <c r="A579" t="s">
        <v>2559</v>
      </c>
      <c r="B579">
        <v>4</v>
      </c>
      <c r="C579">
        <f>_xlfn.XLOOKUP(Recon!A579,[1]Backup!AJ:AJ,[1]Backup!L:L)</f>
        <v>26.37</v>
      </c>
      <c r="D579">
        <f>_xlfn.XLOOKUP(Recon!A579,[1]Backup!AJ:AJ,[1]Backup!K:K)</f>
        <v>0.89658000000000004</v>
      </c>
      <c r="E579">
        <f>SUMIF('[1]PO Report'!A:A,Recon!A579,'[1]PO Report'!P:P)</f>
        <v>4</v>
      </c>
      <c r="F579">
        <f>VLOOKUP(A579,'[1]PO Report'!$A:$Z,15,0)</f>
        <v>26.37</v>
      </c>
      <c r="H579">
        <f t="shared" si="16"/>
        <v>0</v>
      </c>
      <c r="J579">
        <f t="shared" si="17"/>
        <v>0</v>
      </c>
    </row>
    <row r="580" spans="1:10" x14ac:dyDescent="0.25">
      <c r="A580" t="s">
        <v>2560</v>
      </c>
      <c r="B580">
        <v>40</v>
      </c>
      <c r="C580">
        <f>_xlfn.XLOOKUP(Recon!A580,[1]Backup!AJ:AJ,[1]Backup!L:L)</f>
        <v>69.61</v>
      </c>
      <c r="D580">
        <f>_xlfn.XLOOKUP(Recon!A580,[1]Backup!AJ:AJ,[1]Backup!K:K)</f>
        <v>2.3667400000000001</v>
      </c>
      <c r="E580">
        <f>SUMIF('[1]PO Report'!A:A,Recon!A580,'[1]PO Report'!P:P)</f>
        <v>40</v>
      </c>
      <c r="F580">
        <f>VLOOKUP(A580,'[1]PO Report'!$A:$Z,15,0)</f>
        <v>69.61</v>
      </c>
      <c r="H580">
        <f t="shared" ref="H580:H643" si="18">B580-E580</f>
        <v>0</v>
      </c>
      <c r="J580">
        <f t="shared" ref="J580:J643" si="19">C580-F580</f>
        <v>0</v>
      </c>
    </row>
    <row r="581" spans="1:10" x14ac:dyDescent="0.25">
      <c r="A581" t="s">
        <v>2561</v>
      </c>
      <c r="B581">
        <v>4</v>
      </c>
      <c r="C581">
        <f>_xlfn.XLOOKUP(Recon!A581,[1]Backup!AJ:AJ,[1]Backup!L:L)</f>
        <v>23.74</v>
      </c>
      <c r="D581">
        <f>_xlfn.XLOOKUP(Recon!A581,[1]Backup!AJ:AJ,[1]Backup!K:K)</f>
        <v>0.80715999999999999</v>
      </c>
      <c r="E581">
        <f>SUMIF('[1]PO Report'!A:A,Recon!A581,'[1]PO Report'!P:P)</f>
        <v>4</v>
      </c>
      <c r="F581">
        <f>VLOOKUP(A581,'[1]PO Report'!$A:$Z,15,0)</f>
        <v>23.74</v>
      </c>
      <c r="H581">
        <f t="shared" si="18"/>
        <v>0</v>
      </c>
      <c r="J581">
        <f t="shared" si="19"/>
        <v>0</v>
      </c>
    </row>
    <row r="582" spans="1:10" x14ac:dyDescent="0.25">
      <c r="A582" t="s">
        <v>2562</v>
      </c>
      <c r="B582">
        <v>24</v>
      </c>
      <c r="C582">
        <f>_xlfn.XLOOKUP(Recon!A582,[1]Backup!AJ:AJ,[1]Backup!L:L)</f>
        <v>26.37</v>
      </c>
      <c r="D582">
        <f>_xlfn.XLOOKUP(Recon!A582,[1]Backup!AJ:AJ,[1]Backup!K:K)</f>
        <v>0.89658000000000004</v>
      </c>
      <c r="E582">
        <f>SUMIF('[1]PO Report'!A:A,Recon!A582,'[1]PO Report'!P:P)</f>
        <v>24</v>
      </c>
      <c r="F582">
        <f>VLOOKUP(A582,'[1]PO Report'!$A:$Z,15,0)</f>
        <v>26.37</v>
      </c>
      <c r="H582">
        <f t="shared" si="18"/>
        <v>0</v>
      </c>
      <c r="J582">
        <f t="shared" si="19"/>
        <v>0</v>
      </c>
    </row>
    <row r="583" spans="1:10" x14ac:dyDescent="0.25">
      <c r="A583" t="s">
        <v>2563</v>
      </c>
      <c r="B583">
        <v>12</v>
      </c>
      <c r="C583">
        <f>_xlfn.XLOOKUP(Recon!A583,[1]Backup!AJ:AJ,[1]Backup!L:L)</f>
        <v>68.06</v>
      </c>
      <c r="D583">
        <f>_xlfn.XLOOKUP(Recon!A583,[1]Backup!AJ:AJ,[1]Backup!K:K)</f>
        <v>2.3140399999999999</v>
      </c>
      <c r="E583">
        <f>SUMIF('[1]PO Report'!A:A,Recon!A583,'[1]PO Report'!P:P)</f>
        <v>12</v>
      </c>
      <c r="F583">
        <f>VLOOKUP(A583,'[1]PO Report'!$A:$Z,15,0)</f>
        <v>68.06</v>
      </c>
      <c r="H583">
        <f t="shared" si="18"/>
        <v>0</v>
      </c>
      <c r="J583">
        <f t="shared" si="19"/>
        <v>0</v>
      </c>
    </row>
    <row r="584" spans="1:10" x14ac:dyDescent="0.25">
      <c r="A584" t="s">
        <v>2564</v>
      </c>
      <c r="B584">
        <v>8</v>
      </c>
      <c r="C584">
        <f>_xlfn.XLOOKUP(Recon!A584,[1]Backup!AJ:AJ,[1]Backup!L:L)</f>
        <v>52.76</v>
      </c>
      <c r="D584">
        <f>_xlfn.XLOOKUP(Recon!A584,[1]Backup!AJ:AJ,[1]Backup!K:K)</f>
        <v>1.7938400000000001</v>
      </c>
      <c r="E584">
        <f>SUMIF('[1]PO Report'!A:A,Recon!A584,'[1]PO Report'!P:P)</f>
        <v>8</v>
      </c>
      <c r="F584">
        <f>VLOOKUP(A584,'[1]PO Report'!$A:$Z,15,0)</f>
        <v>52.76</v>
      </c>
      <c r="H584">
        <f t="shared" si="18"/>
        <v>0</v>
      </c>
      <c r="J584">
        <f t="shared" si="19"/>
        <v>0</v>
      </c>
    </row>
    <row r="585" spans="1:10" x14ac:dyDescent="0.25">
      <c r="A585" t="s">
        <v>2565</v>
      </c>
      <c r="B585">
        <v>16</v>
      </c>
      <c r="C585">
        <f>_xlfn.XLOOKUP(Recon!A585,[1]Backup!AJ:AJ,[1]Backup!L:L)</f>
        <v>81.209999999999994</v>
      </c>
      <c r="D585">
        <f>_xlfn.XLOOKUP(Recon!A585,[1]Backup!AJ:AJ,[1]Backup!K:K)</f>
        <v>2.7611400000000001</v>
      </c>
      <c r="E585">
        <f>SUMIF('[1]PO Report'!A:A,Recon!A585,'[1]PO Report'!P:P)</f>
        <v>16</v>
      </c>
      <c r="F585">
        <f>VLOOKUP(A585,'[1]PO Report'!$A:$Z,15,0)</f>
        <v>81.209999999999994</v>
      </c>
      <c r="H585">
        <f t="shared" si="18"/>
        <v>0</v>
      </c>
      <c r="J585">
        <f t="shared" si="19"/>
        <v>0</v>
      </c>
    </row>
    <row r="586" spans="1:10" x14ac:dyDescent="0.25">
      <c r="A586" t="s">
        <v>2566</v>
      </c>
      <c r="B586">
        <v>52</v>
      </c>
      <c r="C586">
        <f>_xlfn.XLOOKUP(Recon!A586,[1]Backup!AJ:AJ,[1]Backup!L:L)</f>
        <v>6.32</v>
      </c>
      <c r="D586">
        <f>_xlfn.XLOOKUP(Recon!A586,[1]Backup!AJ:AJ,[1]Backup!K:K)</f>
        <v>0.21487999999999999</v>
      </c>
      <c r="E586">
        <f>SUMIF('[1]PO Report'!A:A,Recon!A586,'[1]PO Report'!P:P)</f>
        <v>48</v>
      </c>
      <c r="F586">
        <f>VLOOKUP(A586,'[1]PO Report'!$A:$Z,15,0)</f>
        <v>6.32</v>
      </c>
      <c r="H586">
        <f t="shared" si="18"/>
        <v>4</v>
      </c>
      <c r="I586">
        <f>H586*D586</f>
        <v>0.85951999999999995</v>
      </c>
      <c r="J586">
        <f t="shared" si="19"/>
        <v>0</v>
      </c>
    </row>
    <row r="587" spans="1:10" x14ac:dyDescent="0.25">
      <c r="A587" t="s">
        <v>2567</v>
      </c>
      <c r="B587">
        <v>32</v>
      </c>
      <c r="C587">
        <f>_xlfn.XLOOKUP(Recon!A587,[1]Backup!AJ:AJ,[1]Backup!L:L)</f>
        <v>23.74</v>
      </c>
      <c r="D587">
        <f>_xlfn.XLOOKUP(Recon!A587,[1]Backup!AJ:AJ,[1]Backup!K:K)</f>
        <v>0.80715999999999999</v>
      </c>
      <c r="E587">
        <f>SUMIF('[1]PO Report'!A:A,Recon!A587,'[1]PO Report'!P:P)</f>
        <v>32</v>
      </c>
      <c r="F587">
        <f>VLOOKUP(A587,'[1]PO Report'!$A:$Z,15,0)</f>
        <v>23.74</v>
      </c>
      <c r="H587">
        <f t="shared" si="18"/>
        <v>0</v>
      </c>
      <c r="J587">
        <f t="shared" si="19"/>
        <v>0</v>
      </c>
    </row>
    <row r="588" spans="1:10" x14ac:dyDescent="0.25">
      <c r="A588" t="s">
        <v>2568</v>
      </c>
      <c r="B588">
        <v>8</v>
      </c>
      <c r="C588">
        <f>_xlfn.XLOOKUP(Recon!A588,[1]Backup!AJ:AJ,[1]Backup!L:L)</f>
        <v>11.6</v>
      </c>
      <c r="D588">
        <f>_xlfn.XLOOKUP(Recon!A588,[1]Backup!AJ:AJ,[1]Backup!K:K)</f>
        <v>0.39439999999999997</v>
      </c>
      <c r="E588">
        <f>SUMIF('[1]PO Report'!A:A,Recon!A588,'[1]PO Report'!P:P)</f>
        <v>8</v>
      </c>
      <c r="F588">
        <f>VLOOKUP(A588,'[1]PO Report'!$A:$Z,15,0)</f>
        <v>11.6</v>
      </c>
      <c r="H588">
        <f t="shared" si="18"/>
        <v>0</v>
      </c>
      <c r="J588">
        <f t="shared" si="19"/>
        <v>0</v>
      </c>
    </row>
    <row r="589" spans="1:10" x14ac:dyDescent="0.25">
      <c r="A589" t="s">
        <v>2569</v>
      </c>
      <c r="B589">
        <v>8</v>
      </c>
      <c r="C589">
        <f>_xlfn.XLOOKUP(Recon!A589,[1]Backup!AJ:AJ,[1]Backup!L:L)</f>
        <v>104.41</v>
      </c>
      <c r="D589">
        <f>_xlfn.XLOOKUP(Recon!A589,[1]Backup!AJ:AJ,[1]Backup!K:K)</f>
        <v>3.5499399999999999</v>
      </c>
      <c r="E589">
        <f>SUMIF('[1]PO Report'!A:A,Recon!A589,'[1]PO Report'!P:P)</f>
        <v>8</v>
      </c>
      <c r="F589">
        <f>VLOOKUP(A589,'[1]PO Report'!$A:$Z,15,0)</f>
        <v>104.41</v>
      </c>
      <c r="H589">
        <f t="shared" si="18"/>
        <v>0</v>
      </c>
      <c r="J589">
        <f t="shared" si="19"/>
        <v>0</v>
      </c>
    </row>
    <row r="590" spans="1:10" x14ac:dyDescent="0.25">
      <c r="A590" t="s">
        <v>2570</v>
      </c>
      <c r="B590">
        <v>182</v>
      </c>
      <c r="C590">
        <f>_xlfn.XLOOKUP(Recon!A590,[1]Backup!AJ:AJ,[1]Backup!L:L)</f>
        <v>40.99</v>
      </c>
      <c r="D590">
        <f>_xlfn.XLOOKUP(Recon!A590,[1]Backup!AJ:AJ,[1]Backup!K:K)</f>
        <v>1.3936599999999999</v>
      </c>
      <c r="E590">
        <f>SUMIF('[1]PO Report'!A:A,Recon!A590,'[1]PO Report'!P:P)</f>
        <v>182</v>
      </c>
      <c r="F590">
        <f>VLOOKUP(A590,'[1]PO Report'!$A:$Z,15,0)</f>
        <v>40.99</v>
      </c>
      <c r="H590">
        <f t="shared" si="18"/>
        <v>0</v>
      </c>
      <c r="J590">
        <f t="shared" si="19"/>
        <v>0</v>
      </c>
    </row>
    <row r="591" spans="1:10" x14ac:dyDescent="0.25">
      <c r="A591" t="s">
        <v>2571</v>
      </c>
      <c r="B591">
        <v>10</v>
      </c>
      <c r="C591">
        <f>_xlfn.XLOOKUP(Recon!A591,[1]Backup!AJ:AJ,[1]Backup!L:L)</f>
        <v>9.36</v>
      </c>
      <c r="D591">
        <f>_xlfn.XLOOKUP(Recon!A591,[1]Backup!AJ:AJ,[1]Backup!K:K)</f>
        <v>0.31823999999999997</v>
      </c>
      <c r="E591">
        <f>SUMIF('[1]PO Report'!A:A,Recon!A591,'[1]PO Report'!P:P)</f>
        <v>10</v>
      </c>
      <c r="F591">
        <f>VLOOKUP(A591,'[1]PO Report'!$A:$Z,15,0)</f>
        <v>9.36</v>
      </c>
      <c r="H591">
        <f t="shared" si="18"/>
        <v>0</v>
      </c>
      <c r="J591">
        <f t="shared" si="19"/>
        <v>0</v>
      </c>
    </row>
    <row r="592" spans="1:10" x14ac:dyDescent="0.25">
      <c r="A592" t="s">
        <v>2572</v>
      </c>
      <c r="B592">
        <v>10</v>
      </c>
      <c r="C592">
        <f>_xlfn.XLOOKUP(Recon!A592,[1]Backup!AJ:AJ,[1]Backup!L:L)</f>
        <v>10.53</v>
      </c>
      <c r="D592">
        <f>_xlfn.XLOOKUP(Recon!A592,[1]Backup!AJ:AJ,[1]Backup!K:K)</f>
        <v>0.35802</v>
      </c>
      <c r="E592">
        <f>SUMIF('[1]PO Report'!A:A,Recon!A592,'[1]PO Report'!P:P)</f>
        <v>10</v>
      </c>
      <c r="F592">
        <f>VLOOKUP(A592,'[1]PO Report'!$A:$Z,15,0)</f>
        <v>10.53</v>
      </c>
      <c r="H592">
        <f t="shared" si="18"/>
        <v>0</v>
      </c>
      <c r="J592">
        <f t="shared" si="19"/>
        <v>0</v>
      </c>
    </row>
    <row r="593" spans="1:10" x14ac:dyDescent="0.25">
      <c r="A593" t="s">
        <v>2573</v>
      </c>
      <c r="B593">
        <v>40</v>
      </c>
      <c r="C593">
        <f>_xlfn.XLOOKUP(Recon!A593,[1]Backup!AJ:AJ,[1]Backup!L:L)</f>
        <v>73.34</v>
      </c>
      <c r="D593">
        <f>_xlfn.XLOOKUP(Recon!A593,[1]Backup!AJ:AJ,[1]Backup!K:K)</f>
        <v>2.49356</v>
      </c>
      <c r="E593">
        <f>SUMIF('[1]PO Report'!A:A,Recon!A593,'[1]PO Report'!P:P)</f>
        <v>40</v>
      </c>
      <c r="F593">
        <f>VLOOKUP(A593,'[1]PO Report'!$A:$Z,15,0)</f>
        <v>73.34</v>
      </c>
      <c r="H593">
        <f t="shared" si="18"/>
        <v>0</v>
      </c>
      <c r="J593">
        <f t="shared" si="19"/>
        <v>0</v>
      </c>
    </row>
    <row r="594" spans="1:10" x14ac:dyDescent="0.25">
      <c r="A594" t="s">
        <v>2574</v>
      </c>
      <c r="B594">
        <v>8</v>
      </c>
      <c r="C594">
        <f>_xlfn.XLOOKUP(Recon!A594,[1]Backup!AJ:AJ,[1]Backup!L:L)</f>
        <v>74.84</v>
      </c>
      <c r="D594">
        <f>_xlfn.XLOOKUP(Recon!A594,[1]Backup!AJ:AJ,[1]Backup!K:K)</f>
        <v>2.5445600000000002</v>
      </c>
      <c r="E594">
        <f>SUMIF('[1]PO Report'!A:A,Recon!A594,'[1]PO Report'!P:P)</f>
        <v>8</v>
      </c>
      <c r="F594">
        <f>VLOOKUP(A594,'[1]PO Report'!$A:$Z,15,0)</f>
        <v>74.84</v>
      </c>
      <c r="H594">
        <f t="shared" si="18"/>
        <v>0</v>
      </c>
      <c r="J594">
        <f t="shared" si="19"/>
        <v>0</v>
      </c>
    </row>
    <row r="595" spans="1:10" x14ac:dyDescent="0.25">
      <c r="A595" t="s">
        <v>2575</v>
      </c>
      <c r="B595">
        <v>68</v>
      </c>
      <c r="C595">
        <f>_xlfn.XLOOKUP(Recon!A595,[1]Backup!AJ:AJ,[1]Backup!L:L)</f>
        <v>68.06</v>
      </c>
      <c r="D595">
        <f>_xlfn.XLOOKUP(Recon!A595,[1]Backup!AJ:AJ,[1]Backup!K:K)</f>
        <v>2.3140399999999999</v>
      </c>
      <c r="E595">
        <f>SUMIF('[1]PO Report'!A:A,Recon!A595,'[1]PO Report'!P:P)</f>
        <v>68</v>
      </c>
      <c r="F595">
        <f>VLOOKUP(A595,'[1]PO Report'!$A:$Z,15,0)</f>
        <v>68.06</v>
      </c>
      <c r="H595">
        <f t="shared" si="18"/>
        <v>0</v>
      </c>
      <c r="J595">
        <f t="shared" si="19"/>
        <v>0</v>
      </c>
    </row>
    <row r="596" spans="1:10" x14ac:dyDescent="0.25">
      <c r="A596" t="s">
        <v>2576</v>
      </c>
      <c r="B596">
        <v>144</v>
      </c>
      <c r="C596">
        <f>_xlfn.XLOOKUP(Recon!A596,[1]Backup!AJ:AJ,[1]Backup!L:L)</f>
        <v>26.35</v>
      </c>
      <c r="D596">
        <f>_xlfn.XLOOKUP(Recon!A596,[1]Backup!AJ:AJ,[1]Backup!K:K)</f>
        <v>0.89590000000000003</v>
      </c>
      <c r="E596">
        <f>SUMIF('[1]PO Report'!A:A,Recon!A596,'[1]PO Report'!P:P)</f>
        <v>144</v>
      </c>
      <c r="F596">
        <f>VLOOKUP(A596,'[1]PO Report'!$A:$Z,15,0)</f>
        <v>26.35</v>
      </c>
      <c r="H596">
        <f t="shared" si="18"/>
        <v>0</v>
      </c>
      <c r="J596">
        <f t="shared" si="19"/>
        <v>0</v>
      </c>
    </row>
    <row r="597" spans="1:10" x14ac:dyDescent="0.25">
      <c r="A597" t="s">
        <v>2577</v>
      </c>
      <c r="B597">
        <v>20</v>
      </c>
      <c r="C597">
        <f>_xlfn.XLOOKUP(Recon!A597,[1]Backup!AJ:AJ,[1]Backup!L:L)</f>
        <v>9.36</v>
      </c>
      <c r="D597">
        <f>_xlfn.XLOOKUP(Recon!A597,[1]Backup!AJ:AJ,[1]Backup!K:K)</f>
        <v>0.31823999999999997</v>
      </c>
      <c r="E597">
        <f>SUMIF('[1]PO Report'!A:A,Recon!A597,'[1]PO Report'!P:P)</f>
        <v>20</v>
      </c>
      <c r="F597">
        <f>VLOOKUP(A597,'[1]PO Report'!$A:$Z,15,0)</f>
        <v>9.36</v>
      </c>
      <c r="H597">
        <f t="shared" si="18"/>
        <v>0</v>
      </c>
      <c r="J597">
        <f t="shared" si="19"/>
        <v>0</v>
      </c>
    </row>
    <row r="598" spans="1:10" x14ac:dyDescent="0.25">
      <c r="A598" t="s">
        <v>2578</v>
      </c>
      <c r="B598">
        <v>6</v>
      </c>
      <c r="C598">
        <f>_xlfn.XLOOKUP(Recon!A598,[1]Backup!AJ:AJ,[1]Backup!L:L)</f>
        <v>35.130000000000003</v>
      </c>
      <c r="D598">
        <f>_xlfn.XLOOKUP(Recon!A598,[1]Backup!AJ:AJ,[1]Backup!K:K)</f>
        <v>1.19442</v>
      </c>
      <c r="E598">
        <f>SUMIF('[1]PO Report'!A:A,Recon!A598,'[1]PO Report'!P:P)</f>
        <v>6</v>
      </c>
      <c r="F598">
        <f>VLOOKUP(A598,'[1]PO Report'!$A:$Z,15,0)</f>
        <v>35.130000000000003</v>
      </c>
      <c r="H598">
        <f t="shared" si="18"/>
        <v>0</v>
      </c>
      <c r="J598">
        <f t="shared" si="19"/>
        <v>0</v>
      </c>
    </row>
    <row r="599" spans="1:10" x14ac:dyDescent="0.25">
      <c r="A599" t="s">
        <v>2579</v>
      </c>
      <c r="B599">
        <v>12</v>
      </c>
      <c r="C599">
        <f>_xlfn.XLOOKUP(Recon!A599,[1]Backup!AJ:AJ,[1]Backup!L:L)</f>
        <v>55.1</v>
      </c>
      <c r="D599">
        <f>_xlfn.XLOOKUP(Recon!A599,[1]Backup!AJ:AJ,[1]Backup!K:K)</f>
        <v>1.8734</v>
      </c>
      <c r="E599">
        <f>SUMIF('[1]PO Report'!A:A,Recon!A599,'[1]PO Report'!P:P)</f>
        <v>12</v>
      </c>
      <c r="F599">
        <f>VLOOKUP(A599,'[1]PO Report'!$A:$Z,15,0)</f>
        <v>55.1</v>
      </c>
      <c r="H599">
        <f t="shared" si="18"/>
        <v>0</v>
      </c>
      <c r="J599">
        <f t="shared" si="19"/>
        <v>0</v>
      </c>
    </row>
    <row r="600" spans="1:10" x14ac:dyDescent="0.25">
      <c r="A600" t="s">
        <v>2580</v>
      </c>
      <c r="B600">
        <v>28</v>
      </c>
      <c r="C600">
        <f>_xlfn.XLOOKUP(Recon!A600,[1]Backup!AJ:AJ,[1]Backup!L:L)</f>
        <v>131.38</v>
      </c>
      <c r="D600">
        <f>_xlfn.XLOOKUP(Recon!A600,[1]Backup!AJ:AJ,[1]Backup!K:K)</f>
        <v>4.46692</v>
      </c>
      <c r="E600">
        <f>SUMIF('[1]PO Report'!A:A,Recon!A600,'[1]PO Report'!P:P)</f>
        <v>28</v>
      </c>
      <c r="F600">
        <f>VLOOKUP(A600,'[1]PO Report'!$A:$Z,15,0)</f>
        <v>131.38</v>
      </c>
      <c r="H600">
        <f t="shared" si="18"/>
        <v>0</v>
      </c>
      <c r="J600">
        <f t="shared" si="19"/>
        <v>0</v>
      </c>
    </row>
    <row r="601" spans="1:10" x14ac:dyDescent="0.25">
      <c r="A601" t="s">
        <v>2581</v>
      </c>
      <c r="B601">
        <v>4</v>
      </c>
      <c r="C601">
        <f>_xlfn.XLOOKUP(Recon!A601,[1]Backup!AJ:AJ,[1]Backup!L:L)</f>
        <v>92.81</v>
      </c>
      <c r="D601">
        <f>_xlfn.XLOOKUP(Recon!A601,[1]Backup!AJ:AJ,[1]Backup!K:K)</f>
        <v>3.1555399999999998</v>
      </c>
      <c r="E601">
        <f>SUMIF('[1]PO Report'!A:A,Recon!A601,'[1]PO Report'!P:P)</f>
        <v>4</v>
      </c>
      <c r="F601">
        <f>VLOOKUP(A601,'[1]PO Report'!$A:$Z,15,0)</f>
        <v>92.81</v>
      </c>
      <c r="H601">
        <f t="shared" si="18"/>
        <v>0</v>
      </c>
      <c r="J601">
        <f t="shared" si="19"/>
        <v>0</v>
      </c>
    </row>
    <row r="602" spans="1:10" x14ac:dyDescent="0.25">
      <c r="A602" t="s">
        <v>2582</v>
      </c>
      <c r="B602">
        <v>8</v>
      </c>
      <c r="C602">
        <f>_xlfn.XLOOKUP(Recon!A602,[1]Backup!AJ:AJ,[1]Backup!L:L)</f>
        <v>34.29</v>
      </c>
      <c r="D602">
        <f>_xlfn.XLOOKUP(Recon!A602,[1]Backup!AJ:AJ,[1]Backup!K:K)</f>
        <v>1.1658599999999999</v>
      </c>
      <c r="E602">
        <f>SUMIF('[1]PO Report'!A:A,Recon!A602,'[1]PO Report'!P:P)</f>
        <v>8</v>
      </c>
      <c r="F602">
        <f>VLOOKUP(A602,'[1]PO Report'!$A:$Z,15,0)</f>
        <v>34.29</v>
      </c>
      <c r="H602">
        <f t="shared" si="18"/>
        <v>0</v>
      </c>
      <c r="J602">
        <f t="shared" si="19"/>
        <v>0</v>
      </c>
    </row>
    <row r="603" spans="1:10" x14ac:dyDescent="0.25">
      <c r="A603" t="s">
        <v>2583</v>
      </c>
      <c r="B603">
        <v>16</v>
      </c>
      <c r="C603">
        <f>_xlfn.XLOOKUP(Recon!A603,[1]Backup!AJ:AJ,[1]Backup!L:L)</f>
        <v>57.51</v>
      </c>
      <c r="D603">
        <f>_xlfn.XLOOKUP(Recon!A603,[1]Backup!AJ:AJ,[1]Backup!K:K)</f>
        <v>1.9553400000000001</v>
      </c>
      <c r="E603">
        <f>SUMIF('[1]PO Report'!A:A,Recon!A603,'[1]PO Report'!P:P)</f>
        <v>16</v>
      </c>
      <c r="F603">
        <f>VLOOKUP(A603,'[1]PO Report'!$A:$Z,15,0)</f>
        <v>57.51</v>
      </c>
      <c r="H603">
        <f t="shared" si="18"/>
        <v>0</v>
      </c>
      <c r="J603">
        <f t="shared" si="19"/>
        <v>0</v>
      </c>
    </row>
    <row r="604" spans="1:10" x14ac:dyDescent="0.25">
      <c r="A604" t="s">
        <v>2584</v>
      </c>
      <c r="B604">
        <v>80</v>
      </c>
      <c r="C604">
        <f>_xlfn.XLOOKUP(Recon!A604,[1]Backup!AJ:AJ,[1]Backup!L:L)</f>
        <v>8.1999999999999993</v>
      </c>
      <c r="D604">
        <f>_xlfn.XLOOKUP(Recon!A604,[1]Backup!AJ:AJ,[1]Backup!K:K)</f>
        <v>0.27879999999999999</v>
      </c>
      <c r="E604">
        <f>SUMIF('[1]PO Report'!A:A,Recon!A604,'[1]PO Report'!P:P)</f>
        <v>80</v>
      </c>
      <c r="F604">
        <f>VLOOKUP(A604,'[1]PO Report'!$A:$Z,15,0)</f>
        <v>8.1999999999999993</v>
      </c>
      <c r="H604">
        <f t="shared" si="18"/>
        <v>0</v>
      </c>
      <c r="J604">
        <f t="shared" si="19"/>
        <v>0</v>
      </c>
    </row>
    <row r="605" spans="1:10" x14ac:dyDescent="0.25">
      <c r="A605" t="s">
        <v>2585</v>
      </c>
      <c r="B605">
        <v>4</v>
      </c>
      <c r="C605">
        <f>_xlfn.XLOOKUP(Recon!A605,[1]Backup!AJ:AJ,[1]Backup!L:L)</f>
        <v>75.41</v>
      </c>
      <c r="D605">
        <f>_xlfn.XLOOKUP(Recon!A605,[1]Backup!AJ:AJ,[1]Backup!K:K)</f>
        <v>2.5639400000000001</v>
      </c>
      <c r="E605">
        <f>SUMIF('[1]PO Report'!A:A,Recon!A605,'[1]PO Report'!P:P)</f>
        <v>4</v>
      </c>
      <c r="F605">
        <f>VLOOKUP(A605,'[1]PO Report'!$A:$Z,15,0)</f>
        <v>75.41</v>
      </c>
      <c r="H605">
        <f t="shared" si="18"/>
        <v>0</v>
      </c>
      <c r="J605">
        <f t="shared" si="19"/>
        <v>0</v>
      </c>
    </row>
    <row r="606" spans="1:10" x14ac:dyDescent="0.25">
      <c r="A606" t="s">
        <v>2586</v>
      </c>
      <c r="B606">
        <v>660</v>
      </c>
      <c r="C606">
        <f>_xlfn.XLOOKUP(Recon!A606,[1]Backup!AJ:AJ,[1]Backup!L:L)</f>
        <v>221.07000000000002</v>
      </c>
      <c r="D606">
        <f>_xlfn.XLOOKUP(Recon!A606,[1]Backup!AJ:AJ,[1]Backup!K:K)</f>
        <v>7.5163800000000007</v>
      </c>
      <c r="E606">
        <f>SUMIF('[1]PO Report'!A:A,Recon!A606,'[1]PO Report'!P:P)</f>
        <v>2662</v>
      </c>
      <c r="F606">
        <f>VLOOKUP(A606,'[1]PO Report'!$A:$Z,15,0)</f>
        <v>221.07</v>
      </c>
      <c r="H606">
        <f t="shared" si="18"/>
        <v>-2002</v>
      </c>
      <c r="J606">
        <f t="shared" si="19"/>
        <v>0</v>
      </c>
    </row>
    <row r="607" spans="1:10" x14ac:dyDescent="0.25">
      <c r="A607" t="s">
        <v>2587</v>
      </c>
      <c r="B607">
        <v>20</v>
      </c>
      <c r="C607">
        <f>_xlfn.XLOOKUP(Recon!A607,[1]Backup!AJ:AJ,[1]Backup!L:L)</f>
        <v>51.870000000000005</v>
      </c>
      <c r="D607">
        <f>_xlfn.XLOOKUP(Recon!A607,[1]Backup!AJ:AJ,[1]Backup!K:K)</f>
        <v>1.7635799999999999</v>
      </c>
      <c r="E607">
        <f>SUMIF('[1]PO Report'!A:A,Recon!A607,'[1]PO Report'!P:P)</f>
        <v>20</v>
      </c>
      <c r="F607">
        <f>VLOOKUP(A607,'[1]PO Report'!$A:$Z,15,0)</f>
        <v>51.87</v>
      </c>
      <c r="H607">
        <f t="shared" si="18"/>
        <v>0</v>
      </c>
      <c r="J607">
        <f t="shared" si="19"/>
        <v>0</v>
      </c>
    </row>
    <row r="608" spans="1:10" x14ac:dyDescent="0.25">
      <c r="A608" t="s">
        <v>2588</v>
      </c>
      <c r="B608">
        <v>50</v>
      </c>
      <c r="C608">
        <f>_xlfn.XLOOKUP(Recon!A608,[1]Backup!AJ:AJ,[1]Backup!L:L)</f>
        <v>5.26</v>
      </c>
      <c r="D608">
        <f>_xlfn.XLOOKUP(Recon!A608,[1]Backup!AJ:AJ,[1]Backup!K:K)</f>
        <v>0.17884</v>
      </c>
      <c r="E608">
        <f>SUMIF('[1]PO Report'!A:A,Recon!A608,'[1]PO Report'!P:P)</f>
        <v>50</v>
      </c>
      <c r="F608">
        <f>VLOOKUP(A608,'[1]PO Report'!$A:$Z,15,0)</f>
        <v>5.26</v>
      </c>
      <c r="H608">
        <f t="shared" si="18"/>
        <v>0</v>
      </c>
      <c r="J608">
        <f t="shared" si="19"/>
        <v>0</v>
      </c>
    </row>
    <row r="609" spans="1:10" x14ac:dyDescent="0.25">
      <c r="A609" t="s">
        <v>2589</v>
      </c>
      <c r="B609">
        <v>216</v>
      </c>
      <c r="C609">
        <f>_xlfn.XLOOKUP(Recon!A609,[1]Backup!AJ:AJ,[1]Backup!L:L)</f>
        <v>73.34</v>
      </c>
      <c r="D609">
        <f>_xlfn.XLOOKUP(Recon!A609,[1]Backup!AJ:AJ,[1]Backup!K:K)</f>
        <v>2.49356</v>
      </c>
      <c r="E609">
        <f>SUMIF('[1]PO Report'!A:A,Recon!A609,'[1]PO Report'!P:P)</f>
        <v>216</v>
      </c>
      <c r="F609">
        <f>VLOOKUP(A609,'[1]PO Report'!$A:$Z,15,0)</f>
        <v>73.34</v>
      </c>
      <c r="H609">
        <f t="shared" si="18"/>
        <v>0</v>
      </c>
      <c r="J609">
        <f t="shared" si="19"/>
        <v>0</v>
      </c>
    </row>
    <row r="610" spans="1:10" x14ac:dyDescent="0.25">
      <c r="A610" t="s">
        <v>2590</v>
      </c>
      <c r="B610">
        <v>32</v>
      </c>
      <c r="C610">
        <f>_xlfn.XLOOKUP(Recon!A610,[1]Backup!AJ:AJ,[1]Backup!L:L)</f>
        <v>69.61</v>
      </c>
      <c r="D610">
        <f>_xlfn.XLOOKUP(Recon!A610,[1]Backup!AJ:AJ,[1]Backup!K:K)</f>
        <v>2.3667400000000001</v>
      </c>
      <c r="E610">
        <f>SUMIF('[1]PO Report'!A:A,Recon!A610,'[1]PO Report'!P:P)</f>
        <v>32</v>
      </c>
      <c r="F610">
        <f>VLOOKUP(A610,'[1]PO Report'!$A:$Z,15,0)</f>
        <v>69.61</v>
      </c>
      <c r="H610">
        <f t="shared" si="18"/>
        <v>0</v>
      </c>
      <c r="J610">
        <f t="shared" si="19"/>
        <v>0</v>
      </c>
    </row>
    <row r="611" spans="1:10" x14ac:dyDescent="0.25">
      <c r="A611" t="s">
        <v>2591</v>
      </c>
      <c r="B611">
        <v>27</v>
      </c>
      <c r="C611">
        <f>_xlfn.XLOOKUP(Recon!A611,[1]Backup!AJ:AJ,[1]Backup!L:L)</f>
        <v>115.44</v>
      </c>
      <c r="D611">
        <f>_xlfn.XLOOKUP(Recon!A611,[1]Backup!AJ:AJ,[1]Backup!K:K)</f>
        <v>3.9249600000000004</v>
      </c>
      <c r="E611">
        <f>SUMIF('[1]PO Report'!A:A,Recon!A611,'[1]PO Report'!P:P)</f>
        <v>27</v>
      </c>
      <c r="F611">
        <f>VLOOKUP(A611,'[1]PO Report'!$A:$Z,15,0)</f>
        <v>115.44</v>
      </c>
      <c r="H611">
        <f t="shared" si="18"/>
        <v>0</v>
      </c>
      <c r="J611">
        <f t="shared" si="19"/>
        <v>0</v>
      </c>
    </row>
    <row r="612" spans="1:10" x14ac:dyDescent="0.25">
      <c r="A612" t="s">
        <v>2592</v>
      </c>
      <c r="B612">
        <v>10</v>
      </c>
      <c r="C612">
        <f>_xlfn.XLOOKUP(Recon!A612,[1]Backup!AJ:AJ,[1]Backup!L:L)</f>
        <v>17.559999999999999</v>
      </c>
      <c r="D612">
        <f>_xlfn.XLOOKUP(Recon!A612,[1]Backup!AJ:AJ,[1]Backup!K:K)</f>
        <v>0.59704000000000002</v>
      </c>
      <c r="E612">
        <f>SUMIF('[1]PO Report'!A:A,Recon!A612,'[1]PO Report'!P:P)</f>
        <v>10</v>
      </c>
      <c r="F612">
        <f>VLOOKUP(A612,'[1]PO Report'!$A:$Z,15,0)</f>
        <v>17.559999999999999</v>
      </c>
      <c r="H612">
        <f t="shared" si="18"/>
        <v>0</v>
      </c>
      <c r="J612">
        <f t="shared" si="19"/>
        <v>0</v>
      </c>
    </row>
    <row r="613" spans="1:10" x14ac:dyDescent="0.25">
      <c r="A613" t="s">
        <v>2593</v>
      </c>
      <c r="B613">
        <v>4</v>
      </c>
      <c r="C613">
        <f>_xlfn.XLOOKUP(Recon!A613,[1]Backup!AJ:AJ,[1]Backup!L:L)</f>
        <v>64.42</v>
      </c>
      <c r="D613">
        <f>_xlfn.XLOOKUP(Recon!A613,[1]Backup!AJ:AJ,[1]Backup!K:K)</f>
        <v>2.19028</v>
      </c>
      <c r="E613">
        <f>SUMIF('[1]PO Report'!A:A,Recon!A613,'[1]PO Report'!P:P)</f>
        <v>4</v>
      </c>
      <c r="F613">
        <f>VLOOKUP(A613,'[1]PO Report'!$A:$Z,15,0)</f>
        <v>64.42</v>
      </c>
      <c r="H613">
        <f t="shared" si="18"/>
        <v>0</v>
      </c>
      <c r="J613">
        <f t="shared" si="19"/>
        <v>0</v>
      </c>
    </row>
    <row r="614" spans="1:10" x14ac:dyDescent="0.25">
      <c r="A614" t="s">
        <v>2594</v>
      </c>
      <c r="B614">
        <v>12</v>
      </c>
      <c r="C614">
        <f>_xlfn.XLOOKUP(Recon!A614,[1]Backup!AJ:AJ,[1]Backup!L:L)</f>
        <v>23.42</v>
      </c>
      <c r="D614">
        <f>_xlfn.XLOOKUP(Recon!A614,[1]Backup!AJ:AJ,[1]Backup!K:K)</f>
        <v>0.79627999999999999</v>
      </c>
      <c r="E614">
        <f>SUMIF('[1]PO Report'!A:A,Recon!A614,'[1]PO Report'!P:P)</f>
        <v>12</v>
      </c>
      <c r="F614">
        <f>VLOOKUP(A614,'[1]PO Report'!$A:$Z,15,0)</f>
        <v>23.42</v>
      </c>
      <c r="H614">
        <f t="shared" si="18"/>
        <v>0</v>
      </c>
      <c r="J614">
        <f t="shared" si="19"/>
        <v>0</v>
      </c>
    </row>
    <row r="615" spans="1:10" x14ac:dyDescent="0.25">
      <c r="A615" t="s">
        <v>2595</v>
      </c>
      <c r="B615">
        <v>49</v>
      </c>
      <c r="C615">
        <f>_xlfn.XLOOKUP(Recon!A615,[1]Backup!AJ:AJ,[1]Backup!L:L)</f>
        <v>40.99</v>
      </c>
      <c r="D615">
        <f>_xlfn.XLOOKUP(Recon!A615,[1]Backup!AJ:AJ,[1]Backup!K:K)</f>
        <v>1.3936599999999999</v>
      </c>
      <c r="E615">
        <f>SUMIF('[1]PO Report'!A:A,Recon!A615,'[1]PO Report'!P:P)</f>
        <v>49</v>
      </c>
      <c r="F615">
        <f>VLOOKUP(A615,'[1]PO Report'!$A:$Z,15,0)</f>
        <v>40.99</v>
      </c>
      <c r="H615">
        <f t="shared" si="18"/>
        <v>0</v>
      </c>
      <c r="J615">
        <f t="shared" si="19"/>
        <v>0</v>
      </c>
    </row>
    <row r="616" spans="1:10" x14ac:dyDescent="0.25">
      <c r="A616" t="s">
        <v>2596</v>
      </c>
      <c r="B616">
        <v>42</v>
      </c>
      <c r="C616">
        <f>_xlfn.XLOOKUP(Recon!A616,[1]Backup!AJ:AJ,[1]Backup!L:L)</f>
        <v>26.35</v>
      </c>
      <c r="D616">
        <f>_xlfn.XLOOKUP(Recon!A616,[1]Backup!AJ:AJ,[1]Backup!K:K)</f>
        <v>0.89590000000000003</v>
      </c>
      <c r="E616">
        <f>SUMIF('[1]PO Report'!A:A,Recon!A616,'[1]PO Report'!P:P)</f>
        <v>42</v>
      </c>
      <c r="F616">
        <f>VLOOKUP(A616,'[1]PO Report'!$A:$Z,15,0)</f>
        <v>26.35</v>
      </c>
      <c r="H616">
        <f t="shared" si="18"/>
        <v>0</v>
      </c>
      <c r="J616">
        <f t="shared" si="19"/>
        <v>0</v>
      </c>
    </row>
    <row r="617" spans="1:10" x14ac:dyDescent="0.25">
      <c r="A617" t="s">
        <v>2597</v>
      </c>
      <c r="B617">
        <v>12</v>
      </c>
      <c r="C617">
        <f>_xlfn.XLOOKUP(Recon!A617,[1]Backup!AJ:AJ,[1]Backup!L:L)</f>
        <v>26.349999999999998</v>
      </c>
      <c r="D617">
        <f>_xlfn.XLOOKUP(Recon!A617,[1]Backup!AJ:AJ,[1]Backup!K:K)</f>
        <v>0.89590000000000003</v>
      </c>
      <c r="E617">
        <f>SUMIF('[1]PO Report'!A:A,Recon!A617,'[1]PO Report'!P:P)</f>
        <v>12</v>
      </c>
      <c r="F617">
        <f>VLOOKUP(A617,'[1]PO Report'!$A:$Z,15,0)</f>
        <v>26.35</v>
      </c>
      <c r="H617">
        <f t="shared" si="18"/>
        <v>0</v>
      </c>
      <c r="J617">
        <f t="shared" si="19"/>
        <v>0</v>
      </c>
    </row>
    <row r="618" spans="1:10" x14ac:dyDescent="0.25">
      <c r="A618" t="s">
        <v>2598</v>
      </c>
      <c r="B618">
        <v>10</v>
      </c>
      <c r="C618">
        <f>_xlfn.XLOOKUP(Recon!A618,[1]Backup!AJ:AJ,[1]Backup!L:L)</f>
        <v>16.39</v>
      </c>
      <c r="D618">
        <f>_xlfn.XLOOKUP(Recon!A618,[1]Backup!AJ:AJ,[1]Backup!K:K)</f>
        <v>0.55726000000000009</v>
      </c>
      <c r="E618">
        <f>SUMIF('[1]PO Report'!A:A,Recon!A618,'[1]PO Report'!P:P)</f>
        <v>10</v>
      </c>
      <c r="F618">
        <f>VLOOKUP(A618,'[1]PO Report'!$A:$Z,15,0)</f>
        <v>16.39</v>
      </c>
      <c r="H618">
        <f t="shared" si="18"/>
        <v>0</v>
      </c>
      <c r="J618">
        <f t="shared" si="19"/>
        <v>0</v>
      </c>
    </row>
    <row r="619" spans="1:10" x14ac:dyDescent="0.25">
      <c r="A619" t="s">
        <v>2599</v>
      </c>
      <c r="B619">
        <v>1071</v>
      </c>
      <c r="C619">
        <f>_xlfn.XLOOKUP(Recon!A619,[1]Backup!AJ:AJ,[1]Backup!L:L)</f>
        <v>221.07</v>
      </c>
      <c r="D619">
        <f>_xlfn.XLOOKUP(Recon!A619,[1]Backup!AJ:AJ,[1]Backup!K:K)</f>
        <v>7.5163799999999998</v>
      </c>
      <c r="E619">
        <f>SUMIF('[1]PO Report'!A:A,Recon!A619,'[1]PO Report'!P:P)</f>
        <v>1071</v>
      </c>
      <c r="F619">
        <f>VLOOKUP(A619,'[1]PO Report'!$A:$Z,15,0)</f>
        <v>221.07</v>
      </c>
      <c r="H619">
        <f t="shared" si="18"/>
        <v>0</v>
      </c>
      <c r="J619">
        <f t="shared" si="19"/>
        <v>0</v>
      </c>
    </row>
    <row r="620" spans="1:10" x14ac:dyDescent="0.25">
      <c r="A620" t="s">
        <v>2600</v>
      </c>
      <c r="B620">
        <v>7</v>
      </c>
      <c r="C620">
        <f>_xlfn.XLOOKUP(Recon!A620,[1]Backup!AJ:AJ,[1]Backup!L:L)</f>
        <v>221.07</v>
      </c>
      <c r="D620">
        <f>_xlfn.XLOOKUP(Recon!A620,[1]Backup!AJ:AJ,[1]Backup!K:K)</f>
        <v>7.5163799999999998</v>
      </c>
      <c r="E620">
        <f>SUMIF('[1]PO Report'!A:A,Recon!A620,'[1]PO Report'!P:P)</f>
        <v>7</v>
      </c>
      <c r="F620">
        <f>VLOOKUP(A620,'[1]PO Report'!$A:$Z,15,0)</f>
        <v>221.07</v>
      </c>
      <c r="H620">
        <f t="shared" si="18"/>
        <v>0</v>
      </c>
      <c r="J620">
        <f t="shared" si="19"/>
        <v>0</v>
      </c>
    </row>
    <row r="621" spans="1:10" x14ac:dyDescent="0.25">
      <c r="A621" t="s">
        <v>2601</v>
      </c>
      <c r="B621">
        <v>34</v>
      </c>
      <c r="C621">
        <f>_xlfn.XLOOKUP(Recon!A621,[1]Backup!AJ:AJ,[1]Backup!L:L)</f>
        <v>210.52</v>
      </c>
      <c r="D621">
        <f>_xlfn.XLOOKUP(Recon!A621,[1]Backup!AJ:AJ,[1]Backup!K:K)</f>
        <v>7.15768</v>
      </c>
      <c r="E621">
        <f>SUMIF('[1]PO Report'!A:A,Recon!A621,'[1]PO Report'!P:P)</f>
        <v>34</v>
      </c>
      <c r="F621">
        <f>VLOOKUP(A621,'[1]PO Report'!$A:$Z,15,0)</f>
        <v>210.52</v>
      </c>
      <c r="H621">
        <f t="shared" si="18"/>
        <v>0</v>
      </c>
      <c r="J621">
        <f t="shared" si="19"/>
        <v>0</v>
      </c>
    </row>
    <row r="622" spans="1:10" x14ac:dyDescent="0.25">
      <c r="A622" t="s">
        <v>2602</v>
      </c>
      <c r="B622">
        <v>20</v>
      </c>
      <c r="C622">
        <f>_xlfn.XLOOKUP(Recon!A622,[1]Backup!AJ:AJ,[1]Backup!L:L)</f>
        <v>20.5</v>
      </c>
      <c r="D622">
        <f>_xlfn.XLOOKUP(Recon!A622,[1]Backup!AJ:AJ,[1]Backup!K:K)</f>
        <v>0.69699999999999995</v>
      </c>
      <c r="E622">
        <f>SUMIF('[1]PO Report'!A:A,Recon!A622,'[1]PO Report'!P:P)</f>
        <v>20</v>
      </c>
      <c r="F622">
        <f>VLOOKUP(A622,'[1]PO Report'!$A:$Z,15,0)</f>
        <v>20.5</v>
      </c>
      <c r="H622">
        <f t="shared" si="18"/>
        <v>0</v>
      </c>
      <c r="J622">
        <f t="shared" si="19"/>
        <v>0</v>
      </c>
    </row>
    <row r="623" spans="1:10" x14ac:dyDescent="0.25">
      <c r="A623" t="s">
        <v>2603</v>
      </c>
      <c r="B623">
        <v>8</v>
      </c>
      <c r="C623">
        <f>_xlfn.XLOOKUP(Recon!A623,[1]Backup!AJ:AJ,[1]Backup!L:L)</f>
        <v>44.84</v>
      </c>
      <c r="D623">
        <f>_xlfn.XLOOKUP(Recon!A623,[1]Backup!AJ:AJ,[1]Backup!K:K)</f>
        <v>1.5245599999999999</v>
      </c>
      <c r="E623">
        <f>SUMIF('[1]PO Report'!A:A,Recon!A623,'[1]PO Report'!P:P)</f>
        <v>8</v>
      </c>
      <c r="F623">
        <f>VLOOKUP(A623,'[1]PO Report'!$A:$Z,15,0)</f>
        <v>44.84</v>
      </c>
      <c r="H623">
        <f t="shared" si="18"/>
        <v>0</v>
      </c>
      <c r="J623">
        <f t="shared" si="19"/>
        <v>0</v>
      </c>
    </row>
    <row r="624" spans="1:10" x14ac:dyDescent="0.25">
      <c r="A624" t="s">
        <v>2604</v>
      </c>
      <c r="B624">
        <v>8</v>
      </c>
      <c r="C624">
        <f>_xlfn.XLOOKUP(Recon!A624,[1]Backup!AJ:AJ,[1]Backup!L:L)</f>
        <v>75.41</v>
      </c>
      <c r="D624">
        <f>_xlfn.XLOOKUP(Recon!A624,[1]Backup!AJ:AJ,[1]Backup!K:K)</f>
        <v>2.5639400000000001</v>
      </c>
      <c r="E624">
        <f>SUMIF('[1]PO Report'!A:A,Recon!A624,'[1]PO Report'!P:P)</f>
        <v>8</v>
      </c>
      <c r="F624">
        <f>VLOOKUP(A624,'[1]PO Report'!$A:$Z,15,0)</f>
        <v>75.41</v>
      </c>
      <c r="H624">
        <f t="shared" si="18"/>
        <v>0</v>
      </c>
      <c r="J624">
        <f t="shared" si="19"/>
        <v>0</v>
      </c>
    </row>
    <row r="625" spans="1:10" x14ac:dyDescent="0.25">
      <c r="A625" t="s">
        <v>2605</v>
      </c>
      <c r="B625">
        <v>164</v>
      </c>
      <c r="C625">
        <f>_xlfn.XLOOKUP(Recon!A625,[1]Backup!AJ:AJ,[1]Backup!L:L)</f>
        <v>75.41</v>
      </c>
      <c r="D625">
        <f>_xlfn.XLOOKUP(Recon!A625,[1]Backup!AJ:AJ,[1]Backup!K:K)</f>
        <v>2.5639400000000001</v>
      </c>
      <c r="E625">
        <f>SUMIF('[1]PO Report'!A:A,Recon!A625,'[1]PO Report'!P:P)</f>
        <v>164</v>
      </c>
      <c r="F625">
        <f>VLOOKUP(A625,'[1]PO Report'!$A:$Z,15,0)</f>
        <v>75.41</v>
      </c>
      <c r="H625">
        <f t="shared" si="18"/>
        <v>0</v>
      </c>
      <c r="J625">
        <f t="shared" si="19"/>
        <v>0</v>
      </c>
    </row>
    <row r="626" spans="1:10" x14ac:dyDescent="0.25">
      <c r="A626" t="s">
        <v>2606</v>
      </c>
      <c r="B626">
        <v>4</v>
      </c>
      <c r="C626">
        <f>_xlfn.XLOOKUP(Recon!A626,[1]Backup!AJ:AJ,[1]Backup!L:L)</f>
        <v>121.25</v>
      </c>
      <c r="D626">
        <f>_xlfn.XLOOKUP(Recon!A626,[1]Backup!AJ:AJ,[1]Backup!K:K)</f>
        <v>4.1224999999999996</v>
      </c>
      <c r="E626">
        <f>SUMIF('[1]PO Report'!A:A,Recon!A626,'[1]PO Report'!P:P)</f>
        <v>4</v>
      </c>
      <c r="F626">
        <f>VLOOKUP(A626,'[1]PO Report'!$A:$Z,15,0)</f>
        <v>121.25</v>
      </c>
      <c r="H626">
        <f t="shared" si="18"/>
        <v>0</v>
      </c>
      <c r="J626">
        <f t="shared" si="19"/>
        <v>0</v>
      </c>
    </row>
    <row r="627" spans="1:10" x14ac:dyDescent="0.25">
      <c r="A627" t="s">
        <v>2607</v>
      </c>
      <c r="B627">
        <v>4</v>
      </c>
      <c r="C627">
        <f>_xlfn.XLOOKUP(Recon!A627,[1]Backup!AJ:AJ,[1]Backup!L:L)</f>
        <v>159.09</v>
      </c>
      <c r="D627">
        <f>_xlfn.XLOOKUP(Recon!A627,[1]Backup!AJ:AJ,[1]Backup!K:K)</f>
        <v>5.4090600000000002</v>
      </c>
      <c r="E627">
        <f>SUMIF('[1]PO Report'!A:A,Recon!A627,'[1]PO Report'!P:P)</f>
        <v>4</v>
      </c>
      <c r="F627">
        <f>VLOOKUP(A627,'[1]PO Report'!$A:$Z,15,0)</f>
        <v>159.09</v>
      </c>
      <c r="H627">
        <f t="shared" si="18"/>
        <v>0</v>
      </c>
      <c r="J627">
        <f t="shared" si="19"/>
        <v>0</v>
      </c>
    </row>
    <row r="628" spans="1:10" x14ac:dyDescent="0.25">
      <c r="A628" t="s">
        <v>2608</v>
      </c>
      <c r="B628">
        <v>840</v>
      </c>
      <c r="C628">
        <f>_xlfn.XLOOKUP(Recon!A628,[1]Backup!AJ:AJ,[1]Backup!L:L)</f>
        <v>43.92</v>
      </c>
      <c r="D628">
        <f>_xlfn.XLOOKUP(Recon!A628,[1]Backup!AJ:AJ,[1]Backup!K:K)</f>
        <v>1.4932799999999999</v>
      </c>
      <c r="E628">
        <f>SUMIF('[1]PO Report'!A:A,Recon!A628,'[1]PO Report'!P:P)</f>
        <v>840</v>
      </c>
      <c r="F628">
        <f>VLOOKUP(A628,'[1]PO Report'!$A:$Z,15,0)</f>
        <v>43.92</v>
      </c>
      <c r="H628">
        <f t="shared" si="18"/>
        <v>0</v>
      </c>
      <c r="J628">
        <f t="shared" si="19"/>
        <v>0</v>
      </c>
    </row>
    <row r="629" spans="1:10" x14ac:dyDescent="0.25">
      <c r="A629" t="s">
        <v>2609</v>
      </c>
      <c r="B629">
        <v>4</v>
      </c>
      <c r="C629">
        <f>_xlfn.XLOOKUP(Recon!A629,[1]Backup!AJ:AJ,[1]Backup!L:L)</f>
        <v>43.92</v>
      </c>
      <c r="D629">
        <f>_xlfn.XLOOKUP(Recon!A629,[1]Backup!AJ:AJ,[1]Backup!K:K)</f>
        <v>1.4932799999999999</v>
      </c>
      <c r="E629">
        <f>SUMIF('[1]PO Report'!A:A,Recon!A629,'[1]PO Report'!P:P)</f>
        <v>4</v>
      </c>
      <c r="F629">
        <f>VLOOKUP(A629,'[1]PO Report'!$A:$Z,15,0)</f>
        <v>43.92</v>
      </c>
      <c r="H629">
        <f t="shared" si="18"/>
        <v>0</v>
      </c>
      <c r="J629">
        <f t="shared" si="19"/>
        <v>0</v>
      </c>
    </row>
    <row r="630" spans="1:10" x14ac:dyDescent="0.25">
      <c r="A630" t="s">
        <v>2610</v>
      </c>
      <c r="B630">
        <v>8</v>
      </c>
      <c r="C630">
        <f>_xlfn.XLOOKUP(Recon!A630,[1]Backup!AJ:AJ,[1]Backup!L:L)</f>
        <v>43.92</v>
      </c>
      <c r="D630">
        <f>_xlfn.XLOOKUP(Recon!A630,[1]Backup!AJ:AJ,[1]Backup!K:K)</f>
        <v>1.4932799999999999</v>
      </c>
      <c r="E630">
        <f>SUMIF('[1]PO Report'!A:A,Recon!A630,'[1]PO Report'!P:P)</f>
        <v>8</v>
      </c>
      <c r="F630">
        <f>VLOOKUP(A630,'[1]PO Report'!$A:$Z,15,0)</f>
        <v>43.92</v>
      </c>
      <c r="H630">
        <f t="shared" si="18"/>
        <v>0</v>
      </c>
      <c r="J630">
        <f t="shared" si="19"/>
        <v>0</v>
      </c>
    </row>
    <row r="631" spans="1:10" x14ac:dyDescent="0.25">
      <c r="A631" t="s">
        <v>2611</v>
      </c>
      <c r="B631">
        <v>36</v>
      </c>
      <c r="C631">
        <f>_xlfn.XLOOKUP(Recon!A631,[1]Backup!AJ:AJ,[1]Backup!L:L)</f>
        <v>43.919999999999995</v>
      </c>
      <c r="D631">
        <f>_xlfn.XLOOKUP(Recon!A631,[1]Backup!AJ:AJ,[1]Backup!K:K)</f>
        <v>1.4932800000000002</v>
      </c>
      <c r="E631">
        <f>SUMIF('[1]PO Report'!A:A,Recon!A631,'[1]PO Report'!P:P)</f>
        <v>36</v>
      </c>
      <c r="F631">
        <f>VLOOKUP(A631,'[1]PO Report'!$A:$Z,15,0)</f>
        <v>43.92</v>
      </c>
      <c r="H631">
        <f t="shared" si="18"/>
        <v>0</v>
      </c>
      <c r="J631">
        <f t="shared" si="19"/>
        <v>0</v>
      </c>
    </row>
    <row r="632" spans="1:10" x14ac:dyDescent="0.25">
      <c r="A632" t="s">
        <v>2612</v>
      </c>
      <c r="B632">
        <v>8</v>
      </c>
      <c r="C632">
        <f>_xlfn.XLOOKUP(Recon!A632,[1]Backup!AJ:AJ,[1]Backup!L:L)</f>
        <v>43.92</v>
      </c>
      <c r="D632">
        <f>_xlfn.XLOOKUP(Recon!A632,[1]Backup!AJ:AJ,[1]Backup!K:K)</f>
        <v>1.4932799999999999</v>
      </c>
      <c r="E632">
        <f>SUMIF('[1]PO Report'!A:A,Recon!A632,'[1]PO Report'!P:P)</f>
        <v>8</v>
      </c>
      <c r="F632">
        <f>VLOOKUP(A632,'[1]PO Report'!$A:$Z,15,0)</f>
        <v>43.92</v>
      </c>
      <c r="H632">
        <f t="shared" si="18"/>
        <v>0</v>
      </c>
      <c r="J632">
        <f t="shared" si="19"/>
        <v>0</v>
      </c>
    </row>
    <row r="633" spans="1:10" x14ac:dyDescent="0.25">
      <c r="A633" t="s">
        <v>2613</v>
      </c>
      <c r="B633">
        <v>12</v>
      </c>
      <c r="C633">
        <f>_xlfn.XLOOKUP(Recon!A633,[1]Backup!AJ:AJ,[1]Backup!L:L)</f>
        <v>157.76</v>
      </c>
      <c r="D633">
        <f>_xlfn.XLOOKUP(Recon!A633,[1]Backup!AJ:AJ,[1]Backup!K:K)</f>
        <v>5.3638399999999997</v>
      </c>
      <c r="E633">
        <f>SUMIF('[1]PO Report'!A:A,Recon!A633,'[1]PO Report'!P:P)</f>
        <v>12</v>
      </c>
      <c r="F633">
        <f>VLOOKUP(A633,'[1]PO Report'!$A:$Z,15,0)</f>
        <v>157.76</v>
      </c>
      <c r="H633">
        <f t="shared" si="18"/>
        <v>0</v>
      </c>
      <c r="J633">
        <f t="shared" si="19"/>
        <v>0</v>
      </c>
    </row>
    <row r="634" spans="1:10" x14ac:dyDescent="0.25">
      <c r="A634" t="s">
        <v>2614</v>
      </c>
      <c r="B634">
        <v>8</v>
      </c>
      <c r="C634">
        <f>_xlfn.XLOOKUP(Recon!A634,[1]Backup!AJ:AJ,[1]Backup!L:L)</f>
        <v>73.34</v>
      </c>
      <c r="D634">
        <f>_xlfn.XLOOKUP(Recon!A634,[1]Backup!AJ:AJ,[1]Backup!K:K)</f>
        <v>2.49356</v>
      </c>
      <c r="E634">
        <f>SUMIF('[1]PO Report'!A:A,Recon!A634,'[1]PO Report'!P:P)</f>
        <v>8</v>
      </c>
      <c r="F634">
        <f>VLOOKUP(A634,'[1]PO Report'!$A:$Z,15,0)</f>
        <v>73.34</v>
      </c>
      <c r="H634">
        <f t="shared" si="18"/>
        <v>0</v>
      </c>
      <c r="J634">
        <f t="shared" si="19"/>
        <v>0</v>
      </c>
    </row>
    <row r="635" spans="1:10" x14ac:dyDescent="0.25">
      <c r="A635" t="s">
        <v>2615</v>
      </c>
      <c r="B635">
        <v>60</v>
      </c>
      <c r="C635">
        <f>_xlfn.XLOOKUP(Recon!A635,[1]Backup!AJ:AJ,[1]Backup!L:L)</f>
        <v>141.92999999999998</v>
      </c>
      <c r="D635">
        <f>_xlfn.XLOOKUP(Recon!A635,[1]Backup!AJ:AJ,[1]Backup!K:K)</f>
        <v>4.8256199999999998</v>
      </c>
      <c r="E635">
        <f>SUMIF('[1]PO Report'!A:A,Recon!A635,'[1]PO Report'!P:P)</f>
        <v>60</v>
      </c>
      <c r="F635">
        <f>VLOOKUP(A635,'[1]PO Report'!$A:$Z,15,0)</f>
        <v>141.93</v>
      </c>
      <c r="H635">
        <f t="shared" si="18"/>
        <v>0</v>
      </c>
      <c r="J635">
        <f t="shared" si="19"/>
        <v>0</v>
      </c>
    </row>
    <row r="636" spans="1:10" x14ac:dyDescent="0.25">
      <c r="A636" t="s">
        <v>2616</v>
      </c>
      <c r="B636">
        <v>56</v>
      </c>
      <c r="C636">
        <f>_xlfn.XLOOKUP(Recon!A636,[1]Backup!AJ:AJ,[1]Backup!L:L)</f>
        <v>32.21</v>
      </c>
      <c r="D636">
        <f>_xlfn.XLOOKUP(Recon!A636,[1]Backup!AJ:AJ,[1]Backup!K:K)</f>
        <v>1.09514</v>
      </c>
      <c r="E636">
        <f>SUMIF('[1]PO Report'!A:A,Recon!A636,'[1]PO Report'!P:P)</f>
        <v>56</v>
      </c>
      <c r="F636">
        <f>VLOOKUP(A636,'[1]PO Report'!$A:$Z,15,0)</f>
        <v>32.21</v>
      </c>
      <c r="H636">
        <f t="shared" si="18"/>
        <v>0</v>
      </c>
      <c r="J636">
        <f t="shared" si="19"/>
        <v>0</v>
      </c>
    </row>
    <row r="637" spans="1:10" x14ac:dyDescent="0.25">
      <c r="A637" t="s">
        <v>2617</v>
      </c>
      <c r="B637">
        <v>10</v>
      </c>
      <c r="C637">
        <f>_xlfn.XLOOKUP(Recon!A637,[1]Backup!AJ:AJ,[1]Backup!L:L)</f>
        <v>16.39</v>
      </c>
      <c r="D637">
        <f>_xlfn.XLOOKUP(Recon!A637,[1]Backup!AJ:AJ,[1]Backup!K:K)</f>
        <v>0.55726000000000009</v>
      </c>
      <c r="E637">
        <f>SUMIF('[1]PO Report'!A:A,Recon!A637,'[1]PO Report'!P:P)</f>
        <v>10</v>
      </c>
      <c r="F637">
        <f>VLOOKUP(A637,'[1]PO Report'!$A:$Z,15,0)</f>
        <v>16.39</v>
      </c>
      <c r="H637">
        <f t="shared" si="18"/>
        <v>0</v>
      </c>
      <c r="J637">
        <f t="shared" si="19"/>
        <v>0</v>
      </c>
    </row>
    <row r="638" spans="1:10" x14ac:dyDescent="0.25">
      <c r="A638" t="s">
        <v>2618</v>
      </c>
      <c r="B638">
        <v>40</v>
      </c>
      <c r="C638">
        <f>_xlfn.XLOOKUP(Recon!A638,[1]Backup!AJ:AJ,[1]Backup!L:L)</f>
        <v>44.84</v>
      </c>
      <c r="D638">
        <f>_xlfn.XLOOKUP(Recon!A638,[1]Backup!AJ:AJ,[1]Backup!K:K)</f>
        <v>1.5245600000000001</v>
      </c>
      <c r="E638">
        <f>SUMIF('[1]PO Report'!A:A,Recon!A638,'[1]PO Report'!P:P)</f>
        <v>40</v>
      </c>
      <c r="F638">
        <f>VLOOKUP(A638,'[1]PO Report'!$A:$Z,15,0)</f>
        <v>44.84</v>
      </c>
      <c r="H638">
        <f t="shared" si="18"/>
        <v>0</v>
      </c>
      <c r="J638">
        <f t="shared" si="19"/>
        <v>0</v>
      </c>
    </row>
    <row r="639" spans="1:10" x14ac:dyDescent="0.25">
      <c r="A639" t="s">
        <v>2619</v>
      </c>
      <c r="B639">
        <v>1</v>
      </c>
      <c r="C639">
        <f>_xlfn.XLOOKUP(Recon!A639,[1]Backup!AJ:AJ,[1]Backup!L:L)</f>
        <v>210.52</v>
      </c>
      <c r="D639">
        <f>_xlfn.XLOOKUP(Recon!A639,[1]Backup!AJ:AJ,[1]Backup!K:K)</f>
        <v>7.15768</v>
      </c>
      <c r="E639">
        <f>SUMIF('[1]PO Report'!A:A,Recon!A639,'[1]PO Report'!P:P)</f>
        <v>1</v>
      </c>
      <c r="F639">
        <f>VLOOKUP(A639,'[1]PO Report'!$A:$Z,15,0)</f>
        <v>210.52</v>
      </c>
      <c r="H639">
        <f t="shared" si="18"/>
        <v>0</v>
      </c>
      <c r="J639">
        <f t="shared" si="19"/>
        <v>0</v>
      </c>
    </row>
    <row r="640" spans="1:10" x14ac:dyDescent="0.25">
      <c r="A640" t="s">
        <v>2620</v>
      </c>
      <c r="B640">
        <v>4</v>
      </c>
      <c r="C640">
        <f>_xlfn.XLOOKUP(Recon!A640,[1]Backup!AJ:AJ,[1]Backup!L:L)</f>
        <v>61.12</v>
      </c>
      <c r="D640">
        <f>_xlfn.XLOOKUP(Recon!A640,[1]Backup!AJ:AJ,[1]Backup!K:K)</f>
        <v>2.0780799999999999</v>
      </c>
      <c r="E640">
        <f>SUMIF('[1]PO Report'!A:A,Recon!A640,'[1]PO Report'!P:P)</f>
        <v>4</v>
      </c>
      <c r="F640">
        <f>VLOOKUP(A640,'[1]PO Report'!$A:$Z,15,0)</f>
        <v>61.12</v>
      </c>
      <c r="H640">
        <f t="shared" si="18"/>
        <v>0</v>
      </c>
      <c r="J640">
        <f t="shared" si="19"/>
        <v>0</v>
      </c>
    </row>
    <row r="641" spans="1:10" x14ac:dyDescent="0.25">
      <c r="A641" t="s">
        <v>2621</v>
      </c>
      <c r="B641">
        <v>4</v>
      </c>
      <c r="C641">
        <f>_xlfn.XLOOKUP(Recon!A641,[1]Backup!AJ:AJ,[1]Backup!L:L)</f>
        <v>74.84</v>
      </c>
      <c r="D641">
        <f>_xlfn.XLOOKUP(Recon!A641,[1]Backup!AJ:AJ,[1]Backup!K:K)</f>
        <v>2.5445600000000002</v>
      </c>
      <c r="E641">
        <f>SUMIF('[1]PO Report'!A:A,Recon!A641,'[1]PO Report'!P:P)</f>
        <v>4</v>
      </c>
      <c r="F641">
        <f>VLOOKUP(A641,'[1]PO Report'!$A:$Z,15,0)</f>
        <v>74.84</v>
      </c>
      <c r="H641">
        <f t="shared" si="18"/>
        <v>0</v>
      </c>
      <c r="J641">
        <f t="shared" si="19"/>
        <v>0</v>
      </c>
    </row>
    <row r="642" spans="1:10" x14ac:dyDescent="0.25">
      <c r="A642" t="s">
        <v>2622</v>
      </c>
      <c r="B642">
        <v>24</v>
      </c>
      <c r="C642">
        <f>_xlfn.XLOOKUP(Recon!A642,[1]Backup!AJ:AJ,[1]Backup!L:L)</f>
        <v>110.27</v>
      </c>
      <c r="D642">
        <f>_xlfn.XLOOKUP(Recon!A642,[1]Backup!AJ:AJ,[1]Backup!K:K)</f>
        <v>3.74918</v>
      </c>
      <c r="E642">
        <f>SUMIF('[1]PO Report'!A:A,Recon!A642,'[1]PO Report'!P:P)</f>
        <v>24</v>
      </c>
      <c r="F642">
        <f>VLOOKUP(A642,'[1]PO Report'!$A:$Z,15,0)</f>
        <v>110.27</v>
      </c>
      <c r="H642">
        <f t="shared" si="18"/>
        <v>0</v>
      </c>
      <c r="J642">
        <f t="shared" si="19"/>
        <v>0</v>
      </c>
    </row>
    <row r="643" spans="1:10" x14ac:dyDescent="0.25">
      <c r="A643" t="s">
        <v>2623</v>
      </c>
      <c r="B643">
        <v>42</v>
      </c>
      <c r="C643">
        <f>_xlfn.XLOOKUP(Recon!A643,[1]Backup!AJ:AJ,[1]Backup!L:L)</f>
        <v>240.27</v>
      </c>
      <c r="D643">
        <f>_xlfn.XLOOKUP(Recon!A643,[1]Backup!AJ:AJ,[1]Backup!K:K)</f>
        <v>8.1691800000000008</v>
      </c>
      <c r="E643">
        <f>SUMIF('[1]PO Report'!A:A,Recon!A643,'[1]PO Report'!P:P)</f>
        <v>42</v>
      </c>
      <c r="F643">
        <f>VLOOKUP(A643,'[1]PO Report'!$A:$Z,15,0)</f>
        <v>240.27</v>
      </c>
      <c r="H643">
        <f t="shared" si="18"/>
        <v>0</v>
      </c>
      <c r="J643">
        <f t="shared" si="19"/>
        <v>0</v>
      </c>
    </row>
    <row r="644" spans="1:10" x14ac:dyDescent="0.25">
      <c r="A644" t="s">
        <v>2624</v>
      </c>
      <c r="B644">
        <v>14</v>
      </c>
      <c r="C644">
        <f>_xlfn.XLOOKUP(Recon!A644,[1]Backup!AJ:AJ,[1]Backup!L:L)</f>
        <v>226.35</v>
      </c>
      <c r="D644">
        <f>_xlfn.XLOOKUP(Recon!A644,[1]Backup!AJ:AJ,[1]Backup!K:K)</f>
        <v>7.6959</v>
      </c>
      <c r="E644">
        <f>SUMIF('[1]PO Report'!A:A,Recon!A644,'[1]PO Report'!P:P)</f>
        <v>14</v>
      </c>
      <c r="F644">
        <f>VLOOKUP(A644,'[1]PO Report'!$A:$Z,15,0)</f>
        <v>226.35</v>
      </c>
      <c r="H644">
        <f t="shared" ref="H644:H707" si="20">B644-E644</f>
        <v>0</v>
      </c>
      <c r="J644">
        <f t="shared" ref="J644:J707" si="21">C644-F644</f>
        <v>0</v>
      </c>
    </row>
    <row r="645" spans="1:10" x14ac:dyDescent="0.25">
      <c r="A645" t="s">
        <v>2625</v>
      </c>
      <c r="B645">
        <v>18</v>
      </c>
      <c r="C645">
        <f>_xlfn.XLOOKUP(Recon!A645,[1]Backup!AJ:AJ,[1]Backup!L:L)</f>
        <v>29</v>
      </c>
      <c r="D645">
        <f>_xlfn.XLOOKUP(Recon!A645,[1]Backup!AJ:AJ,[1]Backup!K:K)</f>
        <v>0.9860000000000001</v>
      </c>
      <c r="E645">
        <f>SUMIF('[1]PO Report'!A:A,Recon!A645,'[1]PO Report'!P:P)</f>
        <v>18</v>
      </c>
      <c r="F645">
        <f>VLOOKUP(A645,'[1]PO Report'!$A:$Z,15,0)</f>
        <v>29</v>
      </c>
      <c r="H645">
        <f t="shared" si="20"/>
        <v>0</v>
      </c>
      <c r="J645">
        <f t="shared" si="21"/>
        <v>0</v>
      </c>
    </row>
    <row r="646" spans="1:10" x14ac:dyDescent="0.25">
      <c r="A646" t="s">
        <v>2626</v>
      </c>
      <c r="B646">
        <v>6</v>
      </c>
      <c r="C646">
        <f>_xlfn.XLOOKUP(Recon!A646,[1]Backup!AJ:AJ,[1]Backup!L:L)</f>
        <v>29</v>
      </c>
      <c r="D646">
        <f>_xlfn.XLOOKUP(Recon!A646,[1]Backup!AJ:AJ,[1]Backup!K:K)</f>
        <v>0.9860000000000001</v>
      </c>
      <c r="E646">
        <f>SUMIF('[1]PO Report'!A:A,Recon!A646,'[1]PO Report'!P:P)</f>
        <v>6</v>
      </c>
      <c r="F646">
        <f>VLOOKUP(A646,'[1]PO Report'!$A:$Z,15,0)</f>
        <v>29</v>
      </c>
      <c r="H646">
        <f t="shared" si="20"/>
        <v>0</v>
      </c>
      <c r="J646">
        <f t="shared" si="21"/>
        <v>0</v>
      </c>
    </row>
    <row r="647" spans="1:10" x14ac:dyDescent="0.25">
      <c r="A647" t="s">
        <v>2627</v>
      </c>
      <c r="B647">
        <v>8</v>
      </c>
      <c r="C647">
        <f>_xlfn.XLOOKUP(Recon!A647,[1]Backup!AJ:AJ,[1]Backup!L:L)</f>
        <v>110.27</v>
      </c>
      <c r="D647">
        <f>_xlfn.XLOOKUP(Recon!A647,[1]Backup!AJ:AJ,[1]Backup!K:K)</f>
        <v>3.74918</v>
      </c>
      <c r="E647">
        <f>SUMIF('[1]PO Report'!A:A,Recon!A647,'[1]PO Report'!P:P)</f>
        <v>8</v>
      </c>
      <c r="F647">
        <f>VLOOKUP(A647,'[1]PO Report'!$A:$Z,15,0)</f>
        <v>110.27</v>
      </c>
      <c r="H647">
        <f t="shared" si="20"/>
        <v>0</v>
      </c>
      <c r="J647">
        <f t="shared" si="21"/>
        <v>0</v>
      </c>
    </row>
    <row r="648" spans="1:10" x14ac:dyDescent="0.25">
      <c r="A648" t="s">
        <v>2628</v>
      </c>
      <c r="B648">
        <v>40</v>
      </c>
      <c r="C648">
        <f>_xlfn.XLOOKUP(Recon!A648,[1]Backup!AJ:AJ,[1]Backup!L:L)</f>
        <v>8.89</v>
      </c>
      <c r="D648">
        <f>_xlfn.XLOOKUP(Recon!A648,[1]Backup!AJ:AJ,[1]Backup!K:K)</f>
        <v>0.30226000000000003</v>
      </c>
      <c r="E648">
        <f>SUMIF('[1]PO Report'!A:A,Recon!A648,'[1]PO Report'!P:P)</f>
        <v>40</v>
      </c>
      <c r="F648">
        <f>VLOOKUP(A648,'[1]PO Report'!$A:$Z,15,0)</f>
        <v>8.89</v>
      </c>
      <c r="H648">
        <f t="shared" si="20"/>
        <v>0</v>
      </c>
      <c r="J648">
        <f t="shared" si="21"/>
        <v>0</v>
      </c>
    </row>
    <row r="649" spans="1:10" x14ac:dyDescent="0.25">
      <c r="A649" t="s">
        <v>2629</v>
      </c>
      <c r="B649">
        <v>4</v>
      </c>
      <c r="C649">
        <f>_xlfn.XLOOKUP(Recon!A649,[1]Backup!AJ:AJ,[1]Backup!L:L)</f>
        <v>43.92</v>
      </c>
      <c r="D649">
        <f>_xlfn.XLOOKUP(Recon!A649,[1]Backup!AJ:AJ,[1]Backup!K:K)</f>
        <v>1.4932799999999999</v>
      </c>
      <c r="E649">
        <f>SUMIF('[1]PO Report'!A:A,Recon!A649,'[1]PO Report'!P:P)</f>
        <v>4</v>
      </c>
      <c r="F649">
        <f>VLOOKUP(A649,'[1]PO Report'!$A:$Z,15,0)</f>
        <v>43.92</v>
      </c>
      <c r="H649">
        <f t="shared" si="20"/>
        <v>0</v>
      </c>
      <c r="J649">
        <f t="shared" si="21"/>
        <v>0</v>
      </c>
    </row>
    <row r="650" spans="1:10" x14ac:dyDescent="0.25">
      <c r="A650" t="s">
        <v>2630</v>
      </c>
      <c r="B650">
        <v>50</v>
      </c>
      <c r="C650">
        <f>_xlfn.XLOOKUP(Recon!A650,[1]Backup!AJ:AJ,[1]Backup!L:L)</f>
        <v>9.36</v>
      </c>
      <c r="D650">
        <f>_xlfn.XLOOKUP(Recon!A650,[1]Backup!AJ:AJ,[1]Backup!K:K)</f>
        <v>0.31824000000000002</v>
      </c>
      <c r="E650">
        <f>SUMIF('[1]PO Report'!A:A,Recon!A650,'[1]PO Report'!P:P)</f>
        <v>50</v>
      </c>
      <c r="F650">
        <f>VLOOKUP(A650,'[1]PO Report'!$A:$Z,15,0)</f>
        <v>9.36</v>
      </c>
      <c r="H650">
        <f t="shared" si="20"/>
        <v>0</v>
      </c>
      <c r="J650">
        <f t="shared" si="21"/>
        <v>0</v>
      </c>
    </row>
    <row r="651" spans="1:10" x14ac:dyDescent="0.25">
      <c r="A651" t="s">
        <v>2631</v>
      </c>
      <c r="B651">
        <v>4</v>
      </c>
      <c r="C651">
        <f>_xlfn.XLOOKUP(Recon!A651,[1]Backup!AJ:AJ,[1]Backup!L:L)</f>
        <v>35.130000000000003</v>
      </c>
      <c r="D651">
        <f>_xlfn.XLOOKUP(Recon!A651,[1]Backup!AJ:AJ,[1]Backup!K:K)</f>
        <v>1.19442</v>
      </c>
      <c r="E651">
        <f>SUMIF('[1]PO Report'!A:A,Recon!A651,'[1]PO Report'!P:P)</f>
        <v>4</v>
      </c>
      <c r="F651">
        <f>VLOOKUP(A651,'[1]PO Report'!$A:$Z,15,0)</f>
        <v>35.130000000000003</v>
      </c>
      <c r="H651">
        <f t="shared" si="20"/>
        <v>0</v>
      </c>
      <c r="J651">
        <f t="shared" si="21"/>
        <v>0</v>
      </c>
    </row>
    <row r="652" spans="1:10" x14ac:dyDescent="0.25">
      <c r="A652" t="s">
        <v>2632</v>
      </c>
      <c r="B652">
        <v>304</v>
      </c>
      <c r="C652">
        <f>_xlfn.XLOOKUP(Recon!A652,[1]Backup!AJ:AJ,[1]Backup!L:L)</f>
        <v>21.099999999999998</v>
      </c>
      <c r="D652">
        <f>_xlfn.XLOOKUP(Recon!A652,[1]Backup!AJ:AJ,[1]Backup!K:K)</f>
        <v>0.71739999999999993</v>
      </c>
      <c r="E652">
        <f>SUMIF('[1]PO Report'!A:A,Recon!A652,'[1]PO Report'!P:P)</f>
        <v>308</v>
      </c>
      <c r="F652">
        <f>VLOOKUP(A652,'[1]PO Report'!$A:$Z,15,0)</f>
        <v>21.1</v>
      </c>
      <c r="H652">
        <f t="shared" si="20"/>
        <v>-4</v>
      </c>
      <c r="J652">
        <f t="shared" si="21"/>
        <v>0</v>
      </c>
    </row>
    <row r="653" spans="1:10" x14ac:dyDescent="0.25">
      <c r="A653" t="s">
        <v>2633</v>
      </c>
      <c r="B653">
        <v>50</v>
      </c>
      <c r="C653">
        <f>_xlfn.XLOOKUP(Recon!A653,[1]Backup!AJ:AJ,[1]Backup!L:L)</f>
        <v>32.21</v>
      </c>
      <c r="D653">
        <f>_xlfn.XLOOKUP(Recon!A653,[1]Backup!AJ:AJ,[1]Backup!K:K)</f>
        <v>1.09514</v>
      </c>
      <c r="E653">
        <f>SUMIF('[1]PO Report'!A:A,Recon!A653,'[1]PO Report'!P:P)</f>
        <v>50</v>
      </c>
      <c r="F653">
        <f>VLOOKUP(A653,'[1]PO Report'!$A:$Z,15,0)</f>
        <v>32.21</v>
      </c>
      <c r="H653">
        <f t="shared" si="20"/>
        <v>0</v>
      </c>
      <c r="J653">
        <f t="shared" si="21"/>
        <v>0</v>
      </c>
    </row>
    <row r="654" spans="1:10" x14ac:dyDescent="0.25">
      <c r="A654" t="s">
        <v>2634</v>
      </c>
      <c r="B654">
        <v>20</v>
      </c>
      <c r="C654">
        <f>_xlfn.XLOOKUP(Recon!A654,[1]Backup!AJ:AJ,[1]Backup!L:L)</f>
        <v>11.6</v>
      </c>
      <c r="D654">
        <f>_xlfn.XLOOKUP(Recon!A654,[1]Backup!AJ:AJ,[1]Backup!K:K)</f>
        <v>0.39439999999999997</v>
      </c>
      <c r="E654">
        <f>SUMIF('[1]PO Report'!A:A,Recon!A654,'[1]PO Report'!P:P)</f>
        <v>20</v>
      </c>
      <c r="F654">
        <f>VLOOKUP(A654,'[1]PO Report'!$A:$Z,15,0)</f>
        <v>11.6</v>
      </c>
      <c r="H654">
        <f t="shared" si="20"/>
        <v>0</v>
      </c>
      <c r="J654">
        <f t="shared" si="21"/>
        <v>0</v>
      </c>
    </row>
    <row r="655" spans="1:10" x14ac:dyDescent="0.25">
      <c r="A655" t="s">
        <v>2635</v>
      </c>
      <c r="B655">
        <v>96</v>
      </c>
      <c r="C655">
        <f>_xlfn.XLOOKUP(Recon!A655,[1]Backup!AJ:AJ,[1]Backup!L:L)</f>
        <v>18.46</v>
      </c>
      <c r="D655">
        <f>_xlfn.XLOOKUP(Recon!A655,[1]Backup!AJ:AJ,[1]Backup!K:K)</f>
        <v>0.62763999999999998</v>
      </c>
      <c r="E655">
        <f>SUMIF('[1]PO Report'!A:A,Recon!A655,'[1]PO Report'!P:P)</f>
        <v>96</v>
      </c>
      <c r="F655">
        <f>VLOOKUP(A655,'[1]PO Report'!$A:$Z,15,0)</f>
        <v>18.46</v>
      </c>
      <c r="H655">
        <f t="shared" si="20"/>
        <v>0</v>
      </c>
      <c r="J655">
        <f t="shared" si="21"/>
        <v>0</v>
      </c>
    </row>
    <row r="656" spans="1:10" x14ac:dyDescent="0.25">
      <c r="A656" t="s">
        <v>2636</v>
      </c>
      <c r="B656">
        <v>16</v>
      </c>
      <c r="C656">
        <f>_xlfn.XLOOKUP(Recon!A656,[1]Backup!AJ:AJ,[1]Backup!L:L)</f>
        <v>44.95</v>
      </c>
      <c r="D656">
        <f>_xlfn.XLOOKUP(Recon!A656,[1]Backup!AJ:AJ,[1]Backup!K:K)</f>
        <v>1.5283</v>
      </c>
      <c r="E656">
        <f>SUMIF('[1]PO Report'!A:A,Recon!A656,'[1]PO Report'!P:P)</f>
        <v>16</v>
      </c>
      <c r="F656">
        <f>VLOOKUP(A656,'[1]PO Report'!$A:$Z,15,0)</f>
        <v>44.95</v>
      </c>
      <c r="H656">
        <f t="shared" si="20"/>
        <v>0</v>
      </c>
      <c r="J656">
        <f t="shared" si="21"/>
        <v>0</v>
      </c>
    </row>
    <row r="657" spans="1:10" x14ac:dyDescent="0.25">
      <c r="A657" t="s">
        <v>2637</v>
      </c>
      <c r="B657">
        <v>40</v>
      </c>
      <c r="C657">
        <f>_xlfn.XLOOKUP(Recon!A657,[1]Backup!AJ:AJ,[1]Backup!L:L)</f>
        <v>44.839999999999996</v>
      </c>
      <c r="D657">
        <f>_xlfn.XLOOKUP(Recon!A657,[1]Backup!AJ:AJ,[1]Backup!K:K)</f>
        <v>1.5245599999999999</v>
      </c>
      <c r="E657">
        <f>SUMIF('[1]PO Report'!A:A,Recon!A657,'[1]PO Report'!P:P)</f>
        <v>40</v>
      </c>
      <c r="F657">
        <f>VLOOKUP(A657,'[1]PO Report'!$A:$Z,15,0)</f>
        <v>44.84</v>
      </c>
      <c r="H657">
        <f t="shared" si="20"/>
        <v>0</v>
      </c>
      <c r="J657">
        <f t="shared" si="21"/>
        <v>0</v>
      </c>
    </row>
    <row r="658" spans="1:10" x14ac:dyDescent="0.25">
      <c r="A658" t="s">
        <v>2638</v>
      </c>
      <c r="B658">
        <v>24</v>
      </c>
      <c r="C658">
        <f>_xlfn.XLOOKUP(Recon!A658,[1]Backup!AJ:AJ,[1]Backup!L:L)</f>
        <v>29.01</v>
      </c>
      <c r="D658">
        <f>_xlfn.XLOOKUP(Recon!A658,[1]Backup!AJ:AJ,[1]Backup!K:K)</f>
        <v>0.98634000000000011</v>
      </c>
      <c r="E658">
        <f>SUMIF('[1]PO Report'!A:A,Recon!A658,'[1]PO Report'!P:P)</f>
        <v>24</v>
      </c>
      <c r="F658">
        <f>VLOOKUP(A658,'[1]PO Report'!$A:$Z,15,0)</f>
        <v>29.01</v>
      </c>
      <c r="H658">
        <f t="shared" si="20"/>
        <v>0</v>
      </c>
      <c r="J658">
        <f t="shared" si="21"/>
        <v>0</v>
      </c>
    </row>
    <row r="659" spans="1:10" x14ac:dyDescent="0.25">
      <c r="A659" t="s">
        <v>2639</v>
      </c>
      <c r="B659">
        <v>136</v>
      </c>
      <c r="C659">
        <f>_xlfn.XLOOKUP(Recon!A659,[1]Backup!AJ:AJ,[1]Backup!L:L)</f>
        <v>73.34</v>
      </c>
      <c r="D659">
        <f>_xlfn.XLOOKUP(Recon!A659,[1]Backup!AJ:AJ,[1]Backup!K:K)</f>
        <v>2.49356</v>
      </c>
      <c r="E659">
        <f>SUMIF('[1]PO Report'!A:A,Recon!A659,'[1]PO Report'!P:P)</f>
        <v>136</v>
      </c>
      <c r="F659">
        <f>VLOOKUP(A659,'[1]PO Report'!$A:$Z,15,0)</f>
        <v>73.34</v>
      </c>
      <c r="H659">
        <f t="shared" si="20"/>
        <v>0</v>
      </c>
      <c r="J659">
        <f t="shared" si="21"/>
        <v>0</v>
      </c>
    </row>
    <row r="660" spans="1:10" x14ac:dyDescent="0.25">
      <c r="A660" t="s">
        <v>2640</v>
      </c>
      <c r="B660">
        <v>312</v>
      </c>
      <c r="C660">
        <f>_xlfn.XLOOKUP(Recon!A660,[1]Backup!AJ:AJ,[1]Backup!L:L)</f>
        <v>69.03</v>
      </c>
      <c r="D660">
        <f>_xlfn.XLOOKUP(Recon!A660,[1]Backup!AJ:AJ,[1]Backup!K:K)</f>
        <v>2.3470200000000001</v>
      </c>
      <c r="E660">
        <f>SUMIF('[1]PO Report'!A:A,Recon!A660,'[1]PO Report'!P:P)</f>
        <v>304</v>
      </c>
      <c r="F660">
        <f>VLOOKUP(A660,'[1]PO Report'!$A:$Z,15,0)</f>
        <v>69.03</v>
      </c>
      <c r="H660">
        <f t="shared" si="20"/>
        <v>8</v>
      </c>
      <c r="I660">
        <f>H660*D660</f>
        <v>18.776160000000001</v>
      </c>
      <c r="J660">
        <f t="shared" si="21"/>
        <v>0</v>
      </c>
    </row>
    <row r="661" spans="1:10" x14ac:dyDescent="0.25">
      <c r="A661" t="s">
        <v>2641</v>
      </c>
      <c r="B661">
        <v>44</v>
      </c>
      <c r="C661">
        <f>_xlfn.XLOOKUP(Recon!A661,[1]Backup!AJ:AJ,[1]Backup!L:L)</f>
        <v>116.89</v>
      </c>
      <c r="D661">
        <f>_xlfn.XLOOKUP(Recon!A661,[1]Backup!AJ:AJ,[1]Backup!K:K)</f>
        <v>3.9742599999999997</v>
      </c>
      <c r="E661">
        <f>SUMIF('[1]PO Report'!A:A,Recon!A661,'[1]PO Report'!P:P)</f>
        <v>44</v>
      </c>
      <c r="F661">
        <f>VLOOKUP(A661,'[1]PO Report'!$A:$Z,15,0)</f>
        <v>116.89</v>
      </c>
      <c r="H661">
        <f t="shared" si="20"/>
        <v>0</v>
      </c>
      <c r="J661">
        <f t="shared" si="21"/>
        <v>0</v>
      </c>
    </row>
    <row r="662" spans="1:10" x14ac:dyDescent="0.25">
      <c r="A662" t="s">
        <v>2642</v>
      </c>
      <c r="B662">
        <v>180</v>
      </c>
      <c r="C662">
        <f>_xlfn.XLOOKUP(Recon!A662,[1]Backup!AJ:AJ,[1]Backup!L:L)</f>
        <v>83.89</v>
      </c>
      <c r="D662">
        <f>_xlfn.XLOOKUP(Recon!A662,[1]Backup!AJ:AJ,[1]Backup!K:K)</f>
        <v>2.8522599999999998</v>
      </c>
      <c r="E662">
        <f>SUMIF('[1]PO Report'!A:A,Recon!A662,'[1]PO Report'!P:P)</f>
        <v>180</v>
      </c>
      <c r="F662">
        <f>VLOOKUP(A662,'[1]PO Report'!$A:$Z,15,0)</f>
        <v>83.89</v>
      </c>
      <c r="H662">
        <f t="shared" si="20"/>
        <v>0</v>
      </c>
      <c r="J662">
        <f t="shared" si="21"/>
        <v>0</v>
      </c>
    </row>
    <row r="663" spans="1:10" x14ac:dyDescent="0.25">
      <c r="A663" t="s">
        <v>2643</v>
      </c>
      <c r="B663">
        <v>24</v>
      </c>
      <c r="C663">
        <f>_xlfn.XLOOKUP(Recon!A663,[1]Backup!AJ:AJ,[1]Backup!L:L)</f>
        <v>83.89</v>
      </c>
      <c r="D663">
        <f>_xlfn.XLOOKUP(Recon!A663,[1]Backup!AJ:AJ,[1]Backup!K:K)</f>
        <v>2.8522599999999998</v>
      </c>
      <c r="E663">
        <f>SUMIF('[1]PO Report'!A:A,Recon!A663,'[1]PO Report'!P:P)</f>
        <v>24</v>
      </c>
      <c r="F663">
        <f>VLOOKUP(A663,'[1]PO Report'!$A:$Z,15,0)</f>
        <v>83.89</v>
      </c>
      <c r="H663">
        <f t="shared" si="20"/>
        <v>0</v>
      </c>
      <c r="J663">
        <f t="shared" si="21"/>
        <v>0</v>
      </c>
    </row>
    <row r="664" spans="1:10" x14ac:dyDescent="0.25">
      <c r="A664" t="s">
        <v>2644</v>
      </c>
      <c r="B664">
        <v>64</v>
      </c>
      <c r="C664">
        <f>_xlfn.XLOOKUP(Recon!A664,[1]Backup!AJ:AJ,[1]Backup!L:L)</f>
        <v>11.59</v>
      </c>
      <c r="D664">
        <f>_xlfn.XLOOKUP(Recon!A664,[1]Backup!AJ:AJ,[1]Backup!K:K)</f>
        <v>0.39406000000000002</v>
      </c>
      <c r="E664">
        <f>SUMIF('[1]PO Report'!A:A,Recon!A664,'[1]PO Report'!P:P)</f>
        <v>64</v>
      </c>
      <c r="F664">
        <f>VLOOKUP(A664,'[1]PO Report'!$A:$Z,15,0)</f>
        <v>11.59</v>
      </c>
      <c r="H664">
        <f t="shared" si="20"/>
        <v>0</v>
      </c>
      <c r="J664">
        <f t="shared" si="21"/>
        <v>0</v>
      </c>
    </row>
    <row r="665" spans="1:10" x14ac:dyDescent="0.25">
      <c r="A665" t="s">
        <v>2645</v>
      </c>
      <c r="B665">
        <v>40</v>
      </c>
      <c r="C665">
        <f>_xlfn.XLOOKUP(Recon!A665,[1]Backup!AJ:AJ,[1]Backup!L:L)</f>
        <v>104.41</v>
      </c>
      <c r="D665">
        <f>_xlfn.XLOOKUP(Recon!A665,[1]Backup!AJ:AJ,[1]Backup!K:K)</f>
        <v>3.5499400000000003</v>
      </c>
      <c r="E665">
        <f>SUMIF('[1]PO Report'!A:A,Recon!A665,'[1]PO Report'!P:P)</f>
        <v>40</v>
      </c>
      <c r="F665">
        <f>VLOOKUP(A665,'[1]PO Report'!$A:$Z,15,0)</f>
        <v>104.41</v>
      </c>
      <c r="H665">
        <f t="shared" si="20"/>
        <v>0</v>
      </c>
      <c r="J665">
        <f t="shared" si="21"/>
        <v>0</v>
      </c>
    </row>
    <row r="666" spans="1:10" x14ac:dyDescent="0.25">
      <c r="A666" t="s">
        <v>2646</v>
      </c>
      <c r="B666">
        <v>12</v>
      </c>
      <c r="C666">
        <f>_xlfn.XLOOKUP(Recon!A666,[1]Backup!AJ:AJ,[1]Backup!L:L)</f>
        <v>26.37</v>
      </c>
      <c r="D666">
        <f>_xlfn.XLOOKUP(Recon!A666,[1]Backup!AJ:AJ,[1]Backup!K:K)</f>
        <v>0.89658000000000004</v>
      </c>
      <c r="E666">
        <f>SUMIF('[1]PO Report'!A:A,Recon!A666,'[1]PO Report'!P:P)</f>
        <v>12</v>
      </c>
      <c r="F666">
        <f>VLOOKUP(A666,'[1]PO Report'!$A:$Z,15,0)</f>
        <v>26.37</v>
      </c>
      <c r="H666">
        <f t="shared" si="20"/>
        <v>0</v>
      </c>
      <c r="J666">
        <f t="shared" si="21"/>
        <v>0</v>
      </c>
    </row>
    <row r="667" spans="1:10" x14ac:dyDescent="0.25">
      <c r="A667" t="s">
        <v>2647</v>
      </c>
      <c r="B667">
        <v>90</v>
      </c>
      <c r="C667">
        <f>_xlfn.XLOOKUP(Recon!A667,[1]Backup!AJ:AJ,[1]Backup!L:L)</f>
        <v>58</v>
      </c>
      <c r="D667">
        <f>_xlfn.XLOOKUP(Recon!A667,[1]Backup!AJ:AJ,[1]Backup!K:K)</f>
        <v>1.972</v>
      </c>
      <c r="E667">
        <f>SUMIF('[1]PO Report'!A:A,Recon!A667,'[1]PO Report'!P:P)</f>
        <v>90</v>
      </c>
      <c r="F667">
        <f>VLOOKUP(A667,'[1]PO Report'!$A:$Z,15,0)</f>
        <v>58</v>
      </c>
      <c r="H667">
        <f t="shared" si="20"/>
        <v>0</v>
      </c>
      <c r="J667">
        <f t="shared" si="21"/>
        <v>0</v>
      </c>
    </row>
    <row r="668" spans="1:10" x14ac:dyDescent="0.25">
      <c r="A668" t="s">
        <v>2648</v>
      </c>
      <c r="B668">
        <v>40</v>
      </c>
      <c r="C668">
        <f>_xlfn.XLOOKUP(Recon!A668,[1]Backup!AJ:AJ,[1]Backup!L:L)</f>
        <v>8.89</v>
      </c>
      <c r="D668">
        <f>_xlfn.XLOOKUP(Recon!A668,[1]Backup!AJ:AJ,[1]Backup!K:K)</f>
        <v>0.30226000000000003</v>
      </c>
      <c r="E668">
        <f>SUMIF('[1]PO Report'!A:A,Recon!A668,'[1]PO Report'!P:P)</f>
        <v>40</v>
      </c>
      <c r="F668">
        <f>VLOOKUP(A668,'[1]PO Report'!$A:$Z,15,0)</f>
        <v>8.89</v>
      </c>
      <c r="H668">
        <f t="shared" si="20"/>
        <v>0</v>
      </c>
      <c r="J668">
        <f t="shared" si="21"/>
        <v>0</v>
      </c>
    </row>
    <row r="669" spans="1:10" x14ac:dyDescent="0.25">
      <c r="A669" t="s">
        <v>2649</v>
      </c>
      <c r="B669">
        <v>148</v>
      </c>
      <c r="C669">
        <f>_xlfn.XLOOKUP(Recon!A669,[1]Backup!AJ:AJ,[1]Backup!L:L)</f>
        <v>23.74</v>
      </c>
      <c r="D669">
        <f>_xlfn.XLOOKUP(Recon!A669,[1]Backup!AJ:AJ,[1]Backup!K:K)</f>
        <v>0.80715999999999999</v>
      </c>
      <c r="E669">
        <f>SUMIF('[1]PO Report'!A:A,Recon!A669,'[1]PO Report'!P:P)</f>
        <v>148</v>
      </c>
      <c r="F669">
        <f>VLOOKUP(A669,'[1]PO Report'!$A:$Z,15,0)</f>
        <v>23.74</v>
      </c>
      <c r="H669">
        <f t="shared" si="20"/>
        <v>0</v>
      </c>
      <c r="J669">
        <f t="shared" si="21"/>
        <v>0</v>
      </c>
    </row>
    <row r="670" spans="1:10" x14ac:dyDescent="0.25">
      <c r="A670" t="s">
        <v>2650</v>
      </c>
      <c r="B670">
        <v>4</v>
      </c>
      <c r="C670">
        <f>_xlfn.XLOOKUP(Recon!A670,[1]Backup!AJ:AJ,[1]Backup!L:L)</f>
        <v>44.95</v>
      </c>
      <c r="D670">
        <f>_xlfn.XLOOKUP(Recon!A670,[1]Backup!AJ:AJ,[1]Backup!K:K)</f>
        <v>1.5283</v>
      </c>
      <c r="E670">
        <f>SUMIF('[1]PO Report'!A:A,Recon!A670,'[1]PO Report'!P:P)</f>
        <v>4</v>
      </c>
      <c r="F670">
        <f>VLOOKUP(A670,'[1]PO Report'!$A:$Z,15,0)</f>
        <v>44.95</v>
      </c>
      <c r="H670">
        <f t="shared" si="20"/>
        <v>0</v>
      </c>
      <c r="J670">
        <f t="shared" si="21"/>
        <v>0</v>
      </c>
    </row>
    <row r="671" spans="1:10" x14ac:dyDescent="0.25">
      <c r="A671" t="s">
        <v>2651</v>
      </c>
      <c r="B671">
        <v>8</v>
      </c>
      <c r="C671">
        <f>_xlfn.XLOOKUP(Recon!A671,[1]Backup!AJ:AJ,[1]Backup!L:L)</f>
        <v>47.48</v>
      </c>
      <c r="D671">
        <f>_xlfn.XLOOKUP(Recon!A671,[1]Backup!AJ:AJ,[1]Backup!K:K)</f>
        <v>1.61432</v>
      </c>
      <c r="E671">
        <f>SUMIF('[1]PO Report'!A:A,Recon!A671,'[1]PO Report'!P:P)</f>
        <v>8</v>
      </c>
      <c r="F671">
        <f>VLOOKUP(A671,'[1]PO Report'!$A:$Z,15,0)</f>
        <v>47.48</v>
      </c>
      <c r="H671">
        <f t="shared" si="20"/>
        <v>0</v>
      </c>
      <c r="J671">
        <f t="shared" si="21"/>
        <v>0</v>
      </c>
    </row>
    <row r="672" spans="1:10" x14ac:dyDescent="0.25">
      <c r="A672" t="s">
        <v>2652</v>
      </c>
      <c r="B672">
        <v>32</v>
      </c>
      <c r="C672">
        <f>_xlfn.XLOOKUP(Recon!A672,[1]Backup!AJ:AJ,[1]Backup!L:L)</f>
        <v>26.37</v>
      </c>
      <c r="D672">
        <f>_xlfn.XLOOKUP(Recon!A672,[1]Backup!AJ:AJ,[1]Backup!K:K)</f>
        <v>0.89658000000000004</v>
      </c>
      <c r="E672">
        <f>SUMIF('[1]PO Report'!A:A,Recon!A672,'[1]PO Report'!P:P)</f>
        <v>32</v>
      </c>
      <c r="F672">
        <f>VLOOKUP(A672,'[1]PO Report'!$A:$Z,15,0)</f>
        <v>26.37</v>
      </c>
      <c r="H672">
        <f t="shared" si="20"/>
        <v>0</v>
      </c>
      <c r="J672">
        <f t="shared" si="21"/>
        <v>0</v>
      </c>
    </row>
    <row r="673" spans="1:10" x14ac:dyDescent="0.25">
      <c r="A673" t="s">
        <v>2653</v>
      </c>
      <c r="B673">
        <v>8</v>
      </c>
      <c r="C673">
        <f>_xlfn.XLOOKUP(Recon!A673,[1]Backup!AJ:AJ,[1]Backup!L:L)</f>
        <v>92.24</v>
      </c>
      <c r="D673">
        <f>_xlfn.XLOOKUP(Recon!A673,[1]Backup!AJ:AJ,[1]Backup!K:K)</f>
        <v>3.1361599999999998</v>
      </c>
      <c r="E673">
        <f>SUMIF('[1]PO Report'!A:A,Recon!A673,'[1]PO Report'!P:P)</f>
        <v>8</v>
      </c>
      <c r="F673">
        <f>VLOOKUP(A673,'[1]PO Report'!$A:$Z,15,0)</f>
        <v>92.24</v>
      </c>
      <c r="H673">
        <f t="shared" si="20"/>
        <v>0</v>
      </c>
      <c r="J673">
        <f t="shared" si="21"/>
        <v>0</v>
      </c>
    </row>
    <row r="674" spans="1:10" x14ac:dyDescent="0.25">
      <c r="A674" t="s">
        <v>2654</v>
      </c>
      <c r="B674">
        <v>4</v>
      </c>
      <c r="C674">
        <f>_xlfn.XLOOKUP(Recon!A674,[1]Backup!AJ:AJ,[1]Backup!L:L)</f>
        <v>18.46</v>
      </c>
      <c r="D674">
        <f>_xlfn.XLOOKUP(Recon!A674,[1]Backup!AJ:AJ,[1]Backup!K:K)</f>
        <v>0.62763999999999998</v>
      </c>
      <c r="E674">
        <f>SUMIF('[1]PO Report'!A:A,Recon!A674,'[1]PO Report'!P:P)</f>
        <v>4</v>
      </c>
      <c r="F674">
        <f>VLOOKUP(A674,'[1]PO Report'!$A:$Z,15,0)</f>
        <v>18.46</v>
      </c>
      <c r="H674">
        <f t="shared" si="20"/>
        <v>0</v>
      </c>
      <c r="J674">
        <f t="shared" si="21"/>
        <v>0</v>
      </c>
    </row>
    <row r="675" spans="1:10" x14ac:dyDescent="0.25">
      <c r="A675" t="s">
        <v>2655</v>
      </c>
      <c r="B675">
        <v>124</v>
      </c>
      <c r="C675">
        <f>_xlfn.XLOOKUP(Recon!A675,[1]Backup!AJ:AJ,[1]Backup!L:L)</f>
        <v>23.740000000000002</v>
      </c>
      <c r="D675">
        <f>_xlfn.XLOOKUP(Recon!A675,[1]Backup!AJ:AJ,[1]Backup!K:K)</f>
        <v>0.80715999999999999</v>
      </c>
      <c r="E675">
        <f>SUMIF('[1]PO Report'!A:A,Recon!A675,'[1]PO Report'!P:P)</f>
        <v>124</v>
      </c>
      <c r="F675">
        <f>VLOOKUP(A675,'[1]PO Report'!$A:$Z,15,0)</f>
        <v>23.74</v>
      </c>
      <c r="H675">
        <f t="shared" si="20"/>
        <v>0</v>
      </c>
      <c r="J675">
        <f t="shared" si="21"/>
        <v>0</v>
      </c>
    </row>
    <row r="676" spans="1:10" x14ac:dyDescent="0.25">
      <c r="A676" t="s">
        <v>2656</v>
      </c>
      <c r="B676">
        <v>4</v>
      </c>
      <c r="C676">
        <f>_xlfn.XLOOKUP(Recon!A676,[1]Backup!AJ:AJ,[1]Backup!L:L)</f>
        <v>44.95</v>
      </c>
      <c r="D676">
        <f>_xlfn.XLOOKUP(Recon!A676,[1]Backup!AJ:AJ,[1]Backup!K:K)</f>
        <v>1.5283</v>
      </c>
      <c r="E676">
        <f>SUMIF('[1]PO Report'!A:A,Recon!A676,'[1]PO Report'!P:P)</f>
        <v>4</v>
      </c>
      <c r="F676">
        <f>VLOOKUP(A676,'[1]PO Report'!$A:$Z,15,0)</f>
        <v>44.95</v>
      </c>
      <c r="H676">
        <f t="shared" si="20"/>
        <v>0</v>
      </c>
      <c r="J676">
        <f t="shared" si="21"/>
        <v>0</v>
      </c>
    </row>
    <row r="677" spans="1:10" x14ac:dyDescent="0.25">
      <c r="A677" t="s">
        <v>2657</v>
      </c>
      <c r="B677">
        <v>12</v>
      </c>
      <c r="C677">
        <f>_xlfn.XLOOKUP(Recon!A677,[1]Backup!AJ:AJ,[1]Backup!L:L)</f>
        <v>44.949999999999996</v>
      </c>
      <c r="D677">
        <f>_xlfn.XLOOKUP(Recon!A677,[1]Backup!AJ:AJ,[1]Backup!K:K)</f>
        <v>1.5283</v>
      </c>
      <c r="E677">
        <f>SUMIF('[1]PO Report'!A:A,Recon!A677,'[1]PO Report'!P:P)</f>
        <v>12</v>
      </c>
      <c r="F677">
        <f>VLOOKUP(A677,'[1]PO Report'!$A:$Z,15,0)</f>
        <v>44.95</v>
      </c>
      <c r="H677">
        <f t="shared" si="20"/>
        <v>0</v>
      </c>
      <c r="J677">
        <f t="shared" si="21"/>
        <v>0</v>
      </c>
    </row>
    <row r="678" spans="1:10" x14ac:dyDescent="0.25">
      <c r="A678" t="s">
        <v>2658</v>
      </c>
      <c r="B678">
        <v>4</v>
      </c>
      <c r="C678">
        <f>_xlfn.XLOOKUP(Recon!A678,[1]Backup!AJ:AJ,[1]Backup!L:L)</f>
        <v>68.06</v>
      </c>
      <c r="D678">
        <f>_xlfn.XLOOKUP(Recon!A678,[1]Backup!AJ:AJ,[1]Backup!K:K)</f>
        <v>2.3140399999999999</v>
      </c>
      <c r="E678">
        <f>SUMIF('[1]PO Report'!A:A,Recon!A678,'[1]PO Report'!P:P)</f>
        <v>4</v>
      </c>
      <c r="F678">
        <f>VLOOKUP(A678,'[1]PO Report'!$A:$Z,15,0)</f>
        <v>68.06</v>
      </c>
      <c r="H678">
        <f t="shared" si="20"/>
        <v>0</v>
      </c>
      <c r="J678">
        <f t="shared" si="21"/>
        <v>0</v>
      </c>
    </row>
    <row r="679" spans="1:10" x14ac:dyDescent="0.25">
      <c r="A679" t="s">
        <v>2659</v>
      </c>
      <c r="B679">
        <v>4</v>
      </c>
      <c r="C679">
        <f>_xlfn.XLOOKUP(Recon!A679,[1]Backup!AJ:AJ,[1]Backup!L:L)</f>
        <v>44.95</v>
      </c>
      <c r="D679">
        <f>_xlfn.XLOOKUP(Recon!A679,[1]Backup!AJ:AJ,[1]Backup!K:K)</f>
        <v>1.5283</v>
      </c>
      <c r="E679">
        <f>SUMIF('[1]PO Report'!A:A,Recon!A679,'[1]PO Report'!P:P)</f>
        <v>4</v>
      </c>
      <c r="F679">
        <f>VLOOKUP(A679,'[1]PO Report'!$A:$Z,15,0)</f>
        <v>44.95</v>
      </c>
      <c r="H679">
        <f t="shared" si="20"/>
        <v>0</v>
      </c>
      <c r="J679">
        <f t="shared" si="21"/>
        <v>0</v>
      </c>
    </row>
    <row r="680" spans="1:10" x14ac:dyDescent="0.25">
      <c r="A680" t="s">
        <v>2660</v>
      </c>
      <c r="B680">
        <v>20</v>
      </c>
      <c r="C680">
        <f>_xlfn.XLOOKUP(Recon!A680,[1]Backup!AJ:AJ,[1]Backup!L:L)</f>
        <v>39.56</v>
      </c>
      <c r="D680">
        <f>_xlfn.XLOOKUP(Recon!A680,[1]Backup!AJ:AJ,[1]Backup!K:K)</f>
        <v>1.34504</v>
      </c>
      <c r="E680">
        <f>SUMIF('[1]PO Report'!A:A,Recon!A680,'[1]PO Report'!P:P)</f>
        <v>20</v>
      </c>
      <c r="F680">
        <f>VLOOKUP(A680,'[1]PO Report'!$A:$Z,15,0)</f>
        <v>39.56</v>
      </c>
      <c r="H680">
        <f t="shared" si="20"/>
        <v>0</v>
      </c>
      <c r="J680">
        <f t="shared" si="21"/>
        <v>0</v>
      </c>
    </row>
    <row r="681" spans="1:10" x14ac:dyDescent="0.25">
      <c r="A681" t="s">
        <v>2661</v>
      </c>
      <c r="B681">
        <v>24</v>
      </c>
      <c r="C681">
        <f>_xlfn.XLOOKUP(Recon!A681,[1]Backup!AJ:AJ,[1]Backup!L:L)</f>
        <v>104.41000000000001</v>
      </c>
      <c r="D681">
        <f>_xlfn.XLOOKUP(Recon!A681,[1]Backup!AJ:AJ,[1]Backup!K:K)</f>
        <v>3.5499399999999999</v>
      </c>
      <c r="E681">
        <f>SUMIF('[1]PO Report'!A:A,Recon!A681,'[1]PO Report'!P:P)</f>
        <v>24</v>
      </c>
      <c r="F681">
        <f>VLOOKUP(A681,'[1]PO Report'!$A:$Z,15,0)</f>
        <v>104.41</v>
      </c>
      <c r="H681">
        <f t="shared" si="20"/>
        <v>0</v>
      </c>
      <c r="J681">
        <f t="shared" si="21"/>
        <v>0</v>
      </c>
    </row>
    <row r="682" spans="1:10" x14ac:dyDescent="0.25">
      <c r="A682" t="s">
        <v>2662</v>
      </c>
      <c r="B682">
        <v>4</v>
      </c>
      <c r="C682">
        <f>_xlfn.XLOOKUP(Recon!A682,[1]Backup!AJ:AJ,[1]Backup!L:L)</f>
        <v>52.76</v>
      </c>
      <c r="D682">
        <f>_xlfn.XLOOKUP(Recon!A682,[1]Backup!AJ:AJ,[1]Backup!K:K)</f>
        <v>1.7938400000000001</v>
      </c>
      <c r="E682">
        <f>SUMIF('[1]PO Report'!A:A,Recon!A682,'[1]PO Report'!P:P)</f>
        <v>4</v>
      </c>
      <c r="F682">
        <f>VLOOKUP(A682,'[1]PO Report'!$A:$Z,15,0)</f>
        <v>52.76</v>
      </c>
      <c r="H682">
        <f t="shared" si="20"/>
        <v>0</v>
      </c>
      <c r="J682">
        <f t="shared" si="21"/>
        <v>0</v>
      </c>
    </row>
    <row r="683" spans="1:10" x14ac:dyDescent="0.25">
      <c r="A683" t="s">
        <v>2663</v>
      </c>
      <c r="B683">
        <v>4</v>
      </c>
      <c r="C683">
        <f>_xlfn.XLOOKUP(Recon!A683,[1]Backup!AJ:AJ,[1]Backup!L:L)</f>
        <v>6.32</v>
      </c>
      <c r="D683">
        <f>_xlfn.XLOOKUP(Recon!A683,[1]Backup!AJ:AJ,[1]Backup!K:K)</f>
        <v>0.21487999999999999</v>
      </c>
      <c r="E683">
        <f>SUMIF('[1]PO Report'!A:A,Recon!A683,'[1]PO Report'!P:P)</f>
        <v>4</v>
      </c>
      <c r="F683">
        <f>VLOOKUP(A683,'[1]PO Report'!$A:$Z,15,0)</f>
        <v>6.32</v>
      </c>
      <c r="H683">
        <f t="shared" si="20"/>
        <v>0</v>
      </c>
      <c r="J683">
        <f t="shared" si="21"/>
        <v>0</v>
      </c>
    </row>
    <row r="684" spans="1:10" x14ac:dyDescent="0.25">
      <c r="A684" t="s">
        <v>2664</v>
      </c>
      <c r="B684">
        <v>72</v>
      </c>
      <c r="C684">
        <f>_xlfn.XLOOKUP(Recon!A684,[1]Backup!AJ:AJ,[1]Backup!L:L)</f>
        <v>38.07</v>
      </c>
      <c r="D684">
        <f>_xlfn.XLOOKUP(Recon!A684,[1]Backup!AJ:AJ,[1]Backup!K:K)</f>
        <v>1.2943799999999999</v>
      </c>
      <c r="E684">
        <f>SUMIF('[1]PO Report'!A:A,Recon!A684,'[1]PO Report'!P:P)</f>
        <v>72</v>
      </c>
      <c r="F684">
        <f>VLOOKUP(A684,'[1]PO Report'!$A:$Z,15,0)</f>
        <v>38.07</v>
      </c>
      <c r="H684">
        <f t="shared" si="20"/>
        <v>0</v>
      </c>
      <c r="J684">
        <f t="shared" si="21"/>
        <v>0</v>
      </c>
    </row>
    <row r="685" spans="1:10" x14ac:dyDescent="0.25">
      <c r="A685" t="s">
        <v>2665</v>
      </c>
      <c r="B685">
        <v>16</v>
      </c>
      <c r="C685">
        <f>_xlfn.XLOOKUP(Recon!A685,[1]Backup!AJ:AJ,[1]Backup!L:L)</f>
        <v>11.6</v>
      </c>
      <c r="D685">
        <f>_xlfn.XLOOKUP(Recon!A685,[1]Backup!AJ:AJ,[1]Backup!K:K)</f>
        <v>0.39439999999999997</v>
      </c>
      <c r="E685">
        <f>SUMIF('[1]PO Report'!A:A,Recon!A685,'[1]PO Report'!P:P)</f>
        <v>16</v>
      </c>
      <c r="F685">
        <f>VLOOKUP(A685,'[1]PO Report'!$A:$Z,15,0)</f>
        <v>11.6</v>
      </c>
      <c r="H685">
        <f t="shared" si="20"/>
        <v>0</v>
      </c>
      <c r="J685">
        <f t="shared" si="21"/>
        <v>0</v>
      </c>
    </row>
    <row r="686" spans="1:10" x14ac:dyDescent="0.25">
      <c r="A686" t="s">
        <v>2666</v>
      </c>
      <c r="B686">
        <v>760</v>
      </c>
      <c r="C686">
        <f>_xlfn.XLOOKUP(Recon!A686,[1]Backup!AJ:AJ,[1]Backup!L:L)</f>
        <v>5.85</v>
      </c>
      <c r="D686">
        <f>_xlfn.XLOOKUP(Recon!A686,[1]Backup!AJ:AJ,[1]Backup!K:K)</f>
        <v>0.19889999999999999</v>
      </c>
      <c r="E686">
        <f>SUMIF('[1]PO Report'!A:A,Recon!A686,'[1]PO Report'!P:P)</f>
        <v>760</v>
      </c>
      <c r="F686">
        <f>VLOOKUP(A686,'[1]PO Report'!$A:$Z,15,0)</f>
        <v>5.85</v>
      </c>
      <c r="H686">
        <f t="shared" si="20"/>
        <v>0</v>
      </c>
      <c r="J686">
        <f t="shared" si="21"/>
        <v>0</v>
      </c>
    </row>
    <row r="687" spans="1:10" x14ac:dyDescent="0.25">
      <c r="A687" t="s">
        <v>2667</v>
      </c>
      <c r="B687">
        <v>10</v>
      </c>
      <c r="C687">
        <f>_xlfn.XLOOKUP(Recon!A687,[1]Backup!AJ:AJ,[1]Backup!L:L)</f>
        <v>10.53</v>
      </c>
      <c r="D687">
        <f>_xlfn.XLOOKUP(Recon!A687,[1]Backup!AJ:AJ,[1]Backup!K:K)</f>
        <v>0.35802</v>
      </c>
      <c r="E687">
        <f>SUMIF('[1]PO Report'!A:A,Recon!A687,'[1]PO Report'!P:P)</f>
        <v>10</v>
      </c>
      <c r="F687">
        <f>VLOOKUP(A687,'[1]PO Report'!$A:$Z,15,0)</f>
        <v>10.53</v>
      </c>
      <c r="H687">
        <f t="shared" si="20"/>
        <v>0</v>
      </c>
      <c r="J687">
        <f t="shared" si="21"/>
        <v>0</v>
      </c>
    </row>
    <row r="688" spans="1:10" x14ac:dyDescent="0.25">
      <c r="A688" t="s">
        <v>2668</v>
      </c>
      <c r="B688">
        <v>16</v>
      </c>
      <c r="C688">
        <f>_xlfn.XLOOKUP(Recon!A688,[1]Backup!AJ:AJ,[1]Backup!L:L)</f>
        <v>12.88</v>
      </c>
      <c r="D688">
        <f>_xlfn.XLOOKUP(Recon!A688,[1]Backup!AJ:AJ,[1]Backup!K:K)</f>
        <v>0.43791999999999998</v>
      </c>
      <c r="E688">
        <f>SUMIF('[1]PO Report'!A:A,Recon!A688,'[1]PO Report'!P:P)</f>
        <v>16</v>
      </c>
      <c r="F688">
        <f>VLOOKUP(A688,'[1]PO Report'!$A:$Z,15,0)</f>
        <v>12.88</v>
      </c>
      <c r="H688">
        <f t="shared" si="20"/>
        <v>0</v>
      </c>
      <c r="J688">
        <f t="shared" si="21"/>
        <v>0</v>
      </c>
    </row>
    <row r="689" spans="1:10" x14ac:dyDescent="0.25">
      <c r="A689" t="s">
        <v>2669</v>
      </c>
      <c r="B689">
        <v>40</v>
      </c>
      <c r="C689">
        <f>_xlfn.XLOOKUP(Recon!A689,[1]Backup!AJ:AJ,[1]Backup!L:L)</f>
        <v>23.42</v>
      </c>
      <c r="D689">
        <f>_xlfn.XLOOKUP(Recon!A689,[1]Backup!AJ:AJ,[1]Backup!K:K)</f>
        <v>0.79627999999999999</v>
      </c>
      <c r="E689">
        <f>SUMIF('[1]PO Report'!A:A,Recon!A689,'[1]PO Report'!P:P)</f>
        <v>40</v>
      </c>
      <c r="F689">
        <f>VLOOKUP(A689,'[1]PO Report'!$A:$Z,15,0)</f>
        <v>23.42</v>
      </c>
      <c r="H689">
        <f t="shared" si="20"/>
        <v>0</v>
      </c>
      <c r="J689">
        <f t="shared" si="21"/>
        <v>0</v>
      </c>
    </row>
    <row r="690" spans="1:10" x14ac:dyDescent="0.25">
      <c r="A690" t="s">
        <v>2670</v>
      </c>
      <c r="B690">
        <v>48</v>
      </c>
      <c r="C690">
        <f>_xlfn.XLOOKUP(Recon!A690,[1]Backup!AJ:AJ,[1]Backup!L:L)</f>
        <v>29.01</v>
      </c>
      <c r="D690">
        <f>_xlfn.XLOOKUP(Recon!A690,[1]Backup!AJ:AJ,[1]Backup!K:K)</f>
        <v>0.98634000000000011</v>
      </c>
      <c r="E690">
        <f>SUMIF('[1]PO Report'!A:A,Recon!A690,'[1]PO Report'!P:P)</f>
        <v>48</v>
      </c>
      <c r="F690">
        <f>VLOOKUP(A690,'[1]PO Report'!$A:$Z,15,0)</f>
        <v>29.01</v>
      </c>
      <c r="H690">
        <f t="shared" si="20"/>
        <v>0</v>
      </c>
      <c r="J690">
        <f t="shared" si="21"/>
        <v>0</v>
      </c>
    </row>
    <row r="691" spans="1:10" x14ac:dyDescent="0.25">
      <c r="A691" t="s">
        <v>2671</v>
      </c>
      <c r="B691">
        <v>32</v>
      </c>
      <c r="C691">
        <f>_xlfn.XLOOKUP(Recon!A691,[1]Backup!AJ:AJ,[1]Backup!L:L)</f>
        <v>32.21</v>
      </c>
      <c r="D691">
        <f>_xlfn.XLOOKUP(Recon!A691,[1]Backup!AJ:AJ,[1]Backup!K:K)</f>
        <v>1.09514</v>
      </c>
      <c r="E691">
        <f>SUMIF('[1]PO Report'!A:A,Recon!A691,'[1]PO Report'!P:P)</f>
        <v>32</v>
      </c>
      <c r="F691">
        <f>VLOOKUP(A691,'[1]PO Report'!$A:$Z,15,0)</f>
        <v>32.21</v>
      </c>
      <c r="H691">
        <f t="shared" si="20"/>
        <v>0</v>
      </c>
      <c r="J691">
        <f t="shared" si="21"/>
        <v>0</v>
      </c>
    </row>
    <row r="692" spans="1:10" x14ac:dyDescent="0.25">
      <c r="A692" t="s">
        <v>2672</v>
      </c>
      <c r="B692">
        <v>20</v>
      </c>
      <c r="C692">
        <f>_xlfn.XLOOKUP(Recon!A692,[1]Backup!AJ:AJ,[1]Backup!L:L)</f>
        <v>23.419999999999998</v>
      </c>
      <c r="D692">
        <f>_xlfn.XLOOKUP(Recon!A692,[1]Backup!AJ:AJ,[1]Backup!K:K)</f>
        <v>0.79627999999999999</v>
      </c>
      <c r="E692">
        <f>SUMIF('[1]PO Report'!A:A,Recon!A692,'[1]PO Report'!P:P)</f>
        <v>20</v>
      </c>
      <c r="F692">
        <f>VLOOKUP(A692,'[1]PO Report'!$A:$Z,15,0)</f>
        <v>23.42</v>
      </c>
      <c r="H692">
        <f t="shared" si="20"/>
        <v>0</v>
      </c>
      <c r="J692">
        <f t="shared" si="21"/>
        <v>0</v>
      </c>
    </row>
    <row r="693" spans="1:10" x14ac:dyDescent="0.25">
      <c r="A693" t="s">
        <v>2673</v>
      </c>
      <c r="B693">
        <v>40</v>
      </c>
      <c r="C693">
        <f>_xlfn.XLOOKUP(Recon!A693,[1]Backup!AJ:AJ,[1]Backup!L:L)</f>
        <v>9.36</v>
      </c>
      <c r="D693">
        <f>_xlfn.XLOOKUP(Recon!A693,[1]Backup!AJ:AJ,[1]Backup!K:K)</f>
        <v>0.31823999999999997</v>
      </c>
      <c r="E693">
        <f>SUMIF('[1]PO Report'!A:A,Recon!A693,'[1]PO Report'!P:P)</f>
        <v>40</v>
      </c>
      <c r="F693">
        <f>VLOOKUP(A693,'[1]PO Report'!$A:$Z,15,0)</f>
        <v>9.36</v>
      </c>
      <c r="H693">
        <f t="shared" si="20"/>
        <v>0</v>
      </c>
      <c r="J693">
        <f t="shared" si="21"/>
        <v>0</v>
      </c>
    </row>
    <row r="694" spans="1:10" x14ac:dyDescent="0.25">
      <c r="A694" t="s">
        <v>2674</v>
      </c>
      <c r="B694">
        <v>20</v>
      </c>
      <c r="C694">
        <f>_xlfn.XLOOKUP(Recon!A694,[1]Backup!AJ:AJ,[1]Backup!L:L)</f>
        <v>32.21</v>
      </c>
      <c r="D694">
        <f>_xlfn.XLOOKUP(Recon!A694,[1]Backup!AJ:AJ,[1]Backup!K:K)</f>
        <v>1.09514</v>
      </c>
      <c r="E694">
        <f>SUMIF('[1]PO Report'!A:A,Recon!A694,'[1]PO Report'!P:P)</f>
        <v>20</v>
      </c>
      <c r="F694">
        <f>VLOOKUP(A694,'[1]PO Report'!$A:$Z,15,0)</f>
        <v>32.21</v>
      </c>
      <c r="H694">
        <f t="shared" si="20"/>
        <v>0</v>
      </c>
      <c r="J694">
        <f t="shared" si="21"/>
        <v>0</v>
      </c>
    </row>
    <row r="695" spans="1:10" x14ac:dyDescent="0.25">
      <c r="A695" t="s">
        <v>2675</v>
      </c>
      <c r="B695">
        <v>6</v>
      </c>
      <c r="C695">
        <f>_xlfn.XLOOKUP(Recon!A695,[1]Backup!AJ:AJ,[1]Backup!L:L)</f>
        <v>81.41</v>
      </c>
      <c r="D695">
        <f>_xlfn.XLOOKUP(Recon!A695,[1]Backup!AJ:AJ,[1]Backup!K:K)</f>
        <v>2.7679399999999998</v>
      </c>
      <c r="E695">
        <f>SUMIF('[1]PO Report'!A:A,Recon!A695,'[1]PO Report'!P:P)</f>
        <v>6</v>
      </c>
      <c r="F695">
        <f>VLOOKUP(A695,'[1]PO Report'!$A:$Z,15,0)</f>
        <v>81.41</v>
      </c>
      <c r="H695">
        <f t="shared" si="20"/>
        <v>0</v>
      </c>
      <c r="J695">
        <f t="shared" si="21"/>
        <v>0</v>
      </c>
    </row>
    <row r="696" spans="1:10" x14ac:dyDescent="0.25">
      <c r="A696" t="s">
        <v>2676</v>
      </c>
      <c r="B696">
        <v>8</v>
      </c>
      <c r="C696">
        <f>_xlfn.XLOOKUP(Recon!A696,[1]Backup!AJ:AJ,[1]Backup!L:L)</f>
        <v>32.21</v>
      </c>
      <c r="D696">
        <f>_xlfn.XLOOKUP(Recon!A696,[1]Backup!AJ:AJ,[1]Backup!K:K)</f>
        <v>1.09514</v>
      </c>
      <c r="E696">
        <f>SUMIF('[1]PO Report'!A:A,Recon!A696,'[1]PO Report'!P:P)</f>
        <v>8</v>
      </c>
      <c r="F696">
        <f>VLOOKUP(A696,'[1]PO Report'!$A:$Z,15,0)</f>
        <v>32.21</v>
      </c>
      <c r="H696">
        <f t="shared" si="20"/>
        <v>0</v>
      </c>
      <c r="J696">
        <f t="shared" si="21"/>
        <v>0</v>
      </c>
    </row>
    <row r="697" spans="1:10" x14ac:dyDescent="0.25">
      <c r="A697" t="s">
        <v>2677</v>
      </c>
      <c r="B697">
        <v>630</v>
      </c>
      <c r="C697">
        <f>_xlfn.XLOOKUP(Recon!A697,[1]Backup!AJ:AJ,[1]Backup!L:L)</f>
        <v>16.39</v>
      </c>
      <c r="D697">
        <f>_xlfn.XLOOKUP(Recon!A697,[1]Backup!AJ:AJ,[1]Backup!K:K)</f>
        <v>0.55725999999999998</v>
      </c>
      <c r="E697">
        <f>SUMIF('[1]PO Report'!A:A,Recon!A697,'[1]PO Report'!P:P)</f>
        <v>630</v>
      </c>
      <c r="F697">
        <f>VLOOKUP(A697,'[1]PO Report'!$A:$Z,15,0)</f>
        <v>16.39</v>
      </c>
      <c r="H697">
        <f t="shared" si="20"/>
        <v>0</v>
      </c>
      <c r="J697">
        <f t="shared" si="21"/>
        <v>0</v>
      </c>
    </row>
    <row r="698" spans="1:10" x14ac:dyDescent="0.25">
      <c r="A698" t="s">
        <v>2678</v>
      </c>
      <c r="B698">
        <v>4</v>
      </c>
      <c r="C698">
        <f>_xlfn.XLOOKUP(Recon!A698,[1]Backup!AJ:AJ,[1]Backup!L:L)</f>
        <v>78.62</v>
      </c>
      <c r="D698">
        <f>_xlfn.XLOOKUP(Recon!A698,[1]Backup!AJ:AJ,[1]Backup!K:K)</f>
        <v>2.6730800000000001</v>
      </c>
      <c r="E698">
        <f>SUMIF('[1]PO Report'!A:A,Recon!A698,'[1]PO Report'!P:P)</f>
        <v>4</v>
      </c>
      <c r="F698">
        <f>VLOOKUP(A698,'[1]PO Report'!$A:$Z,15,0)</f>
        <v>78.62</v>
      </c>
      <c r="H698">
        <f t="shared" si="20"/>
        <v>0</v>
      </c>
      <c r="J698">
        <f t="shared" si="21"/>
        <v>0</v>
      </c>
    </row>
    <row r="699" spans="1:10" x14ac:dyDescent="0.25">
      <c r="A699" t="s">
        <v>2679</v>
      </c>
      <c r="B699">
        <v>300</v>
      </c>
      <c r="C699">
        <f>_xlfn.XLOOKUP(Recon!A699,[1]Backup!AJ:AJ,[1]Backup!L:L)</f>
        <v>172.67</v>
      </c>
      <c r="D699">
        <f>_xlfn.XLOOKUP(Recon!A699,[1]Backup!AJ:AJ,[1]Backup!K:K)</f>
        <v>5.8707799999999999</v>
      </c>
      <c r="E699">
        <f>SUMIF('[1]PO Report'!A:A,Recon!A699,'[1]PO Report'!P:P)</f>
        <v>300</v>
      </c>
      <c r="F699">
        <f>VLOOKUP(A699,'[1]PO Report'!$A:$Z,15,0)</f>
        <v>172.67</v>
      </c>
      <c r="H699">
        <f t="shared" si="20"/>
        <v>0</v>
      </c>
      <c r="J699">
        <f t="shared" si="21"/>
        <v>0</v>
      </c>
    </row>
    <row r="700" spans="1:10" x14ac:dyDescent="0.25">
      <c r="A700" t="s">
        <v>2680</v>
      </c>
      <c r="B700">
        <v>384</v>
      </c>
      <c r="C700">
        <f>_xlfn.XLOOKUP(Recon!A700,[1]Backup!AJ:AJ,[1]Backup!L:L)</f>
        <v>83.89</v>
      </c>
      <c r="D700">
        <f>_xlfn.XLOOKUP(Recon!A700,[1]Backup!AJ:AJ,[1]Backup!K:K)</f>
        <v>2.8522599999999998</v>
      </c>
      <c r="E700">
        <f>SUMIF('[1]PO Report'!A:A,Recon!A700,'[1]PO Report'!P:P)</f>
        <v>384</v>
      </c>
      <c r="F700">
        <f>VLOOKUP(A700,'[1]PO Report'!$A:$Z,15,0)</f>
        <v>83.89</v>
      </c>
      <c r="H700">
        <f t="shared" si="20"/>
        <v>0</v>
      </c>
      <c r="J700">
        <f t="shared" si="21"/>
        <v>0</v>
      </c>
    </row>
    <row r="701" spans="1:10" x14ac:dyDescent="0.25">
      <c r="A701" t="s">
        <v>2681</v>
      </c>
      <c r="B701">
        <v>92</v>
      </c>
      <c r="C701">
        <f>_xlfn.XLOOKUP(Recon!A701,[1]Backup!AJ:AJ,[1]Backup!L:L)</f>
        <v>75.41</v>
      </c>
      <c r="D701">
        <f>_xlfn.XLOOKUP(Recon!A701,[1]Backup!AJ:AJ,[1]Backup!K:K)</f>
        <v>2.5639400000000001</v>
      </c>
      <c r="E701">
        <f>SUMIF('[1]PO Report'!A:A,Recon!A701,'[1]PO Report'!P:P)</f>
        <v>88</v>
      </c>
      <c r="F701">
        <f>VLOOKUP(A701,'[1]PO Report'!$A:$Z,15,0)</f>
        <v>75.41</v>
      </c>
      <c r="H701">
        <f t="shared" si="20"/>
        <v>4</v>
      </c>
      <c r="I701">
        <f>H701*D701</f>
        <v>10.25576</v>
      </c>
      <c r="J701">
        <f t="shared" si="21"/>
        <v>0</v>
      </c>
    </row>
    <row r="702" spans="1:10" x14ac:dyDescent="0.25">
      <c r="A702" t="s">
        <v>2682</v>
      </c>
      <c r="B702">
        <v>4</v>
      </c>
      <c r="C702">
        <f>_xlfn.XLOOKUP(Recon!A702,[1]Backup!AJ:AJ,[1]Backup!L:L)</f>
        <v>78.62</v>
      </c>
      <c r="D702">
        <f>_xlfn.XLOOKUP(Recon!A702,[1]Backup!AJ:AJ,[1]Backup!K:K)</f>
        <v>2.6730800000000001</v>
      </c>
      <c r="E702">
        <f>SUMIF('[1]PO Report'!A:A,Recon!A702,'[1]PO Report'!P:P)</f>
        <v>4</v>
      </c>
      <c r="F702">
        <f>VLOOKUP(A702,'[1]PO Report'!$A:$Z,15,0)</f>
        <v>78.62</v>
      </c>
      <c r="H702">
        <f t="shared" si="20"/>
        <v>0</v>
      </c>
      <c r="J702">
        <f t="shared" si="21"/>
        <v>0</v>
      </c>
    </row>
    <row r="703" spans="1:10" x14ac:dyDescent="0.25">
      <c r="A703" t="s">
        <v>2683</v>
      </c>
      <c r="B703">
        <v>24</v>
      </c>
      <c r="C703">
        <f>_xlfn.XLOOKUP(Recon!A703,[1]Backup!AJ:AJ,[1]Backup!L:L)</f>
        <v>69.03</v>
      </c>
      <c r="D703">
        <f>_xlfn.XLOOKUP(Recon!A703,[1]Backup!AJ:AJ,[1]Backup!K:K)</f>
        <v>2.3470200000000001</v>
      </c>
      <c r="E703">
        <f>SUMIF('[1]PO Report'!A:A,Recon!A703,'[1]PO Report'!P:P)</f>
        <v>24</v>
      </c>
      <c r="F703">
        <f>VLOOKUP(A703,'[1]PO Report'!$A:$Z,15,0)</f>
        <v>69.03</v>
      </c>
      <c r="H703">
        <f t="shared" si="20"/>
        <v>0</v>
      </c>
      <c r="J703">
        <f t="shared" si="21"/>
        <v>0</v>
      </c>
    </row>
    <row r="704" spans="1:10" x14ac:dyDescent="0.25">
      <c r="A704" t="s">
        <v>2684</v>
      </c>
      <c r="B704">
        <v>16</v>
      </c>
      <c r="C704">
        <f>_xlfn.XLOOKUP(Recon!A704,[1]Backup!AJ:AJ,[1]Backup!L:L)</f>
        <v>32.21</v>
      </c>
      <c r="D704">
        <f>_xlfn.XLOOKUP(Recon!A704,[1]Backup!AJ:AJ,[1]Backup!K:K)</f>
        <v>1.09514</v>
      </c>
      <c r="E704">
        <f>SUMIF('[1]PO Report'!A:A,Recon!A704,'[1]PO Report'!P:P)</f>
        <v>16</v>
      </c>
      <c r="F704">
        <f>VLOOKUP(A704,'[1]PO Report'!$A:$Z,15,0)</f>
        <v>32.21</v>
      </c>
      <c r="H704">
        <f t="shared" si="20"/>
        <v>0</v>
      </c>
      <c r="J704">
        <f t="shared" si="21"/>
        <v>0</v>
      </c>
    </row>
    <row r="705" spans="1:10" x14ac:dyDescent="0.25">
      <c r="A705" t="s">
        <v>2685</v>
      </c>
      <c r="B705">
        <v>8</v>
      </c>
      <c r="C705">
        <f>_xlfn.XLOOKUP(Recon!A705,[1]Backup!AJ:AJ,[1]Backup!L:L)</f>
        <v>92.24</v>
      </c>
      <c r="D705">
        <f>_xlfn.XLOOKUP(Recon!A705,[1]Backup!AJ:AJ,[1]Backup!K:K)</f>
        <v>3.1361599999999998</v>
      </c>
      <c r="E705">
        <f>SUMIF('[1]PO Report'!A:A,Recon!A705,'[1]PO Report'!P:P)</f>
        <v>8</v>
      </c>
      <c r="F705">
        <f>VLOOKUP(A705,'[1]PO Report'!$A:$Z,15,0)</f>
        <v>92.24</v>
      </c>
      <c r="H705">
        <f t="shared" si="20"/>
        <v>0</v>
      </c>
      <c r="J705">
        <f t="shared" si="21"/>
        <v>0</v>
      </c>
    </row>
    <row r="706" spans="1:10" x14ac:dyDescent="0.25">
      <c r="A706" t="s">
        <v>2686</v>
      </c>
      <c r="B706">
        <v>144</v>
      </c>
      <c r="C706">
        <f>_xlfn.XLOOKUP(Recon!A706,[1]Backup!AJ:AJ,[1]Backup!L:L)</f>
        <v>32.21</v>
      </c>
      <c r="D706">
        <f>_xlfn.XLOOKUP(Recon!A706,[1]Backup!AJ:AJ,[1]Backup!K:K)</f>
        <v>1.09514</v>
      </c>
      <c r="E706">
        <f>SUMIF('[1]PO Report'!A:A,Recon!A706,'[1]PO Report'!P:P)</f>
        <v>144</v>
      </c>
      <c r="F706">
        <f>VLOOKUP(A706,'[1]PO Report'!$A:$Z,15,0)</f>
        <v>32.21</v>
      </c>
      <c r="H706">
        <f t="shared" si="20"/>
        <v>0</v>
      </c>
      <c r="J706">
        <f t="shared" si="21"/>
        <v>0</v>
      </c>
    </row>
    <row r="707" spans="1:10" x14ac:dyDescent="0.25">
      <c r="A707" t="s">
        <v>2687</v>
      </c>
      <c r="B707">
        <v>48</v>
      </c>
      <c r="C707">
        <f>_xlfn.XLOOKUP(Recon!A707,[1]Backup!AJ:AJ,[1]Backup!L:L)</f>
        <v>32.21</v>
      </c>
      <c r="D707">
        <f>_xlfn.XLOOKUP(Recon!A707,[1]Backup!AJ:AJ,[1]Backup!K:K)</f>
        <v>1.09514</v>
      </c>
      <c r="E707">
        <f>SUMIF('[1]PO Report'!A:A,Recon!A707,'[1]PO Report'!P:P)</f>
        <v>48</v>
      </c>
      <c r="F707">
        <f>VLOOKUP(A707,'[1]PO Report'!$A:$Z,15,0)</f>
        <v>32.21</v>
      </c>
      <c r="H707">
        <f t="shared" si="20"/>
        <v>0</v>
      </c>
      <c r="J707">
        <f t="shared" si="21"/>
        <v>0</v>
      </c>
    </row>
    <row r="708" spans="1:10" x14ac:dyDescent="0.25">
      <c r="A708" t="s">
        <v>2688</v>
      </c>
      <c r="B708">
        <v>8</v>
      </c>
      <c r="C708">
        <f>_xlfn.XLOOKUP(Recon!A708,[1]Backup!AJ:AJ,[1]Backup!L:L)</f>
        <v>131.38</v>
      </c>
      <c r="D708">
        <f>_xlfn.XLOOKUP(Recon!A708,[1]Backup!AJ:AJ,[1]Backup!K:K)</f>
        <v>4.46692</v>
      </c>
      <c r="E708">
        <f>SUMIF('[1]PO Report'!A:A,Recon!A708,'[1]PO Report'!P:P)</f>
        <v>8</v>
      </c>
      <c r="F708">
        <f>VLOOKUP(A708,'[1]PO Report'!$A:$Z,15,0)</f>
        <v>131.38</v>
      </c>
      <c r="H708">
        <f t="shared" ref="H708:H771" si="22">B708-E708</f>
        <v>0</v>
      </c>
      <c r="J708">
        <f t="shared" ref="J708:J771" si="23">C708-F708</f>
        <v>0</v>
      </c>
    </row>
    <row r="709" spans="1:10" x14ac:dyDescent="0.25">
      <c r="A709" t="s">
        <v>2689</v>
      </c>
      <c r="B709">
        <v>32</v>
      </c>
      <c r="C709">
        <f>_xlfn.XLOOKUP(Recon!A709,[1]Backup!AJ:AJ,[1]Backup!L:L)</f>
        <v>86.99</v>
      </c>
      <c r="D709">
        <f>_xlfn.XLOOKUP(Recon!A709,[1]Backup!AJ:AJ,[1]Backup!K:K)</f>
        <v>2.9576600000000002</v>
      </c>
      <c r="E709">
        <f>SUMIF('[1]PO Report'!A:A,Recon!A709,'[1]PO Report'!P:P)</f>
        <v>32</v>
      </c>
      <c r="F709">
        <f>VLOOKUP(A709,'[1]PO Report'!$A:$Z,15,0)</f>
        <v>86.99</v>
      </c>
      <c r="H709">
        <f t="shared" si="22"/>
        <v>0</v>
      </c>
      <c r="J709">
        <f t="shared" si="23"/>
        <v>0</v>
      </c>
    </row>
    <row r="710" spans="1:10" x14ac:dyDescent="0.25">
      <c r="A710" t="s">
        <v>2690</v>
      </c>
      <c r="B710">
        <v>20</v>
      </c>
      <c r="C710">
        <f>_xlfn.XLOOKUP(Recon!A710,[1]Backup!AJ:AJ,[1]Backup!L:L)</f>
        <v>83.89</v>
      </c>
      <c r="D710">
        <f>_xlfn.XLOOKUP(Recon!A710,[1]Backup!AJ:AJ,[1]Backup!K:K)</f>
        <v>2.8522599999999998</v>
      </c>
      <c r="E710">
        <f>SUMIF('[1]PO Report'!A:A,Recon!A710,'[1]PO Report'!P:P)</f>
        <v>20</v>
      </c>
      <c r="F710">
        <f>VLOOKUP(A710,'[1]PO Report'!$A:$Z,15,0)</f>
        <v>83.89</v>
      </c>
      <c r="H710">
        <f t="shared" si="22"/>
        <v>0</v>
      </c>
      <c r="J710">
        <f t="shared" si="23"/>
        <v>0</v>
      </c>
    </row>
    <row r="711" spans="1:10" x14ac:dyDescent="0.25">
      <c r="A711" t="s">
        <v>2691</v>
      </c>
      <c r="B711">
        <v>4</v>
      </c>
      <c r="C711">
        <f>_xlfn.XLOOKUP(Recon!A711,[1]Backup!AJ:AJ,[1]Backup!L:L)</f>
        <v>75.41</v>
      </c>
      <c r="D711">
        <f>_xlfn.XLOOKUP(Recon!A711,[1]Backup!AJ:AJ,[1]Backup!K:K)</f>
        <v>2.5639400000000001</v>
      </c>
      <c r="E711">
        <f>SUMIF('[1]PO Report'!A:A,Recon!A711,'[1]PO Report'!P:P)</f>
        <v>4</v>
      </c>
      <c r="F711">
        <f>VLOOKUP(A711,'[1]PO Report'!$A:$Z,15,0)</f>
        <v>75.41</v>
      </c>
      <c r="H711">
        <f t="shared" si="22"/>
        <v>0</v>
      </c>
      <c r="J711">
        <f t="shared" si="23"/>
        <v>0</v>
      </c>
    </row>
    <row r="712" spans="1:10" x14ac:dyDescent="0.25">
      <c r="A712" t="s">
        <v>2692</v>
      </c>
      <c r="B712">
        <v>12</v>
      </c>
      <c r="C712">
        <f>_xlfn.XLOOKUP(Recon!A712,[1]Backup!AJ:AJ,[1]Backup!L:L)</f>
        <v>36.93</v>
      </c>
      <c r="D712">
        <f>_xlfn.XLOOKUP(Recon!A712,[1]Backup!AJ:AJ,[1]Backup!K:K)</f>
        <v>1.25562</v>
      </c>
      <c r="E712">
        <f>SUMIF('[1]PO Report'!A:A,Recon!A712,'[1]PO Report'!P:P)</f>
        <v>12</v>
      </c>
      <c r="F712">
        <f>VLOOKUP(A712,'[1]PO Report'!$A:$Z,15,0)</f>
        <v>36.93</v>
      </c>
      <c r="H712">
        <f t="shared" si="22"/>
        <v>0</v>
      </c>
      <c r="J712">
        <f t="shared" si="23"/>
        <v>0</v>
      </c>
    </row>
    <row r="713" spans="1:10" x14ac:dyDescent="0.25">
      <c r="A713" t="s">
        <v>2693</v>
      </c>
      <c r="B713">
        <v>76</v>
      </c>
      <c r="C713">
        <f>_xlfn.XLOOKUP(Recon!A713,[1]Backup!AJ:AJ,[1]Backup!L:L)</f>
        <v>75.41</v>
      </c>
      <c r="D713">
        <f>_xlfn.XLOOKUP(Recon!A713,[1]Backup!AJ:AJ,[1]Backup!K:K)</f>
        <v>2.5639400000000001</v>
      </c>
      <c r="E713">
        <f>SUMIF('[1]PO Report'!A:A,Recon!A713,'[1]PO Report'!P:P)</f>
        <v>76</v>
      </c>
      <c r="F713">
        <f>VLOOKUP(A713,'[1]PO Report'!$A:$Z,15,0)</f>
        <v>75.41</v>
      </c>
      <c r="H713">
        <f t="shared" si="22"/>
        <v>0</v>
      </c>
      <c r="J713">
        <f t="shared" si="23"/>
        <v>0</v>
      </c>
    </row>
    <row r="714" spans="1:10" x14ac:dyDescent="0.25">
      <c r="A714" t="s">
        <v>2694</v>
      </c>
      <c r="B714">
        <v>32</v>
      </c>
      <c r="C714">
        <f>_xlfn.XLOOKUP(Recon!A714,[1]Backup!AJ:AJ,[1]Backup!L:L)</f>
        <v>32.21</v>
      </c>
      <c r="D714">
        <f>_xlfn.XLOOKUP(Recon!A714,[1]Backup!AJ:AJ,[1]Backup!K:K)</f>
        <v>1.09514</v>
      </c>
      <c r="E714">
        <f>SUMIF('[1]PO Report'!A:A,Recon!A714,'[1]PO Report'!P:P)</f>
        <v>32</v>
      </c>
      <c r="F714">
        <f>VLOOKUP(A714,'[1]PO Report'!$A:$Z,15,0)</f>
        <v>32.21</v>
      </c>
      <c r="H714">
        <f t="shared" si="22"/>
        <v>0</v>
      </c>
      <c r="J714">
        <f t="shared" si="23"/>
        <v>0</v>
      </c>
    </row>
    <row r="715" spans="1:10" x14ac:dyDescent="0.25">
      <c r="A715" t="s">
        <v>2695</v>
      </c>
      <c r="B715">
        <v>10</v>
      </c>
      <c r="C715">
        <f>_xlfn.XLOOKUP(Recon!A715,[1]Backup!AJ:AJ,[1]Backup!L:L)</f>
        <v>35.950000000000003</v>
      </c>
      <c r="D715">
        <f>_xlfn.XLOOKUP(Recon!A715,[1]Backup!AJ:AJ,[1]Backup!K:K)</f>
        <v>1.2223000000000002</v>
      </c>
      <c r="E715">
        <f>SUMIF('[1]PO Report'!A:A,Recon!A715,'[1]PO Report'!P:P)</f>
        <v>10</v>
      </c>
      <c r="F715">
        <f>VLOOKUP(A715,'[1]PO Report'!$A:$Z,15,0)</f>
        <v>35.950000000000003</v>
      </c>
      <c r="H715">
        <f t="shared" si="22"/>
        <v>0</v>
      </c>
      <c r="J715">
        <f t="shared" si="23"/>
        <v>0</v>
      </c>
    </row>
    <row r="716" spans="1:10" x14ac:dyDescent="0.25">
      <c r="A716" t="s">
        <v>2696</v>
      </c>
      <c r="B716">
        <v>10</v>
      </c>
      <c r="C716">
        <f>_xlfn.XLOOKUP(Recon!A716,[1]Backup!AJ:AJ,[1]Backup!L:L)</f>
        <v>43.14</v>
      </c>
      <c r="D716">
        <f>_xlfn.XLOOKUP(Recon!A716,[1]Backup!AJ:AJ,[1]Backup!K:K)</f>
        <v>1.4667600000000001</v>
      </c>
      <c r="E716">
        <f>SUMIF('[1]PO Report'!A:A,Recon!A716,'[1]PO Report'!P:P)</f>
        <v>10</v>
      </c>
      <c r="F716">
        <f>VLOOKUP(A716,'[1]PO Report'!$A:$Z,15,0)</f>
        <v>43.14</v>
      </c>
      <c r="H716">
        <f t="shared" si="22"/>
        <v>0</v>
      </c>
      <c r="J716">
        <f t="shared" si="23"/>
        <v>0</v>
      </c>
    </row>
    <row r="717" spans="1:10" x14ac:dyDescent="0.25">
      <c r="A717" t="s">
        <v>2697</v>
      </c>
      <c r="B717">
        <v>4</v>
      </c>
      <c r="C717">
        <f>_xlfn.XLOOKUP(Recon!A717,[1]Backup!AJ:AJ,[1]Backup!L:L)</f>
        <v>93.49</v>
      </c>
      <c r="D717">
        <f>_xlfn.XLOOKUP(Recon!A717,[1]Backup!AJ:AJ,[1]Backup!K:K)</f>
        <v>3.1786599999999998</v>
      </c>
      <c r="E717">
        <f>SUMIF('[1]PO Report'!A:A,Recon!A717,'[1]PO Report'!P:P)</f>
        <v>4</v>
      </c>
      <c r="F717">
        <f>VLOOKUP(A717,'[1]PO Report'!$A:$Z,15,0)</f>
        <v>93.49</v>
      </c>
      <c r="H717">
        <f t="shared" si="22"/>
        <v>0</v>
      </c>
      <c r="J717">
        <f t="shared" si="23"/>
        <v>0</v>
      </c>
    </row>
    <row r="718" spans="1:10" x14ac:dyDescent="0.25">
      <c r="A718" t="s">
        <v>2698</v>
      </c>
      <c r="B718">
        <v>10</v>
      </c>
      <c r="C718">
        <f>_xlfn.XLOOKUP(Recon!A718,[1]Backup!AJ:AJ,[1]Backup!L:L)</f>
        <v>29.28</v>
      </c>
      <c r="D718">
        <f>_xlfn.XLOOKUP(Recon!A718,[1]Backup!AJ:AJ,[1]Backup!K:K)</f>
        <v>0.99551999999999996</v>
      </c>
      <c r="E718">
        <f>SUMIF('[1]PO Report'!A:A,Recon!A718,'[1]PO Report'!P:P)</f>
        <v>10</v>
      </c>
      <c r="F718">
        <f>VLOOKUP(A718,'[1]PO Report'!$A:$Z,15,0)</f>
        <v>29.28</v>
      </c>
      <c r="H718">
        <f t="shared" si="22"/>
        <v>0</v>
      </c>
      <c r="J718">
        <f t="shared" si="23"/>
        <v>0</v>
      </c>
    </row>
    <row r="719" spans="1:10" x14ac:dyDescent="0.25">
      <c r="A719" t="s">
        <v>2699</v>
      </c>
      <c r="B719">
        <v>16</v>
      </c>
      <c r="C719">
        <f>_xlfn.XLOOKUP(Recon!A719,[1]Backup!AJ:AJ,[1]Backup!L:L)</f>
        <v>32.21</v>
      </c>
      <c r="D719">
        <f>_xlfn.XLOOKUP(Recon!A719,[1]Backup!AJ:AJ,[1]Backup!K:K)</f>
        <v>1.09514</v>
      </c>
      <c r="E719">
        <f>SUMIF('[1]PO Report'!A:A,Recon!A719,'[1]PO Report'!P:P)</f>
        <v>16</v>
      </c>
      <c r="F719">
        <f>VLOOKUP(A719,'[1]PO Report'!$A:$Z,15,0)</f>
        <v>32.21</v>
      </c>
      <c r="H719">
        <f t="shared" si="22"/>
        <v>0</v>
      </c>
      <c r="J719">
        <f t="shared" si="23"/>
        <v>0</v>
      </c>
    </row>
    <row r="720" spans="1:10" x14ac:dyDescent="0.25">
      <c r="A720" t="s">
        <v>2700</v>
      </c>
      <c r="B720">
        <v>40</v>
      </c>
      <c r="C720">
        <f>_xlfn.XLOOKUP(Recon!A720,[1]Backup!AJ:AJ,[1]Backup!L:L)</f>
        <v>10.53</v>
      </c>
      <c r="D720">
        <f>_xlfn.XLOOKUP(Recon!A720,[1]Backup!AJ:AJ,[1]Backup!K:K)</f>
        <v>0.35802</v>
      </c>
      <c r="E720">
        <f>SUMIF('[1]PO Report'!A:A,Recon!A720,'[1]PO Report'!P:P)</f>
        <v>40</v>
      </c>
      <c r="F720">
        <f>VLOOKUP(A720,'[1]PO Report'!$A:$Z,15,0)</f>
        <v>10.53</v>
      </c>
      <c r="H720">
        <f t="shared" si="22"/>
        <v>0</v>
      </c>
      <c r="J720">
        <f t="shared" si="23"/>
        <v>0</v>
      </c>
    </row>
    <row r="721" spans="1:10" x14ac:dyDescent="0.25">
      <c r="A721" t="s">
        <v>2701</v>
      </c>
      <c r="B721">
        <v>10</v>
      </c>
      <c r="C721">
        <f>_xlfn.XLOOKUP(Recon!A721,[1]Backup!AJ:AJ,[1]Backup!L:L)</f>
        <v>26.35</v>
      </c>
      <c r="D721">
        <f>_xlfn.XLOOKUP(Recon!A721,[1]Backup!AJ:AJ,[1]Backup!K:K)</f>
        <v>0.89589999999999992</v>
      </c>
      <c r="E721">
        <f>SUMIF('[1]PO Report'!A:A,Recon!A721,'[1]PO Report'!P:P)</f>
        <v>10</v>
      </c>
      <c r="F721">
        <f>VLOOKUP(A721,'[1]PO Report'!$A:$Z,15,0)</f>
        <v>26.35</v>
      </c>
      <c r="H721">
        <f t="shared" si="22"/>
        <v>0</v>
      </c>
      <c r="J721">
        <f t="shared" si="23"/>
        <v>0</v>
      </c>
    </row>
    <row r="722" spans="1:10" x14ac:dyDescent="0.25">
      <c r="A722" t="s">
        <v>2702</v>
      </c>
      <c r="B722">
        <v>10</v>
      </c>
      <c r="C722">
        <f>_xlfn.XLOOKUP(Recon!A722,[1]Backup!AJ:AJ,[1]Backup!L:L)</f>
        <v>29.28</v>
      </c>
      <c r="D722">
        <f>_xlfn.XLOOKUP(Recon!A722,[1]Backup!AJ:AJ,[1]Backup!K:K)</f>
        <v>0.99551999999999996</v>
      </c>
      <c r="E722">
        <f>SUMIF('[1]PO Report'!A:A,Recon!A722,'[1]PO Report'!P:P)</f>
        <v>10</v>
      </c>
      <c r="F722">
        <f>VLOOKUP(A722,'[1]PO Report'!$A:$Z,15,0)</f>
        <v>29.28</v>
      </c>
      <c r="H722">
        <f t="shared" si="22"/>
        <v>0</v>
      </c>
      <c r="J722">
        <f t="shared" si="23"/>
        <v>0</v>
      </c>
    </row>
    <row r="723" spans="1:10" x14ac:dyDescent="0.25">
      <c r="A723" t="s">
        <v>2703</v>
      </c>
      <c r="B723">
        <v>10</v>
      </c>
      <c r="C723">
        <f>_xlfn.XLOOKUP(Recon!A723,[1]Backup!AJ:AJ,[1]Backup!L:L)</f>
        <v>29.28</v>
      </c>
      <c r="D723">
        <f>_xlfn.XLOOKUP(Recon!A723,[1]Backup!AJ:AJ,[1]Backup!K:K)</f>
        <v>0.99551999999999996</v>
      </c>
      <c r="E723">
        <f>SUMIF('[1]PO Report'!A:A,Recon!A723,'[1]PO Report'!P:P)</f>
        <v>10</v>
      </c>
      <c r="F723">
        <f>VLOOKUP(A723,'[1]PO Report'!$A:$Z,15,0)</f>
        <v>29.28</v>
      </c>
      <c r="H723">
        <f t="shared" si="22"/>
        <v>0</v>
      </c>
      <c r="J723">
        <f t="shared" si="23"/>
        <v>0</v>
      </c>
    </row>
    <row r="724" spans="1:10" x14ac:dyDescent="0.25">
      <c r="A724" t="s">
        <v>2704</v>
      </c>
      <c r="B724">
        <v>12</v>
      </c>
      <c r="C724">
        <f>_xlfn.XLOOKUP(Recon!A724,[1]Backup!AJ:AJ,[1]Backup!L:L)</f>
        <v>75.41</v>
      </c>
      <c r="D724">
        <f>_xlfn.XLOOKUP(Recon!A724,[1]Backup!AJ:AJ,[1]Backup!K:K)</f>
        <v>2.5639400000000001</v>
      </c>
      <c r="E724">
        <f>SUMIF('[1]PO Report'!A:A,Recon!A724,'[1]PO Report'!P:P)</f>
        <v>12</v>
      </c>
      <c r="F724">
        <f>VLOOKUP(A724,'[1]PO Report'!$A:$Z,15,0)</f>
        <v>75.41</v>
      </c>
      <c r="H724">
        <f t="shared" si="22"/>
        <v>0</v>
      </c>
      <c r="J724">
        <f t="shared" si="23"/>
        <v>0</v>
      </c>
    </row>
    <row r="725" spans="1:10" x14ac:dyDescent="0.25">
      <c r="A725" t="s">
        <v>2705</v>
      </c>
      <c r="B725">
        <v>8</v>
      </c>
      <c r="C725">
        <f>_xlfn.XLOOKUP(Recon!A725,[1]Backup!AJ:AJ,[1]Backup!L:L)</f>
        <v>73.34</v>
      </c>
      <c r="D725">
        <f>_xlfn.XLOOKUP(Recon!A725,[1]Backup!AJ:AJ,[1]Backup!K:K)</f>
        <v>2.49356</v>
      </c>
      <c r="E725">
        <f>SUMIF('[1]PO Report'!A:A,Recon!A725,'[1]PO Report'!P:P)</f>
        <v>8</v>
      </c>
      <c r="F725">
        <f>VLOOKUP(A725,'[1]PO Report'!$A:$Z,15,0)</f>
        <v>73.34</v>
      </c>
      <c r="H725">
        <f t="shared" si="22"/>
        <v>0</v>
      </c>
      <c r="J725">
        <f t="shared" si="23"/>
        <v>0</v>
      </c>
    </row>
    <row r="726" spans="1:10" x14ac:dyDescent="0.25">
      <c r="A726" t="s">
        <v>2706</v>
      </c>
      <c r="B726">
        <v>8</v>
      </c>
      <c r="C726">
        <f>_xlfn.XLOOKUP(Recon!A726,[1]Backup!AJ:AJ,[1]Backup!L:L)</f>
        <v>32.21</v>
      </c>
      <c r="D726">
        <f>_xlfn.XLOOKUP(Recon!A726,[1]Backup!AJ:AJ,[1]Backup!K:K)</f>
        <v>1.09514</v>
      </c>
      <c r="E726">
        <f>SUMIF('[1]PO Report'!A:A,Recon!A726,'[1]PO Report'!P:P)</f>
        <v>8</v>
      </c>
      <c r="F726">
        <f>VLOOKUP(A726,'[1]PO Report'!$A:$Z,15,0)</f>
        <v>32.21</v>
      </c>
      <c r="H726">
        <f t="shared" si="22"/>
        <v>0</v>
      </c>
      <c r="J726">
        <f t="shared" si="23"/>
        <v>0</v>
      </c>
    </row>
    <row r="727" spans="1:10" x14ac:dyDescent="0.25">
      <c r="A727" t="s">
        <v>2707</v>
      </c>
      <c r="B727">
        <v>44</v>
      </c>
      <c r="C727">
        <f>_xlfn.XLOOKUP(Recon!A727,[1]Backup!AJ:AJ,[1]Backup!L:L)</f>
        <v>68.06</v>
      </c>
      <c r="D727">
        <f>_xlfn.XLOOKUP(Recon!A727,[1]Backup!AJ:AJ,[1]Backup!K:K)</f>
        <v>2.3140400000000003</v>
      </c>
      <c r="E727">
        <f>SUMIF('[1]PO Report'!A:A,Recon!A727,'[1]PO Report'!P:P)</f>
        <v>44</v>
      </c>
      <c r="F727">
        <f>VLOOKUP(A727,'[1]PO Report'!$A:$Z,15,0)</f>
        <v>68.06</v>
      </c>
      <c r="H727">
        <f t="shared" si="22"/>
        <v>0</v>
      </c>
      <c r="J727">
        <f t="shared" si="23"/>
        <v>0</v>
      </c>
    </row>
    <row r="728" spans="1:10" x14ac:dyDescent="0.25">
      <c r="A728" t="s">
        <v>2708</v>
      </c>
      <c r="B728">
        <v>8</v>
      </c>
      <c r="C728">
        <f>_xlfn.XLOOKUP(Recon!A728,[1]Backup!AJ:AJ,[1]Backup!L:L)</f>
        <v>69.03</v>
      </c>
      <c r="D728">
        <f>_xlfn.XLOOKUP(Recon!A728,[1]Backup!AJ:AJ,[1]Backup!K:K)</f>
        <v>2.3470200000000001</v>
      </c>
      <c r="E728">
        <f>SUMIF('[1]PO Report'!A:A,Recon!A728,'[1]PO Report'!P:P)</f>
        <v>8</v>
      </c>
      <c r="F728">
        <f>VLOOKUP(A728,'[1]PO Report'!$A:$Z,15,0)</f>
        <v>69.03</v>
      </c>
      <c r="H728">
        <f t="shared" si="22"/>
        <v>0</v>
      </c>
      <c r="J728">
        <f t="shared" si="23"/>
        <v>0</v>
      </c>
    </row>
    <row r="729" spans="1:10" x14ac:dyDescent="0.25">
      <c r="A729" t="s">
        <v>2709</v>
      </c>
      <c r="B729">
        <v>10</v>
      </c>
      <c r="C729">
        <f>_xlfn.XLOOKUP(Recon!A729,[1]Backup!AJ:AJ,[1]Backup!L:L)</f>
        <v>10.53</v>
      </c>
      <c r="D729">
        <f>_xlfn.XLOOKUP(Recon!A729,[1]Backup!AJ:AJ,[1]Backup!K:K)</f>
        <v>0.35802</v>
      </c>
      <c r="E729">
        <f>SUMIF('[1]PO Report'!A:A,Recon!A729,'[1]PO Report'!P:P)</f>
        <v>10</v>
      </c>
      <c r="F729">
        <f>VLOOKUP(A729,'[1]PO Report'!$A:$Z,15,0)</f>
        <v>10.53</v>
      </c>
      <c r="H729">
        <f t="shared" si="22"/>
        <v>0</v>
      </c>
      <c r="J729">
        <f t="shared" si="23"/>
        <v>0</v>
      </c>
    </row>
    <row r="730" spans="1:10" x14ac:dyDescent="0.25">
      <c r="A730" t="s">
        <v>2710</v>
      </c>
      <c r="B730">
        <v>260</v>
      </c>
      <c r="C730">
        <f>_xlfn.XLOOKUP(Recon!A730,[1]Backup!AJ:AJ,[1]Backup!L:L)</f>
        <v>7.61</v>
      </c>
      <c r="D730">
        <f>_xlfn.XLOOKUP(Recon!A730,[1]Backup!AJ:AJ,[1]Backup!K:K)</f>
        <v>0.25874000000000003</v>
      </c>
      <c r="E730">
        <f>SUMIF('[1]PO Report'!A:A,Recon!A730,'[1]PO Report'!P:P)</f>
        <v>260</v>
      </c>
      <c r="F730">
        <f>VLOOKUP(A730,'[1]PO Report'!$A:$Z,15,0)</f>
        <v>7.61</v>
      </c>
      <c r="H730">
        <f t="shared" si="22"/>
        <v>0</v>
      </c>
      <c r="J730">
        <f t="shared" si="23"/>
        <v>0</v>
      </c>
    </row>
    <row r="731" spans="1:10" x14ac:dyDescent="0.25">
      <c r="A731" t="s">
        <v>2711</v>
      </c>
      <c r="B731">
        <v>16</v>
      </c>
      <c r="C731">
        <f>_xlfn.XLOOKUP(Recon!A731,[1]Backup!AJ:AJ,[1]Backup!L:L)</f>
        <v>53.51</v>
      </c>
      <c r="D731">
        <f>_xlfn.XLOOKUP(Recon!A731,[1]Backup!AJ:AJ,[1]Backup!K:K)</f>
        <v>1.81934</v>
      </c>
      <c r="E731">
        <f>SUMIF('[1]PO Report'!A:A,Recon!A731,'[1]PO Report'!P:P)</f>
        <v>16</v>
      </c>
      <c r="F731">
        <f>VLOOKUP(A731,'[1]PO Report'!$A:$Z,15,0)</f>
        <v>53.51</v>
      </c>
      <c r="H731">
        <f t="shared" si="22"/>
        <v>0</v>
      </c>
      <c r="J731">
        <f t="shared" si="23"/>
        <v>0</v>
      </c>
    </row>
    <row r="732" spans="1:10" x14ac:dyDescent="0.25">
      <c r="A732" t="s">
        <v>2712</v>
      </c>
      <c r="B732">
        <v>8</v>
      </c>
      <c r="C732">
        <f>_xlfn.XLOOKUP(Recon!A732,[1]Backup!AJ:AJ,[1]Backup!L:L)</f>
        <v>75.41</v>
      </c>
      <c r="D732">
        <f>_xlfn.XLOOKUP(Recon!A732,[1]Backup!AJ:AJ,[1]Backup!K:K)</f>
        <v>2.5639400000000001</v>
      </c>
      <c r="E732">
        <f>SUMIF('[1]PO Report'!A:A,Recon!A732,'[1]PO Report'!P:P)</f>
        <v>8</v>
      </c>
      <c r="F732">
        <f>VLOOKUP(A732,'[1]PO Report'!$A:$Z,15,0)</f>
        <v>75.41</v>
      </c>
      <c r="H732">
        <f t="shared" si="22"/>
        <v>0</v>
      </c>
      <c r="J732">
        <f t="shared" si="23"/>
        <v>0</v>
      </c>
    </row>
    <row r="733" spans="1:10" x14ac:dyDescent="0.25">
      <c r="A733" t="s">
        <v>2713</v>
      </c>
      <c r="B733">
        <v>4</v>
      </c>
      <c r="C733">
        <f>_xlfn.XLOOKUP(Recon!A733,[1]Backup!AJ:AJ,[1]Backup!L:L)</f>
        <v>121.25</v>
      </c>
      <c r="D733">
        <f>_xlfn.XLOOKUP(Recon!A733,[1]Backup!AJ:AJ,[1]Backup!K:K)</f>
        <v>4.1224999999999996</v>
      </c>
      <c r="E733">
        <f>SUMIF('[1]PO Report'!A:A,Recon!A733,'[1]PO Report'!P:P)</f>
        <v>4</v>
      </c>
      <c r="F733">
        <f>VLOOKUP(A733,'[1]PO Report'!$A:$Z,15,0)</f>
        <v>121.25</v>
      </c>
      <c r="H733">
        <f t="shared" si="22"/>
        <v>0</v>
      </c>
      <c r="J733">
        <f t="shared" si="23"/>
        <v>0</v>
      </c>
    </row>
    <row r="734" spans="1:10" x14ac:dyDescent="0.25">
      <c r="A734" t="s">
        <v>2714</v>
      </c>
      <c r="B734">
        <v>16</v>
      </c>
      <c r="C734">
        <f>_xlfn.XLOOKUP(Recon!A734,[1]Backup!AJ:AJ,[1]Backup!L:L)</f>
        <v>96.83</v>
      </c>
      <c r="D734">
        <f>_xlfn.XLOOKUP(Recon!A734,[1]Backup!AJ:AJ,[1]Backup!K:K)</f>
        <v>3.2922199999999999</v>
      </c>
      <c r="E734">
        <f>SUMIF('[1]PO Report'!A:A,Recon!A734,'[1]PO Report'!P:P)</f>
        <v>16</v>
      </c>
      <c r="F734">
        <f>VLOOKUP(A734,'[1]PO Report'!$A:$Z,15,0)</f>
        <v>96.83</v>
      </c>
      <c r="H734">
        <f t="shared" si="22"/>
        <v>0</v>
      </c>
      <c r="J734">
        <f t="shared" si="23"/>
        <v>0</v>
      </c>
    </row>
    <row r="735" spans="1:10" x14ac:dyDescent="0.25">
      <c r="A735" t="s">
        <v>2715</v>
      </c>
      <c r="B735">
        <v>8</v>
      </c>
      <c r="C735">
        <f>_xlfn.XLOOKUP(Recon!A735,[1]Backup!AJ:AJ,[1]Backup!L:L)</f>
        <v>96.83</v>
      </c>
      <c r="D735">
        <f>_xlfn.XLOOKUP(Recon!A735,[1]Backup!AJ:AJ,[1]Backup!K:K)</f>
        <v>3.2922199999999999</v>
      </c>
      <c r="E735">
        <f>SUMIF('[1]PO Report'!A:A,Recon!A735,'[1]PO Report'!P:P)</f>
        <v>8</v>
      </c>
      <c r="F735">
        <f>VLOOKUP(A735,'[1]PO Report'!$A:$Z,15,0)</f>
        <v>96.83</v>
      </c>
      <c r="H735">
        <f t="shared" si="22"/>
        <v>0</v>
      </c>
      <c r="J735">
        <f t="shared" si="23"/>
        <v>0</v>
      </c>
    </row>
    <row r="736" spans="1:10" x14ac:dyDescent="0.25">
      <c r="A736" t="s">
        <v>2716</v>
      </c>
      <c r="B736">
        <v>18</v>
      </c>
      <c r="C736">
        <f>_xlfn.XLOOKUP(Recon!A736,[1]Backup!AJ:AJ,[1]Backup!L:L)</f>
        <v>29.279999999999998</v>
      </c>
      <c r="D736">
        <f>_xlfn.XLOOKUP(Recon!A736,[1]Backup!AJ:AJ,[1]Backup!K:K)</f>
        <v>0.99552000000000007</v>
      </c>
      <c r="E736">
        <f>SUMIF('[1]PO Report'!A:A,Recon!A736,'[1]PO Report'!P:P)</f>
        <v>18</v>
      </c>
      <c r="F736">
        <f>VLOOKUP(A736,'[1]PO Report'!$A:$Z,15,0)</f>
        <v>29.28</v>
      </c>
      <c r="H736">
        <f t="shared" si="22"/>
        <v>0</v>
      </c>
      <c r="J736">
        <f t="shared" si="23"/>
        <v>0</v>
      </c>
    </row>
    <row r="737" spans="1:10" x14ac:dyDescent="0.25">
      <c r="A737" t="s">
        <v>2717</v>
      </c>
      <c r="B737">
        <v>48</v>
      </c>
      <c r="C737">
        <f>_xlfn.XLOOKUP(Recon!A737,[1]Backup!AJ:AJ,[1]Backup!L:L)</f>
        <v>29.28</v>
      </c>
      <c r="D737">
        <f>_xlfn.XLOOKUP(Recon!A737,[1]Backup!AJ:AJ,[1]Backup!K:K)</f>
        <v>0.99551999999999996</v>
      </c>
      <c r="E737">
        <f>SUMIF('[1]PO Report'!A:A,Recon!A737,'[1]PO Report'!P:P)</f>
        <v>48</v>
      </c>
      <c r="F737">
        <f>VLOOKUP(A737,'[1]PO Report'!$A:$Z,15,0)</f>
        <v>29.28</v>
      </c>
      <c r="H737">
        <f t="shared" si="22"/>
        <v>0</v>
      </c>
      <c r="J737">
        <f t="shared" si="23"/>
        <v>0</v>
      </c>
    </row>
    <row r="738" spans="1:10" x14ac:dyDescent="0.25">
      <c r="A738" t="s">
        <v>2718</v>
      </c>
      <c r="B738">
        <v>32</v>
      </c>
      <c r="C738">
        <f>_xlfn.XLOOKUP(Recon!A738,[1]Backup!AJ:AJ,[1]Backup!L:L)</f>
        <v>20.5</v>
      </c>
      <c r="D738">
        <f>_xlfn.XLOOKUP(Recon!A738,[1]Backup!AJ:AJ,[1]Backup!K:K)</f>
        <v>0.69699999999999995</v>
      </c>
      <c r="E738">
        <f>SUMIF('[1]PO Report'!A:A,Recon!A738,'[1]PO Report'!P:P)</f>
        <v>32</v>
      </c>
      <c r="F738">
        <f>VLOOKUP(A738,'[1]PO Report'!$A:$Z,15,0)</f>
        <v>20.5</v>
      </c>
      <c r="H738">
        <f t="shared" si="22"/>
        <v>0</v>
      </c>
      <c r="J738">
        <f t="shared" si="23"/>
        <v>0</v>
      </c>
    </row>
    <row r="739" spans="1:10" x14ac:dyDescent="0.25">
      <c r="A739" t="s">
        <v>2719</v>
      </c>
      <c r="B739">
        <v>6</v>
      </c>
      <c r="C739">
        <f>_xlfn.XLOOKUP(Recon!A739,[1]Backup!AJ:AJ,[1]Backup!L:L)</f>
        <v>46.66</v>
      </c>
      <c r="D739">
        <f>_xlfn.XLOOKUP(Recon!A739,[1]Backup!AJ:AJ,[1]Backup!K:K)</f>
        <v>1.5864399999999999</v>
      </c>
      <c r="E739">
        <f>SUMIF('[1]PO Report'!A:A,Recon!A739,'[1]PO Report'!P:P)</f>
        <v>6</v>
      </c>
      <c r="F739">
        <f>VLOOKUP(A739,'[1]PO Report'!$A:$Z,15,0)</f>
        <v>46.66</v>
      </c>
      <c r="H739">
        <f t="shared" si="22"/>
        <v>0</v>
      </c>
      <c r="J739">
        <f t="shared" si="23"/>
        <v>0</v>
      </c>
    </row>
    <row r="740" spans="1:10" x14ac:dyDescent="0.25">
      <c r="A740" t="s">
        <v>2720</v>
      </c>
      <c r="B740">
        <v>20</v>
      </c>
      <c r="C740">
        <f>_xlfn.XLOOKUP(Recon!A740,[1]Backup!AJ:AJ,[1]Backup!L:L)</f>
        <v>29.28</v>
      </c>
      <c r="D740">
        <f>_xlfn.XLOOKUP(Recon!A740,[1]Backup!AJ:AJ,[1]Backup!K:K)</f>
        <v>0.99551999999999996</v>
      </c>
      <c r="E740">
        <f>SUMIF('[1]PO Report'!A:A,Recon!A740,'[1]PO Report'!P:P)</f>
        <v>20</v>
      </c>
      <c r="F740">
        <f>VLOOKUP(A740,'[1]PO Report'!$A:$Z,15,0)</f>
        <v>29.28</v>
      </c>
      <c r="H740">
        <f t="shared" si="22"/>
        <v>0</v>
      </c>
      <c r="J740">
        <f t="shared" si="23"/>
        <v>0</v>
      </c>
    </row>
    <row r="741" spans="1:10" x14ac:dyDescent="0.25">
      <c r="A741" t="s">
        <v>2721</v>
      </c>
      <c r="B741">
        <v>24</v>
      </c>
      <c r="C741">
        <f>_xlfn.XLOOKUP(Recon!A741,[1]Backup!AJ:AJ,[1]Backup!L:L)</f>
        <v>20.5</v>
      </c>
      <c r="D741">
        <f>_xlfn.XLOOKUP(Recon!A741,[1]Backup!AJ:AJ,[1]Backup!K:K)</f>
        <v>0.69700000000000006</v>
      </c>
      <c r="E741">
        <f>SUMIF('[1]PO Report'!A:A,Recon!A741,'[1]PO Report'!P:P)</f>
        <v>24</v>
      </c>
      <c r="F741">
        <f>VLOOKUP(A741,'[1]PO Report'!$A:$Z,15,0)</f>
        <v>20.5</v>
      </c>
      <c r="H741">
        <f t="shared" si="22"/>
        <v>0</v>
      </c>
      <c r="J741">
        <f t="shared" si="23"/>
        <v>0</v>
      </c>
    </row>
    <row r="742" spans="1:10" x14ac:dyDescent="0.25">
      <c r="A742" t="s">
        <v>2722</v>
      </c>
      <c r="B742">
        <v>12</v>
      </c>
      <c r="C742">
        <f>_xlfn.XLOOKUP(Recon!A742,[1]Backup!AJ:AJ,[1]Backup!L:L)</f>
        <v>33.33</v>
      </c>
      <c r="D742">
        <f>_xlfn.XLOOKUP(Recon!A742,[1]Backup!AJ:AJ,[1]Backup!K:K)</f>
        <v>1.1332199999999999</v>
      </c>
      <c r="E742">
        <f>SUMIF('[1]PO Report'!A:A,Recon!A742,'[1]PO Report'!P:P)</f>
        <v>12</v>
      </c>
      <c r="F742">
        <f>VLOOKUP(A742,'[1]PO Report'!$A:$Z,15,0)</f>
        <v>33.33</v>
      </c>
      <c r="H742">
        <f t="shared" si="22"/>
        <v>0</v>
      </c>
      <c r="J742">
        <f t="shared" si="23"/>
        <v>0</v>
      </c>
    </row>
    <row r="743" spans="1:10" x14ac:dyDescent="0.25">
      <c r="A743" t="s">
        <v>2723</v>
      </c>
      <c r="B743">
        <v>10</v>
      </c>
      <c r="C743">
        <f>_xlfn.XLOOKUP(Recon!A743,[1]Backup!AJ:AJ,[1]Backup!L:L)</f>
        <v>32.21</v>
      </c>
      <c r="D743">
        <f>_xlfn.XLOOKUP(Recon!A743,[1]Backup!AJ:AJ,[1]Backup!K:K)</f>
        <v>1.09514</v>
      </c>
      <c r="E743">
        <f>SUMIF('[1]PO Report'!A:A,Recon!A743,'[1]PO Report'!P:P)</f>
        <v>10</v>
      </c>
      <c r="F743">
        <f>VLOOKUP(A743,'[1]PO Report'!$A:$Z,15,0)</f>
        <v>32.21</v>
      </c>
      <c r="H743">
        <f t="shared" si="22"/>
        <v>0</v>
      </c>
      <c r="J743">
        <f t="shared" si="23"/>
        <v>0</v>
      </c>
    </row>
    <row r="744" spans="1:10" x14ac:dyDescent="0.25">
      <c r="A744" t="s">
        <v>2724</v>
      </c>
      <c r="B744">
        <v>296</v>
      </c>
      <c r="C744">
        <f>_xlfn.XLOOKUP(Recon!A744,[1]Backup!AJ:AJ,[1]Backup!L:L)</f>
        <v>32.21</v>
      </c>
      <c r="D744">
        <f>_xlfn.XLOOKUP(Recon!A744,[1]Backup!AJ:AJ,[1]Backup!K:K)</f>
        <v>1.09514</v>
      </c>
      <c r="E744">
        <f>SUMIF('[1]PO Report'!A:A,Recon!A744,'[1]PO Report'!P:P)</f>
        <v>296</v>
      </c>
      <c r="F744">
        <f>VLOOKUP(A744,'[1]PO Report'!$A:$Z,15,0)</f>
        <v>32.21</v>
      </c>
      <c r="H744">
        <f t="shared" si="22"/>
        <v>0</v>
      </c>
      <c r="J744">
        <f t="shared" si="23"/>
        <v>0</v>
      </c>
    </row>
    <row r="745" spans="1:10" x14ac:dyDescent="0.25">
      <c r="A745" t="s">
        <v>2725</v>
      </c>
      <c r="B745">
        <v>50</v>
      </c>
      <c r="C745">
        <f>_xlfn.XLOOKUP(Recon!A745,[1]Backup!AJ:AJ,[1]Backup!L:L)</f>
        <v>9.36</v>
      </c>
      <c r="D745">
        <f>_xlfn.XLOOKUP(Recon!A745,[1]Backup!AJ:AJ,[1]Backup!K:K)</f>
        <v>0.31824000000000002</v>
      </c>
      <c r="E745">
        <f>SUMIF('[1]PO Report'!A:A,Recon!A745,'[1]PO Report'!P:P)</f>
        <v>50</v>
      </c>
      <c r="F745">
        <f>VLOOKUP(A745,'[1]PO Report'!$A:$Z,15,0)</f>
        <v>9.36</v>
      </c>
      <c r="H745">
        <f t="shared" si="22"/>
        <v>0</v>
      </c>
      <c r="J745">
        <f t="shared" si="23"/>
        <v>0</v>
      </c>
    </row>
    <row r="746" spans="1:10" x14ac:dyDescent="0.25">
      <c r="A746" t="s">
        <v>2726</v>
      </c>
      <c r="B746">
        <v>170</v>
      </c>
      <c r="C746">
        <f>_xlfn.XLOOKUP(Recon!A746,[1]Backup!AJ:AJ,[1]Backup!L:L)</f>
        <v>9.36</v>
      </c>
      <c r="D746">
        <f>_xlfn.XLOOKUP(Recon!A746,[1]Backup!AJ:AJ,[1]Backup!K:K)</f>
        <v>0.31824000000000002</v>
      </c>
      <c r="E746">
        <f>SUMIF('[1]PO Report'!A:A,Recon!A746,'[1]PO Report'!P:P)</f>
        <v>170</v>
      </c>
      <c r="F746">
        <f>VLOOKUP(A746,'[1]PO Report'!$A:$Z,15,0)</f>
        <v>9.36</v>
      </c>
      <c r="H746">
        <f t="shared" si="22"/>
        <v>0</v>
      </c>
      <c r="J746">
        <f t="shared" si="23"/>
        <v>0</v>
      </c>
    </row>
    <row r="747" spans="1:10" x14ac:dyDescent="0.25">
      <c r="A747" t="s">
        <v>2727</v>
      </c>
      <c r="B747">
        <v>2</v>
      </c>
      <c r="C747">
        <f>_xlfn.XLOOKUP(Recon!A747,[1]Backup!AJ:AJ,[1]Backup!L:L)</f>
        <v>94.44</v>
      </c>
      <c r="D747">
        <f>_xlfn.XLOOKUP(Recon!A747,[1]Backup!AJ:AJ,[1]Backup!K:K)</f>
        <v>3.21096</v>
      </c>
      <c r="E747">
        <f>SUMIF('[1]PO Report'!A:A,Recon!A747,'[1]PO Report'!P:P)</f>
        <v>2</v>
      </c>
      <c r="F747">
        <f>VLOOKUP(A747,'[1]PO Report'!$A:$Z,15,0)</f>
        <v>94.44</v>
      </c>
      <c r="H747">
        <f t="shared" si="22"/>
        <v>0</v>
      </c>
      <c r="J747">
        <f t="shared" si="23"/>
        <v>0</v>
      </c>
    </row>
    <row r="748" spans="1:10" x14ac:dyDescent="0.25">
      <c r="A748" t="s">
        <v>2728</v>
      </c>
      <c r="B748">
        <v>20</v>
      </c>
      <c r="C748">
        <f>_xlfn.XLOOKUP(Recon!A748,[1]Backup!AJ:AJ,[1]Backup!L:L)</f>
        <v>87.01</v>
      </c>
      <c r="D748">
        <f>_xlfn.XLOOKUP(Recon!A748,[1]Backup!AJ:AJ,[1]Backup!K:K)</f>
        <v>2.9583400000000002</v>
      </c>
      <c r="E748">
        <f>SUMIF('[1]PO Report'!A:A,Recon!A748,'[1]PO Report'!P:P)</f>
        <v>20</v>
      </c>
      <c r="F748">
        <f>VLOOKUP(A748,'[1]PO Report'!$A:$Z,15,0)</f>
        <v>87.01</v>
      </c>
      <c r="H748">
        <f t="shared" si="22"/>
        <v>0</v>
      </c>
      <c r="J748">
        <f t="shared" si="23"/>
        <v>0</v>
      </c>
    </row>
    <row r="749" spans="1:10" x14ac:dyDescent="0.25">
      <c r="A749" t="s">
        <v>2729</v>
      </c>
      <c r="B749">
        <v>8</v>
      </c>
      <c r="C749">
        <f>_xlfn.XLOOKUP(Recon!A749,[1]Backup!AJ:AJ,[1]Backup!L:L)</f>
        <v>20.5</v>
      </c>
      <c r="D749">
        <f>_xlfn.XLOOKUP(Recon!A749,[1]Backup!AJ:AJ,[1]Backup!K:K)</f>
        <v>0.69699999999999995</v>
      </c>
      <c r="E749">
        <f>SUMIF('[1]PO Report'!A:A,Recon!A749,'[1]PO Report'!P:P)</f>
        <v>8</v>
      </c>
      <c r="F749">
        <f>VLOOKUP(A749,'[1]PO Report'!$A:$Z,15,0)</f>
        <v>20.5</v>
      </c>
      <c r="H749">
        <f t="shared" si="22"/>
        <v>0</v>
      </c>
      <c r="J749">
        <f t="shared" si="23"/>
        <v>0</v>
      </c>
    </row>
    <row r="750" spans="1:10" x14ac:dyDescent="0.25">
      <c r="A750" t="s">
        <v>2730</v>
      </c>
      <c r="B750">
        <v>40</v>
      </c>
      <c r="C750">
        <f>_xlfn.XLOOKUP(Recon!A750,[1]Backup!AJ:AJ,[1]Backup!L:L)</f>
        <v>36.93</v>
      </c>
      <c r="D750">
        <f>_xlfn.XLOOKUP(Recon!A750,[1]Backup!AJ:AJ,[1]Backup!K:K)</f>
        <v>1.25562</v>
      </c>
      <c r="E750">
        <f>SUMIF('[1]PO Report'!A:A,Recon!A750,'[1]PO Report'!P:P)</f>
        <v>36</v>
      </c>
      <c r="F750">
        <f>VLOOKUP(A750,'[1]PO Report'!$A:$Z,15,0)</f>
        <v>36.93</v>
      </c>
      <c r="H750">
        <f t="shared" si="22"/>
        <v>4</v>
      </c>
      <c r="I750">
        <f>H750*D750</f>
        <v>5.0224799999999998</v>
      </c>
      <c r="J750">
        <f t="shared" si="23"/>
        <v>0</v>
      </c>
    </row>
    <row r="751" spans="1:10" x14ac:dyDescent="0.25">
      <c r="A751" t="s">
        <v>2731</v>
      </c>
      <c r="B751">
        <v>8</v>
      </c>
      <c r="C751">
        <f>_xlfn.XLOOKUP(Recon!A751,[1]Backup!AJ:AJ,[1]Backup!L:L)</f>
        <v>83</v>
      </c>
      <c r="D751">
        <f>_xlfn.XLOOKUP(Recon!A751,[1]Backup!AJ:AJ,[1]Backup!K:K)</f>
        <v>2.8220000000000001</v>
      </c>
      <c r="E751">
        <f>SUMIF('[1]PO Report'!A:A,Recon!A751,'[1]PO Report'!P:P)</f>
        <v>8</v>
      </c>
      <c r="F751">
        <f>VLOOKUP(A751,'[1]PO Report'!$A:$Z,15,0)</f>
        <v>83</v>
      </c>
      <c r="H751">
        <f t="shared" si="22"/>
        <v>0</v>
      </c>
      <c r="J751">
        <f t="shared" si="23"/>
        <v>0</v>
      </c>
    </row>
    <row r="752" spans="1:10" x14ac:dyDescent="0.25">
      <c r="A752" t="s">
        <v>2732</v>
      </c>
      <c r="B752">
        <v>12</v>
      </c>
      <c r="C752">
        <f>_xlfn.XLOOKUP(Recon!A752,[1]Backup!AJ:AJ,[1]Backup!L:L)</f>
        <v>42.860000000000007</v>
      </c>
      <c r="D752">
        <f>_xlfn.XLOOKUP(Recon!A752,[1]Backup!AJ:AJ,[1]Backup!K:K)</f>
        <v>1.4572399999999999</v>
      </c>
      <c r="E752">
        <f>SUMIF('[1]PO Report'!A:A,Recon!A752,'[1]PO Report'!P:P)</f>
        <v>12</v>
      </c>
      <c r="F752">
        <f>VLOOKUP(A752,'[1]PO Report'!$A:$Z,15,0)</f>
        <v>42.86</v>
      </c>
      <c r="H752">
        <f t="shared" si="22"/>
        <v>0</v>
      </c>
      <c r="J752">
        <f t="shared" si="23"/>
        <v>0</v>
      </c>
    </row>
    <row r="753" spans="1:10" x14ac:dyDescent="0.25">
      <c r="A753" t="s">
        <v>2733</v>
      </c>
      <c r="B753">
        <v>28</v>
      </c>
      <c r="C753">
        <f>_xlfn.XLOOKUP(Recon!A753,[1]Backup!AJ:AJ,[1]Backup!L:L)</f>
        <v>39.56</v>
      </c>
      <c r="D753">
        <f>_xlfn.XLOOKUP(Recon!A753,[1]Backup!AJ:AJ,[1]Backup!K:K)</f>
        <v>1.3450399999999998</v>
      </c>
      <c r="E753">
        <f>SUMIF('[1]PO Report'!A:A,Recon!A753,'[1]PO Report'!P:P)</f>
        <v>28</v>
      </c>
      <c r="F753">
        <f>VLOOKUP(A753,'[1]PO Report'!$A:$Z,15,0)</f>
        <v>39.56</v>
      </c>
      <c r="H753">
        <f t="shared" si="22"/>
        <v>0</v>
      </c>
      <c r="J753">
        <f t="shared" si="23"/>
        <v>0</v>
      </c>
    </row>
    <row r="754" spans="1:10" x14ac:dyDescent="0.25">
      <c r="A754" t="s">
        <v>2734</v>
      </c>
      <c r="B754">
        <v>8</v>
      </c>
      <c r="C754">
        <f>_xlfn.XLOOKUP(Recon!A754,[1]Backup!AJ:AJ,[1]Backup!L:L)</f>
        <v>32.21</v>
      </c>
      <c r="D754">
        <f>_xlfn.XLOOKUP(Recon!A754,[1]Backup!AJ:AJ,[1]Backup!K:K)</f>
        <v>1.09514</v>
      </c>
      <c r="E754">
        <f>SUMIF('[1]PO Report'!A:A,Recon!A754,'[1]PO Report'!P:P)</f>
        <v>8</v>
      </c>
      <c r="F754">
        <f>VLOOKUP(A754,'[1]PO Report'!$A:$Z,15,0)</f>
        <v>32.21</v>
      </c>
      <c r="H754">
        <f t="shared" si="22"/>
        <v>0</v>
      </c>
      <c r="J754">
        <f t="shared" si="23"/>
        <v>0</v>
      </c>
    </row>
    <row r="755" spans="1:10" x14ac:dyDescent="0.25">
      <c r="A755" t="s">
        <v>2735</v>
      </c>
      <c r="B755">
        <v>170</v>
      </c>
      <c r="C755">
        <f>_xlfn.XLOOKUP(Recon!A755,[1]Backup!AJ:AJ,[1]Backup!L:L)</f>
        <v>10.53</v>
      </c>
      <c r="D755">
        <f>_xlfn.XLOOKUP(Recon!A755,[1]Backup!AJ:AJ,[1]Backup!K:K)</f>
        <v>0.35802</v>
      </c>
      <c r="E755">
        <f>SUMIF('[1]PO Report'!A:A,Recon!A755,'[1]PO Report'!P:P)</f>
        <v>170</v>
      </c>
      <c r="F755">
        <f>VLOOKUP(A755,'[1]PO Report'!$A:$Z,15,0)</f>
        <v>10.53</v>
      </c>
      <c r="H755">
        <f t="shared" si="22"/>
        <v>0</v>
      </c>
      <c r="J755">
        <f t="shared" si="23"/>
        <v>0</v>
      </c>
    </row>
    <row r="756" spans="1:10" x14ac:dyDescent="0.25">
      <c r="A756" t="s">
        <v>2736</v>
      </c>
      <c r="B756">
        <v>8</v>
      </c>
      <c r="C756">
        <f>_xlfn.XLOOKUP(Recon!A756,[1]Backup!AJ:AJ,[1]Backup!L:L)</f>
        <v>35.130000000000003</v>
      </c>
      <c r="D756">
        <f>_xlfn.XLOOKUP(Recon!A756,[1]Backup!AJ:AJ,[1]Backup!K:K)</f>
        <v>1.19442</v>
      </c>
      <c r="E756">
        <f>SUMIF('[1]PO Report'!A:A,Recon!A756,'[1]PO Report'!P:P)</f>
        <v>8</v>
      </c>
      <c r="F756">
        <f>VLOOKUP(A756,'[1]PO Report'!$A:$Z,15,0)</f>
        <v>35.130000000000003</v>
      </c>
      <c r="H756">
        <f t="shared" si="22"/>
        <v>0</v>
      </c>
      <c r="J756">
        <f t="shared" si="23"/>
        <v>0</v>
      </c>
    </row>
    <row r="757" spans="1:10" x14ac:dyDescent="0.25">
      <c r="A757" t="s">
        <v>2737</v>
      </c>
      <c r="B757">
        <v>20</v>
      </c>
      <c r="C757">
        <f>_xlfn.XLOOKUP(Recon!A757,[1]Backup!AJ:AJ,[1]Backup!L:L)</f>
        <v>44.839999999999996</v>
      </c>
      <c r="D757">
        <f>_xlfn.XLOOKUP(Recon!A757,[1]Backup!AJ:AJ,[1]Backup!K:K)</f>
        <v>1.5245599999999999</v>
      </c>
      <c r="E757">
        <f>SUMIF('[1]PO Report'!A:A,Recon!A757,'[1]PO Report'!P:P)</f>
        <v>20</v>
      </c>
      <c r="F757">
        <f>VLOOKUP(A757,'[1]PO Report'!$A:$Z,15,0)</f>
        <v>44.84</v>
      </c>
      <c r="H757">
        <f t="shared" si="22"/>
        <v>0</v>
      </c>
      <c r="J757">
        <f t="shared" si="23"/>
        <v>0</v>
      </c>
    </row>
    <row r="758" spans="1:10" x14ac:dyDescent="0.25">
      <c r="A758" t="s">
        <v>2738</v>
      </c>
      <c r="B758">
        <v>360</v>
      </c>
      <c r="C758">
        <f>_xlfn.XLOOKUP(Recon!A758,[1]Backup!AJ:AJ,[1]Backup!L:L)</f>
        <v>32.21</v>
      </c>
      <c r="D758">
        <f>_xlfn.XLOOKUP(Recon!A758,[1]Backup!AJ:AJ,[1]Backup!K:K)</f>
        <v>1.09514</v>
      </c>
      <c r="E758">
        <f>SUMIF('[1]PO Report'!A:A,Recon!A758,'[1]PO Report'!P:P)</f>
        <v>360</v>
      </c>
      <c r="F758">
        <f>VLOOKUP(A758,'[1]PO Report'!$A:$Z,15,0)</f>
        <v>32.21</v>
      </c>
      <c r="H758">
        <f t="shared" si="22"/>
        <v>0</v>
      </c>
      <c r="J758">
        <f t="shared" si="23"/>
        <v>0</v>
      </c>
    </row>
    <row r="759" spans="1:10" x14ac:dyDescent="0.25">
      <c r="A759" t="s">
        <v>2739</v>
      </c>
      <c r="B759">
        <v>20</v>
      </c>
      <c r="C759">
        <f>_xlfn.XLOOKUP(Recon!A759,[1]Backup!AJ:AJ,[1]Backup!L:L)</f>
        <v>36.93</v>
      </c>
      <c r="D759">
        <f>_xlfn.XLOOKUP(Recon!A759,[1]Backup!AJ:AJ,[1]Backup!K:K)</f>
        <v>1.25562</v>
      </c>
      <c r="E759">
        <f>SUMIF('[1]PO Report'!A:A,Recon!A759,'[1]PO Report'!P:P)</f>
        <v>20</v>
      </c>
      <c r="F759">
        <f>VLOOKUP(A759,'[1]PO Report'!$A:$Z,15,0)</f>
        <v>36.93</v>
      </c>
      <c r="H759">
        <f t="shared" si="22"/>
        <v>0</v>
      </c>
      <c r="J759">
        <f t="shared" si="23"/>
        <v>0</v>
      </c>
    </row>
    <row r="760" spans="1:10" x14ac:dyDescent="0.25">
      <c r="A760" t="s">
        <v>2740</v>
      </c>
      <c r="B760">
        <v>12</v>
      </c>
      <c r="C760">
        <f>_xlfn.XLOOKUP(Recon!A760,[1]Backup!AJ:AJ,[1]Backup!L:L)</f>
        <v>73.34</v>
      </c>
      <c r="D760">
        <f>_xlfn.XLOOKUP(Recon!A760,[1]Backup!AJ:AJ,[1]Backup!K:K)</f>
        <v>2.49356</v>
      </c>
      <c r="E760">
        <f>SUMIF('[1]PO Report'!A:A,Recon!A760,'[1]PO Report'!P:P)</f>
        <v>12</v>
      </c>
      <c r="F760">
        <f>VLOOKUP(A760,'[1]PO Report'!$A:$Z,15,0)</f>
        <v>73.34</v>
      </c>
      <c r="H760">
        <f t="shared" si="22"/>
        <v>0</v>
      </c>
      <c r="J760">
        <f t="shared" si="23"/>
        <v>0</v>
      </c>
    </row>
    <row r="761" spans="1:10" x14ac:dyDescent="0.25">
      <c r="A761" t="s">
        <v>2741</v>
      </c>
      <c r="B761">
        <v>30</v>
      </c>
      <c r="C761">
        <f>_xlfn.XLOOKUP(Recon!A761,[1]Backup!AJ:AJ,[1]Backup!L:L)</f>
        <v>29.279999999999998</v>
      </c>
      <c r="D761">
        <f>_xlfn.XLOOKUP(Recon!A761,[1]Backup!AJ:AJ,[1]Backup!K:K)</f>
        <v>0.99552000000000007</v>
      </c>
      <c r="E761">
        <f>SUMIF('[1]PO Report'!A:A,Recon!A761,'[1]PO Report'!P:P)</f>
        <v>30</v>
      </c>
      <c r="F761">
        <f>VLOOKUP(A761,'[1]PO Report'!$A:$Z,15,0)</f>
        <v>29.28</v>
      </c>
      <c r="H761">
        <f t="shared" si="22"/>
        <v>0</v>
      </c>
      <c r="J761">
        <f t="shared" si="23"/>
        <v>0</v>
      </c>
    </row>
    <row r="762" spans="1:10" x14ac:dyDescent="0.25">
      <c r="A762" t="s">
        <v>2742</v>
      </c>
      <c r="B762">
        <v>40</v>
      </c>
      <c r="C762">
        <f>_xlfn.XLOOKUP(Recon!A762,[1]Backup!AJ:AJ,[1]Backup!L:L)</f>
        <v>10.53</v>
      </c>
      <c r="D762">
        <f>_xlfn.XLOOKUP(Recon!A762,[1]Backup!AJ:AJ,[1]Backup!K:K)</f>
        <v>0.35802</v>
      </c>
      <c r="E762">
        <f>SUMIF('[1]PO Report'!A:A,Recon!A762,'[1]PO Report'!P:P)</f>
        <v>40</v>
      </c>
      <c r="F762">
        <f>VLOOKUP(A762,'[1]PO Report'!$A:$Z,15,0)</f>
        <v>10.53</v>
      </c>
      <c r="H762">
        <f t="shared" si="22"/>
        <v>0</v>
      </c>
      <c r="J762">
        <f t="shared" si="23"/>
        <v>0</v>
      </c>
    </row>
    <row r="763" spans="1:10" x14ac:dyDescent="0.25">
      <c r="A763" t="s">
        <v>2743</v>
      </c>
      <c r="B763">
        <v>128</v>
      </c>
      <c r="C763">
        <f>_xlfn.XLOOKUP(Recon!A763,[1]Backup!AJ:AJ,[1]Backup!L:L)</f>
        <v>32.21</v>
      </c>
      <c r="D763">
        <f>_xlfn.XLOOKUP(Recon!A763,[1]Backup!AJ:AJ,[1]Backup!K:K)</f>
        <v>1.09514</v>
      </c>
      <c r="E763">
        <f>SUMIF('[1]PO Report'!A:A,Recon!A763,'[1]PO Report'!P:P)</f>
        <v>128</v>
      </c>
      <c r="F763">
        <f>VLOOKUP(A763,'[1]PO Report'!$A:$Z,15,0)</f>
        <v>32.21</v>
      </c>
      <c r="H763">
        <f t="shared" si="22"/>
        <v>0</v>
      </c>
      <c r="J763">
        <f t="shared" si="23"/>
        <v>0</v>
      </c>
    </row>
    <row r="764" spans="1:10" x14ac:dyDescent="0.25">
      <c r="A764" t="s">
        <v>2744</v>
      </c>
      <c r="B764">
        <v>120</v>
      </c>
      <c r="C764">
        <f>_xlfn.XLOOKUP(Recon!A764,[1]Backup!AJ:AJ,[1]Backup!L:L)</f>
        <v>16.39</v>
      </c>
      <c r="D764">
        <f>_xlfn.XLOOKUP(Recon!A764,[1]Backup!AJ:AJ,[1]Backup!K:K)</f>
        <v>0.55725999999999998</v>
      </c>
      <c r="E764">
        <f>SUMIF('[1]PO Report'!A:A,Recon!A764,'[1]PO Report'!P:P)</f>
        <v>120</v>
      </c>
      <c r="F764">
        <f>VLOOKUP(A764,'[1]PO Report'!$A:$Z,15,0)</f>
        <v>16.39</v>
      </c>
      <c r="H764">
        <f t="shared" si="22"/>
        <v>0</v>
      </c>
      <c r="J764">
        <f t="shared" si="23"/>
        <v>0</v>
      </c>
    </row>
    <row r="765" spans="1:10" x14ac:dyDescent="0.25">
      <c r="A765" t="s">
        <v>2745</v>
      </c>
      <c r="B765">
        <v>4</v>
      </c>
      <c r="C765">
        <f>_xlfn.XLOOKUP(Recon!A765,[1]Backup!AJ:AJ,[1]Backup!L:L)</f>
        <v>145.02000000000001</v>
      </c>
      <c r="D765">
        <f>_xlfn.XLOOKUP(Recon!A765,[1]Backup!AJ:AJ,[1]Backup!K:K)</f>
        <v>4.9306799999999997</v>
      </c>
      <c r="E765">
        <f>SUMIF('[1]PO Report'!A:A,Recon!A765,'[1]PO Report'!P:P)</f>
        <v>4</v>
      </c>
      <c r="F765">
        <f>VLOOKUP(A765,'[1]PO Report'!$A:$Z,15,0)</f>
        <v>145.02000000000001</v>
      </c>
      <c r="H765">
        <f t="shared" si="22"/>
        <v>0</v>
      </c>
      <c r="J765">
        <f t="shared" si="23"/>
        <v>0</v>
      </c>
    </row>
    <row r="766" spans="1:10" x14ac:dyDescent="0.25">
      <c r="A766" t="s">
        <v>2746</v>
      </c>
      <c r="B766">
        <v>20</v>
      </c>
      <c r="C766">
        <f>_xlfn.XLOOKUP(Recon!A766,[1]Backup!AJ:AJ,[1]Backup!L:L)</f>
        <v>69.03</v>
      </c>
      <c r="D766">
        <f>_xlfn.XLOOKUP(Recon!A766,[1]Backup!AJ:AJ,[1]Backup!K:K)</f>
        <v>2.3470199999999997</v>
      </c>
      <c r="E766">
        <f>SUMIF('[1]PO Report'!A:A,Recon!A766,'[1]PO Report'!P:P)</f>
        <v>20</v>
      </c>
      <c r="F766">
        <f>VLOOKUP(A766,'[1]PO Report'!$A:$Z,15,0)</f>
        <v>69.03</v>
      </c>
      <c r="H766">
        <f t="shared" si="22"/>
        <v>0</v>
      </c>
      <c r="J766">
        <f t="shared" si="23"/>
        <v>0</v>
      </c>
    </row>
    <row r="767" spans="1:10" x14ac:dyDescent="0.25">
      <c r="A767" t="s">
        <v>2747</v>
      </c>
      <c r="B767">
        <v>172</v>
      </c>
      <c r="C767">
        <f>_xlfn.XLOOKUP(Recon!A767,[1]Backup!AJ:AJ,[1]Backup!L:L)</f>
        <v>81.210000000000008</v>
      </c>
      <c r="D767">
        <f>_xlfn.XLOOKUP(Recon!A767,[1]Backup!AJ:AJ,[1]Backup!K:K)</f>
        <v>2.7611400000000001</v>
      </c>
      <c r="E767">
        <f>SUMIF('[1]PO Report'!A:A,Recon!A767,'[1]PO Report'!P:P)</f>
        <v>172</v>
      </c>
      <c r="F767">
        <f>VLOOKUP(A767,'[1]PO Report'!$A:$Z,15,0)</f>
        <v>81.209999999999994</v>
      </c>
      <c r="H767">
        <f t="shared" si="22"/>
        <v>0</v>
      </c>
      <c r="J767">
        <f t="shared" si="23"/>
        <v>0</v>
      </c>
    </row>
    <row r="768" spans="1:10" x14ac:dyDescent="0.25">
      <c r="A768" t="s">
        <v>2748</v>
      </c>
      <c r="B768">
        <v>60</v>
      </c>
      <c r="C768">
        <f>_xlfn.XLOOKUP(Recon!A768,[1]Backup!AJ:AJ,[1]Backup!L:L)</f>
        <v>75.410000000000011</v>
      </c>
      <c r="D768">
        <f>_xlfn.XLOOKUP(Recon!A768,[1]Backup!AJ:AJ,[1]Backup!K:K)</f>
        <v>2.5639400000000001</v>
      </c>
      <c r="E768">
        <f>SUMIF('[1]PO Report'!A:A,Recon!A768,'[1]PO Report'!P:P)</f>
        <v>60</v>
      </c>
      <c r="F768">
        <f>VLOOKUP(A768,'[1]PO Report'!$A:$Z,15,0)</f>
        <v>75.41</v>
      </c>
      <c r="H768">
        <f t="shared" si="22"/>
        <v>0</v>
      </c>
      <c r="J768">
        <f t="shared" si="23"/>
        <v>0</v>
      </c>
    </row>
    <row r="769" spans="1:10" x14ac:dyDescent="0.25">
      <c r="A769" t="s">
        <v>2749</v>
      </c>
      <c r="B769">
        <v>10</v>
      </c>
      <c r="C769">
        <f>_xlfn.XLOOKUP(Recon!A769,[1]Backup!AJ:AJ,[1]Backup!L:L)</f>
        <v>29.28</v>
      </c>
      <c r="D769">
        <f>_xlfn.XLOOKUP(Recon!A769,[1]Backup!AJ:AJ,[1]Backup!K:K)</f>
        <v>0.99551999999999996</v>
      </c>
      <c r="E769">
        <f>SUMIF('[1]PO Report'!A:A,Recon!A769,'[1]PO Report'!P:P)</f>
        <v>10</v>
      </c>
      <c r="F769">
        <f>VLOOKUP(A769,'[1]PO Report'!$A:$Z,15,0)</f>
        <v>29.28</v>
      </c>
      <c r="H769">
        <f t="shared" si="22"/>
        <v>0</v>
      </c>
      <c r="J769">
        <f t="shared" si="23"/>
        <v>0</v>
      </c>
    </row>
    <row r="770" spans="1:10" x14ac:dyDescent="0.25">
      <c r="A770" t="s">
        <v>2750</v>
      </c>
      <c r="B770">
        <v>40</v>
      </c>
      <c r="C770">
        <f>_xlfn.XLOOKUP(Recon!A770,[1]Backup!AJ:AJ,[1]Backup!L:L)</f>
        <v>32.21</v>
      </c>
      <c r="D770">
        <f>_xlfn.XLOOKUP(Recon!A770,[1]Backup!AJ:AJ,[1]Backup!K:K)</f>
        <v>1.09514</v>
      </c>
      <c r="E770">
        <f>SUMIF('[1]PO Report'!A:A,Recon!A770,'[1]PO Report'!P:P)</f>
        <v>40</v>
      </c>
      <c r="F770">
        <f>VLOOKUP(A770,'[1]PO Report'!$A:$Z,15,0)</f>
        <v>32.21</v>
      </c>
      <c r="H770">
        <f t="shared" si="22"/>
        <v>0</v>
      </c>
      <c r="J770">
        <f t="shared" si="23"/>
        <v>0</v>
      </c>
    </row>
    <row r="771" spans="1:10" x14ac:dyDescent="0.25">
      <c r="A771" t="s">
        <v>2751</v>
      </c>
      <c r="B771">
        <v>4</v>
      </c>
      <c r="C771">
        <f>_xlfn.XLOOKUP(Recon!A771,[1]Backup!AJ:AJ,[1]Backup!L:L)</f>
        <v>44.84</v>
      </c>
      <c r="D771">
        <f>_xlfn.XLOOKUP(Recon!A771,[1]Backup!AJ:AJ,[1]Backup!K:K)</f>
        <v>1.5245599999999999</v>
      </c>
      <c r="E771">
        <f>SUMIF('[1]PO Report'!A:A,Recon!A771,'[1]PO Report'!P:P)</f>
        <v>4</v>
      </c>
      <c r="F771">
        <f>VLOOKUP(A771,'[1]PO Report'!$A:$Z,15,0)</f>
        <v>44.84</v>
      </c>
      <c r="H771">
        <f t="shared" si="22"/>
        <v>0</v>
      </c>
      <c r="J771">
        <f t="shared" si="23"/>
        <v>0</v>
      </c>
    </row>
    <row r="772" spans="1:10" x14ac:dyDescent="0.25">
      <c r="A772" t="s">
        <v>2752</v>
      </c>
      <c r="B772">
        <v>8</v>
      </c>
      <c r="C772">
        <f>_xlfn.XLOOKUP(Recon!A772,[1]Backup!AJ:AJ,[1]Backup!L:L)</f>
        <v>69.03</v>
      </c>
      <c r="D772">
        <f>_xlfn.XLOOKUP(Recon!A772,[1]Backup!AJ:AJ,[1]Backup!K:K)</f>
        <v>2.3470200000000001</v>
      </c>
      <c r="E772">
        <f>SUMIF('[1]PO Report'!A:A,Recon!A772,'[1]PO Report'!P:P)</f>
        <v>8</v>
      </c>
      <c r="F772">
        <f>VLOOKUP(A772,'[1]PO Report'!$A:$Z,15,0)</f>
        <v>69.03</v>
      </c>
      <c r="H772">
        <f t="shared" ref="H772:H835" si="24">B772-E772</f>
        <v>0</v>
      </c>
      <c r="J772">
        <f t="shared" ref="J772:J835" si="25">C772-F772</f>
        <v>0</v>
      </c>
    </row>
    <row r="773" spans="1:10" x14ac:dyDescent="0.25">
      <c r="A773" t="s">
        <v>2753</v>
      </c>
      <c r="B773">
        <v>20</v>
      </c>
      <c r="C773">
        <f>_xlfn.XLOOKUP(Recon!A773,[1]Backup!AJ:AJ,[1]Backup!L:L)</f>
        <v>58</v>
      </c>
      <c r="D773">
        <f>_xlfn.XLOOKUP(Recon!A773,[1]Backup!AJ:AJ,[1]Backup!K:K)</f>
        <v>1.972</v>
      </c>
      <c r="E773">
        <f>SUMIF('[1]PO Report'!A:A,Recon!A773,'[1]PO Report'!P:P)</f>
        <v>20</v>
      </c>
      <c r="F773">
        <f>VLOOKUP(A773,'[1]PO Report'!$A:$Z,15,0)</f>
        <v>58</v>
      </c>
      <c r="H773">
        <f t="shared" si="24"/>
        <v>0</v>
      </c>
      <c r="J773">
        <f t="shared" si="25"/>
        <v>0</v>
      </c>
    </row>
    <row r="774" spans="1:10" x14ac:dyDescent="0.25">
      <c r="A774" t="s">
        <v>2754</v>
      </c>
      <c r="B774">
        <v>4</v>
      </c>
      <c r="C774">
        <f>_xlfn.XLOOKUP(Recon!A774,[1]Backup!AJ:AJ,[1]Backup!L:L)</f>
        <v>68.06</v>
      </c>
      <c r="D774">
        <f>_xlfn.XLOOKUP(Recon!A774,[1]Backup!AJ:AJ,[1]Backup!K:K)</f>
        <v>2.3140399999999999</v>
      </c>
      <c r="E774">
        <f>SUMIF('[1]PO Report'!A:A,Recon!A774,'[1]PO Report'!P:P)</f>
        <v>4</v>
      </c>
      <c r="F774">
        <f>VLOOKUP(A774,'[1]PO Report'!$A:$Z,15,0)</f>
        <v>68.06</v>
      </c>
      <c r="H774">
        <f t="shared" si="24"/>
        <v>0</v>
      </c>
      <c r="J774">
        <f t="shared" si="25"/>
        <v>0</v>
      </c>
    </row>
    <row r="775" spans="1:10" x14ac:dyDescent="0.25">
      <c r="A775" t="s">
        <v>2755</v>
      </c>
      <c r="B775">
        <v>52</v>
      </c>
      <c r="C775">
        <f>_xlfn.XLOOKUP(Recon!A775,[1]Backup!AJ:AJ,[1]Backup!L:L)</f>
        <v>42.2</v>
      </c>
      <c r="D775">
        <f>_xlfn.XLOOKUP(Recon!A775,[1]Backup!AJ:AJ,[1]Backup!K:K)</f>
        <v>1.4348000000000001</v>
      </c>
      <c r="E775">
        <f>SUMIF('[1]PO Report'!A:A,Recon!A775,'[1]PO Report'!P:P)</f>
        <v>52</v>
      </c>
      <c r="F775">
        <f>VLOOKUP(A775,'[1]PO Report'!$A:$Z,15,0)</f>
        <v>42.2</v>
      </c>
      <c r="H775">
        <f t="shared" si="24"/>
        <v>0</v>
      </c>
      <c r="J775">
        <f t="shared" si="25"/>
        <v>0</v>
      </c>
    </row>
    <row r="776" spans="1:10" x14ac:dyDescent="0.25">
      <c r="A776" t="s">
        <v>2756</v>
      </c>
      <c r="B776">
        <v>120</v>
      </c>
      <c r="C776">
        <f>_xlfn.XLOOKUP(Recon!A776,[1]Backup!AJ:AJ,[1]Backup!L:L)</f>
        <v>55.1</v>
      </c>
      <c r="D776">
        <f>_xlfn.XLOOKUP(Recon!A776,[1]Backup!AJ:AJ,[1]Backup!K:K)</f>
        <v>1.8734</v>
      </c>
      <c r="E776">
        <f>SUMIF('[1]PO Report'!A:A,Recon!A776,'[1]PO Report'!P:P)</f>
        <v>120</v>
      </c>
      <c r="F776">
        <f>VLOOKUP(A776,'[1]PO Report'!$A:$Z,15,0)</f>
        <v>55.1</v>
      </c>
      <c r="H776">
        <f t="shared" si="24"/>
        <v>0</v>
      </c>
      <c r="J776">
        <f t="shared" si="25"/>
        <v>0</v>
      </c>
    </row>
    <row r="777" spans="1:10" x14ac:dyDescent="0.25">
      <c r="A777" t="s">
        <v>2757</v>
      </c>
      <c r="B777">
        <v>64</v>
      </c>
      <c r="C777">
        <f>_xlfn.XLOOKUP(Recon!A777,[1]Backup!AJ:AJ,[1]Backup!L:L)</f>
        <v>133.41999999999999</v>
      </c>
      <c r="D777">
        <f>_xlfn.XLOOKUP(Recon!A777,[1]Backup!AJ:AJ,[1]Backup!K:K)</f>
        <v>4.5362799999999996</v>
      </c>
      <c r="E777">
        <f>SUMIF('[1]PO Report'!A:A,Recon!A777,'[1]PO Report'!P:P)</f>
        <v>64</v>
      </c>
      <c r="F777">
        <f>VLOOKUP(A777,'[1]PO Report'!$A:$Z,15,0)</f>
        <v>133.41999999999999</v>
      </c>
      <c r="H777">
        <f t="shared" si="24"/>
        <v>0</v>
      </c>
      <c r="J777">
        <f t="shared" si="25"/>
        <v>0</v>
      </c>
    </row>
    <row r="778" spans="1:10" x14ac:dyDescent="0.25">
      <c r="A778" t="s">
        <v>2758</v>
      </c>
      <c r="B778">
        <v>20</v>
      </c>
      <c r="C778">
        <f>_xlfn.XLOOKUP(Recon!A778,[1]Backup!AJ:AJ,[1]Backup!L:L)</f>
        <v>7.6099999999999994</v>
      </c>
      <c r="D778">
        <f>_xlfn.XLOOKUP(Recon!A778,[1]Backup!AJ:AJ,[1]Backup!K:K)</f>
        <v>0.25874000000000003</v>
      </c>
      <c r="E778">
        <f>SUMIF('[1]PO Report'!A:A,Recon!A778,'[1]PO Report'!P:P)</f>
        <v>20</v>
      </c>
      <c r="F778">
        <f>VLOOKUP(A778,'[1]PO Report'!$A:$Z,15,0)</f>
        <v>7.61</v>
      </c>
      <c r="H778">
        <f t="shared" si="24"/>
        <v>0</v>
      </c>
      <c r="J778">
        <f t="shared" si="25"/>
        <v>0</v>
      </c>
    </row>
    <row r="779" spans="1:10" x14ac:dyDescent="0.25">
      <c r="A779" t="s">
        <v>2759</v>
      </c>
      <c r="B779">
        <v>8</v>
      </c>
      <c r="C779">
        <f>_xlfn.XLOOKUP(Recon!A779,[1]Backup!AJ:AJ,[1]Backup!L:L)</f>
        <v>31.65</v>
      </c>
      <c r="D779">
        <f>_xlfn.XLOOKUP(Recon!A779,[1]Backup!AJ:AJ,[1]Backup!K:K)</f>
        <v>1.0761000000000001</v>
      </c>
      <c r="E779">
        <f>SUMIF('[1]PO Report'!A:A,Recon!A779,'[1]PO Report'!P:P)</f>
        <v>8</v>
      </c>
      <c r="F779">
        <f>VLOOKUP(A779,'[1]PO Report'!$A:$Z,15,0)</f>
        <v>31.65</v>
      </c>
      <c r="H779">
        <f t="shared" si="24"/>
        <v>0</v>
      </c>
      <c r="J779">
        <f t="shared" si="25"/>
        <v>0</v>
      </c>
    </row>
    <row r="780" spans="1:10" x14ac:dyDescent="0.25">
      <c r="A780" t="s">
        <v>2760</v>
      </c>
      <c r="B780">
        <v>84</v>
      </c>
      <c r="C780">
        <f>_xlfn.XLOOKUP(Recon!A780,[1]Backup!AJ:AJ,[1]Backup!L:L)</f>
        <v>83.89</v>
      </c>
      <c r="D780">
        <f>_xlfn.XLOOKUP(Recon!A780,[1]Backup!AJ:AJ,[1]Backup!K:K)</f>
        <v>2.8522600000000002</v>
      </c>
      <c r="E780">
        <f>SUMIF('[1]PO Report'!A:A,Recon!A780,'[1]PO Report'!P:P)</f>
        <v>84</v>
      </c>
      <c r="F780">
        <f>VLOOKUP(A780,'[1]PO Report'!$A:$Z,15,0)</f>
        <v>83.89</v>
      </c>
      <c r="H780">
        <f t="shared" si="24"/>
        <v>0</v>
      </c>
      <c r="J780">
        <f t="shared" si="25"/>
        <v>0</v>
      </c>
    </row>
    <row r="781" spans="1:10" x14ac:dyDescent="0.25">
      <c r="A781" t="s">
        <v>2761</v>
      </c>
      <c r="B781">
        <v>4</v>
      </c>
      <c r="C781">
        <f>_xlfn.XLOOKUP(Recon!A781,[1]Backup!AJ:AJ,[1]Backup!L:L)</f>
        <v>298.58999999999997</v>
      </c>
      <c r="D781">
        <f>_xlfn.XLOOKUP(Recon!A781,[1]Backup!AJ:AJ,[1]Backup!K:K)</f>
        <v>10.152060000000001</v>
      </c>
      <c r="E781">
        <f>SUMIF('[1]PO Report'!A:A,Recon!A781,'[1]PO Report'!P:P)</f>
        <v>4</v>
      </c>
      <c r="F781">
        <f>VLOOKUP(A781,'[1]PO Report'!$A:$Z,15,0)</f>
        <v>298.58999999999997</v>
      </c>
      <c r="H781">
        <f t="shared" si="24"/>
        <v>0</v>
      </c>
      <c r="J781">
        <f t="shared" si="25"/>
        <v>0</v>
      </c>
    </row>
    <row r="782" spans="1:10" x14ac:dyDescent="0.25">
      <c r="A782" t="s">
        <v>2762</v>
      </c>
      <c r="B782">
        <v>12</v>
      </c>
      <c r="C782">
        <f>_xlfn.XLOOKUP(Recon!A782,[1]Backup!AJ:AJ,[1]Backup!L:L)</f>
        <v>46.4</v>
      </c>
      <c r="D782">
        <f>_xlfn.XLOOKUP(Recon!A782,[1]Backup!AJ:AJ,[1]Backup!K:K)</f>
        <v>1.5776000000000001</v>
      </c>
      <c r="E782">
        <f>SUMIF('[1]PO Report'!A:A,Recon!A782,'[1]PO Report'!P:P)</f>
        <v>12</v>
      </c>
      <c r="F782">
        <f>VLOOKUP(A782,'[1]PO Report'!$A:$Z,15,0)</f>
        <v>46.4</v>
      </c>
      <c r="H782">
        <f t="shared" si="24"/>
        <v>0</v>
      </c>
      <c r="J782">
        <f t="shared" si="25"/>
        <v>0</v>
      </c>
    </row>
    <row r="783" spans="1:10" x14ac:dyDescent="0.25">
      <c r="A783" t="s">
        <v>2763</v>
      </c>
      <c r="B783">
        <v>24</v>
      </c>
      <c r="C783">
        <f>_xlfn.XLOOKUP(Recon!A783,[1]Backup!AJ:AJ,[1]Backup!L:L)</f>
        <v>40.6</v>
      </c>
      <c r="D783">
        <f>_xlfn.XLOOKUP(Recon!A783,[1]Backup!AJ:AJ,[1]Backup!K:K)</f>
        <v>1.3804000000000001</v>
      </c>
      <c r="E783">
        <f>SUMIF('[1]PO Report'!A:A,Recon!A783,'[1]PO Report'!P:P)</f>
        <v>16</v>
      </c>
      <c r="F783">
        <f>VLOOKUP(A783,'[1]PO Report'!$A:$Z,15,0)</f>
        <v>40.6</v>
      </c>
      <c r="H783">
        <f t="shared" si="24"/>
        <v>8</v>
      </c>
      <c r="I783">
        <f>H783*D783</f>
        <v>11.043200000000001</v>
      </c>
      <c r="J783">
        <f t="shared" si="25"/>
        <v>0</v>
      </c>
    </row>
    <row r="784" spans="1:10" x14ac:dyDescent="0.25">
      <c r="A784" t="s">
        <v>2764</v>
      </c>
      <c r="B784">
        <v>32</v>
      </c>
      <c r="C784">
        <f>_xlfn.XLOOKUP(Recon!A784,[1]Backup!AJ:AJ,[1]Backup!L:L)</f>
        <v>57.51</v>
      </c>
      <c r="D784">
        <f>_xlfn.XLOOKUP(Recon!A784,[1]Backup!AJ:AJ,[1]Backup!K:K)</f>
        <v>1.9553400000000001</v>
      </c>
      <c r="E784">
        <f>SUMIF('[1]PO Report'!A:A,Recon!A784,'[1]PO Report'!P:P)</f>
        <v>32</v>
      </c>
      <c r="F784">
        <f>VLOOKUP(A784,'[1]PO Report'!$A:$Z,15,0)</f>
        <v>57.51</v>
      </c>
      <c r="H784">
        <f t="shared" si="24"/>
        <v>0</v>
      </c>
      <c r="J784">
        <f t="shared" si="25"/>
        <v>0</v>
      </c>
    </row>
    <row r="785" spans="1:10" x14ac:dyDescent="0.25">
      <c r="A785" t="s">
        <v>2765</v>
      </c>
      <c r="B785">
        <v>300</v>
      </c>
      <c r="C785">
        <f>_xlfn.XLOOKUP(Recon!A785,[1]Backup!AJ:AJ,[1]Backup!L:L)</f>
        <v>31.9</v>
      </c>
      <c r="D785">
        <f>_xlfn.XLOOKUP(Recon!A785,[1]Backup!AJ:AJ,[1]Backup!K:K)</f>
        <v>1.0846</v>
      </c>
      <c r="E785">
        <f>SUMIF('[1]PO Report'!A:A,Recon!A785,'[1]PO Report'!P:P)</f>
        <v>290</v>
      </c>
      <c r="F785">
        <f>VLOOKUP(A785,'[1]PO Report'!$A:$Z,15,0)</f>
        <v>31.9</v>
      </c>
      <c r="H785">
        <f t="shared" si="24"/>
        <v>10</v>
      </c>
      <c r="I785">
        <f>H785*D785</f>
        <v>10.846</v>
      </c>
      <c r="J785">
        <f t="shared" si="25"/>
        <v>0</v>
      </c>
    </row>
    <row r="786" spans="1:10" x14ac:dyDescent="0.25">
      <c r="A786" t="s">
        <v>2766</v>
      </c>
      <c r="B786">
        <v>16</v>
      </c>
      <c r="C786">
        <f>_xlfn.XLOOKUP(Recon!A786,[1]Backup!AJ:AJ,[1]Backup!L:L)</f>
        <v>32.21</v>
      </c>
      <c r="D786">
        <f>_xlfn.XLOOKUP(Recon!A786,[1]Backup!AJ:AJ,[1]Backup!K:K)</f>
        <v>1.09514</v>
      </c>
      <c r="E786">
        <f>SUMIF('[1]PO Report'!A:A,Recon!A786,'[1]PO Report'!P:P)</f>
        <v>16</v>
      </c>
      <c r="F786">
        <f>VLOOKUP(A786,'[1]PO Report'!$A:$Z,15,0)</f>
        <v>32.21</v>
      </c>
      <c r="H786">
        <f t="shared" si="24"/>
        <v>0</v>
      </c>
      <c r="J786">
        <f t="shared" si="25"/>
        <v>0</v>
      </c>
    </row>
    <row r="787" spans="1:10" x14ac:dyDescent="0.25">
      <c r="A787" t="s">
        <v>2767</v>
      </c>
      <c r="B787">
        <v>756</v>
      </c>
      <c r="C787">
        <f>_xlfn.XLOOKUP(Recon!A787,[1]Backup!AJ:AJ,[1]Backup!L:L)</f>
        <v>75.41</v>
      </c>
      <c r="D787">
        <f>_xlfn.XLOOKUP(Recon!A787,[1]Backup!AJ:AJ,[1]Backup!K:K)</f>
        <v>2.5639400000000001</v>
      </c>
      <c r="E787">
        <f>SUMIF('[1]PO Report'!A:A,Recon!A787,'[1]PO Report'!P:P)</f>
        <v>756</v>
      </c>
      <c r="F787">
        <f>VLOOKUP(A787,'[1]PO Report'!$A:$Z,15,0)</f>
        <v>75.41</v>
      </c>
      <c r="H787">
        <f t="shared" si="24"/>
        <v>0</v>
      </c>
      <c r="J787">
        <f t="shared" si="25"/>
        <v>0</v>
      </c>
    </row>
    <row r="788" spans="1:10" x14ac:dyDescent="0.25">
      <c r="A788" t="s">
        <v>2768</v>
      </c>
      <c r="B788">
        <v>80</v>
      </c>
      <c r="C788">
        <f>_xlfn.XLOOKUP(Recon!A788,[1]Backup!AJ:AJ,[1]Backup!L:L)</f>
        <v>73.34</v>
      </c>
      <c r="D788">
        <f>_xlfn.XLOOKUP(Recon!A788,[1]Backup!AJ:AJ,[1]Backup!K:K)</f>
        <v>2.49356</v>
      </c>
      <c r="E788">
        <f>SUMIF('[1]PO Report'!A:A,Recon!A788,'[1]PO Report'!P:P)</f>
        <v>80</v>
      </c>
      <c r="F788">
        <f>VLOOKUP(A788,'[1]PO Report'!$A:$Z,15,0)</f>
        <v>73.34</v>
      </c>
      <c r="H788">
        <f t="shared" si="24"/>
        <v>0</v>
      </c>
      <c r="J788">
        <f t="shared" si="25"/>
        <v>0</v>
      </c>
    </row>
    <row r="789" spans="1:10" x14ac:dyDescent="0.25">
      <c r="A789" t="s">
        <v>2769</v>
      </c>
      <c r="B789">
        <v>12</v>
      </c>
      <c r="C789">
        <f>_xlfn.XLOOKUP(Recon!A789,[1]Backup!AJ:AJ,[1]Backup!L:L)</f>
        <v>69.61</v>
      </c>
      <c r="D789">
        <f>_xlfn.XLOOKUP(Recon!A789,[1]Backup!AJ:AJ,[1]Backup!K:K)</f>
        <v>2.3667400000000001</v>
      </c>
      <c r="E789">
        <f>SUMIF('[1]PO Report'!A:A,Recon!A789,'[1]PO Report'!P:P)</f>
        <v>12</v>
      </c>
      <c r="F789">
        <f>VLOOKUP(A789,'[1]PO Report'!$A:$Z,15,0)</f>
        <v>69.61</v>
      </c>
      <c r="H789">
        <f t="shared" si="24"/>
        <v>0</v>
      </c>
      <c r="J789">
        <f t="shared" si="25"/>
        <v>0</v>
      </c>
    </row>
    <row r="790" spans="1:10" x14ac:dyDescent="0.25">
      <c r="A790" t="s">
        <v>2770</v>
      </c>
      <c r="B790">
        <v>8</v>
      </c>
      <c r="C790">
        <f>_xlfn.XLOOKUP(Recon!A790,[1]Backup!AJ:AJ,[1]Backup!L:L)</f>
        <v>99.72</v>
      </c>
      <c r="D790">
        <f>_xlfn.XLOOKUP(Recon!A790,[1]Backup!AJ:AJ,[1]Backup!K:K)</f>
        <v>3.3904800000000002</v>
      </c>
      <c r="E790">
        <f>SUMIF('[1]PO Report'!A:A,Recon!A790,'[1]PO Report'!P:P)</f>
        <v>8</v>
      </c>
      <c r="F790">
        <f>VLOOKUP(A790,'[1]PO Report'!$A:$Z,15,0)</f>
        <v>99.72</v>
      </c>
      <c r="H790">
        <f t="shared" si="24"/>
        <v>0</v>
      </c>
      <c r="J790">
        <f t="shared" si="25"/>
        <v>0</v>
      </c>
    </row>
    <row r="791" spans="1:10" x14ac:dyDescent="0.25">
      <c r="A791" t="s">
        <v>2771</v>
      </c>
      <c r="B791">
        <v>12</v>
      </c>
      <c r="C791">
        <f>_xlfn.XLOOKUP(Recon!A791,[1]Backup!AJ:AJ,[1]Backup!L:L)</f>
        <v>74.84</v>
      </c>
      <c r="D791">
        <f>_xlfn.XLOOKUP(Recon!A791,[1]Backup!AJ:AJ,[1]Backup!K:K)</f>
        <v>2.5445600000000002</v>
      </c>
      <c r="E791">
        <f>SUMIF('[1]PO Report'!A:A,Recon!A791,'[1]PO Report'!P:P)</f>
        <v>12</v>
      </c>
      <c r="F791">
        <f>VLOOKUP(A791,'[1]PO Report'!$A:$Z,15,0)</f>
        <v>74.84</v>
      </c>
      <c r="H791">
        <f t="shared" si="24"/>
        <v>0</v>
      </c>
      <c r="J791">
        <f t="shared" si="25"/>
        <v>0</v>
      </c>
    </row>
    <row r="792" spans="1:10" x14ac:dyDescent="0.25">
      <c r="A792" t="s">
        <v>2772</v>
      </c>
      <c r="B792">
        <v>4</v>
      </c>
      <c r="C792">
        <f>_xlfn.XLOOKUP(Recon!A792,[1]Backup!AJ:AJ,[1]Backup!L:L)</f>
        <v>201.36</v>
      </c>
      <c r="D792">
        <f>_xlfn.XLOOKUP(Recon!A792,[1]Backup!AJ:AJ,[1]Backup!K:K)</f>
        <v>6.8462399999999999</v>
      </c>
      <c r="E792">
        <f>SUMIF('[1]PO Report'!A:A,Recon!A792,'[1]PO Report'!P:P)</f>
        <v>4</v>
      </c>
      <c r="F792">
        <f>VLOOKUP(A792,'[1]PO Report'!$A:$Z,15,0)</f>
        <v>201.36</v>
      </c>
      <c r="H792">
        <f t="shared" si="24"/>
        <v>0</v>
      </c>
      <c r="J792">
        <f t="shared" si="25"/>
        <v>0</v>
      </c>
    </row>
    <row r="793" spans="1:10" x14ac:dyDescent="0.25">
      <c r="A793" t="s">
        <v>2773</v>
      </c>
      <c r="B793">
        <v>10</v>
      </c>
      <c r="C793">
        <f>_xlfn.XLOOKUP(Recon!A793,[1]Backup!AJ:AJ,[1]Backup!L:L)</f>
        <v>16.39</v>
      </c>
      <c r="D793">
        <f>_xlfn.XLOOKUP(Recon!A793,[1]Backup!AJ:AJ,[1]Backup!K:K)</f>
        <v>0.55726000000000009</v>
      </c>
      <c r="E793">
        <f>SUMIF('[1]PO Report'!A:A,Recon!A793,'[1]PO Report'!P:P)</f>
        <v>10</v>
      </c>
      <c r="F793">
        <f>VLOOKUP(A793,'[1]PO Report'!$A:$Z,15,0)</f>
        <v>16.39</v>
      </c>
      <c r="H793">
        <f t="shared" si="24"/>
        <v>0</v>
      </c>
      <c r="J793">
        <f t="shared" si="25"/>
        <v>0</v>
      </c>
    </row>
    <row r="794" spans="1:10" x14ac:dyDescent="0.25">
      <c r="A794" t="s">
        <v>2774</v>
      </c>
      <c r="B794">
        <v>129</v>
      </c>
      <c r="C794">
        <f>_xlfn.XLOOKUP(Recon!A794,[1]Backup!AJ:AJ,[1]Backup!L:L)</f>
        <v>226.35000000000002</v>
      </c>
      <c r="D794">
        <f>_xlfn.XLOOKUP(Recon!A794,[1]Backup!AJ:AJ,[1]Backup!K:K)</f>
        <v>7.6959</v>
      </c>
      <c r="E794">
        <f>SUMIF('[1]PO Report'!A:A,Recon!A794,'[1]PO Report'!P:P)</f>
        <v>129</v>
      </c>
      <c r="F794">
        <f>VLOOKUP(A794,'[1]PO Report'!$A:$Z,15,0)</f>
        <v>226.35</v>
      </c>
      <c r="H794">
        <f t="shared" si="24"/>
        <v>0</v>
      </c>
      <c r="J794">
        <f t="shared" si="25"/>
        <v>0</v>
      </c>
    </row>
    <row r="795" spans="1:10" x14ac:dyDescent="0.25">
      <c r="A795" t="s">
        <v>2775</v>
      </c>
      <c r="B795">
        <v>148</v>
      </c>
      <c r="C795">
        <f>_xlfn.XLOOKUP(Recon!A795,[1]Backup!AJ:AJ,[1]Backup!L:L)</f>
        <v>141.93</v>
      </c>
      <c r="D795">
        <f>_xlfn.XLOOKUP(Recon!A795,[1]Backup!AJ:AJ,[1]Backup!K:K)</f>
        <v>4.8256200000000007</v>
      </c>
      <c r="E795">
        <f>SUMIF('[1]PO Report'!A:A,Recon!A795,'[1]PO Report'!P:P)</f>
        <v>148</v>
      </c>
      <c r="F795">
        <f>VLOOKUP(A795,'[1]PO Report'!$A:$Z,15,0)</f>
        <v>141.93</v>
      </c>
      <c r="H795">
        <f t="shared" si="24"/>
        <v>0</v>
      </c>
      <c r="J795">
        <f t="shared" si="25"/>
        <v>0</v>
      </c>
    </row>
    <row r="796" spans="1:10" x14ac:dyDescent="0.25">
      <c r="A796" t="s">
        <v>2776</v>
      </c>
      <c r="B796">
        <v>12</v>
      </c>
      <c r="C796">
        <f>_xlfn.XLOOKUP(Recon!A796,[1]Backup!AJ:AJ,[1]Backup!L:L)</f>
        <v>110.27</v>
      </c>
      <c r="D796">
        <f>_xlfn.XLOOKUP(Recon!A796,[1]Backup!AJ:AJ,[1]Backup!K:K)</f>
        <v>3.7491800000000004</v>
      </c>
      <c r="E796">
        <f>SUMIF('[1]PO Report'!A:A,Recon!A796,'[1]PO Report'!P:P)</f>
        <v>12</v>
      </c>
      <c r="F796">
        <f>VLOOKUP(A796,'[1]PO Report'!$A:$Z,15,0)</f>
        <v>110.27</v>
      </c>
      <c r="H796">
        <f t="shared" si="24"/>
        <v>0</v>
      </c>
      <c r="J796">
        <f t="shared" si="25"/>
        <v>0</v>
      </c>
    </row>
    <row r="797" spans="1:10" x14ac:dyDescent="0.25">
      <c r="A797" t="s">
        <v>2777</v>
      </c>
      <c r="B797">
        <v>20</v>
      </c>
      <c r="C797">
        <f>_xlfn.XLOOKUP(Recon!A797,[1]Backup!AJ:AJ,[1]Backup!L:L)</f>
        <v>110.27000000000001</v>
      </c>
      <c r="D797">
        <f>_xlfn.XLOOKUP(Recon!A797,[1]Backup!AJ:AJ,[1]Backup!K:K)</f>
        <v>3.74918</v>
      </c>
      <c r="E797">
        <f>SUMIF('[1]PO Report'!A:A,Recon!A797,'[1]PO Report'!P:P)</f>
        <v>20</v>
      </c>
      <c r="F797">
        <f>VLOOKUP(A797,'[1]PO Report'!$A:$Z,15,0)</f>
        <v>110.27</v>
      </c>
      <c r="H797">
        <f t="shared" si="24"/>
        <v>0</v>
      </c>
      <c r="J797">
        <f t="shared" si="25"/>
        <v>0</v>
      </c>
    </row>
    <row r="798" spans="1:10" x14ac:dyDescent="0.25">
      <c r="A798" t="s">
        <v>2778</v>
      </c>
      <c r="B798">
        <v>4</v>
      </c>
      <c r="C798">
        <f>_xlfn.XLOOKUP(Recon!A798,[1]Backup!AJ:AJ,[1]Backup!L:L)</f>
        <v>44.84</v>
      </c>
      <c r="D798">
        <f>_xlfn.XLOOKUP(Recon!A798,[1]Backup!AJ:AJ,[1]Backup!K:K)</f>
        <v>1.5245599999999999</v>
      </c>
      <c r="E798">
        <f>SUMIF('[1]PO Report'!A:A,Recon!A798,'[1]PO Report'!P:P)</f>
        <v>4</v>
      </c>
      <c r="F798">
        <f>VLOOKUP(A798,'[1]PO Report'!$A:$Z,15,0)</f>
        <v>44.84</v>
      </c>
      <c r="H798">
        <f t="shared" si="24"/>
        <v>0</v>
      </c>
      <c r="J798">
        <f t="shared" si="25"/>
        <v>0</v>
      </c>
    </row>
    <row r="799" spans="1:10" x14ac:dyDescent="0.25">
      <c r="A799" t="s">
        <v>2779</v>
      </c>
      <c r="B799">
        <v>8</v>
      </c>
      <c r="C799">
        <f>_xlfn.XLOOKUP(Recon!A799,[1]Backup!AJ:AJ,[1]Backup!L:L)</f>
        <v>75.41</v>
      </c>
      <c r="D799">
        <f>_xlfn.XLOOKUP(Recon!A799,[1]Backup!AJ:AJ,[1]Backup!K:K)</f>
        <v>2.5639400000000001</v>
      </c>
      <c r="E799">
        <f>SUMIF('[1]PO Report'!A:A,Recon!A799,'[1]PO Report'!P:P)</f>
        <v>8</v>
      </c>
      <c r="F799">
        <f>VLOOKUP(A799,'[1]PO Report'!$A:$Z,15,0)</f>
        <v>75.41</v>
      </c>
      <c r="H799">
        <f t="shared" si="24"/>
        <v>0</v>
      </c>
      <c r="J799">
        <f t="shared" si="25"/>
        <v>0</v>
      </c>
    </row>
    <row r="800" spans="1:10" x14ac:dyDescent="0.25">
      <c r="A800" t="s">
        <v>2780</v>
      </c>
      <c r="B800">
        <v>42</v>
      </c>
      <c r="C800">
        <f>_xlfn.XLOOKUP(Recon!A800,[1]Backup!AJ:AJ,[1]Backup!L:L)</f>
        <v>29</v>
      </c>
      <c r="D800">
        <f>_xlfn.XLOOKUP(Recon!A800,[1]Backup!AJ:AJ,[1]Backup!K:K)</f>
        <v>0.98599999999999999</v>
      </c>
      <c r="E800">
        <f>SUMIF('[1]PO Report'!A:A,Recon!A800,'[1]PO Report'!P:P)</f>
        <v>42</v>
      </c>
      <c r="F800">
        <f>VLOOKUP(A800,'[1]PO Report'!$A:$Z,15,0)</f>
        <v>29</v>
      </c>
      <c r="H800">
        <f t="shared" si="24"/>
        <v>0</v>
      </c>
      <c r="J800">
        <f t="shared" si="25"/>
        <v>0</v>
      </c>
    </row>
    <row r="801" spans="1:10" x14ac:dyDescent="0.25">
      <c r="A801" t="s">
        <v>2781</v>
      </c>
      <c r="B801">
        <v>32</v>
      </c>
      <c r="C801">
        <f>_xlfn.XLOOKUP(Recon!A801,[1]Backup!AJ:AJ,[1]Backup!L:L)</f>
        <v>73.34</v>
      </c>
      <c r="D801">
        <f>_xlfn.XLOOKUP(Recon!A801,[1]Backup!AJ:AJ,[1]Backup!K:K)</f>
        <v>2.49356</v>
      </c>
      <c r="E801">
        <f>SUMIF('[1]PO Report'!A:A,Recon!A801,'[1]PO Report'!P:P)</f>
        <v>32</v>
      </c>
      <c r="F801">
        <f>VLOOKUP(A801,'[1]PO Report'!$A:$Z,15,0)</f>
        <v>73.34</v>
      </c>
      <c r="H801">
        <f t="shared" si="24"/>
        <v>0</v>
      </c>
      <c r="J801">
        <f t="shared" si="25"/>
        <v>0</v>
      </c>
    </row>
    <row r="802" spans="1:10" x14ac:dyDescent="0.25">
      <c r="A802" t="s">
        <v>2782</v>
      </c>
      <c r="B802">
        <v>8</v>
      </c>
      <c r="C802">
        <f>_xlfn.XLOOKUP(Recon!A802,[1]Backup!AJ:AJ,[1]Backup!L:L)</f>
        <v>92.24</v>
      </c>
      <c r="D802">
        <f>_xlfn.XLOOKUP(Recon!A802,[1]Backup!AJ:AJ,[1]Backup!K:K)</f>
        <v>3.1361599999999998</v>
      </c>
      <c r="E802">
        <f>SUMIF('[1]PO Report'!A:A,Recon!A802,'[1]PO Report'!P:P)</f>
        <v>8</v>
      </c>
      <c r="F802">
        <f>VLOOKUP(A802,'[1]PO Report'!$A:$Z,15,0)</f>
        <v>92.24</v>
      </c>
      <c r="H802">
        <f t="shared" si="24"/>
        <v>0</v>
      </c>
      <c r="J802">
        <f t="shared" si="25"/>
        <v>0</v>
      </c>
    </row>
    <row r="803" spans="1:10" x14ac:dyDescent="0.25">
      <c r="A803" t="s">
        <v>2783</v>
      </c>
      <c r="B803">
        <v>820</v>
      </c>
      <c r="C803">
        <f>_xlfn.XLOOKUP(Recon!A803,[1]Backup!AJ:AJ,[1]Backup!L:L)</f>
        <v>83.89</v>
      </c>
      <c r="D803">
        <f>_xlfn.XLOOKUP(Recon!A803,[1]Backup!AJ:AJ,[1]Backup!K:K)</f>
        <v>2.8522599999999998</v>
      </c>
      <c r="E803">
        <f>SUMIF('[1]PO Report'!A:A,Recon!A803,'[1]PO Report'!P:P)</f>
        <v>820</v>
      </c>
      <c r="F803">
        <f>VLOOKUP(A803,'[1]PO Report'!$A:$Z,15,0)</f>
        <v>83.89</v>
      </c>
      <c r="H803">
        <f t="shared" si="24"/>
        <v>0</v>
      </c>
      <c r="J803">
        <f t="shared" si="25"/>
        <v>0</v>
      </c>
    </row>
    <row r="804" spans="1:10" x14ac:dyDescent="0.25">
      <c r="A804" t="s">
        <v>2784</v>
      </c>
      <c r="B804">
        <v>230</v>
      </c>
      <c r="C804">
        <f>_xlfn.XLOOKUP(Recon!A804,[1]Backup!AJ:AJ,[1]Backup!L:L)</f>
        <v>26.35</v>
      </c>
      <c r="D804">
        <f>_xlfn.XLOOKUP(Recon!A804,[1]Backup!AJ:AJ,[1]Backup!K:K)</f>
        <v>0.89589999999999992</v>
      </c>
      <c r="E804">
        <f>SUMIF('[1]PO Report'!A:A,Recon!A804,'[1]PO Report'!P:P)</f>
        <v>230</v>
      </c>
      <c r="F804">
        <f>VLOOKUP(A804,'[1]PO Report'!$A:$Z,15,0)</f>
        <v>26.35</v>
      </c>
      <c r="H804">
        <f t="shared" si="24"/>
        <v>0</v>
      </c>
      <c r="J804">
        <f t="shared" si="25"/>
        <v>0</v>
      </c>
    </row>
    <row r="805" spans="1:10" x14ac:dyDescent="0.25">
      <c r="A805" t="s">
        <v>2785</v>
      </c>
      <c r="B805">
        <v>8</v>
      </c>
      <c r="C805">
        <f>_xlfn.XLOOKUP(Recon!A805,[1]Backup!AJ:AJ,[1]Backup!L:L)</f>
        <v>12.88</v>
      </c>
      <c r="D805">
        <f>_xlfn.XLOOKUP(Recon!A805,[1]Backup!AJ:AJ,[1]Backup!K:K)</f>
        <v>0.43791999999999998</v>
      </c>
      <c r="E805">
        <f>SUMIF('[1]PO Report'!A:A,Recon!A805,'[1]PO Report'!P:P)</f>
        <v>8</v>
      </c>
      <c r="F805">
        <f>VLOOKUP(A805,'[1]PO Report'!$A:$Z,15,0)</f>
        <v>12.88</v>
      </c>
      <c r="H805">
        <f t="shared" si="24"/>
        <v>0</v>
      </c>
      <c r="J805">
        <f t="shared" si="25"/>
        <v>0</v>
      </c>
    </row>
    <row r="806" spans="1:10" x14ac:dyDescent="0.25">
      <c r="A806" t="s">
        <v>2786</v>
      </c>
      <c r="B806">
        <v>8</v>
      </c>
      <c r="C806">
        <f>_xlfn.XLOOKUP(Recon!A806,[1]Backup!AJ:AJ,[1]Backup!L:L)</f>
        <v>34.29</v>
      </c>
      <c r="D806">
        <f>_xlfn.XLOOKUP(Recon!A806,[1]Backup!AJ:AJ,[1]Backup!K:K)</f>
        <v>1.1658599999999999</v>
      </c>
      <c r="E806">
        <f>SUMIF('[1]PO Report'!A:A,Recon!A806,'[1]PO Report'!P:P)</f>
        <v>8</v>
      </c>
      <c r="F806">
        <f>VLOOKUP(A806,'[1]PO Report'!$A:$Z,15,0)</f>
        <v>34.29</v>
      </c>
      <c r="H806">
        <f t="shared" si="24"/>
        <v>0</v>
      </c>
      <c r="J806">
        <f t="shared" si="25"/>
        <v>0</v>
      </c>
    </row>
    <row r="807" spans="1:10" x14ac:dyDescent="0.25">
      <c r="A807" t="s">
        <v>2787</v>
      </c>
      <c r="B807">
        <v>4</v>
      </c>
      <c r="C807">
        <f>_xlfn.XLOOKUP(Recon!A807,[1]Backup!AJ:AJ,[1]Backup!L:L)</f>
        <v>29.01</v>
      </c>
      <c r="D807">
        <f>_xlfn.XLOOKUP(Recon!A807,[1]Backup!AJ:AJ,[1]Backup!K:K)</f>
        <v>0.98633999999999999</v>
      </c>
      <c r="E807">
        <f>SUMIF('[1]PO Report'!A:A,Recon!A807,'[1]PO Report'!P:P)</f>
        <v>4</v>
      </c>
      <c r="F807">
        <f>VLOOKUP(A807,'[1]PO Report'!$A:$Z,15,0)</f>
        <v>29.01</v>
      </c>
      <c r="H807">
        <f t="shared" si="24"/>
        <v>0</v>
      </c>
      <c r="J807">
        <f t="shared" si="25"/>
        <v>0</v>
      </c>
    </row>
    <row r="808" spans="1:10" x14ac:dyDescent="0.25">
      <c r="A808" t="s">
        <v>2788</v>
      </c>
      <c r="B808">
        <v>10</v>
      </c>
      <c r="C808">
        <f>_xlfn.XLOOKUP(Recon!A808,[1]Backup!AJ:AJ,[1]Backup!L:L)</f>
        <v>26.35</v>
      </c>
      <c r="D808">
        <f>_xlfn.XLOOKUP(Recon!A808,[1]Backup!AJ:AJ,[1]Backup!K:K)</f>
        <v>0.89589999999999992</v>
      </c>
      <c r="E808">
        <f>SUMIF('[1]PO Report'!A:A,Recon!A808,'[1]PO Report'!P:P)</f>
        <v>10</v>
      </c>
      <c r="F808">
        <f>VLOOKUP(A808,'[1]PO Report'!$A:$Z,15,0)</f>
        <v>26.35</v>
      </c>
      <c r="H808">
        <f t="shared" si="24"/>
        <v>0</v>
      </c>
      <c r="J808">
        <f t="shared" si="25"/>
        <v>0</v>
      </c>
    </row>
    <row r="809" spans="1:10" x14ac:dyDescent="0.25">
      <c r="A809" t="s">
        <v>2789</v>
      </c>
      <c r="B809">
        <v>130</v>
      </c>
      <c r="C809">
        <f>_xlfn.XLOOKUP(Recon!A809,[1]Backup!AJ:AJ,[1]Backup!L:L)</f>
        <v>16.39</v>
      </c>
      <c r="D809">
        <f>_xlfn.XLOOKUP(Recon!A809,[1]Backup!AJ:AJ,[1]Backup!K:K)</f>
        <v>0.55725999999999998</v>
      </c>
      <c r="E809">
        <f>SUMIF('[1]PO Report'!A:A,Recon!A809,'[1]PO Report'!P:P)</f>
        <v>120</v>
      </c>
      <c r="F809">
        <f>VLOOKUP(A809,'[1]PO Report'!$A:$Z,15,0)</f>
        <v>16.39</v>
      </c>
      <c r="H809">
        <f t="shared" si="24"/>
        <v>10</v>
      </c>
      <c r="I809">
        <f>H809*D809</f>
        <v>5.5725999999999996</v>
      </c>
      <c r="J809">
        <f t="shared" si="25"/>
        <v>0</v>
      </c>
    </row>
    <row r="810" spans="1:10" x14ac:dyDescent="0.25">
      <c r="A810" t="s">
        <v>2790</v>
      </c>
      <c r="B810">
        <v>10</v>
      </c>
      <c r="C810">
        <f>_xlfn.XLOOKUP(Recon!A810,[1]Backup!AJ:AJ,[1]Backup!L:L)</f>
        <v>16.39</v>
      </c>
      <c r="D810">
        <f>_xlfn.XLOOKUP(Recon!A810,[1]Backup!AJ:AJ,[1]Backup!K:K)</f>
        <v>0.55726000000000009</v>
      </c>
      <c r="E810">
        <f>SUMIF('[1]PO Report'!A:A,Recon!A810,'[1]PO Report'!P:P)</f>
        <v>10</v>
      </c>
      <c r="F810">
        <f>VLOOKUP(A810,'[1]PO Report'!$A:$Z,15,0)</f>
        <v>16.39</v>
      </c>
      <c r="H810">
        <f t="shared" si="24"/>
        <v>0</v>
      </c>
      <c r="J810">
        <f t="shared" si="25"/>
        <v>0</v>
      </c>
    </row>
    <row r="811" spans="1:10" x14ac:dyDescent="0.25">
      <c r="A811" t="s">
        <v>2791</v>
      </c>
      <c r="B811">
        <v>10</v>
      </c>
      <c r="C811">
        <f>_xlfn.XLOOKUP(Recon!A811,[1]Backup!AJ:AJ,[1]Backup!L:L)</f>
        <v>26.35</v>
      </c>
      <c r="D811">
        <f>_xlfn.XLOOKUP(Recon!A811,[1]Backup!AJ:AJ,[1]Backup!K:K)</f>
        <v>0.89589999999999992</v>
      </c>
      <c r="E811">
        <f>SUMIF('[1]PO Report'!A:A,Recon!A811,'[1]PO Report'!P:P)</f>
        <v>10</v>
      </c>
      <c r="F811">
        <f>VLOOKUP(A811,'[1]PO Report'!$A:$Z,15,0)</f>
        <v>26.35</v>
      </c>
      <c r="H811">
        <f t="shared" si="24"/>
        <v>0</v>
      </c>
      <c r="J811">
        <f t="shared" si="25"/>
        <v>0</v>
      </c>
    </row>
    <row r="812" spans="1:10" x14ac:dyDescent="0.25">
      <c r="A812" t="s">
        <v>2792</v>
      </c>
      <c r="B812">
        <v>4</v>
      </c>
      <c r="C812">
        <f>_xlfn.XLOOKUP(Recon!A812,[1]Backup!AJ:AJ,[1]Backup!L:L)</f>
        <v>94.44</v>
      </c>
      <c r="D812">
        <f>_xlfn.XLOOKUP(Recon!A812,[1]Backup!AJ:AJ,[1]Backup!K:K)</f>
        <v>3.21096</v>
      </c>
      <c r="E812">
        <f>SUMIF('[1]PO Report'!A:A,Recon!A812,'[1]PO Report'!P:P)</f>
        <v>4</v>
      </c>
      <c r="F812">
        <f>VLOOKUP(A812,'[1]PO Report'!$A:$Z,15,0)</f>
        <v>94.44</v>
      </c>
      <c r="H812">
        <f t="shared" si="24"/>
        <v>0</v>
      </c>
      <c r="J812">
        <f t="shared" si="25"/>
        <v>0</v>
      </c>
    </row>
    <row r="813" spans="1:10" x14ac:dyDescent="0.25">
      <c r="A813" t="s">
        <v>2793</v>
      </c>
      <c r="B813">
        <v>4</v>
      </c>
      <c r="C813">
        <f>_xlfn.XLOOKUP(Recon!A813,[1]Backup!AJ:AJ,[1]Backup!L:L)</f>
        <v>40.99</v>
      </c>
      <c r="D813">
        <f>_xlfn.XLOOKUP(Recon!A813,[1]Backup!AJ:AJ,[1]Backup!K:K)</f>
        <v>1.3936599999999999</v>
      </c>
      <c r="E813">
        <f>SUMIF('[1]PO Report'!A:A,Recon!A813,'[1]PO Report'!P:P)</f>
        <v>4</v>
      </c>
      <c r="F813">
        <f>VLOOKUP(A813,'[1]PO Report'!$A:$Z,15,0)</f>
        <v>40.99</v>
      </c>
      <c r="H813">
        <f t="shared" si="24"/>
        <v>0</v>
      </c>
      <c r="J813">
        <f t="shared" si="25"/>
        <v>0</v>
      </c>
    </row>
    <row r="814" spans="1:10" x14ac:dyDescent="0.25">
      <c r="A814" t="s">
        <v>2794</v>
      </c>
      <c r="B814">
        <v>28</v>
      </c>
      <c r="C814">
        <f>_xlfn.XLOOKUP(Recon!A814,[1]Backup!AJ:AJ,[1]Backup!L:L)</f>
        <v>36.93</v>
      </c>
      <c r="D814">
        <f>_xlfn.XLOOKUP(Recon!A814,[1]Backup!AJ:AJ,[1]Backup!K:K)</f>
        <v>1.25562</v>
      </c>
      <c r="E814">
        <f>SUMIF('[1]PO Report'!A:A,Recon!A814,'[1]PO Report'!P:P)</f>
        <v>28</v>
      </c>
      <c r="F814">
        <f>VLOOKUP(A814,'[1]PO Report'!$A:$Z,15,0)</f>
        <v>36.93</v>
      </c>
      <c r="H814">
        <f t="shared" si="24"/>
        <v>0</v>
      </c>
      <c r="J814">
        <f t="shared" si="25"/>
        <v>0</v>
      </c>
    </row>
    <row r="815" spans="1:10" x14ac:dyDescent="0.25">
      <c r="A815" t="s">
        <v>2795</v>
      </c>
      <c r="B815">
        <v>24</v>
      </c>
      <c r="C815">
        <f>_xlfn.XLOOKUP(Recon!A815,[1]Backup!AJ:AJ,[1]Backup!L:L)</f>
        <v>21.400000000000002</v>
      </c>
      <c r="D815">
        <f>_xlfn.XLOOKUP(Recon!A815,[1]Backup!AJ:AJ,[1]Backup!K:K)</f>
        <v>0.72759999999999991</v>
      </c>
      <c r="E815">
        <f>SUMIF('[1]PO Report'!A:A,Recon!A815,'[1]PO Report'!P:P)</f>
        <v>24</v>
      </c>
      <c r="F815">
        <f>VLOOKUP(A815,'[1]PO Report'!$A:$Z,15,0)</f>
        <v>21.4</v>
      </c>
      <c r="H815">
        <f t="shared" si="24"/>
        <v>0</v>
      </c>
      <c r="J815">
        <f t="shared" si="25"/>
        <v>0</v>
      </c>
    </row>
    <row r="816" spans="1:10" x14ac:dyDescent="0.25">
      <c r="A816" t="s">
        <v>2796</v>
      </c>
      <c r="B816">
        <v>16</v>
      </c>
      <c r="C816">
        <f>_xlfn.XLOOKUP(Recon!A816,[1]Backup!AJ:AJ,[1]Backup!L:L)</f>
        <v>103.06</v>
      </c>
      <c r="D816">
        <f>_xlfn.XLOOKUP(Recon!A816,[1]Backup!AJ:AJ,[1]Backup!K:K)</f>
        <v>3.5040399999999998</v>
      </c>
      <c r="E816">
        <f>SUMIF('[1]PO Report'!A:A,Recon!A816,'[1]PO Report'!P:P)</f>
        <v>16</v>
      </c>
      <c r="F816">
        <f>VLOOKUP(A816,'[1]PO Report'!$A:$Z,15,0)</f>
        <v>103.06</v>
      </c>
      <c r="H816">
        <f t="shared" si="24"/>
        <v>0</v>
      </c>
      <c r="J816">
        <f t="shared" si="25"/>
        <v>0</v>
      </c>
    </row>
    <row r="817" spans="1:10" x14ac:dyDescent="0.25">
      <c r="A817" t="s">
        <v>2797</v>
      </c>
      <c r="B817">
        <v>96</v>
      </c>
      <c r="C817">
        <f>_xlfn.XLOOKUP(Recon!A817,[1]Backup!AJ:AJ,[1]Backup!L:L)</f>
        <v>35.130000000000003</v>
      </c>
      <c r="D817">
        <f>_xlfn.XLOOKUP(Recon!A817,[1]Backup!AJ:AJ,[1]Backup!K:K)</f>
        <v>1.19442</v>
      </c>
      <c r="E817">
        <f>SUMIF('[1]PO Report'!A:A,Recon!A817,'[1]PO Report'!P:P)</f>
        <v>96</v>
      </c>
      <c r="F817">
        <f>VLOOKUP(A817,'[1]PO Report'!$A:$Z,15,0)</f>
        <v>35.130000000000003</v>
      </c>
      <c r="H817">
        <f t="shared" si="24"/>
        <v>0</v>
      </c>
      <c r="J817">
        <f t="shared" si="25"/>
        <v>0</v>
      </c>
    </row>
    <row r="818" spans="1:10" x14ac:dyDescent="0.25">
      <c r="A818" t="s">
        <v>2798</v>
      </c>
      <c r="B818">
        <v>60</v>
      </c>
      <c r="C818">
        <f>_xlfn.XLOOKUP(Recon!A818,[1]Backup!AJ:AJ,[1]Backup!L:L)</f>
        <v>35.130000000000003</v>
      </c>
      <c r="D818">
        <f>_xlfn.XLOOKUP(Recon!A818,[1]Backup!AJ:AJ,[1]Backup!K:K)</f>
        <v>1.19442</v>
      </c>
      <c r="E818">
        <f>SUMIF('[1]PO Report'!A:A,Recon!A818,'[1]PO Report'!P:P)</f>
        <v>60</v>
      </c>
      <c r="F818">
        <f>VLOOKUP(A818,'[1]PO Report'!$A:$Z,15,0)</f>
        <v>35.130000000000003</v>
      </c>
      <c r="H818">
        <f t="shared" si="24"/>
        <v>0</v>
      </c>
      <c r="J818">
        <f t="shared" si="25"/>
        <v>0</v>
      </c>
    </row>
    <row r="819" spans="1:10" x14ac:dyDescent="0.25">
      <c r="A819" t="s">
        <v>2799</v>
      </c>
      <c r="B819">
        <v>4</v>
      </c>
      <c r="C819">
        <f>_xlfn.XLOOKUP(Recon!A819,[1]Backup!AJ:AJ,[1]Backup!L:L)</f>
        <v>764.09</v>
      </c>
      <c r="D819">
        <f>_xlfn.XLOOKUP(Recon!A819,[1]Backup!AJ:AJ,[1]Backup!K:K)</f>
        <v>25.97906</v>
      </c>
      <c r="E819">
        <f>SUMIF('[1]PO Report'!A:A,Recon!A819,'[1]PO Report'!P:P)</f>
        <v>4</v>
      </c>
      <c r="F819">
        <f>VLOOKUP(A819,'[1]PO Report'!$A:$Z,15,0)</f>
        <v>764.09</v>
      </c>
      <c r="H819">
        <f t="shared" si="24"/>
        <v>0</v>
      </c>
      <c r="J819">
        <f t="shared" si="25"/>
        <v>0</v>
      </c>
    </row>
    <row r="820" spans="1:10" x14ac:dyDescent="0.25">
      <c r="A820" t="s">
        <v>2800</v>
      </c>
      <c r="B820">
        <v>12</v>
      </c>
      <c r="C820">
        <f>_xlfn.XLOOKUP(Recon!A820,[1]Backup!AJ:AJ,[1]Backup!L:L)</f>
        <v>44.84</v>
      </c>
      <c r="D820">
        <f>_xlfn.XLOOKUP(Recon!A820,[1]Backup!AJ:AJ,[1]Backup!K:K)</f>
        <v>1.5245600000000001</v>
      </c>
      <c r="E820">
        <f>SUMIF('[1]PO Report'!A:A,Recon!A820,'[1]PO Report'!P:P)</f>
        <v>12</v>
      </c>
      <c r="F820">
        <f>VLOOKUP(A820,'[1]PO Report'!$A:$Z,15,0)</f>
        <v>44.84</v>
      </c>
      <c r="H820">
        <f t="shared" si="24"/>
        <v>0</v>
      </c>
      <c r="J820">
        <f t="shared" si="25"/>
        <v>0</v>
      </c>
    </row>
    <row r="821" spans="1:10" x14ac:dyDescent="0.25">
      <c r="A821" t="s">
        <v>2801</v>
      </c>
      <c r="B821">
        <v>96</v>
      </c>
      <c r="C821">
        <f>_xlfn.XLOOKUP(Recon!A821,[1]Backup!AJ:AJ,[1]Backup!L:L)</f>
        <v>40.03</v>
      </c>
      <c r="D821">
        <f>_xlfn.XLOOKUP(Recon!A821,[1]Backup!AJ:AJ,[1]Backup!K:K)</f>
        <v>1.3610200000000001</v>
      </c>
      <c r="E821">
        <f>SUMIF('[1]PO Report'!A:A,Recon!A821,'[1]PO Report'!P:P)</f>
        <v>88</v>
      </c>
      <c r="F821">
        <f>VLOOKUP(A821,'[1]PO Report'!$A:$Z,15,0)</f>
        <v>40.03</v>
      </c>
      <c r="H821">
        <f t="shared" si="24"/>
        <v>8</v>
      </c>
      <c r="I821">
        <f>H821*D821</f>
        <v>10.888160000000001</v>
      </c>
      <c r="J821">
        <f t="shared" si="25"/>
        <v>0</v>
      </c>
    </row>
    <row r="822" spans="1:10" x14ac:dyDescent="0.25">
      <c r="A822" t="s">
        <v>2802</v>
      </c>
      <c r="B822">
        <v>10</v>
      </c>
      <c r="C822">
        <f>_xlfn.XLOOKUP(Recon!A822,[1]Backup!AJ:AJ,[1]Backup!L:L)</f>
        <v>29.28</v>
      </c>
      <c r="D822">
        <f>_xlfn.XLOOKUP(Recon!A822,[1]Backup!AJ:AJ,[1]Backup!K:K)</f>
        <v>0.99551999999999996</v>
      </c>
      <c r="E822">
        <f>SUMIF('[1]PO Report'!A:A,Recon!A822,'[1]PO Report'!P:P)</f>
        <v>10</v>
      </c>
      <c r="F822">
        <f>VLOOKUP(A822,'[1]PO Report'!$A:$Z,15,0)</f>
        <v>29.28</v>
      </c>
      <c r="H822">
        <f t="shared" si="24"/>
        <v>0</v>
      </c>
      <c r="J822">
        <f t="shared" si="25"/>
        <v>0</v>
      </c>
    </row>
    <row r="823" spans="1:10" x14ac:dyDescent="0.25">
      <c r="A823" t="s">
        <v>2803</v>
      </c>
      <c r="B823">
        <v>20</v>
      </c>
      <c r="C823">
        <f>_xlfn.XLOOKUP(Recon!A823,[1]Backup!AJ:AJ,[1]Backup!L:L)</f>
        <v>75.41</v>
      </c>
      <c r="D823">
        <f>_xlfn.XLOOKUP(Recon!A823,[1]Backup!AJ:AJ,[1]Backup!K:K)</f>
        <v>2.5639399999999997</v>
      </c>
      <c r="E823">
        <f>SUMIF('[1]PO Report'!A:A,Recon!A823,'[1]PO Report'!P:P)</f>
        <v>20</v>
      </c>
      <c r="F823">
        <f>VLOOKUP(A823,'[1]PO Report'!$A:$Z,15,0)</f>
        <v>75.41</v>
      </c>
      <c r="H823">
        <f t="shared" si="24"/>
        <v>0</v>
      </c>
      <c r="J823">
        <f t="shared" si="25"/>
        <v>0</v>
      </c>
    </row>
    <row r="824" spans="1:10" x14ac:dyDescent="0.25">
      <c r="A824" t="s">
        <v>2804</v>
      </c>
      <c r="B824">
        <v>24</v>
      </c>
      <c r="C824">
        <f>_xlfn.XLOOKUP(Recon!A824,[1]Backup!AJ:AJ,[1]Backup!L:L)</f>
        <v>69.03</v>
      </c>
      <c r="D824">
        <f>_xlfn.XLOOKUP(Recon!A824,[1]Backup!AJ:AJ,[1]Backup!K:K)</f>
        <v>2.3470199999999997</v>
      </c>
      <c r="E824">
        <f>SUMIF('[1]PO Report'!A:A,Recon!A824,'[1]PO Report'!P:P)</f>
        <v>28</v>
      </c>
      <c r="F824">
        <f>VLOOKUP(A824,'[1]PO Report'!$A:$Z,15,0)</f>
        <v>69.03</v>
      </c>
      <c r="H824">
        <f t="shared" si="24"/>
        <v>-4</v>
      </c>
      <c r="J824">
        <f t="shared" si="25"/>
        <v>0</v>
      </c>
    </row>
    <row r="825" spans="1:10" x14ac:dyDescent="0.25">
      <c r="A825" t="s">
        <v>2805</v>
      </c>
      <c r="B825">
        <v>8</v>
      </c>
      <c r="C825">
        <f>_xlfn.XLOOKUP(Recon!A825,[1]Backup!AJ:AJ,[1]Backup!L:L)</f>
        <v>32.21</v>
      </c>
      <c r="D825">
        <f>_xlfn.XLOOKUP(Recon!A825,[1]Backup!AJ:AJ,[1]Backup!K:K)</f>
        <v>1.09514</v>
      </c>
      <c r="E825">
        <f>SUMIF('[1]PO Report'!A:A,Recon!A825,'[1]PO Report'!P:P)</f>
        <v>8</v>
      </c>
      <c r="F825">
        <f>VLOOKUP(A825,'[1]PO Report'!$A:$Z,15,0)</f>
        <v>32.21</v>
      </c>
      <c r="H825">
        <f t="shared" si="24"/>
        <v>0</v>
      </c>
      <c r="J825">
        <f t="shared" si="25"/>
        <v>0</v>
      </c>
    </row>
    <row r="826" spans="1:10" x14ac:dyDescent="0.25">
      <c r="A826" t="s">
        <v>2806</v>
      </c>
      <c r="B826">
        <v>128</v>
      </c>
      <c r="C826">
        <f>_xlfn.XLOOKUP(Recon!A826,[1]Backup!AJ:AJ,[1]Backup!L:L)</f>
        <v>75.41</v>
      </c>
      <c r="D826">
        <f>_xlfn.XLOOKUP(Recon!A826,[1]Backup!AJ:AJ,[1]Backup!K:K)</f>
        <v>2.5639400000000001</v>
      </c>
      <c r="E826">
        <f>SUMIF('[1]PO Report'!A:A,Recon!A826,'[1]PO Report'!P:P)</f>
        <v>128</v>
      </c>
      <c r="F826">
        <f>VLOOKUP(A826,'[1]PO Report'!$A:$Z,15,0)</f>
        <v>75.41</v>
      </c>
      <c r="H826">
        <f t="shared" si="24"/>
        <v>0</v>
      </c>
      <c r="J826">
        <f t="shared" si="25"/>
        <v>0</v>
      </c>
    </row>
    <row r="827" spans="1:10" x14ac:dyDescent="0.25">
      <c r="A827" t="s">
        <v>2807</v>
      </c>
      <c r="B827">
        <v>30</v>
      </c>
      <c r="C827">
        <f>_xlfn.XLOOKUP(Recon!A827,[1]Backup!AJ:AJ,[1]Backup!L:L)</f>
        <v>31.9</v>
      </c>
      <c r="D827">
        <f>_xlfn.XLOOKUP(Recon!A827,[1]Backup!AJ:AJ,[1]Backup!K:K)</f>
        <v>1.0845999999999998</v>
      </c>
      <c r="E827">
        <f>SUMIF('[1]PO Report'!A:A,Recon!A827,'[1]PO Report'!P:P)</f>
        <v>30</v>
      </c>
      <c r="F827">
        <f>VLOOKUP(A827,'[1]PO Report'!$A:$Z,15,0)</f>
        <v>31.9</v>
      </c>
      <c r="H827">
        <f t="shared" si="24"/>
        <v>0</v>
      </c>
      <c r="J827">
        <f t="shared" si="25"/>
        <v>0</v>
      </c>
    </row>
    <row r="828" spans="1:10" x14ac:dyDescent="0.25">
      <c r="A828" t="s">
        <v>2808</v>
      </c>
      <c r="B828">
        <v>8</v>
      </c>
      <c r="C828">
        <f>_xlfn.XLOOKUP(Recon!A828,[1]Backup!AJ:AJ,[1]Backup!L:L)</f>
        <v>53.51</v>
      </c>
      <c r="D828">
        <f>_xlfn.XLOOKUP(Recon!A828,[1]Backup!AJ:AJ,[1]Backup!K:K)</f>
        <v>1.81934</v>
      </c>
      <c r="E828">
        <f>SUMIF('[1]PO Report'!A:A,Recon!A828,'[1]PO Report'!P:P)</f>
        <v>8</v>
      </c>
      <c r="F828">
        <f>VLOOKUP(A828,'[1]PO Report'!$A:$Z,15,0)</f>
        <v>53.51</v>
      </c>
      <c r="H828">
        <f t="shared" si="24"/>
        <v>0</v>
      </c>
      <c r="J828">
        <f t="shared" si="25"/>
        <v>0</v>
      </c>
    </row>
    <row r="829" spans="1:10" x14ac:dyDescent="0.25">
      <c r="A829" t="s">
        <v>2809</v>
      </c>
      <c r="B829">
        <v>20</v>
      </c>
      <c r="C829">
        <f>_xlfn.XLOOKUP(Recon!A829,[1]Backup!AJ:AJ,[1]Backup!L:L)</f>
        <v>23.419999999999998</v>
      </c>
      <c r="D829">
        <f>_xlfn.XLOOKUP(Recon!A829,[1]Backup!AJ:AJ,[1]Backup!K:K)</f>
        <v>0.79627999999999999</v>
      </c>
      <c r="E829">
        <f>SUMIF('[1]PO Report'!A:A,Recon!A829,'[1]PO Report'!P:P)</f>
        <v>20</v>
      </c>
      <c r="F829">
        <f>VLOOKUP(A829,'[1]PO Report'!$A:$Z,15,0)</f>
        <v>23.42</v>
      </c>
      <c r="H829">
        <f t="shared" si="24"/>
        <v>0</v>
      </c>
      <c r="J829">
        <f t="shared" si="25"/>
        <v>0</v>
      </c>
    </row>
    <row r="830" spans="1:10" x14ac:dyDescent="0.25">
      <c r="A830" t="s">
        <v>2810</v>
      </c>
      <c r="B830">
        <v>4</v>
      </c>
      <c r="C830">
        <f>_xlfn.XLOOKUP(Recon!A830,[1]Backup!AJ:AJ,[1]Backup!L:L)</f>
        <v>152.66999999999999</v>
      </c>
      <c r="D830">
        <f>_xlfn.XLOOKUP(Recon!A830,[1]Backup!AJ:AJ,[1]Backup!K:K)</f>
        <v>5.1907800000000002</v>
      </c>
      <c r="E830">
        <f>SUMIF('[1]PO Report'!A:A,Recon!A830,'[1]PO Report'!P:P)</f>
        <v>4</v>
      </c>
      <c r="F830">
        <f>VLOOKUP(A830,'[1]PO Report'!$A:$Z,15,0)</f>
        <v>152.66999999999999</v>
      </c>
      <c r="H830">
        <f t="shared" si="24"/>
        <v>0</v>
      </c>
      <c r="J830">
        <f t="shared" si="25"/>
        <v>0</v>
      </c>
    </row>
    <row r="831" spans="1:10" x14ac:dyDescent="0.25">
      <c r="A831" t="s">
        <v>2811</v>
      </c>
      <c r="B831">
        <v>8</v>
      </c>
      <c r="C831">
        <f>_xlfn.XLOOKUP(Recon!A831,[1]Backup!AJ:AJ,[1]Backup!L:L)</f>
        <v>75.39</v>
      </c>
      <c r="D831">
        <f>_xlfn.XLOOKUP(Recon!A831,[1]Backup!AJ:AJ,[1]Backup!K:K)</f>
        <v>2.5632600000000001</v>
      </c>
      <c r="E831">
        <f>SUMIF('[1]PO Report'!A:A,Recon!A831,'[1]PO Report'!P:P)</f>
        <v>8</v>
      </c>
      <c r="F831">
        <f>VLOOKUP(A831,'[1]PO Report'!$A:$Z,15,0)</f>
        <v>75.39</v>
      </c>
      <c r="H831">
        <f t="shared" si="24"/>
        <v>0</v>
      </c>
      <c r="J831">
        <f t="shared" si="25"/>
        <v>0</v>
      </c>
    </row>
    <row r="832" spans="1:10" x14ac:dyDescent="0.25">
      <c r="A832" t="s">
        <v>2812</v>
      </c>
      <c r="B832">
        <v>4</v>
      </c>
      <c r="C832">
        <f>_xlfn.XLOOKUP(Recon!A832,[1]Backup!AJ:AJ,[1]Backup!L:L)</f>
        <v>80.64</v>
      </c>
      <c r="D832">
        <f>_xlfn.XLOOKUP(Recon!A832,[1]Backup!AJ:AJ,[1]Backup!K:K)</f>
        <v>2.7417600000000002</v>
      </c>
      <c r="E832">
        <f>SUMIF('[1]PO Report'!A:A,Recon!A832,'[1]PO Report'!P:P)</f>
        <v>4</v>
      </c>
      <c r="F832">
        <f>VLOOKUP(A832,'[1]PO Report'!$A:$Z,15,0)</f>
        <v>80.64</v>
      </c>
      <c r="H832">
        <f t="shared" si="24"/>
        <v>0</v>
      </c>
      <c r="J832">
        <f t="shared" si="25"/>
        <v>0</v>
      </c>
    </row>
    <row r="833" spans="1:10" x14ac:dyDescent="0.25">
      <c r="A833" t="s">
        <v>2813</v>
      </c>
      <c r="B833">
        <v>10</v>
      </c>
      <c r="C833">
        <f>_xlfn.XLOOKUP(Recon!A833,[1]Backup!AJ:AJ,[1]Backup!L:L)</f>
        <v>29.28</v>
      </c>
      <c r="D833">
        <f>_xlfn.XLOOKUP(Recon!A833,[1]Backup!AJ:AJ,[1]Backup!K:K)</f>
        <v>0.99551999999999996</v>
      </c>
      <c r="E833">
        <f>SUMIF('[1]PO Report'!A:A,Recon!A833,'[1]PO Report'!P:P)</f>
        <v>10</v>
      </c>
      <c r="F833">
        <f>VLOOKUP(A833,'[1]PO Report'!$A:$Z,15,0)</f>
        <v>29.28</v>
      </c>
      <c r="H833">
        <f t="shared" si="24"/>
        <v>0</v>
      </c>
      <c r="J833">
        <f t="shared" si="25"/>
        <v>0</v>
      </c>
    </row>
    <row r="834" spans="1:10" x14ac:dyDescent="0.25">
      <c r="A834" t="s">
        <v>2814</v>
      </c>
      <c r="B834">
        <v>28</v>
      </c>
      <c r="C834">
        <f>_xlfn.XLOOKUP(Recon!A834,[1]Backup!AJ:AJ,[1]Backup!L:L)</f>
        <v>69.03</v>
      </c>
      <c r="D834">
        <f>_xlfn.XLOOKUP(Recon!A834,[1]Backup!AJ:AJ,[1]Backup!K:K)</f>
        <v>2.3470200000000001</v>
      </c>
      <c r="E834">
        <f>SUMIF('[1]PO Report'!A:A,Recon!A834,'[1]PO Report'!P:P)</f>
        <v>28</v>
      </c>
      <c r="F834">
        <f>VLOOKUP(A834,'[1]PO Report'!$A:$Z,15,0)</f>
        <v>69.03</v>
      </c>
      <c r="H834">
        <f t="shared" si="24"/>
        <v>0</v>
      </c>
      <c r="J834">
        <f t="shared" si="25"/>
        <v>0</v>
      </c>
    </row>
    <row r="835" spans="1:10" x14ac:dyDescent="0.25">
      <c r="A835" t="s">
        <v>2815</v>
      </c>
      <c r="B835">
        <v>4</v>
      </c>
      <c r="C835">
        <f>_xlfn.XLOOKUP(Recon!A835,[1]Backup!AJ:AJ,[1]Backup!L:L)</f>
        <v>92.81</v>
      </c>
      <c r="D835">
        <f>_xlfn.XLOOKUP(Recon!A835,[1]Backup!AJ:AJ,[1]Backup!K:K)</f>
        <v>3.1555399999999998</v>
      </c>
      <c r="E835">
        <f>SUMIF('[1]PO Report'!A:A,Recon!A835,'[1]PO Report'!P:P)</f>
        <v>4</v>
      </c>
      <c r="F835">
        <f>VLOOKUP(A835,'[1]PO Report'!$A:$Z,15,0)</f>
        <v>92.81</v>
      </c>
      <c r="H835">
        <f t="shared" si="24"/>
        <v>0</v>
      </c>
      <c r="J835">
        <f t="shared" si="25"/>
        <v>0</v>
      </c>
    </row>
    <row r="836" spans="1:10" x14ac:dyDescent="0.25">
      <c r="A836" t="s">
        <v>2816</v>
      </c>
      <c r="B836">
        <v>4</v>
      </c>
      <c r="C836">
        <f>_xlfn.XLOOKUP(Recon!A836,[1]Backup!AJ:AJ,[1]Backup!L:L)</f>
        <v>131.38</v>
      </c>
      <c r="D836">
        <f>_xlfn.XLOOKUP(Recon!A836,[1]Backup!AJ:AJ,[1]Backup!K:K)</f>
        <v>4.46692</v>
      </c>
      <c r="E836">
        <f>SUMIF('[1]PO Report'!A:A,Recon!A836,'[1]PO Report'!P:P)</f>
        <v>4</v>
      </c>
      <c r="F836">
        <f>VLOOKUP(A836,'[1]PO Report'!$A:$Z,15,0)</f>
        <v>131.38</v>
      </c>
      <c r="H836">
        <f t="shared" ref="H836:H899" si="26">B836-E836</f>
        <v>0</v>
      </c>
      <c r="J836">
        <f t="shared" ref="J836:J899" si="27">C836-F836</f>
        <v>0</v>
      </c>
    </row>
    <row r="837" spans="1:10" x14ac:dyDescent="0.25">
      <c r="A837" t="s">
        <v>2817</v>
      </c>
      <c r="B837">
        <v>4</v>
      </c>
      <c r="C837">
        <f>_xlfn.XLOOKUP(Recon!A837,[1]Backup!AJ:AJ,[1]Backup!L:L)</f>
        <v>46.4</v>
      </c>
      <c r="D837">
        <f>_xlfn.XLOOKUP(Recon!A837,[1]Backup!AJ:AJ,[1]Backup!K:K)</f>
        <v>1.5775999999999999</v>
      </c>
      <c r="E837">
        <f>SUMIF('[1]PO Report'!A:A,Recon!A837,'[1]PO Report'!P:P)</f>
        <v>4</v>
      </c>
      <c r="F837">
        <f>VLOOKUP(A837,'[1]PO Report'!$A:$Z,15,0)</f>
        <v>46.4</v>
      </c>
      <c r="H837">
        <f t="shared" si="26"/>
        <v>0</v>
      </c>
      <c r="J837">
        <f t="shared" si="27"/>
        <v>0</v>
      </c>
    </row>
    <row r="838" spans="1:10" x14ac:dyDescent="0.25">
      <c r="A838" t="s">
        <v>2818</v>
      </c>
      <c r="B838">
        <v>23</v>
      </c>
      <c r="C838">
        <f>_xlfn.XLOOKUP(Recon!A838,[1]Backup!AJ:AJ,[1]Backup!L:L)</f>
        <v>210.52</v>
      </c>
      <c r="D838">
        <f>_xlfn.XLOOKUP(Recon!A838,[1]Backup!AJ:AJ,[1]Backup!K:K)</f>
        <v>7.15768</v>
      </c>
      <c r="E838">
        <f>SUMIF('[1]PO Report'!A:A,Recon!A838,'[1]PO Report'!P:P)</f>
        <v>23</v>
      </c>
      <c r="F838">
        <f>VLOOKUP(A838,'[1]PO Report'!$A:$Z,15,0)</f>
        <v>210.52</v>
      </c>
      <c r="H838">
        <f t="shared" si="26"/>
        <v>0</v>
      </c>
      <c r="J838">
        <f t="shared" si="27"/>
        <v>0</v>
      </c>
    </row>
    <row r="839" spans="1:10" x14ac:dyDescent="0.25">
      <c r="A839" t="s">
        <v>2819</v>
      </c>
      <c r="B839">
        <v>1</v>
      </c>
      <c r="C839">
        <f>_xlfn.XLOOKUP(Recon!A839,[1]Backup!AJ:AJ,[1]Backup!L:L)</f>
        <v>226.35</v>
      </c>
      <c r="D839">
        <f>_xlfn.XLOOKUP(Recon!A839,[1]Backup!AJ:AJ,[1]Backup!K:K)</f>
        <v>7.6959</v>
      </c>
      <c r="E839">
        <f>SUMIF('[1]PO Report'!A:A,Recon!A839,'[1]PO Report'!P:P)</f>
        <v>68</v>
      </c>
      <c r="F839">
        <f>VLOOKUP(A839,'[1]PO Report'!$A:$Z,15,0)</f>
        <v>226.35</v>
      </c>
      <c r="H839">
        <f t="shared" si="26"/>
        <v>-67</v>
      </c>
      <c r="J839">
        <f t="shared" si="27"/>
        <v>0</v>
      </c>
    </row>
    <row r="840" spans="1:10" x14ac:dyDescent="0.25">
      <c r="A840" t="s">
        <v>2820</v>
      </c>
      <c r="B840">
        <v>192</v>
      </c>
      <c r="C840">
        <f>_xlfn.XLOOKUP(Recon!A840,[1]Backup!AJ:AJ,[1]Backup!L:L)</f>
        <v>20.5</v>
      </c>
      <c r="D840">
        <f>_xlfn.XLOOKUP(Recon!A840,[1]Backup!AJ:AJ,[1]Backup!K:K)</f>
        <v>0.69699999999999995</v>
      </c>
      <c r="E840">
        <f>SUMIF('[1]PO Report'!A:A,Recon!A840,'[1]PO Report'!P:P)</f>
        <v>192</v>
      </c>
      <c r="F840">
        <f>VLOOKUP(A840,'[1]PO Report'!$A:$Z,15,0)</f>
        <v>20.5</v>
      </c>
      <c r="H840">
        <f t="shared" si="26"/>
        <v>0</v>
      </c>
      <c r="J840">
        <f t="shared" si="27"/>
        <v>0</v>
      </c>
    </row>
    <row r="841" spans="1:10" x14ac:dyDescent="0.25">
      <c r="A841" t="s">
        <v>2821</v>
      </c>
      <c r="B841">
        <v>50</v>
      </c>
      <c r="C841">
        <f>_xlfn.XLOOKUP(Recon!A841,[1]Backup!AJ:AJ,[1]Backup!L:L)</f>
        <v>9.36</v>
      </c>
      <c r="D841">
        <f>_xlfn.XLOOKUP(Recon!A841,[1]Backup!AJ:AJ,[1]Backup!K:K)</f>
        <v>0.31824000000000002</v>
      </c>
      <c r="E841">
        <f>SUMIF('[1]PO Report'!A:A,Recon!A841,'[1]PO Report'!P:P)</f>
        <v>50</v>
      </c>
      <c r="F841">
        <f>VLOOKUP(A841,'[1]PO Report'!$A:$Z,15,0)</f>
        <v>9.36</v>
      </c>
      <c r="H841">
        <f t="shared" si="26"/>
        <v>0</v>
      </c>
      <c r="J841">
        <f t="shared" si="27"/>
        <v>0</v>
      </c>
    </row>
    <row r="842" spans="1:10" x14ac:dyDescent="0.25">
      <c r="A842" t="s">
        <v>2822</v>
      </c>
      <c r="B842">
        <v>4</v>
      </c>
      <c r="C842">
        <f>_xlfn.XLOOKUP(Recon!A842,[1]Backup!AJ:AJ,[1]Backup!L:L)</f>
        <v>96.83</v>
      </c>
      <c r="D842">
        <f>_xlfn.XLOOKUP(Recon!A842,[1]Backup!AJ:AJ,[1]Backup!K:K)</f>
        <v>3.2922199999999999</v>
      </c>
      <c r="E842">
        <f>SUMIF('[1]PO Report'!A:A,Recon!A842,'[1]PO Report'!P:P)</f>
        <v>4</v>
      </c>
      <c r="F842">
        <f>VLOOKUP(A842,'[1]PO Report'!$A:$Z,15,0)</f>
        <v>96.83</v>
      </c>
      <c r="H842">
        <f t="shared" si="26"/>
        <v>0</v>
      </c>
      <c r="J842">
        <f t="shared" si="27"/>
        <v>0</v>
      </c>
    </row>
    <row r="843" spans="1:10" x14ac:dyDescent="0.25">
      <c r="A843" t="s">
        <v>2823</v>
      </c>
      <c r="B843">
        <v>4</v>
      </c>
      <c r="C843">
        <f>_xlfn.XLOOKUP(Recon!A843,[1]Backup!AJ:AJ,[1]Backup!L:L)</f>
        <v>73.34</v>
      </c>
      <c r="D843">
        <f>_xlfn.XLOOKUP(Recon!A843,[1]Backup!AJ:AJ,[1]Backup!K:K)</f>
        <v>2.49356</v>
      </c>
      <c r="E843">
        <f>SUMIF('[1]PO Report'!A:A,Recon!A843,'[1]PO Report'!P:P)</f>
        <v>4</v>
      </c>
      <c r="F843">
        <f>VLOOKUP(A843,'[1]PO Report'!$A:$Z,15,0)</f>
        <v>73.34</v>
      </c>
      <c r="H843">
        <f t="shared" si="26"/>
        <v>0</v>
      </c>
      <c r="J843">
        <f t="shared" si="27"/>
        <v>0</v>
      </c>
    </row>
    <row r="844" spans="1:10" x14ac:dyDescent="0.25">
      <c r="A844" t="s">
        <v>2824</v>
      </c>
      <c r="B844">
        <v>4</v>
      </c>
      <c r="C844">
        <f>_xlfn.XLOOKUP(Recon!A844,[1]Backup!AJ:AJ,[1]Backup!L:L)</f>
        <v>73.34</v>
      </c>
      <c r="D844">
        <f>_xlfn.XLOOKUP(Recon!A844,[1]Backup!AJ:AJ,[1]Backup!K:K)</f>
        <v>2.49356</v>
      </c>
      <c r="E844">
        <f>SUMIF('[1]PO Report'!A:A,Recon!A844,'[1]PO Report'!P:P)</f>
        <v>4</v>
      </c>
      <c r="F844">
        <f>VLOOKUP(A844,'[1]PO Report'!$A:$Z,15,0)</f>
        <v>73.34</v>
      </c>
      <c r="H844">
        <f t="shared" si="26"/>
        <v>0</v>
      </c>
      <c r="J844">
        <f t="shared" si="27"/>
        <v>0</v>
      </c>
    </row>
    <row r="845" spans="1:10" x14ac:dyDescent="0.25">
      <c r="A845" t="s">
        <v>2825</v>
      </c>
      <c r="B845">
        <v>16</v>
      </c>
      <c r="C845">
        <f>_xlfn.XLOOKUP(Recon!A845,[1]Backup!AJ:AJ,[1]Backup!L:L)</f>
        <v>133.41999999999999</v>
      </c>
      <c r="D845">
        <f>_xlfn.XLOOKUP(Recon!A845,[1]Backup!AJ:AJ,[1]Backup!K:K)</f>
        <v>4.5362799999999996</v>
      </c>
      <c r="E845">
        <f>SUMIF('[1]PO Report'!A:A,Recon!A845,'[1]PO Report'!P:P)</f>
        <v>16</v>
      </c>
      <c r="F845">
        <f>VLOOKUP(A845,'[1]PO Report'!$A:$Z,15,0)</f>
        <v>133.41999999999999</v>
      </c>
      <c r="H845">
        <f t="shared" si="26"/>
        <v>0</v>
      </c>
      <c r="J845">
        <f t="shared" si="27"/>
        <v>0</v>
      </c>
    </row>
    <row r="846" spans="1:10" x14ac:dyDescent="0.25">
      <c r="A846" t="s">
        <v>2826</v>
      </c>
      <c r="B846">
        <v>4</v>
      </c>
      <c r="C846">
        <f>_xlfn.XLOOKUP(Recon!A846,[1]Backup!AJ:AJ,[1]Backup!L:L)</f>
        <v>36.93</v>
      </c>
      <c r="D846">
        <f>_xlfn.XLOOKUP(Recon!A846,[1]Backup!AJ:AJ,[1]Backup!K:K)</f>
        <v>1.25562</v>
      </c>
      <c r="E846">
        <f>SUMIF('[1]PO Report'!A:A,Recon!A846,'[1]PO Report'!P:P)</f>
        <v>44</v>
      </c>
      <c r="F846">
        <f>VLOOKUP(A846,'[1]PO Report'!$A:$Z,15,0)</f>
        <v>36.93</v>
      </c>
      <c r="H846">
        <f t="shared" si="26"/>
        <v>-40</v>
      </c>
      <c r="J846">
        <f t="shared" si="27"/>
        <v>0</v>
      </c>
    </row>
    <row r="847" spans="1:10" x14ac:dyDescent="0.25">
      <c r="A847" t="s">
        <v>2827</v>
      </c>
      <c r="B847">
        <v>4</v>
      </c>
      <c r="C847">
        <f>_xlfn.XLOOKUP(Recon!A847,[1]Backup!AJ:AJ,[1]Backup!L:L)</f>
        <v>69.61</v>
      </c>
      <c r="D847">
        <f>_xlfn.XLOOKUP(Recon!A847,[1]Backup!AJ:AJ,[1]Backup!K:K)</f>
        <v>2.3667400000000001</v>
      </c>
      <c r="E847">
        <f>SUMIF('[1]PO Report'!A:A,Recon!A847,'[1]PO Report'!P:P)</f>
        <v>4</v>
      </c>
      <c r="F847">
        <f>VLOOKUP(A847,'[1]PO Report'!$A:$Z,15,0)</f>
        <v>69.61</v>
      </c>
      <c r="H847">
        <f t="shared" si="26"/>
        <v>0</v>
      </c>
      <c r="J847">
        <f t="shared" si="27"/>
        <v>0</v>
      </c>
    </row>
    <row r="848" spans="1:10" x14ac:dyDescent="0.25">
      <c r="A848" t="s">
        <v>2828</v>
      </c>
      <c r="B848">
        <v>20</v>
      </c>
      <c r="C848">
        <f>_xlfn.XLOOKUP(Recon!A848,[1]Backup!AJ:AJ,[1]Backup!L:L)</f>
        <v>23.419999999999998</v>
      </c>
      <c r="D848">
        <f>_xlfn.XLOOKUP(Recon!A848,[1]Backup!AJ:AJ,[1]Backup!K:K)</f>
        <v>0.79627999999999999</v>
      </c>
      <c r="E848">
        <f>SUMIF('[1]PO Report'!A:A,Recon!A848,'[1]PO Report'!P:P)</f>
        <v>20</v>
      </c>
      <c r="F848">
        <f>VLOOKUP(A848,'[1]PO Report'!$A:$Z,15,0)</f>
        <v>23.42</v>
      </c>
      <c r="H848">
        <f t="shared" si="26"/>
        <v>0</v>
      </c>
      <c r="J848">
        <f t="shared" si="27"/>
        <v>0</v>
      </c>
    </row>
    <row r="849" spans="1:10" x14ac:dyDescent="0.25">
      <c r="A849" t="s">
        <v>2829</v>
      </c>
      <c r="B849">
        <v>83</v>
      </c>
      <c r="C849">
        <f>_xlfn.XLOOKUP(Recon!A849,[1]Backup!AJ:AJ,[1]Backup!L:L)</f>
        <v>221.07000000000002</v>
      </c>
      <c r="D849">
        <f>_xlfn.XLOOKUP(Recon!A849,[1]Backup!AJ:AJ,[1]Backup!K:K)</f>
        <v>7.5163800000000007</v>
      </c>
      <c r="E849">
        <f>SUMIF('[1]PO Report'!A:A,Recon!A849,'[1]PO Report'!P:P)</f>
        <v>83</v>
      </c>
      <c r="F849">
        <f>VLOOKUP(A849,'[1]PO Report'!$A:$Z,15,0)</f>
        <v>221.07</v>
      </c>
      <c r="H849">
        <f t="shared" si="26"/>
        <v>0</v>
      </c>
      <c r="J849">
        <f t="shared" si="27"/>
        <v>0</v>
      </c>
    </row>
    <row r="850" spans="1:10" x14ac:dyDescent="0.25">
      <c r="A850" t="s">
        <v>2830</v>
      </c>
      <c r="B850">
        <v>8</v>
      </c>
      <c r="C850">
        <f>_xlfn.XLOOKUP(Recon!A850,[1]Backup!AJ:AJ,[1]Backup!L:L)</f>
        <v>23.42</v>
      </c>
      <c r="D850">
        <f>_xlfn.XLOOKUP(Recon!A850,[1]Backup!AJ:AJ,[1]Backup!K:K)</f>
        <v>0.79627999999999999</v>
      </c>
      <c r="E850">
        <f>SUMIF('[1]PO Report'!A:A,Recon!A850,'[1]PO Report'!P:P)</f>
        <v>8</v>
      </c>
      <c r="F850">
        <f>VLOOKUP(A850,'[1]PO Report'!$A:$Z,15,0)</f>
        <v>23.42</v>
      </c>
      <c r="H850">
        <f t="shared" si="26"/>
        <v>0</v>
      </c>
      <c r="J850">
        <f t="shared" si="27"/>
        <v>0</v>
      </c>
    </row>
    <row r="851" spans="1:10" x14ac:dyDescent="0.25">
      <c r="A851" t="s">
        <v>2831</v>
      </c>
      <c r="B851">
        <v>16</v>
      </c>
      <c r="C851">
        <f>_xlfn.XLOOKUP(Recon!A851,[1]Backup!AJ:AJ,[1]Backup!L:L)</f>
        <v>23.42</v>
      </c>
      <c r="D851">
        <f>_xlfn.XLOOKUP(Recon!A851,[1]Backup!AJ:AJ,[1]Backup!K:K)</f>
        <v>0.79627999999999999</v>
      </c>
      <c r="E851">
        <f>SUMIF('[1]PO Report'!A:A,Recon!A851,'[1]PO Report'!P:P)</f>
        <v>16</v>
      </c>
      <c r="F851">
        <f>VLOOKUP(A851,'[1]PO Report'!$A:$Z,15,0)</f>
        <v>23.42</v>
      </c>
      <c r="H851">
        <f t="shared" si="26"/>
        <v>0</v>
      </c>
      <c r="J851">
        <f t="shared" si="27"/>
        <v>0</v>
      </c>
    </row>
    <row r="852" spans="1:10" x14ac:dyDescent="0.25">
      <c r="A852" t="s">
        <v>2832</v>
      </c>
      <c r="B852">
        <v>144</v>
      </c>
      <c r="C852">
        <f>_xlfn.XLOOKUP(Recon!A852,[1]Backup!AJ:AJ,[1]Backup!L:L)</f>
        <v>32.21</v>
      </c>
      <c r="D852">
        <f>_xlfn.XLOOKUP(Recon!A852,[1]Backup!AJ:AJ,[1]Backup!K:K)</f>
        <v>1.09514</v>
      </c>
      <c r="E852">
        <f>SUMIF('[1]PO Report'!A:A,Recon!A852,'[1]PO Report'!P:P)</f>
        <v>144</v>
      </c>
      <c r="F852">
        <f>VLOOKUP(A852,'[1]PO Report'!$A:$Z,15,0)</f>
        <v>32.21</v>
      </c>
      <c r="H852">
        <f t="shared" si="26"/>
        <v>0</v>
      </c>
      <c r="J852">
        <f t="shared" si="27"/>
        <v>0</v>
      </c>
    </row>
    <row r="853" spans="1:10" x14ac:dyDescent="0.25">
      <c r="A853" t="s">
        <v>2833</v>
      </c>
      <c r="B853">
        <v>84</v>
      </c>
      <c r="C853">
        <f>_xlfn.XLOOKUP(Recon!A853,[1]Backup!AJ:AJ,[1]Backup!L:L)</f>
        <v>44.839999999999996</v>
      </c>
      <c r="D853">
        <f>_xlfn.XLOOKUP(Recon!A853,[1]Backup!AJ:AJ,[1]Backup!K:K)</f>
        <v>1.5245599999999999</v>
      </c>
      <c r="E853">
        <f>SUMIF('[1]PO Report'!A:A,Recon!A853,'[1]PO Report'!P:P)</f>
        <v>84</v>
      </c>
      <c r="F853">
        <f>VLOOKUP(A853,'[1]PO Report'!$A:$Z,15,0)</f>
        <v>44.84</v>
      </c>
      <c r="H853">
        <f t="shared" si="26"/>
        <v>0</v>
      </c>
      <c r="J853">
        <f t="shared" si="27"/>
        <v>0</v>
      </c>
    </row>
    <row r="854" spans="1:10" x14ac:dyDescent="0.25">
      <c r="A854" t="s">
        <v>2834</v>
      </c>
      <c r="B854">
        <v>16</v>
      </c>
      <c r="C854">
        <f>_xlfn.XLOOKUP(Recon!A854,[1]Backup!AJ:AJ,[1]Backup!L:L)</f>
        <v>106.49</v>
      </c>
      <c r="D854">
        <f>_xlfn.XLOOKUP(Recon!A854,[1]Backup!AJ:AJ,[1]Backup!K:K)</f>
        <v>3.62066</v>
      </c>
      <c r="E854">
        <f>SUMIF('[1]PO Report'!A:A,Recon!A854,'[1]PO Report'!P:P)</f>
        <v>16</v>
      </c>
      <c r="F854">
        <f>VLOOKUP(A854,'[1]PO Report'!$A:$Z,15,0)</f>
        <v>106.49</v>
      </c>
      <c r="H854">
        <f t="shared" si="26"/>
        <v>0</v>
      </c>
      <c r="J854">
        <f t="shared" si="27"/>
        <v>0</v>
      </c>
    </row>
    <row r="855" spans="1:10" x14ac:dyDescent="0.25">
      <c r="A855" t="s">
        <v>2835</v>
      </c>
      <c r="B855">
        <v>12</v>
      </c>
      <c r="C855">
        <f>_xlfn.XLOOKUP(Recon!A855,[1]Backup!AJ:AJ,[1]Backup!L:L)</f>
        <v>11.71</v>
      </c>
      <c r="D855">
        <f>_xlfn.XLOOKUP(Recon!A855,[1]Backup!AJ:AJ,[1]Backup!K:K)</f>
        <v>0.39813999999999999</v>
      </c>
      <c r="E855">
        <f>SUMIF('[1]PO Report'!A:A,Recon!A855,'[1]PO Report'!P:P)</f>
        <v>12</v>
      </c>
      <c r="F855">
        <f>VLOOKUP(A855,'[1]PO Report'!$A:$Z,15,0)</f>
        <v>11.71</v>
      </c>
      <c r="H855">
        <f t="shared" si="26"/>
        <v>0</v>
      </c>
      <c r="J855">
        <f t="shared" si="27"/>
        <v>0</v>
      </c>
    </row>
    <row r="856" spans="1:10" x14ac:dyDescent="0.25">
      <c r="A856" t="s">
        <v>2836</v>
      </c>
      <c r="B856">
        <v>10</v>
      </c>
      <c r="C856">
        <f>_xlfn.XLOOKUP(Recon!A856,[1]Backup!AJ:AJ,[1]Backup!L:L)</f>
        <v>32.21</v>
      </c>
      <c r="D856">
        <f>_xlfn.XLOOKUP(Recon!A856,[1]Backup!AJ:AJ,[1]Backup!K:K)</f>
        <v>1.09514</v>
      </c>
      <c r="E856">
        <f>SUMIF('[1]PO Report'!A:A,Recon!A856,'[1]PO Report'!P:P)</f>
        <v>10</v>
      </c>
      <c r="F856">
        <f>VLOOKUP(A856,'[1]PO Report'!$A:$Z,15,0)</f>
        <v>32.21</v>
      </c>
      <c r="H856">
        <f t="shared" si="26"/>
        <v>0</v>
      </c>
      <c r="J856">
        <f t="shared" si="27"/>
        <v>0</v>
      </c>
    </row>
    <row r="857" spans="1:10" x14ac:dyDescent="0.25">
      <c r="A857" t="s">
        <v>2837</v>
      </c>
      <c r="B857">
        <v>48</v>
      </c>
      <c r="C857">
        <f>_xlfn.XLOOKUP(Recon!A857,[1]Backup!AJ:AJ,[1]Backup!L:L)</f>
        <v>12.88</v>
      </c>
      <c r="D857">
        <f>_xlfn.XLOOKUP(Recon!A857,[1]Backup!AJ:AJ,[1]Backup!K:K)</f>
        <v>0.43792000000000003</v>
      </c>
      <c r="E857">
        <f>SUMIF('[1]PO Report'!A:A,Recon!A857,'[1]PO Report'!P:P)</f>
        <v>48</v>
      </c>
      <c r="F857">
        <f>VLOOKUP(A857,'[1]PO Report'!$A:$Z,15,0)</f>
        <v>12.88</v>
      </c>
      <c r="H857">
        <f t="shared" si="26"/>
        <v>0</v>
      </c>
      <c r="J857">
        <f t="shared" si="27"/>
        <v>0</v>
      </c>
    </row>
    <row r="858" spans="1:10" x14ac:dyDescent="0.25">
      <c r="A858" t="s">
        <v>2838</v>
      </c>
      <c r="B858">
        <v>129</v>
      </c>
      <c r="C858">
        <f>_xlfn.XLOOKUP(Recon!A858,[1]Backup!AJ:AJ,[1]Backup!L:L)</f>
        <v>34.29</v>
      </c>
      <c r="D858">
        <f>_xlfn.XLOOKUP(Recon!A858,[1]Backup!AJ:AJ,[1]Backup!K:K)</f>
        <v>1.1658599999999999</v>
      </c>
      <c r="E858">
        <f>SUMIF('[1]PO Report'!A:A,Recon!A858,'[1]PO Report'!P:P)</f>
        <v>129</v>
      </c>
      <c r="F858">
        <f>VLOOKUP(A858,'[1]PO Report'!$A:$Z,15,0)</f>
        <v>34.29</v>
      </c>
      <c r="H858">
        <f t="shared" si="26"/>
        <v>0</v>
      </c>
      <c r="J858">
        <f t="shared" si="27"/>
        <v>0</v>
      </c>
    </row>
    <row r="859" spans="1:10" x14ac:dyDescent="0.25">
      <c r="A859" t="s">
        <v>2839</v>
      </c>
      <c r="B859">
        <v>50</v>
      </c>
      <c r="C859">
        <f>_xlfn.XLOOKUP(Recon!A859,[1]Backup!AJ:AJ,[1]Backup!L:L)</f>
        <v>9.36</v>
      </c>
      <c r="D859">
        <f>_xlfn.XLOOKUP(Recon!A859,[1]Backup!AJ:AJ,[1]Backup!K:K)</f>
        <v>0.31824000000000002</v>
      </c>
      <c r="E859">
        <f>SUMIF('[1]PO Report'!A:A,Recon!A859,'[1]PO Report'!P:P)</f>
        <v>50</v>
      </c>
      <c r="F859">
        <f>VLOOKUP(A859,'[1]PO Report'!$A:$Z,15,0)</f>
        <v>9.36</v>
      </c>
      <c r="H859">
        <f t="shared" si="26"/>
        <v>0</v>
      </c>
      <c r="J859">
        <f t="shared" si="27"/>
        <v>0</v>
      </c>
    </row>
    <row r="860" spans="1:10" x14ac:dyDescent="0.25">
      <c r="A860" t="s">
        <v>2840</v>
      </c>
      <c r="B860">
        <v>20</v>
      </c>
      <c r="C860">
        <f>_xlfn.XLOOKUP(Recon!A860,[1]Backup!AJ:AJ,[1]Backup!L:L)</f>
        <v>11.6</v>
      </c>
      <c r="D860">
        <f>_xlfn.XLOOKUP(Recon!A860,[1]Backup!AJ:AJ,[1]Backup!K:K)</f>
        <v>0.39439999999999997</v>
      </c>
      <c r="E860">
        <f>SUMIF('[1]PO Report'!A:A,Recon!A860,'[1]PO Report'!P:P)</f>
        <v>20</v>
      </c>
      <c r="F860">
        <f>VLOOKUP(A860,'[1]PO Report'!$A:$Z,15,0)</f>
        <v>11.6</v>
      </c>
      <c r="H860">
        <f t="shared" si="26"/>
        <v>0</v>
      </c>
      <c r="J860">
        <f t="shared" si="27"/>
        <v>0</v>
      </c>
    </row>
    <row r="861" spans="1:10" x14ac:dyDescent="0.25">
      <c r="A861" t="s">
        <v>2841</v>
      </c>
      <c r="B861">
        <v>4</v>
      </c>
      <c r="C861">
        <f>_xlfn.XLOOKUP(Recon!A861,[1]Backup!AJ:AJ,[1]Backup!L:L)</f>
        <v>57.51</v>
      </c>
      <c r="D861">
        <f>_xlfn.XLOOKUP(Recon!A861,[1]Backup!AJ:AJ,[1]Backup!K:K)</f>
        <v>1.9553400000000001</v>
      </c>
      <c r="E861">
        <f>SUMIF('[1]PO Report'!A:A,Recon!A861,'[1]PO Report'!P:P)</f>
        <v>4</v>
      </c>
      <c r="F861">
        <f>VLOOKUP(A861,'[1]PO Report'!$A:$Z,15,0)</f>
        <v>57.51</v>
      </c>
      <c r="H861">
        <f t="shared" si="26"/>
        <v>0</v>
      </c>
      <c r="J861">
        <f t="shared" si="27"/>
        <v>0</v>
      </c>
    </row>
    <row r="862" spans="1:10" x14ac:dyDescent="0.25">
      <c r="A862" t="s">
        <v>2842</v>
      </c>
      <c r="B862">
        <v>6</v>
      </c>
      <c r="C862">
        <f>_xlfn.XLOOKUP(Recon!A862,[1]Backup!AJ:AJ,[1]Backup!L:L)</f>
        <v>66.66</v>
      </c>
      <c r="D862">
        <f>_xlfn.XLOOKUP(Recon!A862,[1]Backup!AJ:AJ,[1]Backup!K:K)</f>
        <v>2.2664399999999998</v>
      </c>
      <c r="E862">
        <f>SUMIF('[1]PO Report'!A:A,Recon!A862,'[1]PO Report'!P:P)</f>
        <v>6</v>
      </c>
      <c r="F862">
        <f>VLOOKUP(A862,'[1]PO Report'!$A:$Z,15,0)</f>
        <v>66.66</v>
      </c>
      <c r="H862">
        <f t="shared" si="26"/>
        <v>0</v>
      </c>
      <c r="J862">
        <f t="shared" si="27"/>
        <v>0</v>
      </c>
    </row>
    <row r="863" spans="1:10" x14ac:dyDescent="0.25">
      <c r="A863" t="s">
        <v>2843</v>
      </c>
      <c r="B863">
        <v>40</v>
      </c>
      <c r="C863">
        <f>_xlfn.XLOOKUP(Recon!A863,[1]Backup!AJ:AJ,[1]Backup!L:L)</f>
        <v>36.93</v>
      </c>
      <c r="D863">
        <f>_xlfn.XLOOKUP(Recon!A863,[1]Backup!AJ:AJ,[1]Backup!K:K)</f>
        <v>1.25562</v>
      </c>
      <c r="E863">
        <f>SUMIF('[1]PO Report'!A:A,Recon!A863,'[1]PO Report'!P:P)</f>
        <v>36</v>
      </c>
      <c r="F863">
        <f>VLOOKUP(A863,'[1]PO Report'!$A:$Z,15,0)</f>
        <v>36.93</v>
      </c>
      <c r="H863">
        <f t="shared" si="26"/>
        <v>4</v>
      </c>
      <c r="I863">
        <f>H863*D863</f>
        <v>5.0224799999999998</v>
      </c>
      <c r="J863">
        <f t="shared" si="27"/>
        <v>0</v>
      </c>
    </row>
    <row r="864" spans="1:10" x14ac:dyDescent="0.25">
      <c r="A864" t="s">
        <v>2844</v>
      </c>
      <c r="B864">
        <v>16</v>
      </c>
      <c r="C864">
        <f>_xlfn.XLOOKUP(Recon!A864,[1]Backup!AJ:AJ,[1]Backup!L:L)</f>
        <v>69.61</v>
      </c>
      <c r="D864">
        <f>_xlfn.XLOOKUP(Recon!A864,[1]Backup!AJ:AJ,[1]Backup!K:K)</f>
        <v>2.3667400000000001</v>
      </c>
      <c r="E864">
        <f>SUMIF('[1]PO Report'!A:A,Recon!A864,'[1]PO Report'!P:P)</f>
        <v>16</v>
      </c>
      <c r="F864">
        <f>VLOOKUP(A864,'[1]PO Report'!$A:$Z,15,0)</f>
        <v>69.61</v>
      </c>
      <c r="H864">
        <f t="shared" si="26"/>
        <v>0</v>
      </c>
      <c r="J864">
        <f t="shared" si="27"/>
        <v>0</v>
      </c>
    </row>
    <row r="865" spans="1:10" x14ac:dyDescent="0.25">
      <c r="A865" t="s">
        <v>2845</v>
      </c>
      <c r="B865">
        <v>88</v>
      </c>
      <c r="C865">
        <f>_xlfn.XLOOKUP(Recon!A865,[1]Backup!AJ:AJ,[1]Backup!L:L)</f>
        <v>73.34</v>
      </c>
      <c r="D865">
        <f>_xlfn.XLOOKUP(Recon!A865,[1]Backup!AJ:AJ,[1]Backup!K:K)</f>
        <v>2.49356</v>
      </c>
      <c r="E865">
        <f>SUMIF('[1]PO Report'!A:A,Recon!A865,'[1]PO Report'!P:P)</f>
        <v>88</v>
      </c>
      <c r="F865">
        <f>VLOOKUP(A865,'[1]PO Report'!$A:$Z,15,0)</f>
        <v>73.34</v>
      </c>
      <c r="H865">
        <f t="shared" si="26"/>
        <v>0</v>
      </c>
      <c r="J865">
        <f t="shared" si="27"/>
        <v>0</v>
      </c>
    </row>
    <row r="866" spans="1:10" x14ac:dyDescent="0.25">
      <c r="A866" t="s">
        <v>2846</v>
      </c>
      <c r="B866">
        <v>288</v>
      </c>
      <c r="C866">
        <f>_xlfn.XLOOKUP(Recon!A866,[1]Backup!AJ:AJ,[1]Backup!L:L)</f>
        <v>47.48</v>
      </c>
      <c r="D866">
        <f>_xlfn.XLOOKUP(Recon!A866,[1]Backup!AJ:AJ,[1]Backup!K:K)</f>
        <v>1.61432</v>
      </c>
      <c r="E866">
        <f>SUMIF('[1]PO Report'!A:A,Recon!A866,'[1]PO Report'!P:P)</f>
        <v>288</v>
      </c>
      <c r="F866">
        <f>VLOOKUP(A866,'[1]PO Report'!$A:$Z,15,0)</f>
        <v>47.48</v>
      </c>
      <c r="H866">
        <f t="shared" si="26"/>
        <v>0</v>
      </c>
      <c r="J866">
        <f t="shared" si="27"/>
        <v>0</v>
      </c>
    </row>
    <row r="867" spans="1:10" x14ac:dyDescent="0.25">
      <c r="A867" t="s">
        <v>2847</v>
      </c>
      <c r="B867">
        <v>48</v>
      </c>
      <c r="C867">
        <f>_xlfn.XLOOKUP(Recon!A867,[1]Backup!AJ:AJ,[1]Backup!L:L)</f>
        <v>69.03</v>
      </c>
      <c r="D867">
        <f>_xlfn.XLOOKUP(Recon!A867,[1]Backup!AJ:AJ,[1]Backup!K:K)</f>
        <v>2.3470200000000001</v>
      </c>
      <c r="E867">
        <f>SUMIF('[1]PO Report'!A:A,Recon!A867,'[1]PO Report'!P:P)</f>
        <v>48</v>
      </c>
      <c r="F867">
        <f>VLOOKUP(A867,'[1]PO Report'!$A:$Z,15,0)</f>
        <v>69.03</v>
      </c>
      <c r="H867">
        <f t="shared" si="26"/>
        <v>0</v>
      </c>
      <c r="J867">
        <f t="shared" si="27"/>
        <v>0</v>
      </c>
    </row>
    <row r="868" spans="1:10" x14ac:dyDescent="0.25">
      <c r="A868" t="s">
        <v>2848</v>
      </c>
      <c r="B868">
        <v>12</v>
      </c>
      <c r="C868">
        <f>_xlfn.XLOOKUP(Recon!A868,[1]Backup!AJ:AJ,[1]Backup!L:L)</f>
        <v>83.89</v>
      </c>
      <c r="D868">
        <f>_xlfn.XLOOKUP(Recon!A868,[1]Backup!AJ:AJ,[1]Backup!K:K)</f>
        <v>2.8522599999999998</v>
      </c>
      <c r="E868">
        <f>SUMIF('[1]PO Report'!A:A,Recon!A868,'[1]PO Report'!P:P)</f>
        <v>12</v>
      </c>
      <c r="F868">
        <f>VLOOKUP(A868,'[1]PO Report'!$A:$Z,15,0)</f>
        <v>83.89</v>
      </c>
      <c r="H868">
        <f t="shared" si="26"/>
        <v>0</v>
      </c>
      <c r="J868">
        <f t="shared" si="27"/>
        <v>0</v>
      </c>
    </row>
    <row r="869" spans="1:10" x14ac:dyDescent="0.25">
      <c r="A869" t="s">
        <v>2849</v>
      </c>
      <c r="B869">
        <v>32</v>
      </c>
      <c r="C869">
        <f>_xlfn.XLOOKUP(Recon!A869,[1]Backup!AJ:AJ,[1]Backup!L:L)</f>
        <v>11.59</v>
      </c>
      <c r="D869">
        <f>_xlfn.XLOOKUP(Recon!A869,[1]Backup!AJ:AJ,[1]Backup!K:K)</f>
        <v>0.39406000000000002</v>
      </c>
      <c r="E869">
        <f>SUMIF('[1]PO Report'!A:A,Recon!A869,'[1]PO Report'!P:P)</f>
        <v>32</v>
      </c>
      <c r="F869">
        <f>VLOOKUP(A869,'[1]PO Report'!$A:$Z,15,0)</f>
        <v>11.59</v>
      </c>
      <c r="H869">
        <f t="shared" si="26"/>
        <v>0</v>
      </c>
      <c r="J869">
        <f t="shared" si="27"/>
        <v>0</v>
      </c>
    </row>
    <row r="870" spans="1:10" x14ac:dyDescent="0.25">
      <c r="A870" t="s">
        <v>2850</v>
      </c>
      <c r="B870">
        <v>8</v>
      </c>
      <c r="C870">
        <f>_xlfn.XLOOKUP(Recon!A870,[1]Backup!AJ:AJ,[1]Backup!L:L)</f>
        <v>104.41</v>
      </c>
      <c r="D870">
        <f>_xlfn.XLOOKUP(Recon!A870,[1]Backup!AJ:AJ,[1]Backup!K:K)</f>
        <v>3.5499399999999999</v>
      </c>
      <c r="E870">
        <f>SUMIF('[1]PO Report'!A:A,Recon!A870,'[1]PO Report'!P:P)</f>
        <v>8</v>
      </c>
      <c r="F870">
        <f>VLOOKUP(A870,'[1]PO Report'!$A:$Z,15,0)</f>
        <v>104.41</v>
      </c>
      <c r="H870">
        <f t="shared" si="26"/>
        <v>0</v>
      </c>
      <c r="J870">
        <f t="shared" si="27"/>
        <v>0</v>
      </c>
    </row>
    <row r="871" spans="1:10" x14ac:dyDescent="0.25">
      <c r="A871" t="s">
        <v>2851</v>
      </c>
      <c r="B871">
        <v>24</v>
      </c>
      <c r="C871">
        <f>_xlfn.XLOOKUP(Recon!A871,[1]Backup!AJ:AJ,[1]Backup!L:L)</f>
        <v>69.61</v>
      </c>
      <c r="D871">
        <f>_xlfn.XLOOKUP(Recon!A871,[1]Backup!AJ:AJ,[1]Backup!K:K)</f>
        <v>2.3667400000000001</v>
      </c>
      <c r="E871">
        <f>SUMIF('[1]PO Report'!A:A,Recon!A871,'[1]PO Report'!P:P)</f>
        <v>24</v>
      </c>
      <c r="F871">
        <f>VLOOKUP(A871,'[1]PO Report'!$A:$Z,15,0)</f>
        <v>69.61</v>
      </c>
      <c r="H871">
        <f t="shared" si="26"/>
        <v>0</v>
      </c>
      <c r="J871">
        <f t="shared" si="27"/>
        <v>0</v>
      </c>
    </row>
    <row r="872" spans="1:10" x14ac:dyDescent="0.25">
      <c r="A872" t="s">
        <v>2852</v>
      </c>
      <c r="B872">
        <v>60</v>
      </c>
      <c r="C872">
        <f>_xlfn.XLOOKUP(Recon!A872,[1]Backup!AJ:AJ,[1]Backup!L:L)</f>
        <v>31.12</v>
      </c>
      <c r="D872">
        <f>_xlfn.XLOOKUP(Recon!A872,[1]Backup!AJ:AJ,[1]Backup!K:K)</f>
        <v>1.0580799999999999</v>
      </c>
      <c r="E872">
        <f>SUMIF('[1]PO Report'!A:A,Recon!A872,'[1]PO Report'!P:P)</f>
        <v>60</v>
      </c>
      <c r="F872">
        <f>VLOOKUP(A872,'[1]PO Report'!$A:$Z,15,0)</f>
        <v>31.12</v>
      </c>
      <c r="H872">
        <f t="shared" si="26"/>
        <v>0</v>
      </c>
      <c r="J872">
        <f t="shared" si="27"/>
        <v>0</v>
      </c>
    </row>
    <row r="873" spans="1:10" x14ac:dyDescent="0.25">
      <c r="A873" t="s">
        <v>2853</v>
      </c>
      <c r="B873">
        <v>296</v>
      </c>
      <c r="C873">
        <f>_xlfn.XLOOKUP(Recon!A873,[1]Backup!AJ:AJ,[1]Backup!L:L)</f>
        <v>23.74</v>
      </c>
      <c r="D873">
        <f>_xlfn.XLOOKUP(Recon!A873,[1]Backup!AJ:AJ,[1]Backup!K:K)</f>
        <v>0.80715999999999999</v>
      </c>
      <c r="E873">
        <f>SUMIF('[1]PO Report'!A:A,Recon!A873,'[1]PO Report'!P:P)</f>
        <v>296</v>
      </c>
      <c r="F873">
        <f>VLOOKUP(A873,'[1]PO Report'!$A:$Z,15,0)</f>
        <v>23.74</v>
      </c>
      <c r="H873">
        <f t="shared" si="26"/>
        <v>0</v>
      </c>
      <c r="J873">
        <f t="shared" si="27"/>
        <v>0</v>
      </c>
    </row>
    <row r="874" spans="1:10" x14ac:dyDescent="0.25">
      <c r="A874" t="s">
        <v>2854</v>
      </c>
      <c r="B874">
        <v>4</v>
      </c>
      <c r="C874">
        <f>_xlfn.XLOOKUP(Recon!A874,[1]Backup!AJ:AJ,[1]Backup!L:L)</f>
        <v>44.95</v>
      </c>
      <c r="D874">
        <f>_xlfn.XLOOKUP(Recon!A874,[1]Backup!AJ:AJ,[1]Backup!K:K)</f>
        <v>1.5283</v>
      </c>
      <c r="E874">
        <f>SUMIF('[1]PO Report'!A:A,Recon!A874,'[1]PO Report'!P:P)</f>
        <v>4</v>
      </c>
      <c r="F874">
        <f>VLOOKUP(A874,'[1]PO Report'!$A:$Z,15,0)</f>
        <v>44.95</v>
      </c>
      <c r="H874">
        <f t="shared" si="26"/>
        <v>0</v>
      </c>
      <c r="J874">
        <f t="shared" si="27"/>
        <v>0</v>
      </c>
    </row>
    <row r="875" spans="1:10" x14ac:dyDescent="0.25">
      <c r="A875" t="s">
        <v>2855</v>
      </c>
      <c r="B875">
        <v>80</v>
      </c>
      <c r="C875">
        <f>_xlfn.XLOOKUP(Recon!A875,[1]Backup!AJ:AJ,[1]Backup!L:L)</f>
        <v>92.24</v>
      </c>
      <c r="D875">
        <f>_xlfn.XLOOKUP(Recon!A875,[1]Backup!AJ:AJ,[1]Backup!K:K)</f>
        <v>3.1361599999999998</v>
      </c>
      <c r="E875">
        <f>SUMIF('[1]PO Report'!A:A,Recon!A875,'[1]PO Report'!P:P)</f>
        <v>80</v>
      </c>
      <c r="F875">
        <f>VLOOKUP(A875,'[1]PO Report'!$A:$Z,15,0)</f>
        <v>92.24</v>
      </c>
      <c r="H875">
        <f t="shared" si="26"/>
        <v>0</v>
      </c>
      <c r="J875">
        <f t="shared" si="27"/>
        <v>0</v>
      </c>
    </row>
    <row r="876" spans="1:10" x14ac:dyDescent="0.25">
      <c r="A876" t="s">
        <v>2856</v>
      </c>
      <c r="B876">
        <v>4</v>
      </c>
      <c r="C876">
        <f>_xlfn.XLOOKUP(Recon!A876,[1]Backup!AJ:AJ,[1]Backup!L:L)</f>
        <v>6.32</v>
      </c>
      <c r="D876">
        <f>_xlfn.XLOOKUP(Recon!A876,[1]Backup!AJ:AJ,[1]Backup!K:K)</f>
        <v>0.21487999999999999</v>
      </c>
      <c r="E876">
        <f>SUMIF('[1]PO Report'!A:A,Recon!A876,'[1]PO Report'!P:P)</f>
        <v>4</v>
      </c>
      <c r="F876">
        <f>VLOOKUP(A876,'[1]PO Report'!$A:$Z,15,0)</f>
        <v>6.32</v>
      </c>
      <c r="H876">
        <f t="shared" si="26"/>
        <v>0</v>
      </c>
      <c r="J876">
        <f t="shared" si="27"/>
        <v>0</v>
      </c>
    </row>
    <row r="877" spans="1:10" x14ac:dyDescent="0.25">
      <c r="A877" t="s">
        <v>2857</v>
      </c>
      <c r="B877">
        <v>16</v>
      </c>
      <c r="C877">
        <f>_xlfn.XLOOKUP(Recon!A877,[1]Backup!AJ:AJ,[1]Backup!L:L)</f>
        <v>23.74</v>
      </c>
      <c r="D877">
        <f>_xlfn.XLOOKUP(Recon!A877,[1]Backup!AJ:AJ,[1]Backup!K:K)</f>
        <v>0.80715999999999999</v>
      </c>
      <c r="E877">
        <f>SUMIF('[1]PO Report'!A:A,Recon!A877,'[1]PO Report'!P:P)</f>
        <v>16</v>
      </c>
      <c r="F877">
        <f>VLOOKUP(A877,'[1]PO Report'!$A:$Z,15,0)</f>
        <v>23.74</v>
      </c>
      <c r="H877">
        <f t="shared" si="26"/>
        <v>0</v>
      </c>
      <c r="J877">
        <f t="shared" si="27"/>
        <v>0</v>
      </c>
    </row>
    <row r="878" spans="1:10" x14ac:dyDescent="0.25">
      <c r="A878" t="s">
        <v>2858</v>
      </c>
      <c r="B878">
        <v>8</v>
      </c>
      <c r="C878">
        <f>_xlfn.XLOOKUP(Recon!A878,[1]Backup!AJ:AJ,[1]Backup!L:L)</f>
        <v>68.06</v>
      </c>
      <c r="D878">
        <f>_xlfn.XLOOKUP(Recon!A878,[1]Backup!AJ:AJ,[1]Backup!K:K)</f>
        <v>2.3140399999999999</v>
      </c>
      <c r="E878">
        <f>SUMIF('[1]PO Report'!A:A,Recon!A878,'[1]PO Report'!P:P)</f>
        <v>8</v>
      </c>
      <c r="F878">
        <f>VLOOKUP(A878,'[1]PO Report'!$A:$Z,15,0)</f>
        <v>68.06</v>
      </c>
      <c r="H878">
        <f t="shared" si="26"/>
        <v>0</v>
      </c>
      <c r="J878">
        <f t="shared" si="27"/>
        <v>0</v>
      </c>
    </row>
    <row r="879" spans="1:10" x14ac:dyDescent="0.25">
      <c r="A879" t="s">
        <v>2859</v>
      </c>
      <c r="B879">
        <v>20</v>
      </c>
      <c r="C879">
        <f>_xlfn.XLOOKUP(Recon!A879,[1]Backup!AJ:AJ,[1]Backup!L:L)</f>
        <v>39.56</v>
      </c>
      <c r="D879">
        <f>_xlfn.XLOOKUP(Recon!A879,[1]Backup!AJ:AJ,[1]Backup!K:K)</f>
        <v>1.34504</v>
      </c>
      <c r="E879">
        <f>SUMIF('[1]PO Report'!A:A,Recon!A879,'[1]PO Report'!P:P)</f>
        <v>20</v>
      </c>
      <c r="F879">
        <f>VLOOKUP(A879,'[1]PO Report'!$A:$Z,15,0)</f>
        <v>39.56</v>
      </c>
      <c r="H879">
        <f t="shared" si="26"/>
        <v>0</v>
      </c>
      <c r="J879">
        <f t="shared" si="27"/>
        <v>0</v>
      </c>
    </row>
    <row r="880" spans="1:10" x14ac:dyDescent="0.25">
      <c r="A880" t="s">
        <v>2860</v>
      </c>
      <c r="B880">
        <v>288</v>
      </c>
      <c r="C880">
        <f>_xlfn.XLOOKUP(Recon!A880,[1]Backup!AJ:AJ,[1]Backup!L:L)</f>
        <v>116.02000000000001</v>
      </c>
      <c r="D880">
        <f>_xlfn.XLOOKUP(Recon!A880,[1]Backup!AJ:AJ,[1]Backup!K:K)</f>
        <v>3.94468</v>
      </c>
      <c r="E880">
        <f>SUMIF('[1]PO Report'!A:A,Recon!A880,'[1]PO Report'!P:P)</f>
        <v>288</v>
      </c>
      <c r="F880">
        <f>VLOOKUP(A880,'[1]PO Report'!$A:$Z,15,0)</f>
        <v>116.02</v>
      </c>
      <c r="H880">
        <f t="shared" si="26"/>
        <v>0</v>
      </c>
      <c r="J880">
        <f t="shared" si="27"/>
        <v>0</v>
      </c>
    </row>
    <row r="881" spans="1:10" x14ac:dyDescent="0.25">
      <c r="A881" t="s">
        <v>2861</v>
      </c>
      <c r="B881">
        <v>20</v>
      </c>
      <c r="C881">
        <f>_xlfn.XLOOKUP(Recon!A881,[1]Backup!AJ:AJ,[1]Backup!L:L)</f>
        <v>52.760000000000005</v>
      </c>
      <c r="D881">
        <f>_xlfn.XLOOKUP(Recon!A881,[1]Backup!AJ:AJ,[1]Backup!K:K)</f>
        <v>1.7938400000000001</v>
      </c>
      <c r="E881">
        <f>SUMIF('[1]PO Report'!A:A,Recon!A881,'[1]PO Report'!P:P)</f>
        <v>20</v>
      </c>
      <c r="F881">
        <f>VLOOKUP(A881,'[1]PO Report'!$A:$Z,15,0)</f>
        <v>52.76</v>
      </c>
      <c r="H881">
        <f t="shared" si="26"/>
        <v>0</v>
      </c>
      <c r="J881">
        <f t="shared" si="27"/>
        <v>0</v>
      </c>
    </row>
    <row r="882" spans="1:10" x14ac:dyDescent="0.25">
      <c r="A882" t="s">
        <v>2862</v>
      </c>
      <c r="B882">
        <v>152</v>
      </c>
      <c r="C882">
        <f>_xlfn.XLOOKUP(Recon!A882,[1]Backup!AJ:AJ,[1]Backup!L:L)</f>
        <v>116.02000000000001</v>
      </c>
      <c r="D882">
        <f>_xlfn.XLOOKUP(Recon!A882,[1]Backup!AJ:AJ,[1]Backup!K:K)</f>
        <v>3.94468</v>
      </c>
      <c r="E882">
        <f>SUMIF('[1]PO Report'!A:A,Recon!A882,'[1]PO Report'!P:P)</f>
        <v>152</v>
      </c>
      <c r="F882">
        <f>VLOOKUP(A882,'[1]PO Report'!$A:$Z,15,0)</f>
        <v>116.02</v>
      </c>
      <c r="H882">
        <f t="shared" si="26"/>
        <v>0</v>
      </c>
      <c r="J882">
        <f t="shared" si="27"/>
        <v>0</v>
      </c>
    </row>
    <row r="883" spans="1:10" x14ac:dyDescent="0.25">
      <c r="A883" t="s">
        <v>2863</v>
      </c>
      <c r="B883">
        <v>4</v>
      </c>
      <c r="C883">
        <f>_xlfn.XLOOKUP(Recon!A883,[1]Backup!AJ:AJ,[1]Backup!L:L)</f>
        <v>39.56</v>
      </c>
      <c r="D883">
        <f>_xlfn.XLOOKUP(Recon!A883,[1]Backup!AJ:AJ,[1]Backup!K:K)</f>
        <v>1.34504</v>
      </c>
      <c r="E883">
        <f>SUMIF('[1]PO Report'!A:A,Recon!A883,'[1]PO Report'!P:P)</f>
        <v>4</v>
      </c>
      <c r="F883">
        <f>VLOOKUP(A883,'[1]PO Report'!$A:$Z,15,0)</f>
        <v>39.56</v>
      </c>
      <c r="H883">
        <f t="shared" si="26"/>
        <v>0</v>
      </c>
      <c r="J883">
        <f t="shared" si="27"/>
        <v>0</v>
      </c>
    </row>
    <row r="884" spans="1:10" x14ac:dyDescent="0.25">
      <c r="A884" t="s">
        <v>2864</v>
      </c>
      <c r="B884">
        <v>48</v>
      </c>
      <c r="C884">
        <f>_xlfn.XLOOKUP(Recon!A884,[1]Backup!AJ:AJ,[1]Backup!L:L)</f>
        <v>116.02</v>
      </c>
      <c r="D884">
        <f>_xlfn.XLOOKUP(Recon!A884,[1]Backup!AJ:AJ,[1]Backup!K:K)</f>
        <v>3.94468</v>
      </c>
      <c r="E884">
        <f>SUMIF('[1]PO Report'!A:A,Recon!A884,'[1]PO Report'!P:P)</f>
        <v>48</v>
      </c>
      <c r="F884">
        <f>VLOOKUP(A884,'[1]PO Report'!$A:$Z,15,0)</f>
        <v>116.02</v>
      </c>
      <c r="H884">
        <f t="shared" si="26"/>
        <v>0</v>
      </c>
      <c r="J884">
        <f t="shared" si="27"/>
        <v>0</v>
      </c>
    </row>
    <row r="885" spans="1:10" x14ac:dyDescent="0.25">
      <c r="A885" t="s">
        <v>2865</v>
      </c>
      <c r="B885">
        <v>32</v>
      </c>
      <c r="C885">
        <f>_xlfn.XLOOKUP(Recon!A885,[1]Backup!AJ:AJ,[1]Backup!L:L)</f>
        <v>47.48</v>
      </c>
      <c r="D885">
        <f>_xlfn.XLOOKUP(Recon!A885,[1]Backup!AJ:AJ,[1]Backup!K:K)</f>
        <v>1.61432</v>
      </c>
      <c r="E885">
        <f>SUMIF('[1]PO Report'!A:A,Recon!A885,'[1]PO Report'!P:P)</f>
        <v>32</v>
      </c>
      <c r="F885">
        <f>VLOOKUP(A885,'[1]PO Report'!$A:$Z,15,0)</f>
        <v>47.48</v>
      </c>
      <c r="H885">
        <f t="shared" si="26"/>
        <v>0</v>
      </c>
      <c r="J885">
        <f t="shared" si="27"/>
        <v>0</v>
      </c>
    </row>
    <row r="886" spans="1:10" x14ac:dyDescent="0.25">
      <c r="A886" t="s">
        <v>2866</v>
      </c>
      <c r="B886">
        <v>160</v>
      </c>
      <c r="C886">
        <f>_xlfn.XLOOKUP(Recon!A886,[1]Backup!AJ:AJ,[1]Backup!L:L)</f>
        <v>32.21</v>
      </c>
      <c r="D886">
        <f>_xlfn.XLOOKUP(Recon!A886,[1]Backup!AJ:AJ,[1]Backup!K:K)</f>
        <v>1.09514</v>
      </c>
      <c r="E886">
        <f>SUMIF('[1]PO Report'!A:A,Recon!A886,'[1]PO Report'!P:P)</f>
        <v>160</v>
      </c>
      <c r="F886">
        <f>VLOOKUP(A886,'[1]PO Report'!$A:$Z,15,0)</f>
        <v>32.21</v>
      </c>
      <c r="H886">
        <f t="shared" si="26"/>
        <v>0</v>
      </c>
      <c r="J886">
        <f t="shared" si="27"/>
        <v>0</v>
      </c>
    </row>
    <row r="887" spans="1:10" x14ac:dyDescent="0.25">
      <c r="A887" t="s">
        <v>2867</v>
      </c>
      <c r="B887">
        <v>50</v>
      </c>
      <c r="C887">
        <f>_xlfn.XLOOKUP(Recon!A887,[1]Backup!AJ:AJ,[1]Backup!L:L)</f>
        <v>58</v>
      </c>
      <c r="D887">
        <f>_xlfn.XLOOKUP(Recon!A887,[1]Backup!AJ:AJ,[1]Backup!K:K)</f>
        <v>1.972</v>
      </c>
      <c r="E887">
        <f>SUMIF('[1]PO Report'!A:A,Recon!A887,'[1]PO Report'!P:P)</f>
        <v>50</v>
      </c>
      <c r="F887">
        <f>VLOOKUP(A887,'[1]PO Report'!$A:$Z,15,0)</f>
        <v>58</v>
      </c>
      <c r="H887">
        <f t="shared" si="26"/>
        <v>0</v>
      </c>
      <c r="J887">
        <f t="shared" si="27"/>
        <v>0</v>
      </c>
    </row>
    <row r="888" spans="1:10" x14ac:dyDescent="0.25">
      <c r="A888" t="s">
        <v>2868</v>
      </c>
      <c r="B888">
        <v>430</v>
      </c>
      <c r="C888">
        <f>_xlfn.XLOOKUP(Recon!A888,[1]Backup!AJ:AJ,[1]Backup!L:L)</f>
        <v>16.39</v>
      </c>
      <c r="D888">
        <f>_xlfn.XLOOKUP(Recon!A888,[1]Backup!AJ:AJ,[1]Backup!K:K)</f>
        <v>0.55725999999999998</v>
      </c>
      <c r="E888">
        <f>SUMIF('[1]PO Report'!A:A,Recon!A888,'[1]PO Report'!P:P)</f>
        <v>420</v>
      </c>
      <c r="F888">
        <f>VLOOKUP(A888,'[1]PO Report'!$A:$Z,15,0)</f>
        <v>16.39</v>
      </c>
      <c r="H888">
        <f t="shared" si="26"/>
        <v>10</v>
      </c>
      <c r="I888">
        <f>H888*D888</f>
        <v>5.5725999999999996</v>
      </c>
      <c r="J888">
        <f t="shared" si="27"/>
        <v>0</v>
      </c>
    </row>
    <row r="889" spans="1:10" x14ac:dyDescent="0.25">
      <c r="A889" t="s">
        <v>2869</v>
      </c>
      <c r="B889">
        <v>312</v>
      </c>
      <c r="C889">
        <f>_xlfn.XLOOKUP(Recon!A889,[1]Backup!AJ:AJ,[1]Backup!L:L)</f>
        <v>23.419999999999998</v>
      </c>
      <c r="D889">
        <f>_xlfn.XLOOKUP(Recon!A889,[1]Backup!AJ:AJ,[1]Backup!K:K)</f>
        <v>0.79627999999999999</v>
      </c>
      <c r="E889">
        <f>SUMIF('[1]PO Report'!A:A,Recon!A889,'[1]PO Report'!P:P)</f>
        <v>312</v>
      </c>
      <c r="F889">
        <f>VLOOKUP(A889,'[1]PO Report'!$A:$Z,15,0)</f>
        <v>23.42</v>
      </c>
      <c r="H889">
        <f t="shared" si="26"/>
        <v>0</v>
      </c>
      <c r="J889">
        <f t="shared" si="27"/>
        <v>0</v>
      </c>
    </row>
    <row r="890" spans="1:10" x14ac:dyDescent="0.25">
      <c r="A890" t="s">
        <v>2870</v>
      </c>
      <c r="B890">
        <v>7</v>
      </c>
      <c r="C890">
        <f>_xlfn.XLOOKUP(Recon!A890,[1]Backup!AJ:AJ,[1]Backup!L:L)</f>
        <v>40.99</v>
      </c>
      <c r="D890">
        <f>_xlfn.XLOOKUP(Recon!A890,[1]Backup!AJ:AJ,[1]Backup!K:K)</f>
        <v>1.3936600000000001</v>
      </c>
      <c r="E890">
        <f>SUMIF('[1]PO Report'!A:A,Recon!A890,'[1]PO Report'!P:P)</f>
        <v>7</v>
      </c>
      <c r="F890">
        <f>VLOOKUP(A890,'[1]PO Report'!$A:$Z,15,0)</f>
        <v>40.99</v>
      </c>
      <c r="H890">
        <f t="shared" si="26"/>
        <v>0</v>
      </c>
      <c r="J890">
        <f t="shared" si="27"/>
        <v>0</v>
      </c>
    </row>
    <row r="891" spans="1:10" x14ac:dyDescent="0.25">
      <c r="A891" t="s">
        <v>2871</v>
      </c>
      <c r="B891">
        <v>4</v>
      </c>
      <c r="C891">
        <f>_xlfn.XLOOKUP(Recon!A891,[1]Backup!AJ:AJ,[1]Backup!L:L)</f>
        <v>43.92</v>
      </c>
      <c r="D891">
        <f>_xlfn.XLOOKUP(Recon!A891,[1]Backup!AJ:AJ,[1]Backup!K:K)</f>
        <v>1.4932799999999999</v>
      </c>
      <c r="E891">
        <f>SUMIF('[1]PO Report'!A:A,Recon!A891,'[1]PO Report'!P:P)</f>
        <v>4</v>
      </c>
      <c r="F891">
        <f>VLOOKUP(A891,'[1]PO Report'!$A:$Z,15,0)</f>
        <v>43.92</v>
      </c>
      <c r="H891">
        <f t="shared" si="26"/>
        <v>0</v>
      </c>
      <c r="J891">
        <f t="shared" si="27"/>
        <v>0</v>
      </c>
    </row>
    <row r="892" spans="1:10" x14ac:dyDescent="0.25">
      <c r="A892" t="s">
        <v>2872</v>
      </c>
      <c r="B892">
        <v>10</v>
      </c>
      <c r="C892">
        <f>_xlfn.XLOOKUP(Recon!A892,[1]Backup!AJ:AJ,[1]Backup!L:L)</f>
        <v>20.5</v>
      </c>
      <c r="D892">
        <f>_xlfn.XLOOKUP(Recon!A892,[1]Backup!AJ:AJ,[1]Backup!K:K)</f>
        <v>0.69699999999999995</v>
      </c>
      <c r="E892">
        <f>SUMIF('[1]PO Report'!A:A,Recon!A892,'[1]PO Report'!P:P)</f>
        <v>10</v>
      </c>
      <c r="F892">
        <f>VLOOKUP(A892,'[1]PO Report'!$A:$Z,15,0)</f>
        <v>20.5</v>
      </c>
      <c r="H892">
        <f t="shared" si="26"/>
        <v>0</v>
      </c>
      <c r="J892">
        <f t="shared" si="27"/>
        <v>0</v>
      </c>
    </row>
    <row r="893" spans="1:10" x14ac:dyDescent="0.25">
      <c r="A893" t="s">
        <v>2873</v>
      </c>
      <c r="B893">
        <v>40</v>
      </c>
      <c r="C893">
        <f>_xlfn.XLOOKUP(Recon!A893,[1]Backup!AJ:AJ,[1]Backup!L:L)</f>
        <v>10.53</v>
      </c>
      <c r="D893">
        <f>_xlfn.XLOOKUP(Recon!A893,[1]Backup!AJ:AJ,[1]Backup!K:K)</f>
        <v>0.35802</v>
      </c>
      <c r="E893">
        <f>SUMIF('[1]PO Report'!A:A,Recon!A893,'[1]PO Report'!P:P)</f>
        <v>40</v>
      </c>
      <c r="F893">
        <f>VLOOKUP(A893,'[1]PO Report'!$A:$Z,15,0)</f>
        <v>10.53</v>
      </c>
      <c r="H893">
        <f t="shared" si="26"/>
        <v>0</v>
      </c>
      <c r="J893">
        <f t="shared" si="27"/>
        <v>0</v>
      </c>
    </row>
    <row r="894" spans="1:10" x14ac:dyDescent="0.25">
      <c r="A894" t="s">
        <v>2874</v>
      </c>
      <c r="B894">
        <v>4</v>
      </c>
      <c r="C894">
        <f>_xlfn.XLOOKUP(Recon!A894,[1]Backup!AJ:AJ,[1]Backup!L:L)</f>
        <v>23.42</v>
      </c>
      <c r="D894">
        <f>_xlfn.XLOOKUP(Recon!A894,[1]Backup!AJ:AJ,[1]Backup!K:K)</f>
        <v>0.79627999999999999</v>
      </c>
      <c r="E894">
        <f>SUMIF('[1]PO Report'!A:A,Recon!A894,'[1]PO Report'!P:P)</f>
        <v>4</v>
      </c>
      <c r="F894">
        <f>VLOOKUP(A894,'[1]PO Report'!$A:$Z,15,0)</f>
        <v>23.42</v>
      </c>
      <c r="H894">
        <f t="shared" si="26"/>
        <v>0</v>
      </c>
      <c r="J894">
        <f t="shared" si="27"/>
        <v>0</v>
      </c>
    </row>
    <row r="895" spans="1:10" x14ac:dyDescent="0.25">
      <c r="A895" t="s">
        <v>2875</v>
      </c>
      <c r="B895">
        <v>16</v>
      </c>
      <c r="C895">
        <f>_xlfn.XLOOKUP(Recon!A895,[1]Backup!AJ:AJ,[1]Backup!L:L)</f>
        <v>12.88</v>
      </c>
      <c r="D895">
        <f>_xlfn.XLOOKUP(Recon!A895,[1]Backup!AJ:AJ,[1]Backup!K:K)</f>
        <v>0.43791999999999998</v>
      </c>
      <c r="E895">
        <f>SUMIF('[1]PO Report'!A:A,Recon!A895,'[1]PO Report'!P:P)</f>
        <v>16</v>
      </c>
      <c r="F895">
        <f>VLOOKUP(A895,'[1]PO Report'!$A:$Z,15,0)</f>
        <v>12.88</v>
      </c>
      <c r="H895">
        <f t="shared" si="26"/>
        <v>0</v>
      </c>
      <c r="J895">
        <f t="shared" si="27"/>
        <v>0</v>
      </c>
    </row>
    <row r="896" spans="1:10" x14ac:dyDescent="0.25">
      <c r="A896" t="s">
        <v>2876</v>
      </c>
      <c r="B896">
        <v>32</v>
      </c>
      <c r="C896">
        <f>_xlfn.XLOOKUP(Recon!A896,[1]Backup!AJ:AJ,[1]Backup!L:L)</f>
        <v>12.88</v>
      </c>
      <c r="D896">
        <f>_xlfn.XLOOKUP(Recon!A896,[1]Backup!AJ:AJ,[1]Backup!K:K)</f>
        <v>0.43791999999999998</v>
      </c>
      <c r="E896">
        <f>SUMIF('[1]PO Report'!A:A,Recon!A896,'[1]PO Report'!P:P)</f>
        <v>32</v>
      </c>
      <c r="F896">
        <f>VLOOKUP(A896,'[1]PO Report'!$A:$Z,15,0)</f>
        <v>12.88</v>
      </c>
      <c r="H896">
        <f t="shared" si="26"/>
        <v>0</v>
      </c>
      <c r="J896">
        <f t="shared" si="27"/>
        <v>0</v>
      </c>
    </row>
    <row r="897" spans="1:10" x14ac:dyDescent="0.25">
      <c r="A897" t="s">
        <v>2877</v>
      </c>
      <c r="B897">
        <v>256</v>
      </c>
      <c r="C897">
        <f>_xlfn.XLOOKUP(Recon!A897,[1]Backup!AJ:AJ,[1]Backup!L:L)</f>
        <v>12.879999999999999</v>
      </c>
      <c r="D897">
        <f>_xlfn.XLOOKUP(Recon!A897,[1]Backup!AJ:AJ,[1]Backup!K:K)</f>
        <v>0.43791999999999998</v>
      </c>
      <c r="E897">
        <f>SUMIF('[1]PO Report'!A:A,Recon!A897,'[1]PO Report'!P:P)</f>
        <v>256</v>
      </c>
      <c r="F897">
        <f>VLOOKUP(A897,'[1]PO Report'!$A:$Z,15,0)</f>
        <v>12.88</v>
      </c>
      <c r="H897">
        <f t="shared" si="26"/>
        <v>0</v>
      </c>
      <c r="J897">
        <f t="shared" si="27"/>
        <v>0</v>
      </c>
    </row>
    <row r="898" spans="1:10" x14ac:dyDescent="0.25">
      <c r="A898" t="s">
        <v>2878</v>
      </c>
      <c r="B898">
        <v>10</v>
      </c>
      <c r="C898">
        <f>_xlfn.XLOOKUP(Recon!A898,[1]Backup!AJ:AJ,[1]Backup!L:L)</f>
        <v>86</v>
      </c>
      <c r="D898">
        <f>_xlfn.XLOOKUP(Recon!A898,[1]Backup!AJ:AJ,[1]Backup!K:K)</f>
        <v>2.9239999999999999</v>
      </c>
      <c r="E898">
        <f>SUMIF('[1]PO Report'!A:A,Recon!A898,'[1]PO Report'!P:P)</f>
        <v>10</v>
      </c>
      <c r="F898">
        <f>VLOOKUP(A898,'[1]PO Report'!$A:$Z,15,0)</f>
        <v>86</v>
      </c>
      <c r="H898">
        <f t="shared" si="26"/>
        <v>0</v>
      </c>
      <c r="J898">
        <f t="shared" si="27"/>
        <v>0</v>
      </c>
    </row>
    <row r="899" spans="1:10" x14ac:dyDescent="0.25">
      <c r="A899" t="s">
        <v>2879</v>
      </c>
      <c r="B899">
        <v>8</v>
      </c>
      <c r="C899">
        <f>_xlfn.XLOOKUP(Recon!A899,[1]Backup!AJ:AJ,[1]Backup!L:L)</f>
        <v>32.21</v>
      </c>
      <c r="D899">
        <f>_xlfn.XLOOKUP(Recon!A899,[1]Backup!AJ:AJ,[1]Backup!K:K)</f>
        <v>1.09514</v>
      </c>
      <c r="E899">
        <f>SUMIF('[1]PO Report'!A:A,Recon!A899,'[1]PO Report'!P:P)</f>
        <v>8</v>
      </c>
      <c r="F899">
        <f>VLOOKUP(A899,'[1]PO Report'!$A:$Z,15,0)</f>
        <v>32.21</v>
      </c>
      <c r="H899">
        <f t="shared" si="26"/>
        <v>0</v>
      </c>
      <c r="J899">
        <f t="shared" si="27"/>
        <v>0</v>
      </c>
    </row>
    <row r="900" spans="1:10" x14ac:dyDescent="0.25">
      <c r="A900" t="s">
        <v>2880</v>
      </c>
      <c r="B900">
        <v>50</v>
      </c>
      <c r="C900">
        <f>_xlfn.XLOOKUP(Recon!A900,[1]Backup!AJ:AJ,[1]Backup!L:L)</f>
        <v>32.21</v>
      </c>
      <c r="D900">
        <f>_xlfn.XLOOKUP(Recon!A900,[1]Backup!AJ:AJ,[1]Backup!K:K)</f>
        <v>1.09514</v>
      </c>
      <c r="E900">
        <f>SUMIF('[1]PO Report'!A:A,Recon!A900,'[1]PO Report'!P:P)</f>
        <v>50</v>
      </c>
      <c r="F900">
        <f>VLOOKUP(A900,'[1]PO Report'!$A:$Z,15,0)</f>
        <v>32.21</v>
      </c>
      <c r="H900">
        <f t="shared" ref="H900:H963" si="28">B900-E900</f>
        <v>0</v>
      </c>
      <c r="J900">
        <f t="shared" ref="J900:J963" si="29">C900-F900</f>
        <v>0</v>
      </c>
    </row>
    <row r="901" spans="1:10" x14ac:dyDescent="0.25">
      <c r="A901" t="s">
        <v>2881</v>
      </c>
      <c r="B901">
        <v>10</v>
      </c>
      <c r="C901">
        <f>_xlfn.XLOOKUP(Recon!A901,[1]Backup!AJ:AJ,[1]Backup!L:L)</f>
        <v>32.21</v>
      </c>
      <c r="D901">
        <f>_xlfn.XLOOKUP(Recon!A901,[1]Backup!AJ:AJ,[1]Backup!K:K)</f>
        <v>1.09514</v>
      </c>
      <c r="E901">
        <f>SUMIF('[1]PO Report'!A:A,Recon!A901,'[1]PO Report'!P:P)</f>
        <v>10</v>
      </c>
      <c r="F901">
        <f>VLOOKUP(A901,'[1]PO Report'!$A:$Z,15,0)</f>
        <v>32.21</v>
      </c>
      <c r="H901">
        <f t="shared" si="28"/>
        <v>0</v>
      </c>
      <c r="J901">
        <f t="shared" si="29"/>
        <v>0</v>
      </c>
    </row>
    <row r="902" spans="1:10" x14ac:dyDescent="0.25">
      <c r="A902" t="s">
        <v>2882</v>
      </c>
      <c r="B902">
        <v>8</v>
      </c>
      <c r="C902">
        <f>_xlfn.XLOOKUP(Recon!A902,[1]Backup!AJ:AJ,[1]Backup!L:L)</f>
        <v>32.21</v>
      </c>
      <c r="D902">
        <f>_xlfn.XLOOKUP(Recon!A902,[1]Backup!AJ:AJ,[1]Backup!K:K)</f>
        <v>1.09514</v>
      </c>
      <c r="E902">
        <f>SUMIF('[1]PO Report'!A:A,Recon!A902,'[1]PO Report'!P:P)</f>
        <v>8</v>
      </c>
      <c r="F902">
        <f>VLOOKUP(A902,'[1]PO Report'!$A:$Z,15,0)</f>
        <v>32.21</v>
      </c>
      <c r="H902">
        <f t="shared" si="28"/>
        <v>0</v>
      </c>
      <c r="J902">
        <f t="shared" si="29"/>
        <v>0</v>
      </c>
    </row>
    <row r="903" spans="1:10" x14ac:dyDescent="0.25">
      <c r="A903" t="s">
        <v>2883</v>
      </c>
      <c r="B903">
        <v>8</v>
      </c>
      <c r="C903">
        <f>_xlfn.XLOOKUP(Recon!A903,[1]Backup!AJ:AJ,[1]Backup!L:L)</f>
        <v>44.95</v>
      </c>
      <c r="D903">
        <f>_xlfn.XLOOKUP(Recon!A903,[1]Backup!AJ:AJ,[1]Backup!K:K)</f>
        <v>1.5283</v>
      </c>
      <c r="E903">
        <f>SUMIF('[1]PO Report'!A:A,Recon!A903,'[1]PO Report'!P:P)</f>
        <v>8</v>
      </c>
      <c r="F903">
        <f>VLOOKUP(A903,'[1]PO Report'!$A:$Z,15,0)</f>
        <v>44.95</v>
      </c>
      <c r="H903">
        <f t="shared" si="28"/>
        <v>0</v>
      </c>
      <c r="J903">
        <f t="shared" si="29"/>
        <v>0</v>
      </c>
    </row>
    <row r="904" spans="1:10" x14ac:dyDescent="0.25">
      <c r="A904" t="s">
        <v>2884</v>
      </c>
      <c r="B904">
        <v>16</v>
      </c>
      <c r="C904">
        <f>_xlfn.XLOOKUP(Recon!A904,[1]Backup!AJ:AJ,[1]Backup!L:L)</f>
        <v>44.95</v>
      </c>
      <c r="D904">
        <f>_xlfn.XLOOKUP(Recon!A904,[1]Backup!AJ:AJ,[1]Backup!K:K)</f>
        <v>1.5283</v>
      </c>
      <c r="E904">
        <f>SUMIF('[1]PO Report'!A:A,Recon!A904,'[1]PO Report'!P:P)</f>
        <v>16</v>
      </c>
      <c r="F904">
        <f>VLOOKUP(A904,'[1]PO Report'!$A:$Z,15,0)</f>
        <v>44.95</v>
      </c>
      <c r="H904">
        <f t="shared" si="28"/>
        <v>0</v>
      </c>
      <c r="J904">
        <f t="shared" si="29"/>
        <v>0</v>
      </c>
    </row>
    <row r="905" spans="1:10" x14ac:dyDescent="0.25">
      <c r="A905" t="s">
        <v>2885</v>
      </c>
      <c r="B905">
        <v>30</v>
      </c>
      <c r="C905">
        <f>_xlfn.XLOOKUP(Recon!A905,[1]Backup!AJ:AJ,[1]Backup!L:L)</f>
        <v>16.39</v>
      </c>
      <c r="D905">
        <f>_xlfn.XLOOKUP(Recon!A905,[1]Backup!AJ:AJ,[1]Backup!K:K)</f>
        <v>0.55725999999999998</v>
      </c>
      <c r="E905">
        <f>SUMIF('[1]PO Report'!A:A,Recon!A905,'[1]PO Report'!P:P)</f>
        <v>30</v>
      </c>
      <c r="F905">
        <f>VLOOKUP(A905,'[1]PO Report'!$A:$Z,15,0)</f>
        <v>16.39</v>
      </c>
      <c r="H905">
        <f t="shared" si="28"/>
        <v>0</v>
      </c>
      <c r="J905">
        <f t="shared" si="29"/>
        <v>0</v>
      </c>
    </row>
    <row r="906" spans="1:10" x14ac:dyDescent="0.25">
      <c r="A906" t="s">
        <v>2886</v>
      </c>
      <c r="B906">
        <v>18</v>
      </c>
      <c r="C906">
        <f>_xlfn.XLOOKUP(Recon!A906,[1]Backup!AJ:AJ,[1]Backup!L:L)</f>
        <v>94.44</v>
      </c>
      <c r="D906">
        <f>_xlfn.XLOOKUP(Recon!A906,[1]Backup!AJ:AJ,[1]Backup!K:K)</f>
        <v>3.21096</v>
      </c>
      <c r="E906">
        <f>SUMIF('[1]PO Report'!A:A,Recon!A906,'[1]PO Report'!P:P)</f>
        <v>18</v>
      </c>
      <c r="F906">
        <f>VLOOKUP(A906,'[1]PO Report'!$A:$Z,15,0)</f>
        <v>94.44</v>
      </c>
      <c r="H906">
        <f t="shared" si="28"/>
        <v>0</v>
      </c>
      <c r="J906">
        <f t="shared" si="29"/>
        <v>0</v>
      </c>
    </row>
    <row r="907" spans="1:10" x14ac:dyDescent="0.25">
      <c r="A907" t="s">
        <v>2887</v>
      </c>
      <c r="B907">
        <v>66</v>
      </c>
      <c r="C907">
        <f>_xlfn.XLOOKUP(Recon!A907,[1]Backup!AJ:AJ,[1]Backup!L:L)</f>
        <v>157.76</v>
      </c>
      <c r="D907">
        <f>_xlfn.XLOOKUP(Recon!A907,[1]Backup!AJ:AJ,[1]Backup!K:K)</f>
        <v>5.3638399999999997</v>
      </c>
      <c r="E907">
        <f>SUMIF('[1]PO Report'!A:A,Recon!A907,'[1]PO Report'!P:P)</f>
        <v>66</v>
      </c>
      <c r="F907">
        <f>VLOOKUP(A907,'[1]PO Report'!$A:$Z,15,0)</f>
        <v>157.76</v>
      </c>
      <c r="H907">
        <f t="shared" si="28"/>
        <v>0</v>
      </c>
      <c r="J907">
        <f t="shared" si="29"/>
        <v>0</v>
      </c>
    </row>
    <row r="908" spans="1:10" x14ac:dyDescent="0.25">
      <c r="A908" t="s">
        <v>2888</v>
      </c>
      <c r="B908">
        <v>8</v>
      </c>
      <c r="C908">
        <f>_xlfn.XLOOKUP(Recon!A908,[1]Backup!AJ:AJ,[1]Backup!L:L)</f>
        <v>79.73</v>
      </c>
      <c r="D908">
        <f>_xlfn.XLOOKUP(Recon!A908,[1]Backup!AJ:AJ,[1]Backup!K:K)</f>
        <v>2.71082</v>
      </c>
      <c r="E908">
        <f>SUMIF('[1]PO Report'!A:A,Recon!A908,'[1]PO Report'!P:P)</f>
        <v>8</v>
      </c>
      <c r="F908">
        <f>VLOOKUP(A908,'[1]PO Report'!$A:$Z,15,0)</f>
        <v>79.73</v>
      </c>
      <c r="H908">
        <f t="shared" si="28"/>
        <v>0</v>
      </c>
      <c r="J908">
        <f t="shared" si="29"/>
        <v>0</v>
      </c>
    </row>
    <row r="909" spans="1:10" x14ac:dyDescent="0.25">
      <c r="A909" t="s">
        <v>2889</v>
      </c>
      <c r="B909">
        <v>4</v>
      </c>
      <c r="C909">
        <f>_xlfn.XLOOKUP(Recon!A909,[1]Backup!AJ:AJ,[1]Backup!L:L)</f>
        <v>106.49</v>
      </c>
      <c r="D909">
        <f>_xlfn.XLOOKUP(Recon!A909,[1]Backup!AJ:AJ,[1]Backup!K:K)</f>
        <v>3.62066</v>
      </c>
      <c r="E909">
        <f>SUMIF('[1]PO Report'!A:A,Recon!A909,'[1]PO Report'!P:P)</f>
        <v>4</v>
      </c>
      <c r="F909">
        <f>VLOOKUP(A909,'[1]PO Report'!$A:$Z,15,0)</f>
        <v>106.49</v>
      </c>
      <c r="H909">
        <f t="shared" si="28"/>
        <v>0</v>
      </c>
      <c r="J909">
        <f t="shared" si="29"/>
        <v>0</v>
      </c>
    </row>
    <row r="910" spans="1:10" x14ac:dyDescent="0.25">
      <c r="A910" t="s">
        <v>2890</v>
      </c>
      <c r="B910">
        <v>52</v>
      </c>
      <c r="C910">
        <f>_xlfn.XLOOKUP(Recon!A910,[1]Backup!AJ:AJ,[1]Backup!L:L)</f>
        <v>105</v>
      </c>
      <c r="D910">
        <f>_xlfn.XLOOKUP(Recon!A910,[1]Backup!AJ:AJ,[1]Backup!K:K)</f>
        <v>3.57</v>
      </c>
      <c r="E910">
        <f>SUMIF('[1]PO Report'!A:A,Recon!A910,'[1]PO Report'!P:P)</f>
        <v>52</v>
      </c>
      <c r="F910">
        <f>VLOOKUP(A910,'[1]PO Report'!$A:$Z,15,0)</f>
        <v>105</v>
      </c>
      <c r="H910">
        <f t="shared" si="28"/>
        <v>0</v>
      </c>
      <c r="J910">
        <f t="shared" si="29"/>
        <v>0</v>
      </c>
    </row>
    <row r="911" spans="1:10" x14ac:dyDescent="0.25">
      <c r="A911" t="s">
        <v>2891</v>
      </c>
      <c r="B911">
        <v>16</v>
      </c>
      <c r="C911">
        <f>_xlfn.XLOOKUP(Recon!A911,[1]Backup!AJ:AJ,[1]Backup!L:L)</f>
        <v>103.06</v>
      </c>
      <c r="D911">
        <f>_xlfn.XLOOKUP(Recon!A911,[1]Backup!AJ:AJ,[1]Backup!K:K)</f>
        <v>3.5040399999999998</v>
      </c>
      <c r="E911">
        <f>SUMIF('[1]PO Report'!A:A,Recon!A911,'[1]PO Report'!P:P)</f>
        <v>16</v>
      </c>
      <c r="F911">
        <f>VLOOKUP(A911,'[1]PO Report'!$A:$Z,15,0)</f>
        <v>103.06</v>
      </c>
      <c r="H911">
        <f t="shared" si="28"/>
        <v>0</v>
      </c>
      <c r="J911">
        <f t="shared" si="29"/>
        <v>0</v>
      </c>
    </row>
    <row r="912" spans="1:10" x14ac:dyDescent="0.25">
      <c r="A912" t="s">
        <v>2892</v>
      </c>
      <c r="B912">
        <v>8</v>
      </c>
      <c r="C912">
        <f>_xlfn.XLOOKUP(Recon!A912,[1]Backup!AJ:AJ,[1]Backup!L:L)</f>
        <v>35.130000000000003</v>
      </c>
      <c r="D912">
        <f>_xlfn.XLOOKUP(Recon!A912,[1]Backup!AJ:AJ,[1]Backup!K:K)</f>
        <v>1.19442</v>
      </c>
      <c r="E912">
        <f>SUMIF('[1]PO Report'!A:A,Recon!A912,'[1]PO Report'!P:P)</f>
        <v>8</v>
      </c>
      <c r="F912">
        <f>VLOOKUP(A912,'[1]PO Report'!$A:$Z,15,0)</f>
        <v>35.130000000000003</v>
      </c>
      <c r="H912">
        <f t="shared" si="28"/>
        <v>0</v>
      </c>
      <c r="J912">
        <f t="shared" si="29"/>
        <v>0</v>
      </c>
    </row>
    <row r="913" spans="1:10" x14ac:dyDescent="0.25">
      <c r="A913" t="s">
        <v>2893</v>
      </c>
      <c r="B913">
        <v>24</v>
      </c>
      <c r="C913">
        <f>_xlfn.XLOOKUP(Recon!A913,[1]Backup!AJ:AJ,[1]Backup!L:L)</f>
        <v>46.4</v>
      </c>
      <c r="D913">
        <f>_xlfn.XLOOKUP(Recon!A913,[1]Backup!AJ:AJ,[1]Backup!K:K)</f>
        <v>1.5776000000000001</v>
      </c>
      <c r="E913">
        <f>SUMIF('[1]PO Report'!A:A,Recon!A913,'[1]PO Report'!P:P)</f>
        <v>24</v>
      </c>
      <c r="F913">
        <f>VLOOKUP(A913,'[1]PO Report'!$A:$Z,15,0)</f>
        <v>46.4</v>
      </c>
      <c r="H913">
        <f t="shared" si="28"/>
        <v>0</v>
      </c>
      <c r="J913">
        <f t="shared" si="29"/>
        <v>0</v>
      </c>
    </row>
    <row r="914" spans="1:10" x14ac:dyDescent="0.25">
      <c r="A914" t="s">
        <v>2894</v>
      </c>
      <c r="B914">
        <v>4</v>
      </c>
      <c r="C914">
        <f>_xlfn.XLOOKUP(Recon!A914,[1]Backup!AJ:AJ,[1]Backup!L:L)</f>
        <v>764.09</v>
      </c>
      <c r="D914">
        <f>_xlfn.XLOOKUP(Recon!A914,[1]Backup!AJ:AJ,[1]Backup!K:K)</f>
        <v>25.97906</v>
      </c>
      <c r="E914">
        <f>SUMIF('[1]PO Report'!A:A,Recon!A914,'[1]PO Report'!P:P)</f>
        <v>4</v>
      </c>
      <c r="F914">
        <f>VLOOKUP(A914,'[1]PO Report'!$A:$Z,15,0)</f>
        <v>764.09</v>
      </c>
      <c r="H914">
        <f t="shared" si="28"/>
        <v>0</v>
      </c>
      <c r="J914">
        <f t="shared" si="29"/>
        <v>0</v>
      </c>
    </row>
    <row r="915" spans="1:10" x14ac:dyDescent="0.25">
      <c r="A915" t="s">
        <v>2895</v>
      </c>
      <c r="B915">
        <v>20</v>
      </c>
      <c r="C915">
        <f>_xlfn.XLOOKUP(Recon!A915,[1]Backup!AJ:AJ,[1]Backup!L:L)</f>
        <v>58</v>
      </c>
      <c r="D915">
        <f>_xlfn.XLOOKUP(Recon!A915,[1]Backup!AJ:AJ,[1]Backup!K:K)</f>
        <v>1.972</v>
      </c>
      <c r="E915">
        <f>SUMIF('[1]PO Report'!A:A,Recon!A915,'[1]PO Report'!P:P)</f>
        <v>20</v>
      </c>
      <c r="F915">
        <f>VLOOKUP(A915,'[1]PO Report'!$A:$Z,15,0)</f>
        <v>58</v>
      </c>
      <c r="H915">
        <f t="shared" si="28"/>
        <v>0</v>
      </c>
      <c r="J915">
        <f t="shared" si="29"/>
        <v>0</v>
      </c>
    </row>
    <row r="916" spans="1:10" x14ac:dyDescent="0.25">
      <c r="A916" t="s">
        <v>2896</v>
      </c>
      <c r="B916">
        <v>28</v>
      </c>
      <c r="C916">
        <f>_xlfn.XLOOKUP(Recon!A916,[1]Backup!AJ:AJ,[1]Backup!L:L)</f>
        <v>47.480000000000004</v>
      </c>
      <c r="D916">
        <f>_xlfn.XLOOKUP(Recon!A916,[1]Backup!AJ:AJ,[1]Backup!K:K)</f>
        <v>1.61432</v>
      </c>
      <c r="E916">
        <f>SUMIF('[1]PO Report'!A:A,Recon!A916,'[1]PO Report'!P:P)</f>
        <v>28</v>
      </c>
      <c r="F916">
        <f>VLOOKUP(A916,'[1]PO Report'!$A:$Z,15,0)</f>
        <v>47.48</v>
      </c>
      <c r="H916">
        <f t="shared" si="28"/>
        <v>0</v>
      </c>
      <c r="J916">
        <f t="shared" si="29"/>
        <v>0</v>
      </c>
    </row>
    <row r="917" spans="1:10" x14ac:dyDescent="0.25">
      <c r="A917" t="s">
        <v>2897</v>
      </c>
      <c r="B917">
        <v>8</v>
      </c>
      <c r="C917">
        <f>_xlfn.XLOOKUP(Recon!A917,[1]Backup!AJ:AJ,[1]Backup!L:L)</f>
        <v>110.27</v>
      </c>
      <c r="D917">
        <f>_xlfn.XLOOKUP(Recon!A917,[1]Backup!AJ:AJ,[1]Backup!K:K)</f>
        <v>3.74918</v>
      </c>
      <c r="E917">
        <f>SUMIF('[1]PO Report'!A:A,Recon!A917,'[1]PO Report'!P:P)</f>
        <v>8</v>
      </c>
      <c r="F917">
        <f>VLOOKUP(A917,'[1]PO Report'!$A:$Z,15,0)</f>
        <v>110.27</v>
      </c>
      <c r="H917">
        <f t="shared" si="28"/>
        <v>0</v>
      </c>
      <c r="J917">
        <f t="shared" si="29"/>
        <v>0</v>
      </c>
    </row>
    <row r="918" spans="1:10" x14ac:dyDescent="0.25">
      <c r="A918" t="s">
        <v>2898</v>
      </c>
      <c r="B918">
        <v>4</v>
      </c>
      <c r="C918">
        <f>_xlfn.XLOOKUP(Recon!A918,[1]Backup!AJ:AJ,[1]Backup!L:L)</f>
        <v>120.83</v>
      </c>
      <c r="D918">
        <f>_xlfn.XLOOKUP(Recon!A918,[1]Backup!AJ:AJ,[1]Backup!K:K)</f>
        <v>4.1082200000000002</v>
      </c>
      <c r="E918">
        <f>SUMIF('[1]PO Report'!A:A,Recon!A918,'[1]PO Report'!P:P)</f>
        <v>4</v>
      </c>
      <c r="F918">
        <f>VLOOKUP(A918,'[1]PO Report'!$A:$Z,15,0)</f>
        <v>120.83</v>
      </c>
      <c r="H918">
        <f t="shared" si="28"/>
        <v>0</v>
      </c>
      <c r="J918">
        <f t="shared" si="29"/>
        <v>0</v>
      </c>
    </row>
    <row r="919" spans="1:10" x14ac:dyDescent="0.25">
      <c r="A919" t="s">
        <v>2899</v>
      </c>
      <c r="B919">
        <v>24</v>
      </c>
      <c r="C919">
        <f>_xlfn.XLOOKUP(Recon!A919,[1]Backup!AJ:AJ,[1]Backup!L:L)</f>
        <v>89.17</v>
      </c>
      <c r="D919">
        <f>_xlfn.XLOOKUP(Recon!A919,[1]Backup!AJ:AJ,[1]Backup!K:K)</f>
        <v>3.0317799999999999</v>
      </c>
      <c r="E919">
        <f>SUMIF('[1]PO Report'!A:A,Recon!A919,'[1]PO Report'!P:P)</f>
        <v>12</v>
      </c>
      <c r="F919">
        <f>VLOOKUP(A919,'[1]PO Report'!$A:$Z,15,0)</f>
        <v>83.89</v>
      </c>
      <c r="H919">
        <f t="shared" si="28"/>
        <v>12</v>
      </c>
      <c r="I919">
        <f>H919*D919</f>
        <v>36.381360000000001</v>
      </c>
      <c r="J919">
        <f t="shared" si="29"/>
        <v>5.2800000000000011</v>
      </c>
    </row>
    <row r="920" spans="1:10" x14ac:dyDescent="0.25">
      <c r="A920" t="s">
        <v>2900</v>
      </c>
      <c r="B920">
        <v>4</v>
      </c>
      <c r="C920">
        <f>_xlfn.XLOOKUP(Recon!A920,[1]Backup!AJ:AJ,[1]Backup!L:L)</f>
        <v>75.41</v>
      </c>
      <c r="D920">
        <f>_xlfn.XLOOKUP(Recon!A920,[1]Backup!AJ:AJ,[1]Backup!K:K)</f>
        <v>2.5639400000000001</v>
      </c>
      <c r="E920">
        <f>SUMIF('[1]PO Report'!A:A,Recon!A920,'[1]PO Report'!P:P)</f>
        <v>4</v>
      </c>
      <c r="F920">
        <f>VLOOKUP(A920,'[1]PO Report'!$A:$Z,15,0)</f>
        <v>75.41</v>
      </c>
      <c r="H920">
        <f t="shared" si="28"/>
        <v>0</v>
      </c>
      <c r="J920">
        <f t="shared" si="29"/>
        <v>0</v>
      </c>
    </row>
    <row r="921" spans="1:10" x14ac:dyDescent="0.25">
      <c r="A921" t="s">
        <v>2901</v>
      </c>
      <c r="B921">
        <v>88</v>
      </c>
      <c r="C921">
        <f>_xlfn.XLOOKUP(Recon!A921,[1]Backup!AJ:AJ,[1]Backup!L:L)</f>
        <v>83</v>
      </c>
      <c r="D921">
        <f>_xlfn.XLOOKUP(Recon!A921,[1]Backup!AJ:AJ,[1]Backup!K:K)</f>
        <v>2.8220000000000001</v>
      </c>
      <c r="E921">
        <f>SUMIF('[1]PO Report'!A:A,Recon!A921,'[1]PO Report'!P:P)</f>
        <v>88</v>
      </c>
      <c r="F921">
        <f>VLOOKUP(A921,'[1]PO Report'!$A:$Z,15,0)</f>
        <v>83</v>
      </c>
      <c r="H921">
        <f t="shared" si="28"/>
        <v>0</v>
      </c>
      <c r="J921">
        <f t="shared" si="29"/>
        <v>0</v>
      </c>
    </row>
    <row r="922" spans="1:10" x14ac:dyDescent="0.25">
      <c r="A922" t="s">
        <v>2902</v>
      </c>
      <c r="B922">
        <v>8</v>
      </c>
      <c r="C922">
        <f>_xlfn.XLOOKUP(Recon!A922,[1]Backup!AJ:AJ,[1]Backup!L:L)</f>
        <v>94.44</v>
      </c>
      <c r="D922">
        <f>_xlfn.XLOOKUP(Recon!A922,[1]Backup!AJ:AJ,[1]Backup!K:K)</f>
        <v>3.21096</v>
      </c>
      <c r="E922">
        <f>SUMIF('[1]PO Report'!A:A,Recon!A922,'[1]PO Report'!P:P)</f>
        <v>8</v>
      </c>
      <c r="F922">
        <f>VLOOKUP(A922,'[1]PO Report'!$A:$Z,15,0)</f>
        <v>94.44</v>
      </c>
      <c r="H922">
        <f t="shared" si="28"/>
        <v>0</v>
      </c>
      <c r="J922">
        <f t="shared" si="29"/>
        <v>0</v>
      </c>
    </row>
    <row r="923" spans="1:10" x14ac:dyDescent="0.25">
      <c r="A923" t="s">
        <v>2903</v>
      </c>
      <c r="B923">
        <v>8</v>
      </c>
      <c r="C923">
        <f>_xlfn.XLOOKUP(Recon!A923,[1]Backup!AJ:AJ,[1]Backup!L:L)</f>
        <v>32.21</v>
      </c>
      <c r="D923">
        <f>_xlfn.XLOOKUP(Recon!A923,[1]Backup!AJ:AJ,[1]Backup!K:K)</f>
        <v>1.09514</v>
      </c>
      <c r="E923">
        <f>SUMIF('[1]PO Report'!A:A,Recon!A923,'[1]PO Report'!P:P)</f>
        <v>8</v>
      </c>
      <c r="F923">
        <f>VLOOKUP(A923,'[1]PO Report'!$A:$Z,15,0)</f>
        <v>32.21</v>
      </c>
      <c r="H923">
        <f t="shared" si="28"/>
        <v>0</v>
      </c>
      <c r="J923">
        <f t="shared" si="29"/>
        <v>0</v>
      </c>
    </row>
    <row r="924" spans="1:10" x14ac:dyDescent="0.25">
      <c r="A924" t="s">
        <v>2904</v>
      </c>
      <c r="B924">
        <v>16</v>
      </c>
      <c r="C924">
        <f>_xlfn.XLOOKUP(Recon!A924,[1]Backup!AJ:AJ,[1]Backup!L:L)</f>
        <v>53.51</v>
      </c>
      <c r="D924">
        <f>_xlfn.XLOOKUP(Recon!A924,[1]Backup!AJ:AJ,[1]Backup!K:K)</f>
        <v>1.81934</v>
      </c>
      <c r="E924">
        <f>SUMIF('[1]PO Report'!A:A,Recon!A924,'[1]PO Report'!P:P)</f>
        <v>16</v>
      </c>
      <c r="F924">
        <f>VLOOKUP(A924,'[1]PO Report'!$A:$Z,15,0)</f>
        <v>53.51</v>
      </c>
      <c r="H924">
        <f t="shared" si="28"/>
        <v>0</v>
      </c>
      <c r="J924">
        <f t="shared" si="29"/>
        <v>0</v>
      </c>
    </row>
    <row r="925" spans="1:10" x14ac:dyDescent="0.25">
      <c r="A925" t="s">
        <v>2905</v>
      </c>
      <c r="B925">
        <v>20</v>
      </c>
      <c r="C925">
        <f>_xlfn.XLOOKUP(Recon!A925,[1]Backup!AJ:AJ,[1]Backup!L:L)</f>
        <v>16.39</v>
      </c>
      <c r="D925">
        <f>_xlfn.XLOOKUP(Recon!A925,[1]Backup!AJ:AJ,[1]Backup!K:K)</f>
        <v>0.55726000000000009</v>
      </c>
      <c r="E925">
        <f>SUMIF('[1]PO Report'!A:A,Recon!A925,'[1]PO Report'!P:P)</f>
        <v>20</v>
      </c>
      <c r="F925">
        <f>VLOOKUP(A925,'[1]PO Report'!$A:$Z,15,0)</f>
        <v>16.39</v>
      </c>
      <c r="H925">
        <f t="shared" si="28"/>
        <v>0</v>
      </c>
      <c r="J925">
        <f t="shared" si="29"/>
        <v>0</v>
      </c>
    </row>
    <row r="926" spans="1:10" x14ac:dyDescent="0.25">
      <c r="A926" t="s">
        <v>2906</v>
      </c>
      <c r="B926">
        <v>32</v>
      </c>
      <c r="C926">
        <f>_xlfn.XLOOKUP(Recon!A926,[1]Backup!AJ:AJ,[1]Backup!L:L)</f>
        <v>36.93</v>
      </c>
      <c r="D926">
        <f>_xlfn.XLOOKUP(Recon!A926,[1]Backup!AJ:AJ,[1]Backup!K:K)</f>
        <v>1.25562</v>
      </c>
      <c r="E926">
        <f>SUMIF('[1]PO Report'!A:A,Recon!A926,'[1]PO Report'!P:P)</f>
        <v>32</v>
      </c>
      <c r="F926">
        <f>VLOOKUP(A926,'[1]PO Report'!$A:$Z,15,0)</f>
        <v>36.93</v>
      </c>
      <c r="H926">
        <f t="shared" si="28"/>
        <v>0</v>
      </c>
      <c r="J926">
        <f t="shared" si="29"/>
        <v>0</v>
      </c>
    </row>
    <row r="927" spans="1:10" x14ac:dyDescent="0.25">
      <c r="A927" t="s">
        <v>2907</v>
      </c>
      <c r="B927">
        <v>10</v>
      </c>
      <c r="C927">
        <f>_xlfn.XLOOKUP(Recon!A927,[1]Backup!AJ:AJ,[1]Backup!L:L)</f>
        <v>23.419999999999998</v>
      </c>
      <c r="D927">
        <f>_xlfn.XLOOKUP(Recon!A927,[1]Backup!AJ:AJ,[1]Backup!K:K)</f>
        <v>0.79627999999999999</v>
      </c>
      <c r="E927">
        <f>SUMIF('[1]PO Report'!A:A,Recon!A927,'[1]PO Report'!P:P)</f>
        <v>10</v>
      </c>
      <c r="F927">
        <f>VLOOKUP(A927,'[1]PO Report'!$A:$Z,15,0)</f>
        <v>23.42</v>
      </c>
      <c r="H927">
        <f t="shared" si="28"/>
        <v>0</v>
      </c>
      <c r="J927">
        <f t="shared" si="29"/>
        <v>0</v>
      </c>
    </row>
    <row r="928" spans="1:10" x14ac:dyDescent="0.25">
      <c r="A928" t="s">
        <v>2908</v>
      </c>
      <c r="B928">
        <v>16</v>
      </c>
      <c r="C928">
        <f>_xlfn.XLOOKUP(Recon!A928,[1]Backup!AJ:AJ,[1]Backup!L:L)</f>
        <v>110.27</v>
      </c>
      <c r="D928">
        <f>_xlfn.XLOOKUP(Recon!A928,[1]Backup!AJ:AJ,[1]Backup!K:K)</f>
        <v>3.74918</v>
      </c>
      <c r="E928">
        <f>SUMIF('[1]PO Report'!A:A,Recon!A928,'[1]PO Report'!P:P)</f>
        <v>16</v>
      </c>
      <c r="F928">
        <f>VLOOKUP(A928,'[1]PO Report'!$A:$Z,15,0)</f>
        <v>110.27</v>
      </c>
      <c r="H928">
        <f t="shared" si="28"/>
        <v>0</v>
      </c>
      <c r="J928">
        <f t="shared" si="29"/>
        <v>0</v>
      </c>
    </row>
    <row r="929" spans="1:10" x14ac:dyDescent="0.25">
      <c r="A929" t="s">
        <v>2909</v>
      </c>
      <c r="B929">
        <v>20</v>
      </c>
      <c r="C929">
        <f>_xlfn.XLOOKUP(Recon!A929,[1]Backup!AJ:AJ,[1]Backup!L:L)</f>
        <v>75.41</v>
      </c>
      <c r="D929">
        <f>_xlfn.XLOOKUP(Recon!A929,[1]Backup!AJ:AJ,[1]Backup!K:K)</f>
        <v>2.5639400000000001</v>
      </c>
      <c r="E929">
        <f>SUMIF('[1]PO Report'!A:A,Recon!A929,'[1]PO Report'!P:P)</f>
        <v>20</v>
      </c>
      <c r="F929">
        <f>VLOOKUP(A929,'[1]PO Report'!$A:$Z,15,0)</f>
        <v>75.41</v>
      </c>
      <c r="H929">
        <f t="shared" si="28"/>
        <v>0</v>
      </c>
      <c r="J929">
        <f t="shared" si="29"/>
        <v>0</v>
      </c>
    </row>
    <row r="930" spans="1:10" x14ac:dyDescent="0.25">
      <c r="A930" t="s">
        <v>2910</v>
      </c>
      <c r="B930">
        <v>4</v>
      </c>
      <c r="C930">
        <f>_xlfn.XLOOKUP(Recon!A930,[1]Backup!AJ:AJ,[1]Backup!L:L)</f>
        <v>75.41</v>
      </c>
      <c r="D930">
        <f>_xlfn.XLOOKUP(Recon!A930,[1]Backup!AJ:AJ,[1]Backup!K:K)</f>
        <v>2.5639400000000001</v>
      </c>
      <c r="E930">
        <f>SUMIF('[1]PO Report'!A:A,Recon!A930,'[1]PO Report'!P:P)</f>
        <v>4</v>
      </c>
      <c r="F930">
        <f>VLOOKUP(A930,'[1]PO Report'!$A:$Z,15,0)</f>
        <v>75.41</v>
      </c>
      <c r="H930">
        <f t="shared" si="28"/>
        <v>0</v>
      </c>
      <c r="J930">
        <f t="shared" si="29"/>
        <v>0</v>
      </c>
    </row>
    <row r="931" spans="1:10" x14ac:dyDescent="0.25">
      <c r="A931" t="s">
        <v>2911</v>
      </c>
      <c r="B931">
        <v>24</v>
      </c>
      <c r="C931">
        <f>_xlfn.XLOOKUP(Recon!A931,[1]Backup!AJ:AJ,[1]Backup!L:L)</f>
        <v>63.23</v>
      </c>
      <c r="D931">
        <f>_xlfn.XLOOKUP(Recon!A931,[1]Backup!AJ:AJ,[1]Backup!K:K)</f>
        <v>2.1498200000000001</v>
      </c>
      <c r="E931">
        <f>SUMIF('[1]PO Report'!A:A,Recon!A931,'[1]PO Report'!P:P)</f>
        <v>24</v>
      </c>
      <c r="F931">
        <f>VLOOKUP(A931,'[1]PO Report'!$A:$Z,15,0)</f>
        <v>63.23</v>
      </c>
      <c r="H931">
        <f t="shared" si="28"/>
        <v>0</v>
      </c>
      <c r="J931">
        <f t="shared" si="29"/>
        <v>0</v>
      </c>
    </row>
    <row r="932" spans="1:10" x14ac:dyDescent="0.25">
      <c r="A932" t="s">
        <v>2912</v>
      </c>
      <c r="B932">
        <v>10</v>
      </c>
      <c r="C932">
        <f>_xlfn.XLOOKUP(Recon!A932,[1]Backup!AJ:AJ,[1]Backup!L:L)</f>
        <v>29.28</v>
      </c>
      <c r="D932">
        <f>_xlfn.XLOOKUP(Recon!A932,[1]Backup!AJ:AJ,[1]Backup!K:K)</f>
        <v>0.99551999999999996</v>
      </c>
      <c r="E932">
        <f>SUMIF('[1]PO Report'!A:A,Recon!A932,'[1]PO Report'!P:P)</f>
        <v>10</v>
      </c>
      <c r="F932">
        <f>VLOOKUP(A932,'[1]PO Report'!$A:$Z,15,0)</f>
        <v>29.28</v>
      </c>
      <c r="H932">
        <f t="shared" si="28"/>
        <v>0</v>
      </c>
      <c r="J932">
        <f t="shared" si="29"/>
        <v>0</v>
      </c>
    </row>
    <row r="933" spans="1:10" x14ac:dyDescent="0.25">
      <c r="A933" t="s">
        <v>2913</v>
      </c>
      <c r="B933">
        <v>8</v>
      </c>
      <c r="C933">
        <f>_xlfn.XLOOKUP(Recon!A933,[1]Backup!AJ:AJ,[1]Backup!L:L)</f>
        <v>133.41999999999999</v>
      </c>
      <c r="D933">
        <f>_xlfn.XLOOKUP(Recon!A933,[1]Backup!AJ:AJ,[1]Backup!K:K)</f>
        <v>4.5362799999999996</v>
      </c>
      <c r="E933">
        <f>SUMIF('[1]PO Report'!A:A,Recon!A933,'[1]PO Report'!P:P)</f>
        <v>8</v>
      </c>
      <c r="F933">
        <f>VLOOKUP(A933,'[1]PO Report'!$A:$Z,15,0)</f>
        <v>133.41999999999999</v>
      </c>
      <c r="H933">
        <f t="shared" si="28"/>
        <v>0</v>
      </c>
      <c r="J933">
        <f t="shared" si="29"/>
        <v>0</v>
      </c>
    </row>
    <row r="934" spans="1:10" x14ac:dyDescent="0.25">
      <c r="A934" t="s">
        <v>2914</v>
      </c>
      <c r="B934">
        <v>20</v>
      </c>
      <c r="C934">
        <f>_xlfn.XLOOKUP(Recon!A934,[1]Backup!AJ:AJ,[1]Backup!L:L)</f>
        <v>29.28</v>
      </c>
      <c r="D934">
        <f>_xlfn.XLOOKUP(Recon!A934,[1]Backup!AJ:AJ,[1]Backup!K:K)</f>
        <v>0.99551999999999996</v>
      </c>
      <c r="E934">
        <f>SUMIF('[1]PO Report'!A:A,Recon!A934,'[1]PO Report'!P:P)</f>
        <v>20</v>
      </c>
      <c r="F934">
        <f>VLOOKUP(A934,'[1]PO Report'!$A:$Z,15,0)</f>
        <v>29.28</v>
      </c>
      <c r="H934">
        <f t="shared" si="28"/>
        <v>0</v>
      </c>
      <c r="J934">
        <f t="shared" si="29"/>
        <v>0</v>
      </c>
    </row>
    <row r="935" spans="1:10" x14ac:dyDescent="0.25">
      <c r="A935" t="s">
        <v>2915</v>
      </c>
      <c r="B935">
        <v>28</v>
      </c>
      <c r="C935">
        <f>_xlfn.XLOOKUP(Recon!A935,[1]Backup!AJ:AJ,[1]Backup!L:L)</f>
        <v>69.03</v>
      </c>
      <c r="D935">
        <f>_xlfn.XLOOKUP(Recon!A935,[1]Backup!AJ:AJ,[1]Backup!K:K)</f>
        <v>2.3470200000000001</v>
      </c>
      <c r="E935">
        <f>SUMIF('[1]PO Report'!A:A,Recon!A935,'[1]PO Report'!P:P)</f>
        <v>28</v>
      </c>
      <c r="F935">
        <f>VLOOKUP(A935,'[1]PO Report'!$A:$Z,15,0)</f>
        <v>69.03</v>
      </c>
      <c r="H935">
        <f t="shared" si="28"/>
        <v>0</v>
      </c>
      <c r="J935">
        <f t="shared" si="29"/>
        <v>0</v>
      </c>
    </row>
    <row r="936" spans="1:10" x14ac:dyDescent="0.25">
      <c r="A936" t="s">
        <v>2916</v>
      </c>
      <c r="B936">
        <v>10</v>
      </c>
      <c r="C936">
        <f>_xlfn.XLOOKUP(Recon!A936,[1]Backup!AJ:AJ,[1]Backup!L:L)</f>
        <v>58</v>
      </c>
      <c r="D936">
        <f>_xlfn.XLOOKUP(Recon!A936,[1]Backup!AJ:AJ,[1]Backup!K:K)</f>
        <v>1.972</v>
      </c>
      <c r="E936">
        <f>SUMIF('[1]PO Report'!A:A,Recon!A936,'[1]PO Report'!P:P)</f>
        <v>10</v>
      </c>
      <c r="F936">
        <f>VLOOKUP(A936,'[1]PO Report'!$A:$Z,15,0)</f>
        <v>58</v>
      </c>
      <c r="H936">
        <f t="shared" si="28"/>
        <v>0</v>
      </c>
      <c r="J936">
        <f t="shared" si="29"/>
        <v>0</v>
      </c>
    </row>
    <row r="937" spans="1:10" x14ac:dyDescent="0.25">
      <c r="A937" t="s">
        <v>2917</v>
      </c>
      <c r="B937">
        <v>56</v>
      </c>
      <c r="C937">
        <f>_xlfn.XLOOKUP(Recon!A937,[1]Backup!AJ:AJ,[1]Backup!L:L)</f>
        <v>69.03</v>
      </c>
      <c r="D937">
        <f>_xlfn.XLOOKUP(Recon!A937,[1]Backup!AJ:AJ,[1]Backup!K:K)</f>
        <v>2.3470200000000001</v>
      </c>
      <c r="E937">
        <f>SUMIF('[1]PO Report'!A:A,Recon!A937,'[1]PO Report'!P:P)</f>
        <v>56</v>
      </c>
      <c r="F937">
        <f>VLOOKUP(A937,'[1]PO Report'!$A:$Z,15,0)</f>
        <v>69.03</v>
      </c>
      <c r="H937">
        <f t="shared" si="28"/>
        <v>0</v>
      </c>
      <c r="J937">
        <f t="shared" si="29"/>
        <v>0</v>
      </c>
    </row>
    <row r="938" spans="1:10" x14ac:dyDescent="0.25">
      <c r="A938" t="s">
        <v>2918</v>
      </c>
      <c r="B938">
        <v>8</v>
      </c>
      <c r="C938">
        <f>_xlfn.XLOOKUP(Recon!A938,[1]Backup!AJ:AJ,[1]Backup!L:L)</f>
        <v>69.03</v>
      </c>
      <c r="D938">
        <f>_xlfn.XLOOKUP(Recon!A938,[1]Backup!AJ:AJ,[1]Backup!K:K)</f>
        <v>2.3470200000000001</v>
      </c>
      <c r="E938">
        <f>SUMIF('[1]PO Report'!A:A,Recon!A938,'[1]PO Report'!P:P)</f>
        <v>8</v>
      </c>
      <c r="F938">
        <f>VLOOKUP(A938,'[1]PO Report'!$A:$Z,15,0)</f>
        <v>69.03</v>
      </c>
      <c r="H938">
        <f t="shared" si="28"/>
        <v>0</v>
      </c>
      <c r="J938">
        <f t="shared" si="29"/>
        <v>0</v>
      </c>
    </row>
    <row r="939" spans="1:10" x14ac:dyDescent="0.25">
      <c r="A939" t="s">
        <v>2919</v>
      </c>
      <c r="B939">
        <v>8</v>
      </c>
      <c r="C939">
        <f>_xlfn.XLOOKUP(Recon!A939,[1]Backup!AJ:AJ,[1]Backup!L:L)</f>
        <v>131.38</v>
      </c>
      <c r="D939">
        <f>_xlfn.XLOOKUP(Recon!A939,[1]Backup!AJ:AJ,[1]Backup!K:K)</f>
        <v>4.46692</v>
      </c>
      <c r="E939">
        <f>SUMIF('[1]PO Report'!A:A,Recon!A939,'[1]PO Report'!P:P)</f>
        <v>8</v>
      </c>
      <c r="F939">
        <f>VLOOKUP(A939,'[1]PO Report'!$A:$Z,15,0)</f>
        <v>131.38</v>
      </c>
      <c r="H939">
        <f t="shared" si="28"/>
        <v>0</v>
      </c>
      <c r="J939">
        <f t="shared" si="29"/>
        <v>0</v>
      </c>
    </row>
    <row r="940" spans="1:10" x14ac:dyDescent="0.25">
      <c r="A940" t="s">
        <v>2920</v>
      </c>
      <c r="B940">
        <v>28</v>
      </c>
      <c r="C940">
        <f>_xlfn.XLOOKUP(Recon!A940,[1]Backup!AJ:AJ,[1]Backup!L:L)</f>
        <v>63.230000000000004</v>
      </c>
      <c r="D940">
        <f>_xlfn.XLOOKUP(Recon!A940,[1]Backup!AJ:AJ,[1]Backup!K:K)</f>
        <v>2.1498200000000001</v>
      </c>
      <c r="E940">
        <f>SUMIF('[1]PO Report'!A:A,Recon!A940,'[1]PO Report'!P:P)</f>
        <v>28</v>
      </c>
      <c r="F940">
        <f>VLOOKUP(A940,'[1]PO Report'!$A:$Z,15,0)</f>
        <v>63.23</v>
      </c>
      <c r="H940">
        <f t="shared" si="28"/>
        <v>0</v>
      </c>
      <c r="J940">
        <f t="shared" si="29"/>
        <v>0</v>
      </c>
    </row>
    <row r="941" spans="1:10" x14ac:dyDescent="0.25">
      <c r="A941" t="s">
        <v>2921</v>
      </c>
      <c r="B941">
        <v>120</v>
      </c>
      <c r="C941">
        <f>_xlfn.XLOOKUP(Recon!A941,[1]Backup!AJ:AJ,[1]Backup!L:L)</f>
        <v>16.39</v>
      </c>
      <c r="D941">
        <f>_xlfn.XLOOKUP(Recon!A941,[1]Backup!AJ:AJ,[1]Backup!K:K)</f>
        <v>0.55725999999999998</v>
      </c>
      <c r="E941">
        <f>SUMIF('[1]PO Report'!A:A,Recon!A941,'[1]PO Report'!P:P)</f>
        <v>120</v>
      </c>
      <c r="F941">
        <f>VLOOKUP(A941,'[1]PO Report'!$A:$Z,15,0)</f>
        <v>16.39</v>
      </c>
      <c r="H941">
        <f t="shared" si="28"/>
        <v>0</v>
      </c>
      <c r="J941">
        <f t="shared" si="29"/>
        <v>0</v>
      </c>
    </row>
    <row r="942" spans="1:10" x14ac:dyDescent="0.25">
      <c r="A942" t="s">
        <v>2922</v>
      </c>
      <c r="B942">
        <v>8</v>
      </c>
      <c r="C942">
        <f>_xlfn.XLOOKUP(Recon!A942,[1]Backup!AJ:AJ,[1]Backup!L:L)</f>
        <v>92.81</v>
      </c>
      <c r="D942">
        <f>_xlfn.XLOOKUP(Recon!A942,[1]Backup!AJ:AJ,[1]Backup!K:K)</f>
        <v>3.1555399999999998</v>
      </c>
      <c r="E942">
        <f>SUMIF('[1]PO Report'!A:A,Recon!A942,'[1]PO Report'!P:P)</f>
        <v>8</v>
      </c>
      <c r="F942">
        <f>VLOOKUP(A942,'[1]PO Report'!$A:$Z,15,0)</f>
        <v>92.81</v>
      </c>
      <c r="H942">
        <f t="shared" si="28"/>
        <v>0</v>
      </c>
      <c r="J942">
        <f t="shared" si="29"/>
        <v>0</v>
      </c>
    </row>
    <row r="943" spans="1:10" x14ac:dyDescent="0.25">
      <c r="A943" t="s">
        <v>2923</v>
      </c>
      <c r="B943">
        <v>8</v>
      </c>
      <c r="C943">
        <f>_xlfn.XLOOKUP(Recon!A943,[1]Backup!AJ:AJ,[1]Backup!L:L)</f>
        <v>46.4</v>
      </c>
      <c r="D943">
        <f>_xlfn.XLOOKUP(Recon!A943,[1]Backup!AJ:AJ,[1]Backup!K:K)</f>
        <v>1.5775999999999999</v>
      </c>
      <c r="E943">
        <f>SUMIF('[1]PO Report'!A:A,Recon!A943,'[1]PO Report'!P:P)</f>
        <v>8</v>
      </c>
      <c r="F943">
        <f>VLOOKUP(A943,'[1]PO Report'!$A:$Z,15,0)</f>
        <v>46.4</v>
      </c>
      <c r="H943">
        <f t="shared" si="28"/>
        <v>0</v>
      </c>
      <c r="J943">
        <f t="shared" si="29"/>
        <v>0</v>
      </c>
    </row>
    <row r="944" spans="1:10" x14ac:dyDescent="0.25">
      <c r="A944" t="s">
        <v>2924</v>
      </c>
      <c r="B944">
        <v>496</v>
      </c>
      <c r="C944">
        <f>_xlfn.XLOOKUP(Recon!A944,[1]Backup!AJ:AJ,[1]Backup!L:L)</f>
        <v>58</v>
      </c>
      <c r="D944">
        <f>_xlfn.XLOOKUP(Recon!A944,[1]Backup!AJ:AJ,[1]Backup!K:K)</f>
        <v>1.972</v>
      </c>
      <c r="E944">
        <f>SUMIF('[1]PO Report'!A:A,Recon!A944,'[1]PO Report'!P:P)</f>
        <v>496</v>
      </c>
      <c r="F944">
        <f>VLOOKUP(A944,'[1]PO Report'!$A:$Z,15,0)</f>
        <v>58</v>
      </c>
      <c r="H944">
        <f t="shared" si="28"/>
        <v>0</v>
      </c>
      <c r="J944">
        <f t="shared" si="29"/>
        <v>0</v>
      </c>
    </row>
    <row r="945" spans="1:10" x14ac:dyDescent="0.25">
      <c r="A945" t="s">
        <v>2925</v>
      </c>
      <c r="B945">
        <v>20</v>
      </c>
      <c r="C945">
        <f>_xlfn.XLOOKUP(Recon!A945,[1]Backup!AJ:AJ,[1]Backup!L:L)</f>
        <v>31.9</v>
      </c>
      <c r="D945">
        <f>_xlfn.XLOOKUP(Recon!A945,[1]Backup!AJ:AJ,[1]Backup!K:K)</f>
        <v>1.0846</v>
      </c>
      <c r="E945">
        <f>SUMIF('[1]PO Report'!A:A,Recon!A945,'[1]PO Report'!P:P)</f>
        <v>20</v>
      </c>
      <c r="F945">
        <f>VLOOKUP(A945,'[1]PO Report'!$A:$Z,15,0)</f>
        <v>31.9</v>
      </c>
      <c r="H945">
        <f t="shared" si="28"/>
        <v>0</v>
      </c>
      <c r="J945">
        <f t="shared" si="29"/>
        <v>0</v>
      </c>
    </row>
    <row r="946" spans="1:10" x14ac:dyDescent="0.25">
      <c r="A946" t="s">
        <v>2926</v>
      </c>
      <c r="B946">
        <v>4</v>
      </c>
      <c r="C946">
        <f>_xlfn.XLOOKUP(Recon!A946,[1]Backup!AJ:AJ,[1]Backup!L:L)</f>
        <v>105</v>
      </c>
      <c r="D946">
        <f>_xlfn.XLOOKUP(Recon!A946,[1]Backup!AJ:AJ,[1]Backup!K:K)</f>
        <v>3.57</v>
      </c>
      <c r="E946">
        <f>SUMIF('[1]PO Report'!A:A,Recon!A946,'[1]PO Report'!P:P)</f>
        <v>4</v>
      </c>
      <c r="F946">
        <f>VLOOKUP(A946,'[1]PO Report'!$A:$Z,15,0)</f>
        <v>105</v>
      </c>
      <c r="H946">
        <f t="shared" si="28"/>
        <v>0</v>
      </c>
      <c r="J946">
        <f t="shared" si="29"/>
        <v>0</v>
      </c>
    </row>
    <row r="947" spans="1:10" x14ac:dyDescent="0.25">
      <c r="A947" t="s">
        <v>2927</v>
      </c>
      <c r="B947">
        <v>32</v>
      </c>
      <c r="C947">
        <f>_xlfn.XLOOKUP(Recon!A947,[1]Backup!AJ:AJ,[1]Backup!L:L)</f>
        <v>12.88</v>
      </c>
      <c r="D947">
        <f>_xlfn.XLOOKUP(Recon!A947,[1]Backup!AJ:AJ,[1]Backup!K:K)</f>
        <v>0.43791999999999998</v>
      </c>
      <c r="E947">
        <f>SUMIF('[1]PO Report'!A:A,Recon!A947,'[1]PO Report'!P:P)</f>
        <v>32</v>
      </c>
      <c r="F947">
        <f>VLOOKUP(A947,'[1]PO Report'!$A:$Z,15,0)</f>
        <v>12.88</v>
      </c>
      <c r="H947">
        <f t="shared" si="28"/>
        <v>0</v>
      </c>
      <c r="J947">
        <f t="shared" si="29"/>
        <v>0</v>
      </c>
    </row>
    <row r="948" spans="1:10" x14ac:dyDescent="0.25">
      <c r="A948" t="s">
        <v>2928</v>
      </c>
      <c r="B948">
        <v>20</v>
      </c>
      <c r="C948">
        <f>_xlfn.XLOOKUP(Recon!A948,[1]Backup!AJ:AJ,[1]Backup!L:L)</f>
        <v>36.93</v>
      </c>
      <c r="D948">
        <f>_xlfn.XLOOKUP(Recon!A948,[1]Backup!AJ:AJ,[1]Backup!K:K)</f>
        <v>1.25562</v>
      </c>
      <c r="E948">
        <f>SUMIF('[1]PO Report'!A:A,Recon!A948,'[1]PO Report'!P:P)</f>
        <v>16</v>
      </c>
      <c r="F948">
        <f>VLOOKUP(A948,'[1]PO Report'!$A:$Z,15,0)</f>
        <v>36.93</v>
      </c>
      <c r="H948">
        <f t="shared" si="28"/>
        <v>4</v>
      </c>
      <c r="I948">
        <f>H948*D948</f>
        <v>5.0224799999999998</v>
      </c>
      <c r="J948">
        <f t="shared" si="29"/>
        <v>0</v>
      </c>
    </row>
    <row r="949" spans="1:10" x14ac:dyDescent="0.25">
      <c r="A949" t="s">
        <v>2929</v>
      </c>
      <c r="B949">
        <v>20</v>
      </c>
      <c r="C949">
        <f>_xlfn.XLOOKUP(Recon!A949,[1]Backup!AJ:AJ,[1]Backup!L:L)</f>
        <v>79.72999999999999</v>
      </c>
      <c r="D949">
        <f>_xlfn.XLOOKUP(Recon!A949,[1]Backup!AJ:AJ,[1]Backup!K:K)</f>
        <v>2.71082</v>
      </c>
      <c r="E949">
        <f>SUMIF('[1]PO Report'!A:A,Recon!A949,'[1]PO Report'!P:P)</f>
        <v>20</v>
      </c>
      <c r="F949">
        <f>VLOOKUP(A949,'[1]PO Report'!$A:$Z,15,0)</f>
        <v>79.73</v>
      </c>
      <c r="H949">
        <f t="shared" si="28"/>
        <v>0</v>
      </c>
      <c r="J949">
        <f t="shared" si="29"/>
        <v>0</v>
      </c>
    </row>
    <row r="950" spans="1:10" x14ac:dyDescent="0.25">
      <c r="A950" t="s">
        <v>2930</v>
      </c>
      <c r="B950">
        <v>4</v>
      </c>
      <c r="C950">
        <f>_xlfn.XLOOKUP(Recon!A950,[1]Backup!AJ:AJ,[1]Backup!L:L)</f>
        <v>105</v>
      </c>
      <c r="D950">
        <f>_xlfn.XLOOKUP(Recon!A950,[1]Backup!AJ:AJ,[1]Backup!K:K)</f>
        <v>3.57</v>
      </c>
      <c r="E950">
        <f>SUMIF('[1]PO Report'!A:A,Recon!A950,'[1]PO Report'!P:P)</f>
        <v>152</v>
      </c>
      <c r="F950">
        <f>VLOOKUP(A950,'[1]PO Report'!$A:$Z,15,0)</f>
        <v>105</v>
      </c>
      <c r="H950">
        <f t="shared" si="28"/>
        <v>-148</v>
      </c>
      <c r="J950">
        <f t="shared" si="29"/>
        <v>0</v>
      </c>
    </row>
    <row r="951" spans="1:10" x14ac:dyDescent="0.25">
      <c r="A951" t="s">
        <v>2931</v>
      </c>
      <c r="B951">
        <v>4</v>
      </c>
      <c r="C951">
        <f>_xlfn.XLOOKUP(Recon!A951,[1]Backup!AJ:AJ,[1]Backup!L:L)</f>
        <v>35.130000000000003</v>
      </c>
      <c r="D951">
        <f>_xlfn.XLOOKUP(Recon!A951,[1]Backup!AJ:AJ,[1]Backup!K:K)</f>
        <v>1.19442</v>
      </c>
      <c r="E951">
        <f>SUMIF('[1]PO Report'!A:A,Recon!A951,'[1]PO Report'!P:P)</f>
        <v>4</v>
      </c>
      <c r="F951">
        <f>VLOOKUP(A951,'[1]PO Report'!$A:$Z,15,0)</f>
        <v>35.130000000000003</v>
      </c>
      <c r="H951">
        <f t="shared" si="28"/>
        <v>0</v>
      </c>
      <c r="J951">
        <f t="shared" si="29"/>
        <v>0</v>
      </c>
    </row>
    <row r="952" spans="1:10" x14ac:dyDescent="0.25">
      <c r="A952" t="s">
        <v>2932</v>
      </c>
      <c r="B952">
        <v>260</v>
      </c>
      <c r="C952">
        <f>_xlfn.XLOOKUP(Recon!A952,[1]Backup!AJ:AJ,[1]Backup!L:L)</f>
        <v>46.4</v>
      </c>
      <c r="D952">
        <f>_xlfn.XLOOKUP(Recon!A952,[1]Backup!AJ:AJ,[1]Backup!K:K)</f>
        <v>1.5776000000000001</v>
      </c>
      <c r="E952">
        <f>SUMIF('[1]PO Report'!A:A,Recon!A952,'[1]PO Report'!P:P)</f>
        <v>252</v>
      </c>
      <c r="F952">
        <f>VLOOKUP(A952,'[1]PO Report'!$A:$Z,15,0)</f>
        <v>46.4</v>
      </c>
      <c r="H952">
        <f t="shared" si="28"/>
        <v>8</v>
      </c>
      <c r="I952">
        <f>H952*D952</f>
        <v>12.620800000000001</v>
      </c>
      <c r="J952">
        <f t="shared" si="29"/>
        <v>0</v>
      </c>
    </row>
    <row r="953" spans="1:10" x14ac:dyDescent="0.25">
      <c r="A953" t="s">
        <v>2933</v>
      </c>
      <c r="B953">
        <v>16</v>
      </c>
      <c r="C953">
        <f>_xlfn.XLOOKUP(Recon!A953,[1]Backup!AJ:AJ,[1]Backup!L:L)</f>
        <v>53.51</v>
      </c>
      <c r="D953">
        <f>_xlfn.XLOOKUP(Recon!A953,[1]Backup!AJ:AJ,[1]Backup!K:K)</f>
        <v>1.81934</v>
      </c>
      <c r="E953">
        <f>SUMIF('[1]PO Report'!A:A,Recon!A953,'[1]PO Report'!P:P)</f>
        <v>16</v>
      </c>
      <c r="F953">
        <f>VLOOKUP(A953,'[1]PO Report'!$A:$Z,15,0)</f>
        <v>53.51</v>
      </c>
      <c r="H953">
        <f t="shared" si="28"/>
        <v>0</v>
      </c>
      <c r="J953">
        <f t="shared" si="29"/>
        <v>0</v>
      </c>
    </row>
    <row r="954" spans="1:10" x14ac:dyDescent="0.25">
      <c r="A954" t="s">
        <v>2934</v>
      </c>
      <c r="B954">
        <v>24</v>
      </c>
      <c r="C954">
        <f>_xlfn.XLOOKUP(Recon!A954,[1]Backup!AJ:AJ,[1]Backup!L:L)</f>
        <v>53.51</v>
      </c>
      <c r="D954">
        <f>_xlfn.XLOOKUP(Recon!A954,[1]Backup!AJ:AJ,[1]Backup!K:K)</f>
        <v>1.8193400000000002</v>
      </c>
      <c r="E954">
        <f>SUMIF('[1]PO Report'!A:A,Recon!A954,'[1]PO Report'!P:P)</f>
        <v>24</v>
      </c>
      <c r="F954">
        <f>VLOOKUP(A954,'[1]PO Report'!$A:$Z,15,0)</f>
        <v>53.51</v>
      </c>
      <c r="H954">
        <f t="shared" si="28"/>
        <v>0</v>
      </c>
      <c r="J954">
        <f t="shared" si="29"/>
        <v>0</v>
      </c>
    </row>
    <row r="955" spans="1:10" x14ac:dyDescent="0.25">
      <c r="A955" t="s">
        <v>2935</v>
      </c>
      <c r="B955">
        <v>4</v>
      </c>
      <c r="C955">
        <f>_xlfn.XLOOKUP(Recon!A955,[1]Backup!AJ:AJ,[1]Backup!L:L)</f>
        <v>69.03</v>
      </c>
      <c r="D955">
        <f>_xlfn.XLOOKUP(Recon!A955,[1]Backup!AJ:AJ,[1]Backup!K:K)</f>
        <v>2.3470200000000001</v>
      </c>
      <c r="E955">
        <f>SUMIF('[1]PO Report'!A:A,Recon!A955,'[1]PO Report'!P:P)</f>
        <v>4</v>
      </c>
      <c r="F955">
        <f>VLOOKUP(A955,'[1]PO Report'!$A:$Z,15,0)</f>
        <v>69.03</v>
      </c>
      <c r="H955">
        <f t="shared" si="28"/>
        <v>0</v>
      </c>
      <c r="J955">
        <f t="shared" si="29"/>
        <v>0</v>
      </c>
    </row>
    <row r="956" spans="1:10" x14ac:dyDescent="0.25">
      <c r="A956" t="s">
        <v>2936</v>
      </c>
      <c r="B956">
        <v>8</v>
      </c>
      <c r="C956">
        <f>_xlfn.XLOOKUP(Recon!A956,[1]Backup!AJ:AJ,[1]Backup!L:L)</f>
        <v>87.01</v>
      </c>
      <c r="D956">
        <f>_xlfn.XLOOKUP(Recon!A956,[1]Backup!AJ:AJ,[1]Backup!K:K)</f>
        <v>2.9583400000000002</v>
      </c>
      <c r="E956">
        <f>SUMIF('[1]PO Report'!A:A,Recon!A956,'[1]PO Report'!P:P)</f>
        <v>8</v>
      </c>
      <c r="F956">
        <f>VLOOKUP(A956,'[1]PO Report'!$A:$Z,15,0)</f>
        <v>87.01</v>
      </c>
      <c r="H956">
        <f t="shared" si="28"/>
        <v>0</v>
      </c>
      <c r="J956">
        <f t="shared" si="29"/>
        <v>0</v>
      </c>
    </row>
    <row r="957" spans="1:10" x14ac:dyDescent="0.25">
      <c r="A957" t="s">
        <v>2937</v>
      </c>
      <c r="B957">
        <v>1250</v>
      </c>
      <c r="C957">
        <f>_xlfn.XLOOKUP(Recon!A957,[1]Backup!AJ:AJ,[1]Backup!L:L)</f>
        <v>9.36</v>
      </c>
      <c r="D957">
        <f>_xlfn.XLOOKUP(Recon!A957,[1]Backup!AJ:AJ,[1]Backup!K:K)</f>
        <v>0.31824000000000002</v>
      </c>
      <c r="E957">
        <f>SUMIF('[1]PO Report'!A:A,Recon!A957,'[1]PO Report'!P:P)</f>
        <v>1250</v>
      </c>
      <c r="F957">
        <f>VLOOKUP(A957,'[1]PO Report'!$A:$Z,15,0)</f>
        <v>9.36</v>
      </c>
      <c r="H957">
        <f t="shared" si="28"/>
        <v>0</v>
      </c>
      <c r="J957">
        <f t="shared" si="29"/>
        <v>0</v>
      </c>
    </row>
    <row r="958" spans="1:10" x14ac:dyDescent="0.25">
      <c r="A958" t="s">
        <v>2938</v>
      </c>
      <c r="B958">
        <v>68</v>
      </c>
      <c r="C958">
        <f>_xlfn.XLOOKUP(Recon!A958,[1]Backup!AJ:AJ,[1]Backup!L:L)</f>
        <v>75.41</v>
      </c>
      <c r="D958">
        <f>_xlfn.XLOOKUP(Recon!A958,[1]Backup!AJ:AJ,[1]Backup!K:K)</f>
        <v>2.5639399999999997</v>
      </c>
      <c r="E958">
        <f>SUMIF('[1]PO Report'!A:A,Recon!A958,'[1]PO Report'!P:P)</f>
        <v>68</v>
      </c>
      <c r="F958">
        <f>VLOOKUP(A958,'[1]PO Report'!$A:$Z,15,0)</f>
        <v>75.41</v>
      </c>
      <c r="H958">
        <f t="shared" si="28"/>
        <v>0</v>
      </c>
      <c r="J958">
        <f t="shared" si="29"/>
        <v>0</v>
      </c>
    </row>
    <row r="959" spans="1:10" x14ac:dyDescent="0.25">
      <c r="A959" t="s">
        <v>2939</v>
      </c>
      <c r="B959">
        <v>16</v>
      </c>
      <c r="C959">
        <f>_xlfn.XLOOKUP(Recon!A959,[1]Backup!AJ:AJ,[1]Backup!L:L)</f>
        <v>43.92</v>
      </c>
      <c r="D959">
        <f>_xlfn.XLOOKUP(Recon!A959,[1]Backup!AJ:AJ,[1]Backup!K:K)</f>
        <v>1.4932799999999999</v>
      </c>
      <c r="E959">
        <f>SUMIF('[1]PO Report'!A:A,Recon!A959,'[1]PO Report'!P:P)</f>
        <v>16</v>
      </c>
      <c r="F959">
        <f>VLOOKUP(A959,'[1]PO Report'!$A:$Z,15,0)</f>
        <v>43.92</v>
      </c>
      <c r="H959">
        <f t="shared" si="28"/>
        <v>0</v>
      </c>
      <c r="J959">
        <f t="shared" si="29"/>
        <v>0</v>
      </c>
    </row>
    <row r="960" spans="1:10" x14ac:dyDescent="0.25">
      <c r="A960" t="s">
        <v>2940</v>
      </c>
      <c r="B960">
        <v>280</v>
      </c>
      <c r="C960">
        <f>_xlfn.XLOOKUP(Recon!A960,[1]Backup!AJ:AJ,[1]Backup!L:L)</f>
        <v>35.129999999999995</v>
      </c>
      <c r="D960">
        <f>_xlfn.XLOOKUP(Recon!A960,[1]Backup!AJ:AJ,[1]Backup!K:K)</f>
        <v>1.1944199999999998</v>
      </c>
      <c r="E960">
        <f>SUMIF('[1]PO Report'!A:A,Recon!A960,'[1]PO Report'!P:P)</f>
        <v>280</v>
      </c>
      <c r="F960">
        <f>VLOOKUP(A960,'[1]PO Report'!$A:$Z,15,0)</f>
        <v>35.130000000000003</v>
      </c>
      <c r="H960">
        <f t="shared" si="28"/>
        <v>0</v>
      </c>
      <c r="J960">
        <f t="shared" si="29"/>
        <v>0</v>
      </c>
    </row>
    <row r="961" spans="1:10" x14ac:dyDescent="0.25">
      <c r="A961" t="s">
        <v>2941</v>
      </c>
      <c r="B961">
        <v>432</v>
      </c>
      <c r="C961">
        <f>_xlfn.XLOOKUP(Recon!A961,[1]Backup!AJ:AJ,[1]Backup!L:L)</f>
        <v>44.84</v>
      </c>
      <c r="D961">
        <f>_xlfn.XLOOKUP(Recon!A961,[1]Backup!AJ:AJ,[1]Backup!K:K)</f>
        <v>1.5245599999999999</v>
      </c>
      <c r="E961">
        <f>SUMIF('[1]PO Report'!A:A,Recon!A961,'[1]PO Report'!P:P)</f>
        <v>432</v>
      </c>
      <c r="F961">
        <f>VLOOKUP(A961,'[1]PO Report'!$A:$Z,15,0)</f>
        <v>44.84</v>
      </c>
      <c r="H961">
        <f t="shared" si="28"/>
        <v>0</v>
      </c>
      <c r="J961">
        <f t="shared" si="29"/>
        <v>0</v>
      </c>
    </row>
    <row r="962" spans="1:10" x14ac:dyDescent="0.25">
      <c r="A962" t="s">
        <v>2942</v>
      </c>
      <c r="B962">
        <v>13</v>
      </c>
      <c r="C962">
        <f>_xlfn.XLOOKUP(Recon!A962,[1]Backup!AJ:AJ,[1]Backup!L:L)</f>
        <v>210.52</v>
      </c>
      <c r="D962">
        <f>_xlfn.XLOOKUP(Recon!A962,[1]Backup!AJ:AJ,[1]Backup!K:K)</f>
        <v>7.15768</v>
      </c>
      <c r="E962">
        <f>SUMIF('[1]PO Report'!A:A,Recon!A962,'[1]PO Report'!P:P)</f>
        <v>13</v>
      </c>
      <c r="F962">
        <f>VLOOKUP(A962,'[1]PO Report'!$A:$Z,15,0)</f>
        <v>210.52</v>
      </c>
      <c r="H962">
        <f t="shared" si="28"/>
        <v>0</v>
      </c>
      <c r="J962">
        <f t="shared" si="29"/>
        <v>0</v>
      </c>
    </row>
    <row r="963" spans="1:10" x14ac:dyDescent="0.25">
      <c r="A963" t="s">
        <v>2943</v>
      </c>
      <c r="B963">
        <v>120</v>
      </c>
      <c r="C963">
        <f>_xlfn.XLOOKUP(Recon!A963,[1]Backup!AJ:AJ,[1]Backup!L:L)</f>
        <v>69.03</v>
      </c>
      <c r="D963">
        <f>_xlfn.XLOOKUP(Recon!A963,[1]Backup!AJ:AJ,[1]Backup!K:K)</f>
        <v>2.3470200000000001</v>
      </c>
      <c r="E963">
        <f>SUMIF('[1]PO Report'!A:A,Recon!A963,'[1]PO Report'!P:P)</f>
        <v>120</v>
      </c>
      <c r="F963">
        <f>VLOOKUP(A963,'[1]PO Report'!$A:$Z,15,0)</f>
        <v>69.03</v>
      </c>
      <c r="H963">
        <f t="shared" si="28"/>
        <v>0</v>
      </c>
      <c r="J963">
        <f t="shared" si="29"/>
        <v>0</v>
      </c>
    </row>
    <row r="964" spans="1:10" x14ac:dyDescent="0.25">
      <c r="A964" t="s">
        <v>2944</v>
      </c>
      <c r="B964">
        <v>10</v>
      </c>
      <c r="C964">
        <f>_xlfn.XLOOKUP(Recon!A964,[1]Backup!AJ:AJ,[1]Backup!L:L)</f>
        <v>9.36</v>
      </c>
      <c r="D964">
        <f>_xlfn.XLOOKUP(Recon!A964,[1]Backup!AJ:AJ,[1]Backup!K:K)</f>
        <v>0.31823999999999997</v>
      </c>
      <c r="E964">
        <f>SUMIF('[1]PO Report'!A:A,Recon!A964,'[1]PO Report'!P:P)</f>
        <v>10</v>
      </c>
      <c r="F964">
        <f>VLOOKUP(A964,'[1]PO Report'!$A:$Z,15,0)</f>
        <v>9.36</v>
      </c>
      <c r="H964">
        <f t="shared" ref="H964:H1027" si="30">B964-E964</f>
        <v>0</v>
      </c>
      <c r="J964">
        <f t="shared" ref="J964:J1027" si="31">C964-F964</f>
        <v>0</v>
      </c>
    </row>
    <row r="965" spans="1:10" x14ac:dyDescent="0.25">
      <c r="A965" t="s">
        <v>2945</v>
      </c>
      <c r="B965">
        <v>16</v>
      </c>
      <c r="C965">
        <f>_xlfn.XLOOKUP(Recon!A965,[1]Backup!AJ:AJ,[1]Backup!L:L)</f>
        <v>63.83</v>
      </c>
      <c r="D965">
        <f>_xlfn.XLOOKUP(Recon!A965,[1]Backup!AJ:AJ,[1]Backup!K:K)</f>
        <v>2.17022</v>
      </c>
      <c r="E965">
        <f>SUMIF('[1]PO Report'!A:A,Recon!A965,'[1]PO Report'!P:P)</f>
        <v>16</v>
      </c>
      <c r="F965">
        <f>VLOOKUP(A965,'[1]PO Report'!$A:$Z,15,0)</f>
        <v>72.48</v>
      </c>
      <c r="H965">
        <f t="shared" si="30"/>
        <v>0</v>
      </c>
      <c r="J965">
        <f t="shared" si="31"/>
        <v>-8.6500000000000057</v>
      </c>
    </row>
    <row r="966" spans="1:10" x14ac:dyDescent="0.25">
      <c r="A966" t="s">
        <v>2946</v>
      </c>
      <c r="B966">
        <v>4</v>
      </c>
      <c r="C966">
        <f>_xlfn.XLOOKUP(Recon!A966,[1]Backup!AJ:AJ,[1]Backup!L:L)</f>
        <v>99.72</v>
      </c>
      <c r="D966">
        <f>_xlfn.XLOOKUP(Recon!A966,[1]Backup!AJ:AJ,[1]Backup!K:K)</f>
        <v>3.3904800000000002</v>
      </c>
      <c r="E966">
        <f>SUMIF('[1]PO Report'!A:A,Recon!A966,'[1]PO Report'!P:P)</f>
        <v>4</v>
      </c>
      <c r="F966">
        <f>VLOOKUP(A966,'[1]PO Report'!$A:$Z,15,0)</f>
        <v>99.72</v>
      </c>
      <c r="H966">
        <f t="shared" si="30"/>
        <v>0</v>
      </c>
      <c r="J966">
        <f t="shared" si="31"/>
        <v>0</v>
      </c>
    </row>
    <row r="967" spans="1:10" x14ac:dyDescent="0.25">
      <c r="A967" t="s">
        <v>2947</v>
      </c>
      <c r="B967">
        <v>4</v>
      </c>
      <c r="C967">
        <f>_xlfn.XLOOKUP(Recon!A967,[1]Backup!AJ:AJ,[1]Backup!L:L)</f>
        <v>68.06</v>
      </c>
      <c r="D967">
        <f>_xlfn.XLOOKUP(Recon!A967,[1]Backup!AJ:AJ,[1]Backup!K:K)</f>
        <v>2.3140399999999999</v>
      </c>
      <c r="E967">
        <f>SUMIF('[1]PO Report'!A:A,Recon!A967,'[1]PO Report'!P:P)</f>
        <v>4</v>
      </c>
      <c r="F967">
        <f>VLOOKUP(A967,'[1]PO Report'!$A:$Z,15,0)</f>
        <v>68.06</v>
      </c>
      <c r="H967">
        <f t="shared" si="30"/>
        <v>0</v>
      </c>
      <c r="J967">
        <f t="shared" si="31"/>
        <v>0</v>
      </c>
    </row>
    <row r="968" spans="1:10" x14ac:dyDescent="0.25">
      <c r="A968" t="s">
        <v>2948</v>
      </c>
      <c r="B968">
        <v>2</v>
      </c>
      <c r="C968">
        <f>_xlfn.XLOOKUP(Recon!A968,[1]Backup!AJ:AJ,[1]Backup!L:L)</f>
        <v>147.21</v>
      </c>
      <c r="D968">
        <f>_xlfn.XLOOKUP(Recon!A968,[1]Backup!AJ:AJ,[1]Backup!K:K)</f>
        <v>5.0051399999999999</v>
      </c>
      <c r="E968">
        <f>SUMIF('[1]PO Report'!A:A,Recon!A968,'[1]PO Report'!P:P)</f>
        <v>2</v>
      </c>
      <c r="F968">
        <f>VLOOKUP(A968,'[1]PO Report'!$A:$Z,15,0)</f>
        <v>147.21</v>
      </c>
      <c r="H968">
        <f t="shared" si="30"/>
        <v>0</v>
      </c>
      <c r="J968">
        <f t="shared" si="31"/>
        <v>0</v>
      </c>
    </row>
    <row r="969" spans="1:10" x14ac:dyDescent="0.25">
      <c r="A969" t="s">
        <v>2949</v>
      </c>
      <c r="B969">
        <v>416</v>
      </c>
      <c r="C969">
        <f>_xlfn.XLOOKUP(Recon!A969,[1]Backup!AJ:AJ,[1]Backup!L:L)</f>
        <v>20.5</v>
      </c>
      <c r="D969">
        <f>_xlfn.XLOOKUP(Recon!A969,[1]Backup!AJ:AJ,[1]Backup!K:K)</f>
        <v>0.69699999999999995</v>
      </c>
      <c r="E969">
        <f>SUMIF('[1]PO Report'!A:A,Recon!A969,'[1]PO Report'!P:P)</f>
        <v>584</v>
      </c>
      <c r="F969">
        <f>VLOOKUP(A969,'[1]PO Report'!$A:$Z,15,0)</f>
        <v>20.5</v>
      </c>
      <c r="H969">
        <f t="shared" si="30"/>
        <v>-168</v>
      </c>
      <c r="J969">
        <f t="shared" si="31"/>
        <v>0</v>
      </c>
    </row>
    <row r="970" spans="1:10" x14ac:dyDescent="0.25">
      <c r="A970" t="s">
        <v>2950</v>
      </c>
      <c r="B970">
        <v>1154</v>
      </c>
      <c r="C970">
        <f>_xlfn.XLOOKUP(Recon!A970,[1]Backup!AJ:AJ,[1]Backup!L:L)</f>
        <v>221.07</v>
      </c>
      <c r="D970">
        <f>_xlfn.XLOOKUP(Recon!A970,[1]Backup!AJ:AJ,[1]Backup!K:K)</f>
        <v>7.5163799999999998</v>
      </c>
      <c r="E970">
        <f>SUMIF('[1]PO Report'!A:A,Recon!A970,'[1]PO Report'!P:P)</f>
        <v>1774</v>
      </c>
      <c r="F970">
        <f>VLOOKUP(A970,'[1]PO Report'!$A:$Z,15,0)</f>
        <v>221.07</v>
      </c>
      <c r="H970">
        <f t="shared" si="30"/>
        <v>-620</v>
      </c>
      <c r="J970">
        <f t="shared" si="31"/>
        <v>0</v>
      </c>
    </row>
    <row r="971" spans="1:10" x14ac:dyDescent="0.25">
      <c r="A971" t="s">
        <v>2951</v>
      </c>
      <c r="B971">
        <v>4</v>
      </c>
      <c r="C971">
        <f>_xlfn.XLOOKUP(Recon!A971,[1]Backup!AJ:AJ,[1]Backup!L:L)</f>
        <v>221.07</v>
      </c>
      <c r="D971">
        <f>_xlfn.XLOOKUP(Recon!A971,[1]Backup!AJ:AJ,[1]Backup!K:K)</f>
        <v>7.5163799999999998</v>
      </c>
      <c r="E971">
        <f>SUMIF('[1]PO Report'!A:A,Recon!A971,'[1]PO Report'!P:P)</f>
        <v>4</v>
      </c>
      <c r="F971">
        <f>VLOOKUP(A971,'[1]PO Report'!$A:$Z,15,0)</f>
        <v>221.07</v>
      </c>
      <c r="H971">
        <f t="shared" si="30"/>
        <v>0</v>
      </c>
      <c r="J971">
        <f t="shared" si="31"/>
        <v>0</v>
      </c>
    </row>
    <row r="972" spans="1:10" x14ac:dyDescent="0.25">
      <c r="A972" t="s">
        <v>2952</v>
      </c>
      <c r="B972">
        <v>4</v>
      </c>
      <c r="C972">
        <f>_xlfn.XLOOKUP(Recon!A972,[1]Backup!AJ:AJ,[1]Backup!L:L)</f>
        <v>44.84</v>
      </c>
      <c r="D972">
        <f>_xlfn.XLOOKUP(Recon!A972,[1]Backup!AJ:AJ,[1]Backup!K:K)</f>
        <v>1.5245599999999999</v>
      </c>
      <c r="E972">
        <f>SUMIF('[1]PO Report'!A:A,Recon!A972,'[1]PO Report'!P:P)</f>
        <v>4</v>
      </c>
      <c r="F972">
        <f>VLOOKUP(A972,'[1]PO Report'!$A:$Z,15,0)</f>
        <v>44.84</v>
      </c>
      <c r="H972">
        <f t="shared" si="30"/>
        <v>0</v>
      </c>
      <c r="J972">
        <f t="shared" si="31"/>
        <v>0</v>
      </c>
    </row>
    <row r="973" spans="1:10" x14ac:dyDescent="0.25">
      <c r="A973" t="s">
        <v>2953</v>
      </c>
      <c r="B973">
        <v>52</v>
      </c>
      <c r="C973">
        <f>_xlfn.XLOOKUP(Recon!A973,[1]Backup!AJ:AJ,[1]Backup!L:L)</f>
        <v>75.41</v>
      </c>
      <c r="D973">
        <f>_xlfn.XLOOKUP(Recon!A973,[1]Backup!AJ:AJ,[1]Backup!K:K)</f>
        <v>2.5639400000000001</v>
      </c>
      <c r="E973">
        <f>SUMIF('[1]PO Report'!A:A,Recon!A973,'[1]PO Report'!P:P)</f>
        <v>52</v>
      </c>
      <c r="F973">
        <f>VLOOKUP(A973,'[1]PO Report'!$A:$Z,15,0)</f>
        <v>75.41</v>
      </c>
      <c r="H973">
        <f t="shared" si="30"/>
        <v>0</v>
      </c>
      <c r="J973">
        <f t="shared" si="31"/>
        <v>0</v>
      </c>
    </row>
    <row r="974" spans="1:10" x14ac:dyDescent="0.25">
      <c r="A974" t="s">
        <v>2954</v>
      </c>
      <c r="B974">
        <v>4</v>
      </c>
      <c r="C974">
        <f>_xlfn.XLOOKUP(Recon!A974,[1]Backup!AJ:AJ,[1]Backup!L:L)</f>
        <v>73.34</v>
      </c>
      <c r="D974">
        <f>_xlfn.XLOOKUP(Recon!A974,[1]Backup!AJ:AJ,[1]Backup!K:K)</f>
        <v>2.49356</v>
      </c>
      <c r="E974">
        <f>SUMIF('[1]PO Report'!A:A,Recon!A974,'[1]PO Report'!P:P)</f>
        <v>4</v>
      </c>
      <c r="F974">
        <f>VLOOKUP(A974,'[1]PO Report'!$A:$Z,15,0)</f>
        <v>73.34</v>
      </c>
      <c r="H974">
        <f t="shared" si="30"/>
        <v>0</v>
      </c>
      <c r="J974">
        <f t="shared" si="31"/>
        <v>0</v>
      </c>
    </row>
    <row r="975" spans="1:10" x14ac:dyDescent="0.25">
      <c r="A975" t="s">
        <v>2955</v>
      </c>
      <c r="B975">
        <v>6</v>
      </c>
      <c r="C975">
        <f>_xlfn.XLOOKUP(Recon!A975,[1]Backup!AJ:AJ,[1]Backup!L:L)</f>
        <v>29</v>
      </c>
      <c r="D975">
        <f>_xlfn.XLOOKUP(Recon!A975,[1]Backup!AJ:AJ,[1]Backup!K:K)</f>
        <v>0.9860000000000001</v>
      </c>
      <c r="E975">
        <f>SUMIF('[1]PO Report'!A:A,Recon!A975,'[1]PO Report'!P:P)</f>
        <v>6</v>
      </c>
      <c r="F975">
        <f>VLOOKUP(A975,'[1]PO Report'!$A:$Z,15,0)</f>
        <v>29</v>
      </c>
      <c r="H975">
        <f t="shared" si="30"/>
        <v>0</v>
      </c>
      <c r="J975">
        <f t="shared" si="31"/>
        <v>0</v>
      </c>
    </row>
    <row r="976" spans="1:10" x14ac:dyDescent="0.25">
      <c r="A976" t="s">
        <v>2956</v>
      </c>
      <c r="B976">
        <v>200</v>
      </c>
      <c r="C976">
        <f>_xlfn.XLOOKUP(Recon!A976,[1]Backup!AJ:AJ,[1]Backup!L:L)</f>
        <v>110.27</v>
      </c>
      <c r="D976">
        <f>_xlfn.XLOOKUP(Recon!A976,[1]Backup!AJ:AJ,[1]Backup!K:K)</f>
        <v>3.74918</v>
      </c>
      <c r="E976">
        <f>SUMIF('[1]PO Report'!A:A,Recon!A976,'[1]PO Report'!P:P)</f>
        <v>200</v>
      </c>
      <c r="F976">
        <f>VLOOKUP(A976,'[1]PO Report'!$A:$Z,15,0)</f>
        <v>110.27</v>
      </c>
      <c r="H976">
        <f t="shared" si="30"/>
        <v>0</v>
      </c>
      <c r="J976">
        <f t="shared" si="31"/>
        <v>0</v>
      </c>
    </row>
    <row r="977" spans="1:10" x14ac:dyDescent="0.25">
      <c r="A977" t="s">
        <v>2957</v>
      </c>
      <c r="B977">
        <v>32</v>
      </c>
      <c r="C977">
        <f>_xlfn.XLOOKUP(Recon!A977,[1]Backup!AJ:AJ,[1]Backup!L:L)</f>
        <v>79.73</v>
      </c>
      <c r="D977">
        <f>_xlfn.XLOOKUP(Recon!A977,[1]Backup!AJ:AJ,[1]Backup!K:K)</f>
        <v>2.71082</v>
      </c>
      <c r="E977">
        <f>SUMIF('[1]PO Report'!A:A,Recon!A977,'[1]PO Report'!P:P)</f>
        <v>32</v>
      </c>
      <c r="F977">
        <f>VLOOKUP(A977,'[1]PO Report'!$A:$Z,15,0)</f>
        <v>79.73</v>
      </c>
      <c r="H977">
        <f t="shared" si="30"/>
        <v>0</v>
      </c>
      <c r="J977">
        <f t="shared" si="31"/>
        <v>0</v>
      </c>
    </row>
    <row r="978" spans="1:10" x14ac:dyDescent="0.25">
      <c r="A978" t="s">
        <v>2958</v>
      </c>
      <c r="B978">
        <v>16</v>
      </c>
      <c r="C978">
        <f>_xlfn.XLOOKUP(Recon!A978,[1]Backup!AJ:AJ,[1]Backup!L:L)</f>
        <v>29.28</v>
      </c>
      <c r="D978">
        <f>_xlfn.XLOOKUP(Recon!A978,[1]Backup!AJ:AJ,[1]Backup!K:K)</f>
        <v>0.99551999999999996</v>
      </c>
      <c r="E978">
        <f>SUMIF('[1]PO Report'!A:A,Recon!A978,'[1]PO Report'!P:P)</f>
        <v>16</v>
      </c>
      <c r="F978">
        <f>VLOOKUP(A978,'[1]PO Report'!$A:$Z,15,0)</f>
        <v>29.28</v>
      </c>
      <c r="H978">
        <f t="shared" si="30"/>
        <v>0</v>
      </c>
      <c r="J978">
        <f t="shared" si="31"/>
        <v>0</v>
      </c>
    </row>
    <row r="979" spans="1:10" x14ac:dyDescent="0.25">
      <c r="A979" t="s">
        <v>2959</v>
      </c>
      <c r="B979">
        <v>4</v>
      </c>
      <c r="C979">
        <f>_xlfn.XLOOKUP(Recon!A979,[1]Backup!AJ:AJ,[1]Backup!L:L)</f>
        <v>69.61</v>
      </c>
      <c r="D979">
        <f>_xlfn.XLOOKUP(Recon!A979,[1]Backup!AJ:AJ,[1]Backup!K:K)</f>
        <v>2.3667400000000001</v>
      </c>
      <c r="E979">
        <f>SUMIF('[1]PO Report'!A:A,Recon!A979,'[1]PO Report'!P:P)</f>
        <v>4</v>
      </c>
      <c r="F979">
        <f>VLOOKUP(A979,'[1]PO Report'!$A:$Z,15,0)</f>
        <v>69.61</v>
      </c>
      <c r="H979">
        <f t="shared" si="30"/>
        <v>0</v>
      </c>
      <c r="J979">
        <f t="shared" si="31"/>
        <v>0</v>
      </c>
    </row>
    <row r="980" spans="1:10" x14ac:dyDescent="0.25">
      <c r="A980" t="s">
        <v>2960</v>
      </c>
      <c r="B980">
        <v>10</v>
      </c>
      <c r="C980">
        <f>_xlfn.XLOOKUP(Recon!A980,[1]Backup!AJ:AJ,[1]Backup!L:L)</f>
        <v>9.36</v>
      </c>
      <c r="D980">
        <f>_xlfn.XLOOKUP(Recon!A980,[1]Backup!AJ:AJ,[1]Backup!K:K)</f>
        <v>0.31823999999999997</v>
      </c>
      <c r="E980">
        <f>SUMIF('[1]PO Report'!A:A,Recon!A980,'[1]PO Report'!P:P)</f>
        <v>10</v>
      </c>
      <c r="F980">
        <f>VLOOKUP(A980,'[1]PO Report'!$A:$Z,15,0)</f>
        <v>9.36</v>
      </c>
      <c r="H980">
        <f t="shared" si="30"/>
        <v>0</v>
      </c>
      <c r="J980">
        <f t="shared" si="31"/>
        <v>0</v>
      </c>
    </row>
    <row r="981" spans="1:10" x14ac:dyDescent="0.25">
      <c r="A981" t="s">
        <v>2961</v>
      </c>
      <c r="B981">
        <v>86</v>
      </c>
      <c r="C981">
        <f>_xlfn.XLOOKUP(Recon!A981,[1]Backup!AJ:AJ,[1]Backup!L:L)</f>
        <v>226.35</v>
      </c>
      <c r="D981">
        <f>_xlfn.XLOOKUP(Recon!A981,[1]Backup!AJ:AJ,[1]Backup!K:K)</f>
        <v>7.6959</v>
      </c>
      <c r="E981">
        <f>SUMIF('[1]PO Report'!A:A,Recon!A981,'[1]PO Report'!P:P)</f>
        <v>86</v>
      </c>
      <c r="F981">
        <f>VLOOKUP(A981,'[1]PO Report'!$A:$Z,15,0)</f>
        <v>226.35</v>
      </c>
      <c r="H981">
        <f t="shared" si="30"/>
        <v>0</v>
      </c>
      <c r="J981">
        <f t="shared" si="31"/>
        <v>0</v>
      </c>
    </row>
    <row r="982" spans="1:10" x14ac:dyDescent="0.25">
      <c r="A982" t="s">
        <v>2962</v>
      </c>
      <c r="B982">
        <v>10</v>
      </c>
      <c r="C982">
        <f>_xlfn.XLOOKUP(Recon!A982,[1]Backup!AJ:AJ,[1]Backup!L:L)</f>
        <v>9.36</v>
      </c>
      <c r="D982">
        <f>_xlfn.XLOOKUP(Recon!A982,[1]Backup!AJ:AJ,[1]Backup!K:K)</f>
        <v>0.31823999999999997</v>
      </c>
      <c r="E982">
        <f>SUMIF('[1]PO Report'!A:A,Recon!A982,'[1]PO Report'!P:P)</f>
        <v>10</v>
      </c>
      <c r="F982">
        <f>VLOOKUP(A982,'[1]PO Report'!$A:$Z,15,0)</f>
        <v>9.36</v>
      </c>
      <c r="H982">
        <f t="shared" si="30"/>
        <v>0</v>
      </c>
      <c r="J982">
        <f t="shared" si="31"/>
        <v>0</v>
      </c>
    </row>
    <row r="983" spans="1:10" x14ac:dyDescent="0.25">
      <c r="A983" t="s">
        <v>2963</v>
      </c>
      <c r="B983">
        <v>16</v>
      </c>
      <c r="C983">
        <f>_xlfn.XLOOKUP(Recon!A983,[1]Backup!AJ:AJ,[1]Backup!L:L)</f>
        <v>68.06</v>
      </c>
      <c r="D983">
        <f>_xlfn.XLOOKUP(Recon!A983,[1]Backup!AJ:AJ,[1]Backup!K:K)</f>
        <v>2.3140399999999999</v>
      </c>
      <c r="E983">
        <f>SUMIF('[1]PO Report'!A:A,Recon!A983,'[1]PO Report'!P:P)</f>
        <v>16</v>
      </c>
      <c r="F983">
        <f>VLOOKUP(A983,'[1]PO Report'!$A:$Z,15,0)</f>
        <v>68.06</v>
      </c>
      <c r="H983">
        <f t="shared" si="30"/>
        <v>0</v>
      </c>
      <c r="J983">
        <f t="shared" si="31"/>
        <v>0</v>
      </c>
    </row>
    <row r="984" spans="1:10" x14ac:dyDescent="0.25">
      <c r="A984" t="s">
        <v>2964</v>
      </c>
      <c r="B984">
        <v>2</v>
      </c>
      <c r="C984">
        <f>_xlfn.XLOOKUP(Recon!A984,[1]Backup!AJ:AJ,[1]Backup!L:L)</f>
        <v>35.130000000000003</v>
      </c>
      <c r="D984">
        <f>_xlfn.XLOOKUP(Recon!A984,[1]Backup!AJ:AJ,[1]Backup!K:K)</f>
        <v>1.19442</v>
      </c>
      <c r="E984">
        <f>SUMIF('[1]PO Report'!A:A,Recon!A984,'[1]PO Report'!P:P)</f>
        <v>2</v>
      </c>
      <c r="F984">
        <f>VLOOKUP(A984,'[1]PO Report'!$A:$Z,15,0)</f>
        <v>35.130000000000003</v>
      </c>
      <c r="H984">
        <f t="shared" si="30"/>
        <v>0</v>
      </c>
      <c r="J984">
        <f t="shared" si="31"/>
        <v>0</v>
      </c>
    </row>
    <row r="985" spans="1:10" x14ac:dyDescent="0.25">
      <c r="A985" t="s">
        <v>2965</v>
      </c>
      <c r="B985">
        <v>10</v>
      </c>
      <c r="C985">
        <f>_xlfn.XLOOKUP(Recon!A985,[1]Backup!AJ:AJ,[1]Backup!L:L)</f>
        <v>9.36</v>
      </c>
      <c r="D985">
        <f>_xlfn.XLOOKUP(Recon!A985,[1]Backup!AJ:AJ,[1]Backup!K:K)</f>
        <v>0.31823999999999997</v>
      </c>
      <c r="E985">
        <f>SUMIF('[1]PO Report'!A:A,Recon!A985,'[1]PO Report'!P:P)</f>
        <v>10</v>
      </c>
      <c r="F985">
        <f>VLOOKUP(A985,'[1]PO Report'!$A:$Z,15,0)</f>
        <v>9.36</v>
      </c>
      <c r="H985">
        <f t="shared" si="30"/>
        <v>0</v>
      </c>
      <c r="J985">
        <f t="shared" si="31"/>
        <v>0</v>
      </c>
    </row>
    <row r="986" spans="1:10" x14ac:dyDescent="0.25">
      <c r="A986" t="s">
        <v>2966</v>
      </c>
      <c r="B986">
        <v>8</v>
      </c>
      <c r="C986">
        <f>_xlfn.XLOOKUP(Recon!A986,[1]Backup!AJ:AJ,[1]Backup!L:L)</f>
        <v>116.02</v>
      </c>
      <c r="D986">
        <f>_xlfn.XLOOKUP(Recon!A986,[1]Backup!AJ:AJ,[1]Backup!K:K)</f>
        <v>3.94468</v>
      </c>
      <c r="E986">
        <f>SUMIF('[1]PO Report'!A:A,Recon!A986,'[1]PO Report'!P:P)</f>
        <v>8</v>
      </c>
      <c r="F986">
        <f>VLOOKUP(A986,'[1]PO Report'!$A:$Z,15,0)</f>
        <v>116.02</v>
      </c>
      <c r="H986">
        <f t="shared" si="30"/>
        <v>0</v>
      </c>
      <c r="J986">
        <f t="shared" si="31"/>
        <v>0</v>
      </c>
    </row>
    <row r="987" spans="1:10" x14ac:dyDescent="0.25">
      <c r="A987" t="s">
        <v>2967</v>
      </c>
      <c r="B987">
        <v>88</v>
      </c>
      <c r="C987">
        <f>_xlfn.XLOOKUP(Recon!A987,[1]Backup!AJ:AJ,[1]Backup!L:L)</f>
        <v>20.5</v>
      </c>
      <c r="D987">
        <f>_xlfn.XLOOKUP(Recon!A987,[1]Backup!AJ:AJ,[1]Backup!K:K)</f>
        <v>0.69699999999999995</v>
      </c>
      <c r="E987">
        <f>SUMIF('[1]PO Report'!A:A,Recon!A987,'[1]PO Report'!P:P)</f>
        <v>88</v>
      </c>
      <c r="F987">
        <f>VLOOKUP(A987,'[1]PO Report'!$A:$Z,15,0)</f>
        <v>20.5</v>
      </c>
      <c r="H987">
        <f t="shared" si="30"/>
        <v>0</v>
      </c>
      <c r="J987">
        <f t="shared" si="31"/>
        <v>0</v>
      </c>
    </row>
    <row r="988" spans="1:10" x14ac:dyDescent="0.25">
      <c r="A988" t="s">
        <v>2968</v>
      </c>
      <c r="B988">
        <v>144</v>
      </c>
      <c r="C988">
        <f>_xlfn.XLOOKUP(Recon!A988,[1]Backup!AJ:AJ,[1]Backup!L:L)</f>
        <v>26.35</v>
      </c>
      <c r="D988">
        <f>_xlfn.XLOOKUP(Recon!A988,[1]Backup!AJ:AJ,[1]Backup!K:K)</f>
        <v>0.89590000000000003</v>
      </c>
      <c r="E988">
        <f>SUMIF('[1]PO Report'!A:A,Recon!A988,'[1]PO Report'!P:P)</f>
        <v>144</v>
      </c>
      <c r="F988">
        <f>VLOOKUP(A988,'[1]PO Report'!$A:$Z,15,0)</f>
        <v>26.35</v>
      </c>
      <c r="H988">
        <f t="shared" si="30"/>
        <v>0</v>
      </c>
      <c r="J988">
        <f t="shared" si="31"/>
        <v>0</v>
      </c>
    </row>
    <row r="989" spans="1:10" x14ac:dyDescent="0.25">
      <c r="A989" t="s">
        <v>2969</v>
      </c>
      <c r="B989">
        <v>169</v>
      </c>
      <c r="C989">
        <f>_xlfn.XLOOKUP(Recon!A989,[1]Backup!AJ:AJ,[1]Backup!L:L)</f>
        <v>221.07000000000002</v>
      </c>
      <c r="D989">
        <f>_xlfn.XLOOKUP(Recon!A989,[1]Backup!AJ:AJ,[1]Backup!K:K)</f>
        <v>7.5163799999999998</v>
      </c>
      <c r="E989">
        <f>SUMIF('[1]PO Report'!A:A,Recon!A989,'[1]PO Report'!P:P)</f>
        <v>169</v>
      </c>
      <c r="F989">
        <f>VLOOKUP(A989,'[1]PO Report'!$A:$Z,15,0)</f>
        <v>221.07</v>
      </c>
      <c r="H989">
        <f t="shared" si="30"/>
        <v>0</v>
      </c>
      <c r="J989">
        <f t="shared" si="31"/>
        <v>0</v>
      </c>
    </row>
    <row r="990" spans="1:10" x14ac:dyDescent="0.25">
      <c r="A990" t="s">
        <v>2970</v>
      </c>
      <c r="B990">
        <v>984</v>
      </c>
      <c r="C990">
        <f>_xlfn.XLOOKUP(Recon!A990,[1]Backup!AJ:AJ,[1]Backup!L:L)</f>
        <v>73.34</v>
      </c>
      <c r="D990">
        <f>_xlfn.XLOOKUP(Recon!A990,[1]Backup!AJ:AJ,[1]Backup!K:K)</f>
        <v>2.49356</v>
      </c>
      <c r="E990">
        <f>SUMIF('[1]PO Report'!A:A,Recon!A990,'[1]PO Report'!P:P)</f>
        <v>984</v>
      </c>
      <c r="F990">
        <f>VLOOKUP(A990,'[1]PO Report'!$A:$Z,15,0)</f>
        <v>73.34</v>
      </c>
      <c r="H990">
        <f t="shared" si="30"/>
        <v>0</v>
      </c>
      <c r="J990">
        <f t="shared" si="31"/>
        <v>0</v>
      </c>
    </row>
    <row r="991" spans="1:10" x14ac:dyDescent="0.25">
      <c r="A991" t="s">
        <v>2971</v>
      </c>
      <c r="B991">
        <v>40</v>
      </c>
      <c r="C991">
        <f>_xlfn.XLOOKUP(Recon!A991,[1]Backup!AJ:AJ,[1]Backup!L:L)</f>
        <v>141.93</v>
      </c>
      <c r="D991">
        <f>_xlfn.XLOOKUP(Recon!A991,[1]Backup!AJ:AJ,[1]Backup!K:K)</f>
        <v>4.8256199999999998</v>
      </c>
      <c r="E991">
        <f>SUMIF('[1]PO Report'!A:A,Recon!A991,'[1]PO Report'!P:P)</f>
        <v>40</v>
      </c>
      <c r="F991">
        <f>VLOOKUP(A991,'[1]PO Report'!$A:$Z,15,0)</f>
        <v>141.93</v>
      </c>
      <c r="H991">
        <f t="shared" si="30"/>
        <v>0</v>
      </c>
      <c r="J991">
        <f t="shared" si="31"/>
        <v>0</v>
      </c>
    </row>
    <row r="992" spans="1:10" x14ac:dyDescent="0.25">
      <c r="A992" t="s">
        <v>2972</v>
      </c>
      <c r="B992">
        <v>1040</v>
      </c>
      <c r="C992">
        <f>_xlfn.XLOOKUP(Recon!A992,[1]Backup!AJ:AJ,[1]Backup!L:L)</f>
        <v>46.4</v>
      </c>
      <c r="D992">
        <f>_xlfn.XLOOKUP(Recon!A992,[1]Backup!AJ:AJ,[1]Backup!K:K)</f>
        <v>1.5775999999999999</v>
      </c>
      <c r="E992">
        <f>SUMIF('[1]PO Report'!A:A,Recon!A992,'[1]PO Report'!P:P)</f>
        <v>1044</v>
      </c>
      <c r="F992">
        <f>VLOOKUP(A992,'[1]PO Report'!$A:$Z,15,0)</f>
        <v>46.4</v>
      </c>
      <c r="H992">
        <f t="shared" si="30"/>
        <v>-4</v>
      </c>
      <c r="J992">
        <f t="shared" si="31"/>
        <v>0</v>
      </c>
    </row>
    <row r="993" spans="1:10" x14ac:dyDescent="0.25">
      <c r="A993" t="s">
        <v>2973</v>
      </c>
      <c r="B993">
        <v>4</v>
      </c>
      <c r="C993">
        <f>_xlfn.XLOOKUP(Recon!A993,[1]Backup!AJ:AJ,[1]Backup!L:L)</f>
        <v>152.66999999999999</v>
      </c>
      <c r="D993">
        <f>_xlfn.XLOOKUP(Recon!A993,[1]Backup!AJ:AJ,[1]Backup!K:K)</f>
        <v>5.1907800000000002</v>
      </c>
      <c r="E993">
        <f>SUMIF('[1]PO Report'!A:A,Recon!A993,'[1]PO Report'!P:P)</f>
        <v>4</v>
      </c>
      <c r="F993">
        <f>VLOOKUP(A993,'[1]PO Report'!$A:$Z,15,0)</f>
        <v>152.66999999999999</v>
      </c>
      <c r="H993">
        <f t="shared" si="30"/>
        <v>0</v>
      </c>
      <c r="J993">
        <f t="shared" si="31"/>
        <v>0</v>
      </c>
    </row>
    <row r="994" spans="1:10" x14ac:dyDescent="0.25">
      <c r="A994" t="s">
        <v>2974</v>
      </c>
      <c r="B994">
        <v>10</v>
      </c>
      <c r="C994">
        <f>_xlfn.XLOOKUP(Recon!A994,[1]Backup!AJ:AJ,[1]Backup!L:L)</f>
        <v>17.559999999999999</v>
      </c>
      <c r="D994">
        <f>_xlfn.XLOOKUP(Recon!A994,[1]Backup!AJ:AJ,[1]Backup!K:K)</f>
        <v>0.59704000000000002</v>
      </c>
      <c r="E994">
        <f>SUMIF('[1]PO Report'!A:A,Recon!A994,'[1]PO Report'!P:P)</f>
        <v>10</v>
      </c>
      <c r="F994">
        <f>VLOOKUP(A994,'[1]PO Report'!$A:$Z,15,0)</f>
        <v>17.559999999999999</v>
      </c>
      <c r="H994">
        <f t="shared" si="30"/>
        <v>0</v>
      </c>
      <c r="J994">
        <f t="shared" si="31"/>
        <v>0</v>
      </c>
    </row>
    <row r="995" spans="1:10" x14ac:dyDescent="0.25">
      <c r="A995" t="s">
        <v>2975</v>
      </c>
      <c r="B995">
        <v>24</v>
      </c>
      <c r="C995">
        <f>_xlfn.XLOOKUP(Recon!A995,[1]Backup!AJ:AJ,[1]Backup!L:L)</f>
        <v>69.61</v>
      </c>
      <c r="D995">
        <f>_xlfn.XLOOKUP(Recon!A995,[1]Backup!AJ:AJ,[1]Backup!K:K)</f>
        <v>2.3667400000000001</v>
      </c>
      <c r="E995">
        <f>SUMIF('[1]PO Report'!A:A,Recon!A995,'[1]PO Report'!P:P)</f>
        <v>24</v>
      </c>
      <c r="F995">
        <f>VLOOKUP(A995,'[1]PO Report'!$A:$Z,15,0)</f>
        <v>69.61</v>
      </c>
      <c r="H995">
        <f t="shared" si="30"/>
        <v>0</v>
      </c>
      <c r="J995">
        <f t="shared" si="31"/>
        <v>0</v>
      </c>
    </row>
    <row r="996" spans="1:10" x14ac:dyDescent="0.25">
      <c r="A996" t="s">
        <v>2976</v>
      </c>
      <c r="B996">
        <v>4</v>
      </c>
      <c r="C996">
        <f>_xlfn.XLOOKUP(Recon!A996,[1]Backup!AJ:AJ,[1]Backup!L:L)</f>
        <v>23.42</v>
      </c>
      <c r="D996">
        <f>_xlfn.XLOOKUP(Recon!A996,[1]Backup!AJ:AJ,[1]Backup!K:K)</f>
        <v>0.79627999999999999</v>
      </c>
      <c r="E996">
        <f>SUMIF('[1]PO Report'!A:A,Recon!A996,'[1]PO Report'!P:P)</f>
        <v>4</v>
      </c>
      <c r="F996">
        <f>VLOOKUP(A996,'[1]PO Report'!$A:$Z,15,0)</f>
        <v>23.42</v>
      </c>
      <c r="H996">
        <f t="shared" si="30"/>
        <v>0</v>
      </c>
      <c r="J996">
        <f t="shared" si="31"/>
        <v>0</v>
      </c>
    </row>
    <row r="997" spans="1:10" x14ac:dyDescent="0.25">
      <c r="A997" t="s">
        <v>2977</v>
      </c>
      <c r="B997">
        <v>10</v>
      </c>
      <c r="C997">
        <f>_xlfn.XLOOKUP(Recon!A997,[1]Backup!AJ:AJ,[1]Backup!L:L)</f>
        <v>9.36</v>
      </c>
      <c r="D997">
        <f>_xlfn.XLOOKUP(Recon!A997,[1]Backup!AJ:AJ,[1]Backup!K:K)</f>
        <v>0.31823999999999997</v>
      </c>
      <c r="E997">
        <f>SUMIF('[1]PO Report'!A:A,Recon!A997,'[1]PO Report'!P:P)</f>
        <v>10</v>
      </c>
      <c r="F997">
        <f>VLOOKUP(A997,'[1]PO Report'!$A:$Z,15,0)</f>
        <v>9.36</v>
      </c>
      <c r="H997">
        <f t="shared" si="30"/>
        <v>0</v>
      </c>
      <c r="J997">
        <f t="shared" si="31"/>
        <v>0</v>
      </c>
    </row>
    <row r="998" spans="1:10" x14ac:dyDescent="0.25">
      <c r="A998" t="s">
        <v>2978</v>
      </c>
      <c r="B998">
        <v>24</v>
      </c>
      <c r="C998">
        <f>_xlfn.XLOOKUP(Recon!A998,[1]Backup!AJ:AJ,[1]Backup!L:L)</f>
        <v>23.42</v>
      </c>
      <c r="D998">
        <f>_xlfn.XLOOKUP(Recon!A998,[1]Backup!AJ:AJ,[1]Backup!K:K)</f>
        <v>0.79627999999999999</v>
      </c>
      <c r="E998">
        <f>SUMIF('[1]PO Report'!A:A,Recon!A998,'[1]PO Report'!P:P)</f>
        <v>24</v>
      </c>
      <c r="F998">
        <f>VLOOKUP(A998,'[1]PO Report'!$A:$Z,15,0)</f>
        <v>23.42</v>
      </c>
      <c r="H998">
        <f t="shared" si="30"/>
        <v>0</v>
      </c>
      <c r="J998">
        <f t="shared" si="31"/>
        <v>0</v>
      </c>
    </row>
    <row r="999" spans="1:10" x14ac:dyDescent="0.25">
      <c r="A999" t="s">
        <v>2979</v>
      </c>
      <c r="B999">
        <v>52</v>
      </c>
      <c r="C999">
        <f>_xlfn.XLOOKUP(Recon!A999,[1]Backup!AJ:AJ,[1]Backup!L:L)</f>
        <v>105</v>
      </c>
      <c r="D999">
        <f>_xlfn.XLOOKUP(Recon!A999,[1]Backup!AJ:AJ,[1]Backup!K:K)</f>
        <v>3.57</v>
      </c>
      <c r="E999">
        <f>SUMIF('[1]PO Report'!A:A,Recon!A999,'[1]PO Report'!P:P)</f>
        <v>52</v>
      </c>
      <c r="F999">
        <f>VLOOKUP(A999,'[1]PO Report'!$A:$Z,15,0)</f>
        <v>105</v>
      </c>
      <c r="H999">
        <f t="shared" si="30"/>
        <v>0</v>
      </c>
      <c r="J999">
        <f t="shared" si="31"/>
        <v>0</v>
      </c>
    </row>
    <row r="1000" spans="1:10" x14ac:dyDescent="0.25">
      <c r="A1000" t="s">
        <v>2980</v>
      </c>
      <c r="B1000">
        <v>56</v>
      </c>
      <c r="C1000">
        <f>_xlfn.XLOOKUP(Recon!A1000,[1]Backup!AJ:AJ,[1]Backup!L:L)</f>
        <v>75.41</v>
      </c>
      <c r="D1000">
        <f>_xlfn.XLOOKUP(Recon!A1000,[1]Backup!AJ:AJ,[1]Backup!K:K)</f>
        <v>2.5639399999999997</v>
      </c>
      <c r="E1000">
        <f>SUMIF('[1]PO Report'!A:A,Recon!A1000,'[1]PO Report'!P:P)</f>
        <v>56</v>
      </c>
      <c r="F1000">
        <f>VLOOKUP(A1000,'[1]PO Report'!$A:$Z,15,0)</f>
        <v>75.41</v>
      </c>
      <c r="H1000">
        <f t="shared" si="30"/>
        <v>0</v>
      </c>
      <c r="J1000">
        <f t="shared" si="31"/>
        <v>0</v>
      </c>
    </row>
    <row r="1001" spans="1:10" x14ac:dyDescent="0.25">
      <c r="A1001" t="s">
        <v>2981</v>
      </c>
      <c r="B1001">
        <v>20</v>
      </c>
      <c r="C1001">
        <f>_xlfn.XLOOKUP(Recon!A1001,[1]Backup!AJ:AJ,[1]Backup!L:L)</f>
        <v>43.92</v>
      </c>
      <c r="D1001">
        <f>_xlfn.XLOOKUP(Recon!A1001,[1]Backup!AJ:AJ,[1]Backup!K:K)</f>
        <v>1.4932799999999999</v>
      </c>
      <c r="E1001">
        <f>SUMIF('[1]PO Report'!A:A,Recon!A1001,'[1]PO Report'!P:P)</f>
        <v>20</v>
      </c>
      <c r="F1001">
        <f>VLOOKUP(A1001,'[1]PO Report'!$A:$Z,15,0)</f>
        <v>43.92</v>
      </c>
      <c r="H1001">
        <f t="shared" si="30"/>
        <v>0</v>
      </c>
      <c r="J1001">
        <f t="shared" si="31"/>
        <v>0</v>
      </c>
    </row>
    <row r="1002" spans="1:10" x14ac:dyDescent="0.25">
      <c r="A1002" t="s">
        <v>2982</v>
      </c>
      <c r="B1002">
        <v>52</v>
      </c>
      <c r="C1002">
        <f>_xlfn.XLOOKUP(Recon!A1002,[1]Backup!AJ:AJ,[1]Backup!L:L)</f>
        <v>73.34</v>
      </c>
      <c r="D1002">
        <f>_xlfn.XLOOKUP(Recon!A1002,[1]Backup!AJ:AJ,[1]Backup!K:K)</f>
        <v>2.49356</v>
      </c>
      <c r="E1002">
        <f>SUMIF('[1]PO Report'!A:A,Recon!A1002,'[1]PO Report'!P:P)</f>
        <v>52</v>
      </c>
      <c r="F1002">
        <f>VLOOKUP(A1002,'[1]PO Report'!$A:$Z,15,0)</f>
        <v>73.34</v>
      </c>
      <c r="H1002">
        <f t="shared" si="30"/>
        <v>0</v>
      </c>
      <c r="J1002">
        <f t="shared" si="31"/>
        <v>0</v>
      </c>
    </row>
    <row r="1003" spans="1:10" x14ac:dyDescent="0.25">
      <c r="A1003" t="s">
        <v>2983</v>
      </c>
      <c r="B1003">
        <v>42</v>
      </c>
      <c r="C1003">
        <f>_xlfn.XLOOKUP(Recon!A1003,[1]Backup!AJ:AJ,[1]Backup!L:L)</f>
        <v>226.35000000000002</v>
      </c>
      <c r="D1003">
        <f>_xlfn.XLOOKUP(Recon!A1003,[1]Backup!AJ:AJ,[1]Backup!K:K)</f>
        <v>7.6959</v>
      </c>
      <c r="E1003">
        <f>SUMIF('[1]PO Report'!A:A,Recon!A1003,'[1]PO Report'!P:P)</f>
        <v>42</v>
      </c>
      <c r="F1003">
        <f>VLOOKUP(A1003,'[1]PO Report'!$A:$Z,15,0)</f>
        <v>226.35</v>
      </c>
      <c r="H1003">
        <f t="shared" si="30"/>
        <v>0</v>
      </c>
      <c r="J1003">
        <f t="shared" si="31"/>
        <v>0</v>
      </c>
    </row>
    <row r="1004" spans="1:10" x14ac:dyDescent="0.25">
      <c r="A1004" t="s">
        <v>2984</v>
      </c>
      <c r="B1004">
        <v>1344</v>
      </c>
      <c r="C1004">
        <f>_xlfn.XLOOKUP(Recon!A1004,[1]Backup!AJ:AJ,[1]Backup!L:L)</f>
        <v>29</v>
      </c>
      <c r="D1004">
        <f>_xlfn.XLOOKUP(Recon!A1004,[1]Backup!AJ:AJ,[1]Backup!K:K)</f>
        <v>0.98599999999999999</v>
      </c>
      <c r="E1004">
        <f>SUMIF('[1]PO Report'!A:A,Recon!A1004,'[1]PO Report'!P:P)</f>
        <v>1344</v>
      </c>
      <c r="F1004">
        <f>VLOOKUP(A1004,'[1]PO Report'!$A:$Z,15,0)</f>
        <v>29</v>
      </c>
      <c r="H1004">
        <f t="shared" si="30"/>
        <v>0</v>
      </c>
      <c r="J1004">
        <f t="shared" si="31"/>
        <v>0</v>
      </c>
    </row>
    <row r="1005" spans="1:10" x14ac:dyDescent="0.25">
      <c r="A1005" t="s">
        <v>2985</v>
      </c>
      <c r="B1005">
        <v>92</v>
      </c>
      <c r="C1005">
        <f>_xlfn.XLOOKUP(Recon!A1005,[1]Backup!AJ:AJ,[1]Backup!L:L)</f>
        <v>74.84</v>
      </c>
      <c r="D1005">
        <f>_xlfn.XLOOKUP(Recon!A1005,[1]Backup!AJ:AJ,[1]Backup!K:K)</f>
        <v>2.5445600000000002</v>
      </c>
      <c r="E1005">
        <f>SUMIF('[1]PO Report'!A:A,Recon!A1005,'[1]PO Report'!P:P)</f>
        <v>92</v>
      </c>
      <c r="F1005">
        <f>VLOOKUP(A1005,'[1]PO Report'!$A:$Z,15,0)</f>
        <v>74.84</v>
      </c>
      <c r="H1005">
        <f t="shared" si="30"/>
        <v>0</v>
      </c>
      <c r="J1005">
        <f t="shared" si="31"/>
        <v>0</v>
      </c>
    </row>
    <row r="1006" spans="1:10" x14ac:dyDescent="0.25">
      <c r="A1006" t="s">
        <v>2986</v>
      </c>
      <c r="B1006">
        <v>272</v>
      </c>
      <c r="C1006">
        <f>_xlfn.XLOOKUP(Recon!A1006,[1]Backup!AJ:AJ,[1]Backup!L:L)</f>
        <v>73.34</v>
      </c>
      <c r="D1006">
        <f>_xlfn.XLOOKUP(Recon!A1006,[1]Backup!AJ:AJ,[1]Backup!K:K)</f>
        <v>2.49356</v>
      </c>
      <c r="E1006">
        <f>SUMIF('[1]PO Report'!A:A,Recon!A1006,'[1]PO Report'!P:P)</f>
        <v>272</v>
      </c>
      <c r="F1006">
        <f>VLOOKUP(A1006,'[1]PO Report'!$A:$Z,15,0)</f>
        <v>73.34</v>
      </c>
      <c r="H1006">
        <f t="shared" si="30"/>
        <v>0</v>
      </c>
      <c r="J1006">
        <f t="shared" si="31"/>
        <v>0</v>
      </c>
    </row>
    <row r="1007" spans="1:10" x14ac:dyDescent="0.25">
      <c r="A1007" t="s">
        <v>2987</v>
      </c>
      <c r="B1007">
        <v>120</v>
      </c>
      <c r="C1007">
        <f>_xlfn.XLOOKUP(Recon!A1007,[1]Backup!AJ:AJ,[1]Backup!L:L)</f>
        <v>226.35</v>
      </c>
      <c r="D1007">
        <f>_xlfn.XLOOKUP(Recon!A1007,[1]Backup!AJ:AJ,[1]Backup!K:K)</f>
        <v>7.6959</v>
      </c>
      <c r="E1007">
        <f>SUMIF('[1]PO Report'!A:A,Recon!A1007,'[1]PO Report'!P:P)</f>
        <v>120</v>
      </c>
      <c r="F1007">
        <f>VLOOKUP(A1007,'[1]PO Report'!$A:$Z,15,0)</f>
        <v>226.35</v>
      </c>
      <c r="H1007">
        <f t="shared" si="30"/>
        <v>0</v>
      </c>
      <c r="J1007">
        <f t="shared" si="31"/>
        <v>0</v>
      </c>
    </row>
    <row r="1008" spans="1:10" x14ac:dyDescent="0.25">
      <c r="A1008" t="s">
        <v>2988</v>
      </c>
      <c r="B1008">
        <v>162</v>
      </c>
      <c r="C1008">
        <f>_xlfn.XLOOKUP(Recon!A1008,[1]Backup!AJ:AJ,[1]Backup!L:L)</f>
        <v>29</v>
      </c>
      <c r="D1008">
        <f>_xlfn.XLOOKUP(Recon!A1008,[1]Backup!AJ:AJ,[1]Backup!K:K)</f>
        <v>0.98599999999999999</v>
      </c>
      <c r="E1008">
        <f>SUMIF('[1]PO Report'!A:A,Recon!A1008,'[1]PO Report'!P:P)</f>
        <v>162</v>
      </c>
      <c r="F1008">
        <f>VLOOKUP(A1008,'[1]PO Report'!$A:$Z,15,0)</f>
        <v>29</v>
      </c>
      <c r="H1008">
        <f t="shared" si="30"/>
        <v>0</v>
      </c>
      <c r="J1008">
        <f t="shared" si="31"/>
        <v>0</v>
      </c>
    </row>
    <row r="1009" spans="1:10" x14ac:dyDescent="0.25">
      <c r="A1009" t="s">
        <v>2989</v>
      </c>
      <c r="B1009">
        <v>240</v>
      </c>
      <c r="C1009">
        <f>_xlfn.XLOOKUP(Recon!A1009,[1]Backup!AJ:AJ,[1]Backup!L:L)</f>
        <v>69.03</v>
      </c>
      <c r="D1009">
        <f>_xlfn.XLOOKUP(Recon!A1009,[1]Backup!AJ:AJ,[1]Backup!K:K)</f>
        <v>2.3470200000000001</v>
      </c>
      <c r="E1009">
        <f>SUMIF('[1]PO Report'!A:A,Recon!A1009,'[1]PO Report'!P:P)</f>
        <v>240</v>
      </c>
      <c r="F1009">
        <f>VLOOKUP(A1009,'[1]PO Report'!$A:$Z,15,0)</f>
        <v>69.03</v>
      </c>
      <c r="H1009">
        <f t="shared" si="30"/>
        <v>0</v>
      </c>
      <c r="J1009">
        <f t="shared" si="31"/>
        <v>0</v>
      </c>
    </row>
    <row r="1010" spans="1:10" x14ac:dyDescent="0.25">
      <c r="A1010" t="s">
        <v>2990</v>
      </c>
      <c r="B1010">
        <v>204</v>
      </c>
      <c r="C1010">
        <f>_xlfn.XLOOKUP(Recon!A1010,[1]Backup!AJ:AJ,[1]Backup!L:L)</f>
        <v>110.27000000000001</v>
      </c>
      <c r="D1010">
        <f>_xlfn.XLOOKUP(Recon!A1010,[1]Backup!AJ:AJ,[1]Backup!K:K)</f>
        <v>3.74918</v>
      </c>
      <c r="E1010">
        <f>SUMIF('[1]PO Report'!A:A,Recon!A1010,'[1]PO Report'!P:P)</f>
        <v>204</v>
      </c>
      <c r="F1010">
        <f>VLOOKUP(A1010,'[1]PO Report'!$A:$Z,15,0)</f>
        <v>110.27</v>
      </c>
      <c r="H1010">
        <f t="shared" si="30"/>
        <v>0</v>
      </c>
      <c r="J1010">
        <f t="shared" si="31"/>
        <v>0</v>
      </c>
    </row>
    <row r="1011" spans="1:10" x14ac:dyDescent="0.25">
      <c r="A1011" t="s">
        <v>2991</v>
      </c>
      <c r="B1011">
        <v>12</v>
      </c>
      <c r="C1011">
        <f>_xlfn.XLOOKUP(Recon!A1011,[1]Backup!AJ:AJ,[1]Backup!L:L)</f>
        <v>68.06</v>
      </c>
      <c r="D1011">
        <f>_xlfn.XLOOKUP(Recon!A1011,[1]Backup!AJ:AJ,[1]Backup!K:K)</f>
        <v>2.3140399999999999</v>
      </c>
      <c r="E1011">
        <f>SUMIF('[1]PO Report'!A:A,Recon!A1011,'[1]PO Report'!P:P)</f>
        <v>12</v>
      </c>
      <c r="F1011">
        <f>VLOOKUP(A1011,'[1]PO Report'!$A:$Z,15,0)</f>
        <v>68.06</v>
      </c>
      <c r="H1011">
        <f t="shared" si="30"/>
        <v>0</v>
      </c>
      <c r="J1011">
        <f t="shared" si="31"/>
        <v>0</v>
      </c>
    </row>
    <row r="1012" spans="1:10" x14ac:dyDescent="0.25">
      <c r="A1012" t="s">
        <v>2992</v>
      </c>
      <c r="B1012">
        <v>84</v>
      </c>
      <c r="C1012">
        <f>_xlfn.XLOOKUP(Recon!A1012,[1]Backup!AJ:AJ,[1]Backup!L:L)</f>
        <v>36.93</v>
      </c>
      <c r="D1012">
        <f>_xlfn.XLOOKUP(Recon!A1012,[1]Backup!AJ:AJ,[1]Backup!K:K)</f>
        <v>1.25562</v>
      </c>
      <c r="E1012">
        <f>SUMIF('[1]PO Report'!A:A,Recon!A1012,'[1]PO Report'!P:P)</f>
        <v>84</v>
      </c>
      <c r="F1012">
        <f>VLOOKUP(A1012,'[1]PO Report'!$A:$Z,15,0)</f>
        <v>36.93</v>
      </c>
      <c r="H1012">
        <f t="shared" si="30"/>
        <v>0</v>
      </c>
      <c r="J1012">
        <f t="shared" si="31"/>
        <v>0</v>
      </c>
    </row>
    <row r="1013" spans="1:10" x14ac:dyDescent="0.25">
      <c r="A1013" t="s">
        <v>2993</v>
      </c>
      <c r="B1013">
        <v>4</v>
      </c>
      <c r="C1013">
        <f>_xlfn.XLOOKUP(Recon!A1013,[1]Backup!AJ:AJ,[1]Backup!L:L)</f>
        <v>69.61</v>
      </c>
      <c r="D1013">
        <f>_xlfn.XLOOKUP(Recon!A1013,[1]Backup!AJ:AJ,[1]Backup!K:K)</f>
        <v>2.3667400000000001</v>
      </c>
      <c r="E1013">
        <f>SUMIF('[1]PO Report'!A:A,Recon!A1013,'[1]PO Report'!P:P)</f>
        <v>452</v>
      </c>
      <c r="F1013">
        <f>VLOOKUP(A1013,'[1]PO Report'!$A:$Z,15,0)</f>
        <v>69.61</v>
      </c>
      <c r="H1013">
        <f t="shared" si="30"/>
        <v>-448</v>
      </c>
      <c r="J1013">
        <f t="shared" si="31"/>
        <v>0</v>
      </c>
    </row>
    <row r="1014" spans="1:10" x14ac:dyDescent="0.25">
      <c r="A1014" t="s">
        <v>2994</v>
      </c>
      <c r="B1014">
        <v>16</v>
      </c>
      <c r="C1014">
        <f>_xlfn.XLOOKUP(Recon!A1014,[1]Backup!AJ:AJ,[1]Backup!L:L)</f>
        <v>83.89</v>
      </c>
      <c r="D1014">
        <f>_xlfn.XLOOKUP(Recon!A1014,[1]Backup!AJ:AJ,[1]Backup!K:K)</f>
        <v>2.8522599999999998</v>
      </c>
      <c r="E1014">
        <f>SUMIF('[1]PO Report'!A:A,Recon!A1014,'[1]PO Report'!P:P)</f>
        <v>16</v>
      </c>
      <c r="F1014">
        <f>VLOOKUP(A1014,'[1]PO Report'!$A:$Z,15,0)</f>
        <v>83.89</v>
      </c>
      <c r="H1014">
        <f t="shared" si="30"/>
        <v>0</v>
      </c>
      <c r="J1014">
        <f t="shared" si="31"/>
        <v>0</v>
      </c>
    </row>
    <row r="1015" spans="1:10" x14ac:dyDescent="0.25">
      <c r="A1015" t="s">
        <v>2995</v>
      </c>
      <c r="B1015">
        <v>4</v>
      </c>
      <c r="C1015">
        <f>_xlfn.XLOOKUP(Recon!A1015,[1]Backup!AJ:AJ,[1]Backup!L:L)</f>
        <v>47.48</v>
      </c>
      <c r="D1015">
        <f>_xlfn.XLOOKUP(Recon!A1015,[1]Backup!AJ:AJ,[1]Backup!K:K)</f>
        <v>1.61432</v>
      </c>
      <c r="E1015">
        <f>SUMIF('[1]PO Report'!A:A,Recon!A1015,'[1]PO Report'!P:P)</f>
        <v>4</v>
      </c>
      <c r="F1015">
        <f>VLOOKUP(A1015,'[1]PO Report'!$A:$Z,15,0)</f>
        <v>47.48</v>
      </c>
      <c r="H1015">
        <f t="shared" si="30"/>
        <v>0</v>
      </c>
      <c r="J1015">
        <f t="shared" si="31"/>
        <v>0</v>
      </c>
    </row>
    <row r="1016" spans="1:10" x14ac:dyDescent="0.25">
      <c r="A1016" t="s">
        <v>2996</v>
      </c>
      <c r="B1016">
        <v>4</v>
      </c>
      <c r="C1016">
        <f>_xlfn.XLOOKUP(Recon!A1016,[1]Backup!AJ:AJ,[1]Backup!L:L)</f>
        <v>23.42</v>
      </c>
      <c r="D1016">
        <f>_xlfn.XLOOKUP(Recon!A1016,[1]Backup!AJ:AJ,[1]Backup!K:K)</f>
        <v>0.79627999999999999</v>
      </c>
      <c r="E1016">
        <f>SUMIF('[1]PO Report'!A:A,Recon!A1016,'[1]PO Report'!P:P)</f>
        <v>4</v>
      </c>
      <c r="F1016">
        <f>VLOOKUP(A1016,'[1]PO Report'!$A:$Z,15,0)</f>
        <v>23.42</v>
      </c>
      <c r="H1016">
        <f t="shared" si="30"/>
        <v>0</v>
      </c>
      <c r="J1016">
        <f t="shared" si="31"/>
        <v>0</v>
      </c>
    </row>
    <row r="1017" spans="1:10" x14ac:dyDescent="0.25">
      <c r="A1017" t="s">
        <v>2997</v>
      </c>
      <c r="B1017">
        <v>1340</v>
      </c>
      <c r="C1017">
        <f>_xlfn.XLOOKUP(Recon!A1017,[1]Backup!AJ:AJ,[1]Backup!L:L)</f>
        <v>221.07000000000002</v>
      </c>
      <c r="D1017">
        <f>_xlfn.XLOOKUP(Recon!A1017,[1]Backup!AJ:AJ,[1]Backup!K:K)</f>
        <v>7.5163800000000007</v>
      </c>
      <c r="E1017">
        <f>SUMIF('[1]PO Report'!A:A,Recon!A1017,'[1]PO Report'!P:P)</f>
        <v>1380</v>
      </c>
      <c r="F1017">
        <f>VLOOKUP(A1017,'[1]PO Report'!$A:$Z,15,0)</f>
        <v>221.07</v>
      </c>
      <c r="H1017">
        <f t="shared" si="30"/>
        <v>-40</v>
      </c>
      <c r="J1017">
        <f t="shared" si="31"/>
        <v>0</v>
      </c>
    </row>
    <row r="1018" spans="1:10" x14ac:dyDescent="0.25">
      <c r="A1018" t="s">
        <v>2998</v>
      </c>
      <c r="B1018">
        <v>6</v>
      </c>
      <c r="C1018">
        <f>_xlfn.XLOOKUP(Recon!A1018,[1]Backup!AJ:AJ,[1]Backup!L:L)</f>
        <v>221.07000000000002</v>
      </c>
      <c r="D1018">
        <f>_xlfn.XLOOKUP(Recon!A1018,[1]Backup!AJ:AJ,[1]Backup!K:K)</f>
        <v>7.5163800000000007</v>
      </c>
      <c r="E1018">
        <f>SUMIF('[1]PO Report'!A:A,Recon!A1018,'[1]PO Report'!P:P)</f>
        <v>6</v>
      </c>
      <c r="F1018">
        <f>VLOOKUP(A1018,'[1]PO Report'!$A:$Z,15,0)</f>
        <v>221.07</v>
      </c>
      <c r="H1018">
        <f t="shared" si="30"/>
        <v>0</v>
      </c>
      <c r="J1018">
        <f t="shared" si="31"/>
        <v>0</v>
      </c>
    </row>
    <row r="1019" spans="1:10" x14ac:dyDescent="0.25">
      <c r="A1019" t="s">
        <v>2999</v>
      </c>
      <c r="B1019">
        <v>72</v>
      </c>
      <c r="C1019">
        <f>_xlfn.XLOOKUP(Recon!A1019,[1]Backup!AJ:AJ,[1]Backup!L:L)</f>
        <v>75.410000000000011</v>
      </c>
      <c r="D1019">
        <f>_xlfn.XLOOKUP(Recon!A1019,[1]Backup!AJ:AJ,[1]Backup!K:K)</f>
        <v>2.5639400000000001</v>
      </c>
      <c r="E1019">
        <f>SUMIF('[1]PO Report'!A:A,Recon!A1019,'[1]PO Report'!P:P)</f>
        <v>72</v>
      </c>
      <c r="F1019">
        <f>VLOOKUP(A1019,'[1]PO Report'!$A:$Z,15,0)</f>
        <v>75.41</v>
      </c>
      <c r="H1019">
        <f t="shared" si="30"/>
        <v>0</v>
      </c>
      <c r="J1019">
        <f t="shared" si="31"/>
        <v>0</v>
      </c>
    </row>
    <row r="1020" spans="1:10" x14ac:dyDescent="0.25">
      <c r="A1020" t="s">
        <v>3000</v>
      </c>
      <c r="B1020">
        <v>12</v>
      </c>
      <c r="C1020">
        <f>_xlfn.XLOOKUP(Recon!A1020,[1]Backup!AJ:AJ,[1]Backup!L:L)</f>
        <v>75.41</v>
      </c>
      <c r="D1020">
        <f>_xlfn.XLOOKUP(Recon!A1020,[1]Backup!AJ:AJ,[1]Backup!K:K)</f>
        <v>2.5639400000000001</v>
      </c>
      <c r="E1020">
        <f>SUMIF('[1]PO Report'!A:A,Recon!A1020,'[1]PO Report'!P:P)</f>
        <v>12</v>
      </c>
      <c r="F1020">
        <f>VLOOKUP(A1020,'[1]PO Report'!$A:$Z,15,0)</f>
        <v>75.41</v>
      </c>
      <c r="H1020">
        <f t="shared" si="30"/>
        <v>0</v>
      </c>
      <c r="J1020">
        <f t="shared" si="31"/>
        <v>0</v>
      </c>
    </row>
    <row r="1021" spans="1:10" x14ac:dyDescent="0.25">
      <c r="A1021" t="s">
        <v>3001</v>
      </c>
      <c r="B1021">
        <v>4</v>
      </c>
      <c r="C1021">
        <f>_xlfn.XLOOKUP(Recon!A1021,[1]Backup!AJ:AJ,[1]Backup!L:L)</f>
        <v>121.25</v>
      </c>
      <c r="D1021">
        <f>_xlfn.XLOOKUP(Recon!A1021,[1]Backup!AJ:AJ,[1]Backup!K:K)</f>
        <v>4.1224999999999996</v>
      </c>
      <c r="E1021">
        <f>SUMIF('[1]PO Report'!A:A,Recon!A1021,'[1]PO Report'!P:P)</f>
        <v>4</v>
      </c>
      <c r="F1021">
        <f>VLOOKUP(A1021,'[1]PO Report'!$A:$Z,15,0)</f>
        <v>121.25</v>
      </c>
      <c r="H1021">
        <f t="shared" si="30"/>
        <v>0</v>
      </c>
      <c r="J1021">
        <f t="shared" si="31"/>
        <v>0</v>
      </c>
    </row>
    <row r="1022" spans="1:10" x14ac:dyDescent="0.25">
      <c r="A1022" t="s">
        <v>3002</v>
      </c>
      <c r="B1022">
        <v>12</v>
      </c>
      <c r="C1022">
        <f>_xlfn.XLOOKUP(Recon!A1022,[1]Backup!AJ:AJ,[1]Backup!L:L)</f>
        <v>121.25</v>
      </c>
      <c r="D1022">
        <f>_xlfn.XLOOKUP(Recon!A1022,[1]Backup!AJ:AJ,[1]Backup!K:K)</f>
        <v>4.1224999999999996</v>
      </c>
      <c r="E1022">
        <f>SUMIF('[1]PO Report'!A:A,Recon!A1022,'[1]PO Report'!P:P)</f>
        <v>12</v>
      </c>
      <c r="F1022">
        <f>VLOOKUP(A1022,'[1]PO Report'!$A:$Z,15,0)</f>
        <v>121.25</v>
      </c>
      <c r="H1022">
        <f t="shared" si="30"/>
        <v>0</v>
      </c>
      <c r="J1022">
        <f t="shared" si="31"/>
        <v>0</v>
      </c>
    </row>
    <row r="1023" spans="1:10" x14ac:dyDescent="0.25">
      <c r="A1023" t="s">
        <v>3003</v>
      </c>
      <c r="B1023">
        <v>6</v>
      </c>
      <c r="C1023">
        <f>_xlfn.XLOOKUP(Recon!A1023,[1]Backup!AJ:AJ,[1]Backup!L:L)</f>
        <v>73.34</v>
      </c>
      <c r="D1023">
        <f>_xlfn.XLOOKUP(Recon!A1023,[1]Backup!AJ:AJ,[1]Backup!K:K)</f>
        <v>2.49356</v>
      </c>
      <c r="E1023">
        <f>SUMIF('[1]PO Report'!A:A,Recon!A1023,'[1]PO Report'!P:P)</f>
        <v>4</v>
      </c>
      <c r="F1023">
        <f>VLOOKUP(A1023,'[1]PO Report'!$A:$Z,15,0)</f>
        <v>73.34</v>
      </c>
      <c r="H1023">
        <f t="shared" si="30"/>
        <v>2</v>
      </c>
      <c r="I1023">
        <f>H1023*D1023</f>
        <v>4.98712</v>
      </c>
      <c r="J1023">
        <f t="shared" si="31"/>
        <v>0</v>
      </c>
    </row>
    <row r="1024" spans="1:10" x14ac:dyDescent="0.25">
      <c r="A1024" t="s">
        <v>3004</v>
      </c>
      <c r="B1024">
        <v>4</v>
      </c>
      <c r="C1024">
        <f>_xlfn.XLOOKUP(Recon!A1024,[1]Backup!AJ:AJ,[1]Backup!L:L)</f>
        <v>94.44</v>
      </c>
      <c r="D1024">
        <f>_xlfn.XLOOKUP(Recon!A1024,[1]Backup!AJ:AJ,[1]Backup!K:K)</f>
        <v>3.21096</v>
      </c>
      <c r="E1024">
        <f>SUMIF('[1]PO Report'!A:A,Recon!A1024,'[1]PO Report'!P:P)</f>
        <v>4</v>
      </c>
      <c r="F1024">
        <f>VLOOKUP(A1024,'[1]PO Report'!$A:$Z,15,0)</f>
        <v>94.44</v>
      </c>
      <c r="H1024">
        <f t="shared" si="30"/>
        <v>0</v>
      </c>
      <c r="J1024">
        <f t="shared" si="31"/>
        <v>0</v>
      </c>
    </row>
    <row r="1025" spans="1:10" x14ac:dyDescent="0.25">
      <c r="A1025" t="s">
        <v>3005</v>
      </c>
      <c r="B1025">
        <v>8</v>
      </c>
      <c r="C1025">
        <f>_xlfn.XLOOKUP(Recon!A1025,[1]Backup!AJ:AJ,[1]Backup!L:L)</f>
        <v>74.84</v>
      </c>
      <c r="D1025">
        <f>_xlfn.XLOOKUP(Recon!A1025,[1]Backup!AJ:AJ,[1]Backup!K:K)</f>
        <v>2.5445600000000002</v>
      </c>
      <c r="E1025">
        <f>SUMIF('[1]PO Report'!A:A,Recon!A1025,'[1]PO Report'!P:P)</f>
        <v>8</v>
      </c>
      <c r="F1025">
        <f>VLOOKUP(A1025,'[1]PO Report'!$A:$Z,15,0)</f>
        <v>74.84</v>
      </c>
      <c r="H1025">
        <f t="shared" si="30"/>
        <v>0</v>
      </c>
      <c r="J1025">
        <f t="shared" si="31"/>
        <v>0</v>
      </c>
    </row>
    <row r="1026" spans="1:10" x14ac:dyDescent="0.25">
      <c r="A1026" t="s">
        <v>3006</v>
      </c>
      <c r="B1026">
        <v>5</v>
      </c>
      <c r="C1026">
        <f>_xlfn.XLOOKUP(Recon!A1026,[1]Backup!AJ:AJ,[1]Backup!L:L)</f>
        <v>226.35</v>
      </c>
      <c r="D1026">
        <f>_xlfn.XLOOKUP(Recon!A1026,[1]Backup!AJ:AJ,[1]Backup!K:K)</f>
        <v>7.6959</v>
      </c>
      <c r="E1026">
        <f>SUMIF('[1]PO Report'!A:A,Recon!A1026,'[1]PO Report'!P:P)</f>
        <v>5</v>
      </c>
      <c r="F1026">
        <f>VLOOKUP(A1026,'[1]PO Report'!$A:$Z,15,0)</f>
        <v>226.35</v>
      </c>
      <c r="H1026">
        <f t="shared" si="30"/>
        <v>0</v>
      </c>
      <c r="J1026">
        <f t="shared" si="31"/>
        <v>0</v>
      </c>
    </row>
    <row r="1027" spans="1:10" x14ac:dyDescent="0.25">
      <c r="A1027" t="s">
        <v>3007</v>
      </c>
      <c r="B1027">
        <v>16</v>
      </c>
      <c r="C1027">
        <f>_xlfn.XLOOKUP(Recon!A1027,[1]Backup!AJ:AJ,[1]Backup!L:L)</f>
        <v>96.83</v>
      </c>
      <c r="D1027">
        <f>_xlfn.XLOOKUP(Recon!A1027,[1]Backup!AJ:AJ,[1]Backup!K:K)</f>
        <v>3.2922199999999999</v>
      </c>
      <c r="E1027">
        <f>SUMIF('[1]PO Report'!A:A,Recon!A1027,'[1]PO Report'!P:P)</f>
        <v>16</v>
      </c>
      <c r="F1027">
        <f>VLOOKUP(A1027,'[1]PO Report'!$A:$Z,15,0)</f>
        <v>96.83</v>
      </c>
      <c r="H1027">
        <f t="shared" si="30"/>
        <v>0</v>
      </c>
      <c r="J1027">
        <f t="shared" si="31"/>
        <v>0</v>
      </c>
    </row>
    <row r="1028" spans="1:10" x14ac:dyDescent="0.25">
      <c r="A1028" t="s">
        <v>3008</v>
      </c>
      <c r="B1028">
        <v>102</v>
      </c>
      <c r="C1028">
        <f>_xlfn.XLOOKUP(Recon!A1028,[1]Backup!AJ:AJ,[1]Backup!L:L)</f>
        <v>29.28</v>
      </c>
      <c r="D1028">
        <f>_xlfn.XLOOKUP(Recon!A1028,[1]Backup!AJ:AJ,[1]Backup!K:K)</f>
        <v>0.99552000000000007</v>
      </c>
      <c r="E1028">
        <f>SUMIF('[1]PO Report'!A:A,Recon!A1028,'[1]PO Report'!P:P)</f>
        <v>102</v>
      </c>
      <c r="F1028">
        <f>VLOOKUP(A1028,'[1]PO Report'!$A:$Z,15,0)</f>
        <v>29.28</v>
      </c>
      <c r="H1028">
        <f t="shared" ref="H1028:H1091" si="32">B1028-E1028</f>
        <v>0</v>
      </c>
      <c r="J1028">
        <f t="shared" ref="J1028:J1091" si="33">C1028-F1028</f>
        <v>0</v>
      </c>
    </row>
    <row r="1029" spans="1:10" x14ac:dyDescent="0.25">
      <c r="A1029" t="s">
        <v>3009</v>
      </c>
      <c r="B1029">
        <v>410</v>
      </c>
      <c r="C1029">
        <f>_xlfn.XLOOKUP(Recon!A1029,[1]Backup!AJ:AJ,[1]Backup!L:L)</f>
        <v>10.530000000000001</v>
      </c>
      <c r="D1029">
        <f>_xlfn.XLOOKUP(Recon!A1029,[1]Backup!AJ:AJ,[1]Backup!K:K)</f>
        <v>0.35801999999999995</v>
      </c>
      <c r="E1029">
        <f>SUMIF('[1]PO Report'!A:A,Recon!A1029,'[1]PO Report'!P:P)</f>
        <v>410</v>
      </c>
      <c r="F1029">
        <f>VLOOKUP(A1029,'[1]PO Report'!$A:$Z,15,0)</f>
        <v>10.53</v>
      </c>
      <c r="H1029">
        <f t="shared" si="32"/>
        <v>0</v>
      </c>
      <c r="J1029">
        <f t="shared" si="33"/>
        <v>0</v>
      </c>
    </row>
    <row r="1030" spans="1:10" x14ac:dyDescent="0.25">
      <c r="A1030" t="s">
        <v>3010</v>
      </c>
      <c r="B1030">
        <v>8</v>
      </c>
      <c r="C1030">
        <f>_xlfn.XLOOKUP(Recon!A1030,[1]Backup!AJ:AJ,[1]Backup!L:L)</f>
        <v>20.5</v>
      </c>
      <c r="D1030">
        <f>_xlfn.XLOOKUP(Recon!A1030,[1]Backup!AJ:AJ,[1]Backup!K:K)</f>
        <v>0.69699999999999995</v>
      </c>
      <c r="E1030">
        <f>SUMIF('[1]PO Report'!A:A,Recon!A1030,'[1]PO Report'!P:P)</f>
        <v>8</v>
      </c>
      <c r="F1030">
        <f>VLOOKUP(A1030,'[1]PO Report'!$A:$Z,15,0)</f>
        <v>20.5</v>
      </c>
      <c r="H1030">
        <f t="shared" si="32"/>
        <v>0</v>
      </c>
      <c r="J1030">
        <f t="shared" si="33"/>
        <v>0</v>
      </c>
    </row>
    <row r="1031" spans="1:10" x14ac:dyDescent="0.25">
      <c r="A1031" t="s">
        <v>3011</v>
      </c>
      <c r="B1031">
        <v>8</v>
      </c>
      <c r="C1031">
        <f>_xlfn.XLOOKUP(Recon!A1031,[1]Backup!AJ:AJ,[1]Backup!L:L)</f>
        <v>20.5</v>
      </c>
      <c r="D1031">
        <f>_xlfn.XLOOKUP(Recon!A1031,[1]Backup!AJ:AJ,[1]Backup!K:K)</f>
        <v>0.69699999999999995</v>
      </c>
      <c r="E1031">
        <f>SUMIF('[1]PO Report'!A:A,Recon!A1031,'[1]PO Report'!P:P)</f>
        <v>8</v>
      </c>
      <c r="F1031">
        <f>VLOOKUP(A1031,'[1]PO Report'!$A:$Z,15,0)</f>
        <v>20.5</v>
      </c>
      <c r="H1031">
        <f t="shared" si="32"/>
        <v>0</v>
      </c>
      <c r="J1031">
        <f t="shared" si="33"/>
        <v>0</v>
      </c>
    </row>
    <row r="1032" spans="1:10" x14ac:dyDescent="0.25">
      <c r="A1032" t="s">
        <v>3012</v>
      </c>
      <c r="B1032">
        <v>24</v>
      </c>
      <c r="C1032">
        <f>_xlfn.XLOOKUP(Recon!A1032,[1]Backup!AJ:AJ,[1]Backup!L:L)</f>
        <v>12.88</v>
      </c>
      <c r="D1032">
        <f>_xlfn.XLOOKUP(Recon!A1032,[1]Backup!AJ:AJ,[1]Backup!K:K)</f>
        <v>0.43792000000000003</v>
      </c>
      <c r="E1032">
        <f>SUMIF('[1]PO Report'!A:A,Recon!A1032,'[1]PO Report'!P:P)</f>
        <v>24</v>
      </c>
      <c r="F1032">
        <f>VLOOKUP(A1032,'[1]PO Report'!$A:$Z,15,0)</f>
        <v>12.88</v>
      </c>
      <c r="H1032">
        <f t="shared" si="32"/>
        <v>0</v>
      </c>
      <c r="J1032">
        <f t="shared" si="33"/>
        <v>0</v>
      </c>
    </row>
    <row r="1033" spans="1:10" x14ac:dyDescent="0.25">
      <c r="A1033" t="s">
        <v>3013</v>
      </c>
      <c r="B1033">
        <v>20</v>
      </c>
      <c r="C1033">
        <f>_xlfn.XLOOKUP(Recon!A1033,[1]Backup!AJ:AJ,[1]Backup!L:L)</f>
        <v>23.419999999999998</v>
      </c>
      <c r="D1033">
        <f>_xlfn.XLOOKUP(Recon!A1033,[1]Backup!AJ:AJ,[1]Backup!K:K)</f>
        <v>0.79627999999999999</v>
      </c>
      <c r="E1033">
        <f>SUMIF('[1]PO Report'!A:A,Recon!A1033,'[1]PO Report'!P:P)</f>
        <v>20</v>
      </c>
      <c r="F1033">
        <f>VLOOKUP(A1033,'[1]PO Report'!$A:$Z,15,0)</f>
        <v>23.42</v>
      </c>
      <c r="H1033">
        <f t="shared" si="32"/>
        <v>0</v>
      </c>
      <c r="J1033">
        <f t="shared" si="33"/>
        <v>0</v>
      </c>
    </row>
    <row r="1034" spans="1:10" x14ac:dyDescent="0.25">
      <c r="A1034" t="s">
        <v>3014</v>
      </c>
      <c r="B1034">
        <v>880</v>
      </c>
      <c r="C1034">
        <f>_xlfn.XLOOKUP(Recon!A1034,[1]Backup!AJ:AJ,[1]Backup!L:L)</f>
        <v>8.1999999999999993</v>
      </c>
      <c r="D1034">
        <f>_xlfn.XLOOKUP(Recon!A1034,[1]Backup!AJ:AJ,[1]Backup!K:K)</f>
        <v>0.27879999999999999</v>
      </c>
      <c r="E1034">
        <f>SUMIF('[1]PO Report'!A:A,Recon!A1034,'[1]PO Report'!P:P)</f>
        <v>880</v>
      </c>
      <c r="F1034">
        <f>VLOOKUP(A1034,'[1]PO Report'!$A:$Z,15,0)</f>
        <v>8.1999999999999993</v>
      </c>
      <c r="H1034">
        <f t="shared" si="32"/>
        <v>0</v>
      </c>
      <c r="J1034">
        <f t="shared" si="33"/>
        <v>0</v>
      </c>
    </row>
    <row r="1035" spans="1:10" x14ac:dyDescent="0.25">
      <c r="A1035" t="s">
        <v>3015</v>
      </c>
      <c r="B1035">
        <v>30</v>
      </c>
      <c r="C1035">
        <f>_xlfn.XLOOKUP(Recon!A1035,[1]Backup!AJ:AJ,[1]Backup!L:L)</f>
        <v>46.66</v>
      </c>
      <c r="D1035">
        <f>_xlfn.XLOOKUP(Recon!A1035,[1]Backup!AJ:AJ,[1]Backup!K:K)</f>
        <v>1.5864400000000001</v>
      </c>
      <c r="E1035">
        <f>SUMIF('[1]PO Report'!A:A,Recon!A1035,'[1]PO Report'!P:P)</f>
        <v>30</v>
      </c>
      <c r="F1035">
        <f>VLOOKUP(A1035,'[1]PO Report'!$A:$Z,15,0)</f>
        <v>46.66</v>
      </c>
      <c r="H1035">
        <f t="shared" si="32"/>
        <v>0</v>
      </c>
      <c r="J1035">
        <f t="shared" si="33"/>
        <v>0</v>
      </c>
    </row>
    <row r="1036" spans="1:10" x14ac:dyDescent="0.25">
      <c r="A1036" t="s">
        <v>3016</v>
      </c>
      <c r="B1036">
        <v>12</v>
      </c>
      <c r="C1036">
        <f>_xlfn.XLOOKUP(Recon!A1036,[1]Backup!AJ:AJ,[1]Backup!L:L)</f>
        <v>21.099999999999998</v>
      </c>
      <c r="D1036">
        <f>_xlfn.XLOOKUP(Recon!A1036,[1]Backup!AJ:AJ,[1]Backup!K:K)</f>
        <v>0.71740000000000004</v>
      </c>
      <c r="E1036">
        <f>SUMIF('[1]PO Report'!A:A,Recon!A1036,'[1]PO Report'!P:P)</f>
        <v>12</v>
      </c>
      <c r="F1036">
        <f>VLOOKUP(A1036,'[1]PO Report'!$A:$Z,15,0)</f>
        <v>21.1</v>
      </c>
      <c r="H1036">
        <f t="shared" si="32"/>
        <v>0</v>
      </c>
      <c r="J1036">
        <f t="shared" si="33"/>
        <v>0</v>
      </c>
    </row>
    <row r="1037" spans="1:10" x14ac:dyDescent="0.25">
      <c r="A1037" t="s">
        <v>3017</v>
      </c>
      <c r="B1037">
        <v>40</v>
      </c>
      <c r="C1037">
        <f>_xlfn.XLOOKUP(Recon!A1037,[1]Backup!AJ:AJ,[1]Backup!L:L)</f>
        <v>29.28</v>
      </c>
      <c r="D1037">
        <f>_xlfn.XLOOKUP(Recon!A1037,[1]Backup!AJ:AJ,[1]Backup!K:K)</f>
        <v>0.99551999999999996</v>
      </c>
      <c r="E1037">
        <f>SUMIF('[1]PO Report'!A:A,Recon!A1037,'[1]PO Report'!P:P)</f>
        <v>40</v>
      </c>
      <c r="F1037">
        <f>VLOOKUP(A1037,'[1]PO Report'!$A:$Z,15,0)</f>
        <v>29.28</v>
      </c>
      <c r="H1037">
        <f t="shared" si="32"/>
        <v>0</v>
      </c>
      <c r="J1037">
        <f t="shared" si="33"/>
        <v>0</v>
      </c>
    </row>
    <row r="1038" spans="1:10" x14ac:dyDescent="0.25">
      <c r="A1038" t="s">
        <v>3018</v>
      </c>
      <c r="B1038">
        <v>112</v>
      </c>
      <c r="C1038">
        <f>_xlfn.XLOOKUP(Recon!A1038,[1]Backup!AJ:AJ,[1]Backup!L:L)</f>
        <v>39.56</v>
      </c>
      <c r="D1038">
        <f>_xlfn.XLOOKUP(Recon!A1038,[1]Backup!AJ:AJ,[1]Backup!K:K)</f>
        <v>1.3450399999999998</v>
      </c>
      <c r="E1038">
        <f>SUMIF('[1]PO Report'!A:A,Recon!A1038,'[1]PO Report'!P:P)</f>
        <v>112</v>
      </c>
      <c r="F1038">
        <f>VLOOKUP(A1038,'[1]PO Report'!$A:$Z,15,0)</f>
        <v>39.56</v>
      </c>
      <c r="H1038">
        <f t="shared" si="32"/>
        <v>0</v>
      </c>
      <c r="J1038">
        <f t="shared" si="33"/>
        <v>0</v>
      </c>
    </row>
    <row r="1039" spans="1:10" x14ac:dyDescent="0.25">
      <c r="A1039" t="s">
        <v>3019</v>
      </c>
      <c r="B1039">
        <v>288</v>
      </c>
      <c r="C1039">
        <f>_xlfn.XLOOKUP(Recon!A1039,[1]Backup!AJ:AJ,[1]Backup!L:L)</f>
        <v>26.37</v>
      </c>
      <c r="D1039">
        <f>_xlfn.XLOOKUP(Recon!A1039,[1]Backup!AJ:AJ,[1]Backup!K:K)</f>
        <v>0.89658000000000004</v>
      </c>
      <c r="E1039">
        <f>SUMIF('[1]PO Report'!A:A,Recon!A1039,'[1]PO Report'!P:P)</f>
        <v>284</v>
      </c>
      <c r="F1039">
        <f>VLOOKUP(A1039,'[1]PO Report'!$A:$Z,15,0)</f>
        <v>26.37</v>
      </c>
      <c r="H1039">
        <f t="shared" si="32"/>
        <v>4</v>
      </c>
      <c r="I1039">
        <f>H1039*D1039</f>
        <v>3.5863200000000002</v>
      </c>
      <c r="J1039">
        <f t="shared" si="33"/>
        <v>0</v>
      </c>
    </row>
    <row r="1040" spans="1:10" x14ac:dyDescent="0.25">
      <c r="A1040" t="s">
        <v>3020</v>
      </c>
      <c r="B1040">
        <v>280</v>
      </c>
      <c r="C1040">
        <f>_xlfn.XLOOKUP(Recon!A1040,[1]Backup!AJ:AJ,[1]Backup!L:L)</f>
        <v>9.3600000000000012</v>
      </c>
      <c r="D1040">
        <f>_xlfn.XLOOKUP(Recon!A1040,[1]Backup!AJ:AJ,[1]Backup!K:K)</f>
        <v>0.31824000000000002</v>
      </c>
      <c r="E1040">
        <f>SUMIF('[1]PO Report'!A:A,Recon!A1040,'[1]PO Report'!P:P)</f>
        <v>280</v>
      </c>
      <c r="F1040">
        <f>VLOOKUP(A1040,'[1]PO Report'!$A:$Z,15,0)</f>
        <v>9.36</v>
      </c>
      <c r="H1040">
        <f t="shared" si="32"/>
        <v>0</v>
      </c>
      <c r="J1040">
        <f t="shared" si="33"/>
        <v>0</v>
      </c>
    </row>
    <row r="1041" spans="1:10" x14ac:dyDescent="0.25">
      <c r="A1041" t="s">
        <v>3021</v>
      </c>
      <c r="B1041">
        <v>10</v>
      </c>
      <c r="C1041">
        <f>_xlfn.XLOOKUP(Recon!A1041,[1]Backup!AJ:AJ,[1]Backup!L:L)</f>
        <v>26.35</v>
      </c>
      <c r="D1041">
        <f>_xlfn.XLOOKUP(Recon!A1041,[1]Backup!AJ:AJ,[1]Backup!K:K)</f>
        <v>0.89589999999999992</v>
      </c>
      <c r="E1041">
        <f>SUMIF('[1]PO Report'!A:A,Recon!A1041,'[1]PO Report'!P:P)</f>
        <v>10</v>
      </c>
      <c r="F1041">
        <f>VLOOKUP(A1041,'[1]PO Report'!$A:$Z,15,0)</f>
        <v>26.35</v>
      </c>
      <c r="H1041">
        <f t="shared" si="32"/>
        <v>0</v>
      </c>
      <c r="J1041">
        <f t="shared" si="33"/>
        <v>0</v>
      </c>
    </row>
    <row r="1042" spans="1:10" x14ac:dyDescent="0.25">
      <c r="A1042" t="s">
        <v>3022</v>
      </c>
      <c r="B1042">
        <v>210</v>
      </c>
      <c r="C1042">
        <f>_xlfn.XLOOKUP(Recon!A1042,[1]Backup!AJ:AJ,[1]Backup!L:L)</f>
        <v>16.39</v>
      </c>
      <c r="D1042">
        <f>_xlfn.XLOOKUP(Recon!A1042,[1]Backup!AJ:AJ,[1]Backup!K:K)</f>
        <v>0.55725999999999998</v>
      </c>
      <c r="E1042">
        <f>SUMIF('[1]PO Report'!A:A,Recon!A1042,'[1]PO Report'!P:P)</f>
        <v>210</v>
      </c>
      <c r="F1042">
        <f>VLOOKUP(A1042,'[1]PO Report'!$A:$Z,15,0)</f>
        <v>16.39</v>
      </c>
      <c r="H1042">
        <f t="shared" si="32"/>
        <v>0</v>
      </c>
      <c r="J1042">
        <f t="shared" si="33"/>
        <v>0</v>
      </c>
    </row>
    <row r="1043" spans="1:10" x14ac:dyDescent="0.25">
      <c r="A1043" t="s">
        <v>3023</v>
      </c>
      <c r="B1043">
        <v>2</v>
      </c>
      <c r="C1043">
        <f>_xlfn.XLOOKUP(Recon!A1043,[1]Backup!AJ:AJ,[1]Backup!L:L)</f>
        <v>94.44</v>
      </c>
      <c r="D1043">
        <f>_xlfn.XLOOKUP(Recon!A1043,[1]Backup!AJ:AJ,[1]Backup!K:K)</f>
        <v>3.21096</v>
      </c>
      <c r="E1043">
        <f>SUMIF('[1]PO Report'!A:A,Recon!A1043,'[1]PO Report'!P:P)</f>
        <v>2</v>
      </c>
      <c r="F1043">
        <f>VLOOKUP(A1043,'[1]PO Report'!$A:$Z,15,0)</f>
        <v>94.44</v>
      </c>
      <c r="H1043">
        <f t="shared" si="32"/>
        <v>0</v>
      </c>
      <c r="J1043">
        <f t="shared" si="33"/>
        <v>0</v>
      </c>
    </row>
    <row r="1044" spans="1:10" x14ac:dyDescent="0.25">
      <c r="A1044" t="s">
        <v>3024</v>
      </c>
      <c r="B1044">
        <v>48</v>
      </c>
      <c r="C1044">
        <f>_xlfn.XLOOKUP(Recon!A1044,[1]Backup!AJ:AJ,[1]Backup!L:L)</f>
        <v>78.62</v>
      </c>
      <c r="D1044">
        <f>_xlfn.XLOOKUP(Recon!A1044,[1]Backup!AJ:AJ,[1]Backup!K:K)</f>
        <v>2.6730800000000001</v>
      </c>
      <c r="E1044">
        <f>SUMIF('[1]PO Report'!A:A,Recon!A1044,'[1]PO Report'!P:P)</f>
        <v>48</v>
      </c>
      <c r="F1044">
        <f>VLOOKUP(A1044,'[1]PO Report'!$A:$Z,15,0)</f>
        <v>78.62</v>
      </c>
      <c r="H1044">
        <f t="shared" si="32"/>
        <v>0</v>
      </c>
      <c r="J1044">
        <f t="shared" si="33"/>
        <v>0</v>
      </c>
    </row>
    <row r="1045" spans="1:10" x14ac:dyDescent="0.25">
      <c r="A1045" t="s">
        <v>3025</v>
      </c>
      <c r="B1045">
        <v>88</v>
      </c>
      <c r="C1045">
        <f>_xlfn.XLOOKUP(Recon!A1045,[1]Backup!AJ:AJ,[1]Backup!L:L)</f>
        <v>42.86</v>
      </c>
      <c r="D1045">
        <f>_xlfn.XLOOKUP(Recon!A1045,[1]Backup!AJ:AJ,[1]Backup!K:K)</f>
        <v>1.4572400000000001</v>
      </c>
      <c r="E1045">
        <f>SUMIF('[1]PO Report'!A:A,Recon!A1045,'[1]PO Report'!P:P)</f>
        <v>96</v>
      </c>
      <c r="F1045">
        <f>VLOOKUP(A1045,'[1]PO Report'!$A:$Z,15,0)</f>
        <v>42.86</v>
      </c>
      <c r="H1045">
        <f t="shared" si="32"/>
        <v>-8</v>
      </c>
      <c r="J1045">
        <f t="shared" si="33"/>
        <v>0</v>
      </c>
    </row>
    <row r="1046" spans="1:10" x14ac:dyDescent="0.25">
      <c r="A1046" t="s">
        <v>3026</v>
      </c>
      <c r="B1046">
        <v>28</v>
      </c>
      <c r="C1046">
        <f>_xlfn.XLOOKUP(Recon!A1046,[1]Backup!AJ:AJ,[1]Backup!L:L)</f>
        <v>35.130000000000003</v>
      </c>
      <c r="D1046">
        <f>_xlfn.XLOOKUP(Recon!A1046,[1]Backup!AJ:AJ,[1]Backup!K:K)</f>
        <v>1.1944199999999998</v>
      </c>
      <c r="E1046">
        <f>SUMIF('[1]PO Report'!A:A,Recon!A1046,'[1]PO Report'!P:P)</f>
        <v>28</v>
      </c>
      <c r="F1046">
        <f>VLOOKUP(A1046,'[1]PO Report'!$A:$Z,15,0)</f>
        <v>35.130000000000003</v>
      </c>
      <c r="H1046">
        <f t="shared" si="32"/>
        <v>0</v>
      </c>
      <c r="J1046">
        <f t="shared" si="33"/>
        <v>0</v>
      </c>
    </row>
    <row r="1047" spans="1:10" x14ac:dyDescent="0.25">
      <c r="A1047" t="s">
        <v>3027</v>
      </c>
      <c r="B1047">
        <v>4</v>
      </c>
      <c r="C1047">
        <f>_xlfn.XLOOKUP(Recon!A1047,[1]Backup!AJ:AJ,[1]Backup!L:L)</f>
        <v>764.09</v>
      </c>
      <c r="D1047">
        <f>_xlfn.XLOOKUP(Recon!A1047,[1]Backup!AJ:AJ,[1]Backup!K:K)</f>
        <v>25.97906</v>
      </c>
      <c r="E1047">
        <f>SUMIF('[1]PO Report'!A:A,Recon!A1047,'[1]PO Report'!P:P)</f>
        <v>4</v>
      </c>
      <c r="F1047">
        <f>VLOOKUP(A1047,'[1]PO Report'!$A:$Z,15,0)</f>
        <v>764.09</v>
      </c>
      <c r="H1047">
        <f t="shared" si="32"/>
        <v>0</v>
      </c>
      <c r="J1047">
        <f t="shared" si="33"/>
        <v>0</v>
      </c>
    </row>
    <row r="1048" spans="1:10" x14ac:dyDescent="0.25">
      <c r="A1048" t="s">
        <v>3028</v>
      </c>
      <c r="B1048">
        <v>20</v>
      </c>
      <c r="C1048">
        <f>_xlfn.XLOOKUP(Recon!A1048,[1]Backup!AJ:AJ,[1]Backup!L:L)</f>
        <v>10.53</v>
      </c>
      <c r="D1048">
        <f>_xlfn.XLOOKUP(Recon!A1048,[1]Backup!AJ:AJ,[1]Backup!K:K)</f>
        <v>0.35802</v>
      </c>
      <c r="E1048">
        <f>SUMIF('[1]PO Report'!A:A,Recon!A1048,'[1]PO Report'!P:P)</f>
        <v>20</v>
      </c>
      <c r="F1048">
        <f>VLOOKUP(A1048,'[1]PO Report'!$A:$Z,15,0)</f>
        <v>10.53</v>
      </c>
      <c r="H1048">
        <f t="shared" si="32"/>
        <v>0</v>
      </c>
      <c r="J1048">
        <f t="shared" si="33"/>
        <v>0</v>
      </c>
    </row>
    <row r="1049" spans="1:10" x14ac:dyDescent="0.25">
      <c r="A1049" t="s">
        <v>3029</v>
      </c>
      <c r="B1049">
        <v>148</v>
      </c>
      <c r="C1049">
        <f>_xlfn.XLOOKUP(Recon!A1049,[1]Backup!AJ:AJ,[1]Backup!L:L)</f>
        <v>69.03</v>
      </c>
      <c r="D1049">
        <f>_xlfn.XLOOKUP(Recon!A1049,[1]Backup!AJ:AJ,[1]Backup!K:K)</f>
        <v>2.3470200000000001</v>
      </c>
      <c r="E1049">
        <f>SUMIF('[1]PO Report'!A:A,Recon!A1049,'[1]PO Report'!P:P)</f>
        <v>144</v>
      </c>
      <c r="F1049">
        <f>VLOOKUP(A1049,'[1]PO Report'!$A:$Z,15,0)</f>
        <v>69.03</v>
      </c>
      <c r="H1049">
        <f t="shared" si="32"/>
        <v>4</v>
      </c>
      <c r="I1049">
        <f>H1049*D1049</f>
        <v>9.3880800000000004</v>
      </c>
      <c r="J1049">
        <f t="shared" si="33"/>
        <v>0</v>
      </c>
    </row>
    <row r="1050" spans="1:10" x14ac:dyDescent="0.25">
      <c r="A1050" t="s">
        <v>3030</v>
      </c>
      <c r="B1050">
        <v>48</v>
      </c>
      <c r="C1050">
        <f>_xlfn.XLOOKUP(Recon!A1050,[1]Backup!AJ:AJ,[1]Backup!L:L)</f>
        <v>31.65</v>
      </c>
      <c r="D1050">
        <f>_xlfn.XLOOKUP(Recon!A1050,[1]Backup!AJ:AJ,[1]Backup!K:K)</f>
        <v>1.0761000000000001</v>
      </c>
      <c r="E1050">
        <f>SUMIF('[1]PO Report'!A:A,Recon!A1050,'[1]PO Report'!P:P)</f>
        <v>48</v>
      </c>
      <c r="F1050">
        <f>VLOOKUP(A1050,'[1]PO Report'!$A:$Z,15,0)</f>
        <v>31.65</v>
      </c>
      <c r="H1050">
        <f t="shared" si="32"/>
        <v>0</v>
      </c>
      <c r="J1050">
        <f t="shared" si="33"/>
        <v>0</v>
      </c>
    </row>
    <row r="1051" spans="1:10" x14ac:dyDescent="0.25">
      <c r="A1051" t="s">
        <v>3031</v>
      </c>
      <c r="B1051">
        <v>40</v>
      </c>
      <c r="C1051">
        <f>_xlfn.XLOOKUP(Recon!A1051,[1]Backup!AJ:AJ,[1]Backup!L:L)</f>
        <v>69.03</v>
      </c>
      <c r="D1051">
        <f>_xlfn.XLOOKUP(Recon!A1051,[1]Backup!AJ:AJ,[1]Backup!K:K)</f>
        <v>2.3470199999999997</v>
      </c>
      <c r="E1051">
        <f>SUMIF('[1]PO Report'!A:A,Recon!A1051,'[1]PO Report'!P:P)</f>
        <v>40</v>
      </c>
      <c r="F1051">
        <f>VLOOKUP(A1051,'[1]PO Report'!$A:$Z,15,0)</f>
        <v>69.03</v>
      </c>
      <c r="H1051">
        <f t="shared" si="32"/>
        <v>0</v>
      </c>
      <c r="J1051">
        <f t="shared" si="33"/>
        <v>0</v>
      </c>
    </row>
    <row r="1052" spans="1:10" x14ac:dyDescent="0.25">
      <c r="A1052" t="s">
        <v>3032</v>
      </c>
      <c r="B1052">
        <v>24</v>
      </c>
      <c r="C1052">
        <f>_xlfn.XLOOKUP(Recon!A1052,[1]Backup!AJ:AJ,[1]Backup!L:L)</f>
        <v>89.23</v>
      </c>
      <c r="D1052">
        <f>_xlfn.XLOOKUP(Recon!A1052,[1]Backup!AJ:AJ,[1]Backup!K:K)</f>
        <v>3.03382</v>
      </c>
      <c r="E1052">
        <f>SUMIF('[1]PO Report'!A:A,Recon!A1052,'[1]PO Report'!P:P)</f>
        <v>24</v>
      </c>
      <c r="F1052">
        <f>VLOOKUP(A1052,'[1]PO Report'!$A:$Z,15,0)</f>
        <v>89.23</v>
      </c>
      <c r="H1052">
        <f t="shared" si="32"/>
        <v>0</v>
      </c>
      <c r="J1052">
        <f t="shared" si="33"/>
        <v>0</v>
      </c>
    </row>
    <row r="1053" spans="1:10" x14ac:dyDescent="0.25">
      <c r="A1053" t="s">
        <v>3033</v>
      </c>
      <c r="B1053">
        <v>68</v>
      </c>
      <c r="C1053">
        <f>_xlfn.XLOOKUP(Recon!A1053,[1]Backup!AJ:AJ,[1]Backup!L:L)</f>
        <v>75.41</v>
      </c>
      <c r="D1053">
        <f>_xlfn.XLOOKUP(Recon!A1053,[1]Backup!AJ:AJ,[1]Backup!K:K)</f>
        <v>2.5639399999999997</v>
      </c>
      <c r="E1053">
        <f>SUMIF('[1]PO Report'!A:A,Recon!A1053,'[1]PO Report'!P:P)</f>
        <v>72</v>
      </c>
      <c r="F1053">
        <f>VLOOKUP(A1053,'[1]PO Report'!$A:$Z,15,0)</f>
        <v>75.41</v>
      </c>
      <c r="H1053">
        <f t="shared" si="32"/>
        <v>-4</v>
      </c>
      <c r="J1053">
        <f t="shared" si="33"/>
        <v>0</v>
      </c>
    </row>
    <row r="1054" spans="1:10" x14ac:dyDescent="0.25">
      <c r="A1054" t="s">
        <v>3034</v>
      </c>
      <c r="B1054">
        <v>228</v>
      </c>
      <c r="C1054">
        <f>_xlfn.XLOOKUP(Recon!A1054,[1]Backup!AJ:AJ,[1]Backup!L:L)</f>
        <v>241.41</v>
      </c>
      <c r="D1054">
        <f>_xlfn.XLOOKUP(Recon!A1054,[1]Backup!AJ:AJ,[1]Backup!K:K)</f>
        <v>8.2079399999999989</v>
      </c>
      <c r="E1054">
        <f>SUMIF('[1]PO Report'!A:A,Recon!A1054,'[1]PO Report'!P:P)</f>
        <v>228</v>
      </c>
      <c r="F1054">
        <f>VLOOKUP(A1054,'[1]PO Report'!$A:$Z,15,0)</f>
        <v>241.41</v>
      </c>
      <c r="H1054">
        <f t="shared" si="32"/>
        <v>0</v>
      </c>
      <c r="J1054">
        <f t="shared" si="33"/>
        <v>0</v>
      </c>
    </row>
    <row r="1055" spans="1:10" x14ac:dyDescent="0.25">
      <c r="A1055" t="s">
        <v>3035</v>
      </c>
      <c r="B1055">
        <v>40</v>
      </c>
      <c r="C1055">
        <f>_xlfn.XLOOKUP(Recon!A1055,[1]Backup!AJ:AJ,[1]Backup!L:L)</f>
        <v>69.58</v>
      </c>
      <c r="D1055">
        <f>_xlfn.XLOOKUP(Recon!A1055,[1]Backup!AJ:AJ,[1]Backup!K:K)</f>
        <v>2.36572</v>
      </c>
      <c r="E1055">
        <f>SUMIF('[1]PO Report'!A:A,Recon!A1055,'[1]PO Report'!P:P)</f>
        <v>40</v>
      </c>
      <c r="F1055">
        <f>VLOOKUP(A1055,'[1]PO Report'!$A:$Z,15,0)</f>
        <v>69.58</v>
      </c>
      <c r="H1055">
        <f t="shared" si="32"/>
        <v>0</v>
      </c>
      <c r="J1055">
        <f t="shared" si="33"/>
        <v>0</v>
      </c>
    </row>
    <row r="1056" spans="1:10" x14ac:dyDescent="0.25">
      <c r="A1056" t="s">
        <v>3036</v>
      </c>
      <c r="B1056">
        <v>20</v>
      </c>
      <c r="C1056">
        <f>_xlfn.XLOOKUP(Recon!A1056,[1]Backup!AJ:AJ,[1]Backup!L:L)</f>
        <v>16.39</v>
      </c>
      <c r="D1056">
        <f>_xlfn.XLOOKUP(Recon!A1056,[1]Backup!AJ:AJ,[1]Backup!K:K)</f>
        <v>0.55726000000000009</v>
      </c>
      <c r="E1056">
        <f>SUMIF('[1]PO Report'!A:A,Recon!A1056,'[1]PO Report'!P:P)</f>
        <v>20</v>
      </c>
      <c r="F1056">
        <f>VLOOKUP(A1056,'[1]PO Report'!$A:$Z,15,0)</f>
        <v>16.39</v>
      </c>
      <c r="H1056">
        <f t="shared" si="32"/>
        <v>0</v>
      </c>
      <c r="J1056">
        <f t="shared" si="33"/>
        <v>0</v>
      </c>
    </row>
    <row r="1057" spans="1:10" x14ac:dyDescent="0.25">
      <c r="A1057" t="s">
        <v>3037</v>
      </c>
      <c r="B1057">
        <v>444</v>
      </c>
      <c r="C1057">
        <f>_xlfn.XLOOKUP(Recon!A1057,[1]Backup!AJ:AJ,[1]Backup!L:L)</f>
        <v>81.209999999999994</v>
      </c>
      <c r="D1057">
        <f>_xlfn.XLOOKUP(Recon!A1057,[1]Backup!AJ:AJ,[1]Backup!K:K)</f>
        <v>2.7611400000000001</v>
      </c>
      <c r="E1057">
        <f>SUMIF('[1]PO Report'!A:A,Recon!A1057,'[1]PO Report'!P:P)</f>
        <v>444</v>
      </c>
      <c r="F1057">
        <f>VLOOKUP(A1057,'[1]PO Report'!$A:$Z,15,0)</f>
        <v>81.209999999999994</v>
      </c>
      <c r="H1057">
        <f t="shared" si="32"/>
        <v>0</v>
      </c>
      <c r="J1057">
        <f t="shared" si="33"/>
        <v>0</v>
      </c>
    </row>
    <row r="1058" spans="1:10" x14ac:dyDescent="0.25">
      <c r="A1058" t="s">
        <v>3038</v>
      </c>
      <c r="B1058">
        <v>30</v>
      </c>
      <c r="C1058">
        <f>_xlfn.XLOOKUP(Recon!A1058,[1]Backup!AJ:AJ,[1]Backup!L:L)</f>
        <v>23.42</v>
      </c>
      <c r="D1058">
        <f>_xlfn.XLOOKUP(Recon!A1058,[1]Backup!AJ:AJ,[1]Backup!K:K)</f>
        <v>0.79627999999999999</v>
      </c>
      <c r="E1058">
        <f>SUMIF('[1]PO Report'!A:A,Recon!A1058,'[1]PO Report'!P:P)</f>
        <v>20</v>
      </c>
      <c r="F1058">
        <f>VLOOKUP(A1058,'[1]PO Report'!$A:$Z,15,0)</f>
        <v>23.42</v>
      </c>
      <c r="H1058">
        <f t="shared" si="32"/>
        <v>10</v>
      </c>
      <c r="I1058">
        <f>H1058*D1058</f>
        <v>7.9627999999999997</v>
      </c>
      <c r="J1058">
        <f t="shared" si="33"/>
        <v>0</v>
      </c>
    </row>
    <row r="1059" spans="1:10" x14ac:dyDescent="0.25">
      <c r="A1059" t="s">
        <v>3039</v>
      </c>
      <c r="B1059">
        <v>868</v>
      </c>
      <c r="C1059">
        <f>_xlfn.XLOOKUP(Recon!A1059,[1]Backup!AJ:AJ,[1]Backup!L:L)</f>
        <v>75.41</v>
      </c>
      <c r="D1059">
        <f>_xlfn.XLOOKUP(Recon!A1059,[1]Backup!AJ:AJ,[1]Backup!K:K)</f>
        <v>2.5639400000000001</v>
      </c>
      <c r="E1059">
        <f>SUMIF('[1]PO Report'!A:A,Recon!A1059,'[1]PO Report'!P:P)</f>
        <v>868</v>
      </c>
      <c r="F1059">
        <f>VLOOKUP(A1059,'[1]PO Report'!$A:$Z,15,0)</f>
        <v>75.41</v>
      </c>
      <c r="H1059">
        <f t="shared" si="32"/>
        <v>0</v>
      </c>
      <c r="J1059">
        <f t="shared" si="33"/>
        <v>0</v>
      </c>
    </row>
    <row r="1060" spans="1:10" x14ac:dyDescent="0.25">
      <c r="A1060" t="s">
        <v>3040</v>
      </c>
      <c r="B1060">
        <v>48</v>
      </c>
      <c r="C1060">
        <f>_xlfn.XLOOKUP(Recon!A1060,[1]Backup!AJ:AJ,[1]Backup!L:L)</f>
        <v>69.03</v>
      </c>
      <c r="D1060">
        <f>_xlfn.XLOOKUP(Recon!A1060,[1]Backup!AJ:AJ,[1]Backup!K:K)</f>
        <v>2.3470200000000001</v>
      </c>
      <c r="E1060">
        <f>SUMIF('[1]PO Report'!A:A,Recon!A1060,'[1]PO Report'!P:P)</f>
        <v>48</v>
      </c>
      <c r="F1060">
        <f>VLOOKUP(A1060,'[1]PO Report'!$A:$Z,15,0)</f>
        <v>69.03</v>
      </c>
      <c r="H1060">
        <f t="shared" si="32"/>
        <v>0</v>
      </c>
      <c r="J1060">
        <f t="shared" si="33"/>
        <v>0</v>
      </c>
    </row>
    <row r="1061" spans="1:10" x14ac:dyDescent="0.25">
      <c r="A1061" t="s">
        <v>3041</v>
      </c>
      <c r="B1061">
        <v>32</v>
      </c>
      <c r="C1061">
        <f>_xlfn.XLOOKUP(Recon!A1061,[1]Backup!AJ:AJ,[1]Backup!L:L)</f>
        <v>179.16</v>
      </c>
      <c r="D1061">
        <f>_xlfn.XLOOKUP(Recon!A1061,[1]Backup!AJ:AJ,[1]Backup!K:K)</f>
        <v>6.0914400000000004</v>
      </c>
      <c r="E1061">
        <f>SUMIF('[1]PO Report'!A:A,Recon!A1061,'[1]PO Report'!P:P)</f>
        <v>32</v>
      </c>
      <c r="F1061">
        <f>VLOOKUP(A1061,'[1]PO Report'!$A:$Z,15,0)</f>
        <v>179.16</v>
      </c>
      <c r="H1061">
        <f t="shared" si="32"/>
        <v>0</v>
      </c>
      <c r="J1061">
        <f t="shared" si="33"/>
        <v>0</v>
      </c>
    </row>
    <row r="1062" spans="1:10" x14ac:dyDescent="0.25">
      <c r="A1062" t="s">
        <v>3042</v>
      </c>
      <c r="B1062">
        <v>8</v>
      </c>
      <c r="C1062">
        <f>_xlfn.XLOOKUP(Recon!A1062,[1]Backup!AJ:AJ,[1]Backup!L:L)</f>
        <v>32.21</v>
      </c>
      <c r="D1062">
        <f>_xlfn.XLOOKUP(Recon!A1062,[1]Backup!AJ:AJ,[1]Backup!K:K)</f>
        <v>1.09514</v>
      </c>
      <c r="E1062">
        <f>SUMIF('[1]PO Report'!A:A,Recon!A1062,'[1]PO Report'!P:P)</f>
        <v>8</v>
      </c>
      <c r="F1062">
        <f>VLOOKUP(A1062,'[1]PO Report'!$A:$Z,15,0)</f>
        <v>32.21</v>
      </c>
      <c r="H1062">
        <f t="shared" si="32"/>
        <v>0</v>
      </c>
      <c r="J1062">
        <f t="shared" si="33"/>
        <v>0</v>
      </c>
    </row>
    <row r="1063" spans="1:10" x14ac:dyDescent="0.25">
      <c r="A1063" t="s">
        <v>3043</v>
      </c>
      <c r="B1063">
        <v>4</v>
      </c>
      <c r="C1063">
        <f>_xlfn.XLOOKUP(Recon!A1063,[1]Backup!AJ:AJ,[1]Backup!L:L)</f>
        <v>75.41</v>
      </c>
      <c r="D1063">
        <f>_xlfn.XLOOKUP(Recon!A1063,[1]Backup!AJ:AJ,[1]Backup!K:K)</f>
        <v>2.5639400000000001</v>
      </c>
      <c r="E1063">
        <f>SUMIF('[1]PO Report'!A:A,Recon!A1063,'[1]PO Report'!P:P)</f>
        <v>4</v>
      </c>
      <c r="F1063">
        <f>VLOOKUP(A1063,'[1]PO Report'!$A:$Z,15,0)</f>
        <v>75.41</v>
      </c>
      <c r="H1063">
        <f t="shared" si="32"/>
        <v>0</v>
      </c>
      <c r="J1063">
        <f t="shared" si="33"/>
        <v>0</v>
      </c>
    </row>
    <row r="1064" spans="1:10" x14ac:dyDescent="0.25">
      <c r="A1064" t="s">
        <v>3044</v>
      </c>
      <c r="B1064">
        <v>12</v>
      </c>
      <c r="C1064">
        <f>_xlfn.XLOOKUP(Recon!A1064,[1]Backup!AJ:AJ,[1]Backup!L:L)</f>
        <v>83.89</v>
      </c>
      <c r="D1064">
        <f>_xlfn.XLOOKUP(Recon!A1064,[1]Backup!AJ:AJ,[1]Backup!K:K)</f>
        <v>2.8522599999999998</v>
      </c>
      <c r="E1064">
        <f>SUMIF('[1]PO Report'!A:A,Recon!A1064,'[1]PO Report'!P:P)</f>
        <v>12</v>
      </c>
      <c r="F1064">
        <f>VLOOKUP(A1064,'[1]PO Report'!$A:$Z,15,0)</f>
        <v>83.89</v>
      </c>
      <c r="H1064">
        <f t="shared" si="32"/>
        <v>0</v>
      </c>
      <c r="J1064">
        <f t="shared" si="33"/>
        <v>0</v>
      </c>
    </row>
    <row r="1065" spans="1:10" x14ac:dyDescent="0.25">
      <c r="A1065" t="s">
        <v>3045</v>
      </c>
      <c r="B1065">
        <v>350</v>
      </c>
      <c r="C1065">
        <f>_xlfn.XLOOKUP(Recon!A1065,[1]Backup!AJ:AJ,[1]Backup!L:L)</f>
        <v>10.53</v>
      </c>
      <c r="D1065">
        <f>_xlfn.XLOOKUP(Recon!A1065,[1]Backup!AJ:AJ,[1]Backup!K:K)</f>
        <v>0.35802</v>
      </c>
      <c r="E1065">
        <f>SUMIF('[1]PO Report'!A:A,Recon!A1065,'[1]PO Report'!P:P)</f>
        <v>350</v>
      </c>
      <c r="F1065">
        <f>VLOOKUP(A1065,'[1]PO Report'!$A:$Z,15,0)</f>
        <v>10.53</v>
      </c>
      <c r="H1065">
        <f t="shared" si="32"/>
        <v>0</v>
      </c>
      <c r="J1065">
        <f t="shared" si="33"/>
        <v>0</v>
      </c>
    </row>
    <row r="1066" spans="1:10" x14ac:dyDescent="0.25">
      <c r="A1066" t="s">
        <v>3046</v>
      </c>
      <c r="B1066">
        <v>76</v>
      </c>
      <c r="C1066">
        <f>_xlfn.XLOOKUP(Recon!A1066,[1]Backup!AJ:AJ,[1]Backup!L:L)</f>
        <v>63.23</v>
      </c>
      <c r="D1066">
        <f>_xlfn.XLOOKUP(Recon!A1066,[1]Backup!AJ:AJ,[1]Backup!K:K)</f>
        <v>2.1498200000000001</v>
      </c>
      <c r="E1066">
        <f>SUMIF('[1]PO Report'!A:A,Recon!A1066,'[1]PO Report'!P:P)</f>
        <v>76</v>
      </c>
      <c r="F1066">
        <f>VLOOKUP(A1066,'[1]PO Report'!$A:$Z,15,0)</f>
        <v>63.23</v>
      </c>
      <c r="H1066">
        <f t="shared" si="32"/>
        <v>0</v>
      </c>
      <c r="J1066">
        <f t="shared" si="33"/>
        <v>0</v>
      </c>
    </row>
    <row r="1067" spans="1:10" x14ac:dyDescent="0.25">
      <c r="A1067" t="s">
        <v>3047</v>
      </c>
      <c r="B1067">
        <v>10</v>
      </c>
      <c r="C1067">
        <f>_xlfn.XLOOKUP(Recon!A1067,[1]Backup!AJ:AJ,[1]Backup!L:L)</f>
        <v>29.28</v>
      </c>
      <c r="D1067">
        <f>_xlfn.XLOOKUP(Recon!A1067,[1]Backup!AJ:AJ,[1]Backup!K:K)</f>
        <v>0.99551999999999996</v>
      </c>
      <c r="E1067">
        <f>SUMIF('[1]PO Report'!A:A,Recon!A1067,'[1]PO Report'!P:P)</f>
        <v>10</v>
      </c>
      <c r="F1067">
        <f>VLOOKUP(A1067,'[1]PO Report'!$A:$Z,15,0)</f>
        <v>29.28</v>
      </c>
      <c r="H1067">
        <f t="shared" si="32"/>
        <v>0</v>
      </c>
      <c r="J1067">
        <f t="shared" si="33"/>
        <v>0</v>
      </c>
    </row>
    <row r="1068" spans="1:10" x14ac:dyDescent="0.25">
      <c r="A1068" t="s">
        <v>3048</v>
      </c>
      <c r="B1068">
        <v>40</v>
      </c>
      <c r="C1068">
        <f>_xlfn.XLOOKUP(Recon!A1068,[1]Backup!AJ:AJ,[1]Backup!L:L)</f>
        <v>29.28</v>
      </c>
      <c r="D1068">
        <f>_xlfn.XLOOKUP(Recon!A1068,[1]Backup!AJ:AJ,[1]Backup!K:K)</f>
        <v>0.99551999999999996</v>
      </c>
      <c r="E1068">
        <f>SUMIF('[1]PO Report'!A:A,Recon!A1068,'[1]PO Report'!P:P)</f>
        <v>40</v>
      </c>
      <c r="F1068">
        <f>VLOOKUP(A1068,'[1]PO Report'!$A:$Z,15,0)</f>
        <v>29.28</v>
      </c>
      <c r="H1068">
        <f t="shared" si="32"/>
        <v>0</v>
      </c>
      <c r="J1068">
        <f t="shared" si="33"/>
        <v>0</v>
      </c>
    </row>
    <row r="1069" spans="1:10" x14ac:dyDescent="0.25">
      <c r="A1069" t="s">
        <v>3049</v>
      </c>
      <c r="B1069">
        <v>100</v>
      </c>
      <c r="C1069">
        <f>_xlfn.XLOOKUP(Recon!A1069,[1]Backup!AJ:AJ,[1]Backup!L:L)</f>
        <v>75.41</v>
      </c>
      <c r="D1069">
        <f>_xlfn.XLOOKUP(Recon!A1069,[1]Backup!AJ:AJ,[1]Backup!K:K)</f>
        <v>2.5639400000000001</v>
      </c>
      <c r="E1069">
        <f>SUMIF('[1]PO Report'!A:A,Recon!A1069,'[1]PO Report'!P:P)</f>
        <v>100</v>
      </c>
      <c r="F1069">
        <f>VLOOKUP(A1069,'[1]PO Report'!$A:$Z,15,0)</f>
        <v>75.41</v>
      </c>
      <c r="H1069">
        <f t="shared" si="32"/>
        <v>0</v>
      </c>
      <c r="J1069">
        <f t="shared" si="33"/>
        <v>0</v>
      </c>
    </row>
    <row r="1070" spans="1:10" x14ac:dyDescent="0.25">
      <c r="A1070" t="s">
        <v>3050</v>
      </c>
      <c r="B1070">
        <v>176</v>
      </c>
      <c r="C1070">
        <f>_xlfn.XLOOKUP(Recon!A1070,[1]Backup!AJ:AJ,[1]Backup!L:L)</f>
        <v>73.34</v>
      </c>
      <c r="D1070">
        <f>_xlfn.XLOOKUP(Recon!A1070,[1]Backup!AJ:AJ,[1]Backup!K:K)</f>
        <v>2.49356</v>
      </c>
      <c r="E1070">
        <f>SUMIF('[1]PO Report'!A:A,Recon!A1070,'[1]PO Report'!P:P)</f>
        <v>176</v>
      </c>
      <c r="F1070">
        <f>VLOOKUP(A1070,'[1]PO Report'!$A:$Z,15,0)</f>
        <v>73.34</v>
      </c>
      <c r="H1070">
        <f t="shared" si="32"/>
        <v>0</v>
      </c>
      <c r="J1070">
        <f t="shared" si="33"/>
        <v>0</v>
      </c>
    </row>
    <row r="1071" spans="1:10" x14ac:dyDescent="0.25">
      <c r="A1071" t="s">
        <v>3051</v>
      </c>
      <c r="B1071">
        <v>8</v>
      </c>
      <c r="C1071">
        <f>_xlfn.XLOOKUP(Recon!A1071,[1]Backup!AJ:AJ,[1]Backup!L:L)</f>
        <v>32.21</v>
      </c>
      <c r="D1071">
        <f>_xlfn.XLOOKUP(Recon!A1071,[1]Backup!AJ:AJ,[1]Backup!K:K)</f>
        <v>1.09514</v>
      </c>
      <c r="E1071">
        <f>SUMIF('[1]PO Report'!A:A,Recon!A1071,'[1]PO Report'!P:P)</f>
        <v>8</v>
      </c>
      <c r="F1071">
        <f>VLOOKUP(A1071,'[1]PO Report'!$A:$Z,15,0)</f>
        <v>32.21</v>
      </c>
      <c r="H1071">
        <f t="shared" si="32"/>
        <v>0</v>
      </c>
      <c r="J1071">
        <f t="shared" si="33"/>
        <v>0</v>
      </c>
    </row>
    <row r="1072" spans="1:10" x14ac:dyDescent="0.25">
      <c r="A1072" t="s">
        <v>3052</v>
      </c>
      <c r="B1072">
        <v>48</v>
      </c>
      <c r="C1072">
        <f>_xlfn.XLOOKUP(Recon!A1072,[1]Backup!AJ:AJ,[1]Backup!L:L)</f>
        <v>32.21</v>
      </c>
      <c r="D1072">
        <f>_xlfn.XLOOKUP(Recon!A1072,[1]Backup!AJ:AJ,[1]Backup!K:K)</f>
        <v>1.09514</v>
      </c>
      <c r="E1072">
        <f>SUMIF('[1]PO Report'!A:A,Recon!A1072,'[1]PO Report'!P:P)</f>
        <v>48</v>
      </c>
      <c r="F1072">
        <f>VLOOKUP(A1072,'[1]PO Report'!$A:$Z,15,0)</f>
        <v>32.21</v>
      </c>
      <c r="H1072">
        <f t="shared" si="32"/>
        <v>0</v>
      </c>
      <c r="J1072">
        <f t="shared" si="33"/>
        <v>0</v>
      </c>
    </row>
    <row r="1073" spans="1:10" x14ac:dyDescent="0.25">
      <c r="A1073" t="s">
        <v>3053</v>
      </c>
      <c r="B1073">
        <v>200</v>
      </c>
      <c r="C1073">
        <f>_xlfn.XLOOKUP(Recon!A1073,[1]Backup!AJ:AJ,[1]Backup!L:L)</f>
        <v>58</v>
      </c>
      <c r="D1073">
        <f>_xlfn.XLOOKUP(Recon!A1073,[1]Backup!AJ:AJ,[1]Backup!K:K)</f>
        <v>1.972</v>
      </c>
      <c r="E1073">
        <f>SUMIF('[1]PO Report'!A:A,Recon!A1073,'[1]PO Report'!P:P)</f>
        <v>200</v>
      </c>
      <c r="F1073">
        <f>VLOOKUP(A1073,'[1]PO Report'!$A:$Z,15,0)</f>
        <v>58</v>
      </c>
      <c r="H1073">
        <f t="shared" si="32"/>
        <v>0</v>
      </c>
      <c r="J1073">
        <f t="shared" si="33"/>
        <v>0</v>
      </c>
    </row>
    <row r="1074" spans="1:10" x14ac:dyDescent="0.25">
      <c r="A1074" t="s">
        <v>3054</v>
      </c>
      <c r="B1074">
        <v>100</v>
      </c>
      <c r="C1074">
        <f>_xlfn.XLOOKUP(Recon!A1074,[1]Backup!AJ:AJ,[1]Backup!L:L)</f>
        <v>7.61</v>
      </c>
      <c r="D1074">
        <f>_xlfn.XLOOKUP(Recon!A1074,[1]Backup!AJ:AJ,[1]Backup!K:K)</f>
        <v>0.25873999999999997</v>
      </c>
      <c r="E1074">
        <f>SUMIF('[1]PO Report'!A:A,Recon!A1074,'[1]PO Report'!P:P)</f>
        <v>100</v>
      </c>
      <c r="F1074">
        <f>VLOOKUP(A1074,'[1]PO Report'!$A:$Z,15,0)</f>
        <v>7.61</v>
      </c>
      <c r="H1074">
        <f t="shared" si="32"/>
        <v>0</v>
      </c>
      <c r="J1074">
        <f t="shared" si="33"/>
        <v>0</v>
      </c>
    </row>
    <row r="1075" spans="1:10" x14ac:dyDescent="0.25">
      <c r="A1075" t="s">
        <v>3055</v>
      </c>
      <c r="B1075">
        <v>56</v>
      </c>
      <c r="C1075">
        <f>_xlfn.XLOOKUP(Recon!A1075,[1]Backup!AJ:AJ,[1]Backup!L:L)</f>
        <v>69.03</v>
      </c>
      <c r="D1075">
        <f>_xlfn.XLOOKUP(Recon!A1075,[1]Backup!AJ:AJ,[1]Backup!K:K)</f>
        <v>2.3470200000000001</v>
      </c>
      <c r="E1075">
        <f>SUMIF('[1]PO Report'!A:A,Recon!A1075,'[1]PO Report'!P:P)</f>
        <v>56</v>
      </c>
      <c r="F1075">
        <f>VLOOKUP(A1075,'[1]PO Report'!$A:$Z,15,0)</f>
        <v>69.03</v>
      </c>
      <c r="H1075">
        <f t="shared" si="32"/>
        <v>0</v>
      </c>
      <c r="J1075">
        <f t="shared" si="33"/>
        <v>0</v>
      </c>
    </row>
    <row r="1076" spans="1:10" x14ac:dyDescent="0.25">
      <c r="A1076" t="s">
        <v>3056</v>
      </c>
      <c r="B1076">
        <v>520</v>
      </c>
      <c r="C1076">
        <f>_xlfn.XLOOKUP(Recon!A1076,[1]Backup!AJ:AJ,[1]Backup!L:L)</f>
        <v>83.89</v>
      </c>
      <c r="D1076">
        <f>_xlfn.XLOOKUP(Recon!A1076,[1]Backup!AJ:AJ,[1]Backup!K:K)</f>
        <v>2.8522599999999998</v>
      </c>
      <c r="E1076">
        <f>SUMIF('[1]PO Report'!A:A,Recon!A1076,'[1]PO Report'!P:P)</f>
        <v>520</v>
      </c>
      <c r="F1076">
        <f>VLOOKUP(A1076,'[1]PO Report'!$A:$Z,15,0)</f>
        <v>83.89</v>
      </c>
      <c r="H1076">
        <f t="shared" si="32"/>
        <v>0</v>
      </c>
      <c r="J1076">
        <f t="shared" si="33"/>
        <v>0</v>
      </c>
    </row>
    <row r="1077" spans="1:10" x14ac:dyDescent="0.25">
      <c r="A1077" t="s">
        <v>3057</v>
      </c>
      <c r="B1077">
        <v>440</v>
      </c>
      <c r="C1077">
        <f>_xlfn.XLOOKUP(Recon!A1077,[1]Backup!AJ:AJ,[1]Backup!L:L)</f>
        <v>7.61</v>
      </c>
      <c r="D1077">
        <f>_xlfn.XLOOKUP(Recon!A1077,[1]Backup!AJ:AJ,[1]Backup!K:K)</f>
        <v>0.25874000000000003</v>
      </c>
      <c r="E1077">
        <f>SUMIF('[1]PO Report'!A:A,Recon!A1077,'[1]PO Report'!P:P)</f>
        <v>440</v>
      </c>
      <c r="F1077">
        <f>VLOOKUP(A1077,'[1]PO Report'!$A:$Z,15,0)</f>
        <v>7.61</v>
      </c>
      <c r="H1077">
        <f t="shared" si="32"/>
        <v>0</v>
      </c>
      <c r="J1077">
        <f t="shared" si="33"/>
        <v>0</v>
      </c>
    </row>
    <row r="1078" spans="1:10" x14ac:dyDescent="0.25">
      <c r="A1078" t="s">
        <v>3058</v>
      </c>
      <c r="B1078">
        <v>20</v>
      </c>
      <c r="C1078">
        <f>_xlfn.XLOOKUP(Recon!A1078,[1]Backup!AJ:AJ,[1]Backup!L:L)</f>
        <v>115.44000000000001</v>
      </c>
      <c r="D1078">
        <f>_xlfn.XLOOKUP(Recon!A1078,[1]Backup!AJ:AJ,[1]Backup!K:K)</f>
        <v>3.92496</v>
      </c>
      <c r="E1078">
        <f>SUMIF('[1]PO Report'!A:A,Recon!A1078,'[1]PO Report'!P:P)</f>
        <v>20</v>
      </c>
      <c r="F1078">
        <f>VLOOKUP(A1078,'[1]PO Report'!$A:$Z,15,0)</f>
        <v>115.44</v>
      </c>
      <c r="H1078">
        <f t="shared" si="32"/>
        <v>0</v>
      </c>
      <c r="J1078">
        <f t="shared" si="33"/>
        <v>0</v>
      </c>
    </row>
    <row r="1079" spans="1:10" x14ac:dyDescent="0.25">
      <c r="A1079" t="s">
        <v>3059</v>
      </c>
      <c r="B1079">
        <v>10</v>
      </c>
      <c r="C1079">
        <f>_xlfn.XLOOKUP(Recon!A1079,[1]Backup!AJ:AJ,[1]Backup!L:L)</f>
        <v>17.559999999999999</v>
      </c>
      <c r="D1079">
        <f>_xlfn.XLOOKUP(Recon!A1079,[1]Backup!AJ:AJ,[1]Backup!K:K)</f>
        <v>0.59704000000000002</v>
      </c>
      <c r="E1079">
        <f>SUMIF('[1]PO Report'!A:A,Recon!A1079,'[1]PO Report'!P:P)</f>
        <v>10</v>
      </c>
      <c r="F1079">
        <f>VLOOKUP(A1079,'[1]PO Report'!$A:$Z,15,0)</f>
        <v>17.559999999999999</v>
      </c>
      <c r="H1079">
        <f t="shared" si="32"/>
        <v>0</v>
      </c>
      <c r="J1079">
        <f t="shared" si="33"/>
        <v>0</v>
      </c>
    </row>
    <row r="1080" spans="1:10" x14ac:dyDescent="0.25">
      <c r="A1080" t="s">
        <v>3060</v>
      </c>
      <c r="B1080">
        <v>293</v>
      </c>
      <c r="C1080">
        <f>_xlfn.XLOOKUP(Recon!A1080,[1]Backup!AJ:AJ,[1]Backup!L:L)</f>
        <v>221.07</v>
      </c>
      <c r="D1080">
        <f>_xlfn.XLOOKUP(Recon!A1080,[1]Backup!AJ:AJ,[1]Backup!K:K)</f>
        <v>7.5163799999999998</v>
      </c>
      <c r="E1080">
        <f>SUMIF('[1]PO Report'!A:A,Recon!A1080,'[1]PO Report'!P:P)</f>
        <v>293</v>
      </c>
      <c r="F1080">
        <f>VLOOKUP(A1080,'[1]PO Report'!$A:$Z,15,0)</f>
        <v>221.07</v>
      </c>
      <c r="H1080">
        <f t="shared" si="32"/>
        <v>0</v>
      </c>
      <c r="J1080">
        <f t="shared" si="33"/>
        <v>0</v>
      </c>
    </row>
    <row r="1081" spans="1:10" x14ac:dyDescent="0.25">
      <c r="A1081" t="s">
        <v>3061</v>
      </c>
      <c r="B1081">
        <v>414</v>
      </c>
      <c r="C1081">
        <f>_xlfn.XLOOKUP(Recon!A1081,[1]Backup!AJ:AJ,[1]Backup!L:L)</f>
        <v>221.07</v>
      </c>
      <c r="D1081">
        <f>_xlfn.XLOOKUP(Recon!A1081,[1]Backup!AJ:AJ,[1]Backup!K:K)</f>
        <v>7.5163799999999998</v>
      </c>
      <c r="E1081">
        <f>SUMIF('[1]PO Report'!A:A,Recon!A1081,'[1]PO Report'!P:P)</f>
        <v>414</v>
      </c>
      <c r="F1081">
        <f>VLOOKUP(A1081,'[1]PO Report'!$A:$Z,15,0)</f>
        <v>221.07</v>
      </c>
      <c r="H1081">
        <f t="shared" si="32"/>
        <v>0</v>
      </c>
      <c r="J1081">
        <f t="shared" si="33"/>
        <v>0</v>
      </c>
    </row>
    <row r="1082" spans="1:10" x14ac:dyDescent="0.25">
      <c r="A1082" t="s">
        <v>3062</v>
      </c>
      <c r="B1082">
        <v>8</v>
      </c>
      <c r="C1082">
        <f>_xlfn.XLOOKUP(Recon!A1082,[1]Backup!AJ:AJ,[1]Backup!L:L)</f>
        <v>23.42</v>
      </c>
      <c r="D1082">
        <f>_xlfn.XLOOKUP(Recon!A1082,[1]Backup!AJ:AJ,[1]Backup!K:K)</f>
        <v>0.79627999999999999</v>
      </c>
      <c r="E1082">
        <f>SUMIF('[1]PO Report'!A:A,Recon!A1082,'[1]PO Report'!P:P)</f>
        <v>8</v>
      </c>
      <c r="F1082">
        <f>VLOOKUP(A1082,'[1]PO Report'!$A:$Z,15,0)</f>
        <v>23.42</v>
      </c>
      <c r="H1082">
        <f t="shared" si="32"/>
        <v>0</v>
      </c>
      <c r="J1082">
        <f t="shared" si="33"/>
        <v>0</v>
      </c>
    </row>
    <row r="1083" spans="1:10" x14ac:dyDescent="0.25">
      <c r="A1083" t="s">
        <v>3063</v>
      </c>
      <c r="B1083">
        <v>16</v>
      </c>
      <c r="C1083">
        <f>_xlfn.XLOOKUP(Recon!A1083,[1]Backup!AJ:AJ,[1]Backup!L:L)</f>
        <v>75.41</v>
      </c>
      <c r="D1083">
        <f>_xlfn.XLOOKUP(Recon!A1083,[1]Backup!AJ:AJ,[1]Backup!K:K)</f>
        <v>2.5639400000000001</v>
      </c>
      <c r="E1083">
        <f>SUMIF('[1]PO Report'!A:A,Recon!A1083,'[1]PO Report'!P:P)</f>
        <v>16</v>
      </c>
      <c r="F1083">
        <f>VLOOKUP(A1083,'[1]PO Report'!$A:$Z,15,0)</f>
        <v>75.41</v>
      </c>
      <c r="H1083">
        <f t="shared" si="32"/>
        <v>0</v>
      </c>
      <c r="J1083">
        <f t="shared" si="33"/>
        <v>0</v>
      </c>
    </row>
    <row r="1084" spans="1:10" x14ac:dyDescent="0.25">
      <c r="A1084" t="s">
        <v>3064</v>
      </c>
      <c r="B1084">
        <v>124</v>
      </c>
      <c r="C1084">
        <f>_xlfn.XLOOKUP(Recon!A1084,[1]Backup!AJ:AJ,[1]Backup!L:L)</f>
        <v>35.130000000000003</v>
      </c>
      <c r="D1084">
        <f>_xlfn.XLOOKUP(Recon!A1084,[1]Backup!AJ:AJ,[1]Backup!K:K)</f>
        <v>1.19442</v>
      </c>
      <c r="E1084">
        <f>SUMIF('[1]PO Report'!A:A,Recon!A1084,'[1]PO Report'!P:P)</f>
        <v>124</v>
      </c>
      <c r="F1084">
        <f>VLOOKUP(A1084,'[1]PO Report'!$A:$Z,15,0)</f>
        <v>35.130000000000003</v>
      </c>
      <c r="H1084">
        <f t="shared" si="32"/>
        <v>0</v>
      </c>
      <c r="J1084">
        <f t="shared" si="33"/>
        <v>0</v>
      </c>
    </row>
    <row r="1085" spans="1:10" x14ac:dyDescent="0.25">
      <c r="A1085" t="s">
        <v>3065</v>
      </c>
      <c r="B1085">
        <v>332</v>
      </c>
      <c r="C1085">
        <f>_xlfn.XLOOKUP(Recon!A1085,[1]Backup!AJ:AJ,[1]Backup!L:L)</f>
        <v>44.839999999999996</v>
      </c>
      <c r="D1085">
        <f>_xlfn.XLOOKUP(Recon!A1085,[1]Backup!AJ:AJ,[1]Backup!K:K)</f>
        <v>1.5245600000000001</v>
      </c>
      <c r="E1085">
        <f>SUMIF('[1]PO Report'!A:A,Recon!A1085,'[1]PO Report'!P:P)</f>
        <v>332</v>
      </c>
      <c r="F1085">
        <f>VLOOKUP(A1085,'[1]PO Report'!$A:$Z,15,0)</f>
        <v>44.84</v>
      </c>
      <c r="H1085">
        <f t="shared" si="32"/>
        <v>0</v>
      </c>
      <c r="J1085">
        <f t="shared" si="33"/>
        <v>0</v>
      </c>
    </row>
    <row r="1086" spans="1:10" x14ac:dyDescent="0.25">
      <c r="A1086" t="s">
        <v>3066</v>
      </c>
      <c r="B1086">
        <v>7</v>
      </c>
      <c r="C1086">
        <f>_xlfn.XLOOKUP(Recon!A1086,[1]Backup!AJ:AJ,[1]Backup!L:L)</f>
        <v>210.52</v>
      </c>
      <c r="D1086">
        <f>_xlfn.XLOOKUP(Recon!A1086,[1]Backup!AJ:AJ,[1]Backup!K:K)</f>
        <v>7.15768</v>
      </c>
      <c r="E1086">
        <f>SUMIF('[1]PO Report'!A:A,Recon!A1086,'[1]PO Report'!P:P)</f>
        <v>8</v>
      </c>
      <c r="F1086">
        <f>VLOOKUP(A1086,'[1]PO Report'!$A:$Z,15,0)</f>
        <v>210.52</v>
      </c>
      <c r="H1086">
        <f t="shared" si="32"/>
        <v>-1</v>
      </c>
      <c r="J1086">
        <f t="shared" si="33"/>
        <v>0</v>
      </c>
    </row>
    <row r="1087" spans="1:10" x14ac:dyDescent="0.25">
      <c r="A1087" t="s">
        <v>3067</v>
      </c>
      <c r="B1087">
        <v>8</v>
      </c>
      <c r="C1087">
        <f>_xlfn.XLOOKUP(Recon!A1087,[1]Backup!AJ:AJ,[1]Backup!L:L)</f>
        <v>32.21</v>
      </c>
      <c r="D1087">
        <f>_xlfn.XLOOKUP(Recon!A1087,[1]Backup!AJ:AJ,[1]Backup!K:K)</f>
        <v>1.09514</v>
      </c>
      <c r="E1087">
        <f>SUMIF('[1]PO Report'!A:A,Recon!A1087,'[1]PO Report'!P:P)</f>
        <v>8</v>
      </c>
      <c r="F1087">
        <f>VLOOKUP(A1087,'[1]PO Report'!$A:$Z,15,0)</f>
        <v>32.21</v>
      </c>
      <c r="H1087">
        <f t="shared" si="32"/>
        <v>0</v>
      </c>
      <c r="J1087">
        <f t="shared" si="33"/>
        <v>0</v>
      </c>
    </row>
    <row r="1088" spans="1:10" x14ac:dyDescent="0.25">
      <c r="A1088" t="s">
        <v>3068</v>
      </c>
      <c r="B1088">
        <v>80</v>
      </c>
      <c r="C1088">
        <f>_xlfn.XLOOKUP(Recon!A1088,[1]Backup!AJ:AJ,[1]Backup!L:L)</f>
        <v>20.5</v>
      </c>
      <c r="D1088">
        <f>_xlfn.XLOOKUP(Recon!A1088,[1]Backup!AJ:AJ,[1]Backup!K:K)</f>
        <v>0.69699999999999995</v>
      </c>
      <c r="E1088">
        <f>SUMIF('[1]PO Report'!A:A,Recon!A1088,'[1]PO Report'!P:P)</f>
        <v>80</v>
      </c>
      <c r="F1088">
        <f>VLOOKUP(A1088,'[1]PO Report'!$A:$Z,15,0)</f>
        <v>20.5</v>
      </c>
      <c r="H1088">
        <f t="shared" si="32"/>
        <v>0</v>
      </c>
      <c r="J1088">
        <f t="shared" si="33"/>
        <v>0</v>
      </c>
    </row>
    <row r="1089" spans="1:10" x14ac:dyDescent="0.25">
      <c r="A1089" t="s">
        <v>3069</v>
      </c>
      <c r="B1089">
        <v>48</v>
      </c>
      <c r="C1089">
        <f>_xlfn.XLOOKUP(Recon!A1089,[1]Backup!AJ:AJ,[1]Backup!L:L)</f>
        <v>33.33</v>
      </c>
      <c r="D1089">
        <f>_xlfn.XLOOKUP(Recon!A1089,[1]Backup!AJ:AJ,[1]Backup!K:K)</f>
        <v>1.1332199999999999</v>
      </c>
      <c r="E1089">
        <f>SUMIF('[1]PO Report'!A:A,Recon!A1089,'[1]PO Report'!P:P)</f>
        <v>48</v>
      </c>
      <c r="F1089">
        <f>VLOOKUP(A1089,'[1]PO Report'!$A:$Z,15,0)</f>
        <v>33.33</v>
      </c>
      <c r="H1089">
        <f t="shared" si="32"/>
        <v>0</v>
      </c>
      <c r="J1089">
        <f t="shared" si="33"/>
        <v>0</v>
      </c>
    </row>
    <row r="1090" spans="1:10" x14ac:dyDescent="0.25">
      <c r="A1090" t="s">
        <v>3070</v>
      </c>
      <c r="B1090">
        <v>30</v>
      </c>
      <c r="C1090">
        <f>_xlfn.XLOOKUP(Recon!A1090,[1]Backup!AJ:AJ,[1]Backup!L:L)</f>
        <v>23.42</v>
      </c>
      <c r="D1090">
        <f>_xlfn.XLOOKUP(Recon!A1090,[1]Backup!AJ:AJ,[1]Backup!K:K)</f>
        <v>0.79627999999999999</v>
      </c>
      <c r="E1090">
        <f>SUMIF('[1]PO Report'!A:A,Recon!A1090,'[1]PO Report'!P:P)</f>
        <v>30</v>
      </c>
      <c r="F1090">
        <f>VLOOKUP(A1090,'[1]PO Report'!$A:$Z,15,0)</f>
        <v>23.42</v>
      </c>
      <c r="H1090">
        <f t="shared" si="32"/>
        <v>0</v>
      </c>
      <c r="J1090">
        <f t="shared" si="33"/>
        <v>0</v>
      </c>
    </row>
    <row r="1091" spans="1:10" x14ac:dyDescent="0.25">
      <c r="A1091" t="s">
        <v>3071</v>
      </c>
      <c r="B1091">
        <v>320</v>
      </c>
      <c r="C1091">
        <f>_xlfn.XLOOKUP(Recon!A1091,[1]Backup!AJ:AJ,[1]Backup!L:L)</f>
        <v>40.6</v>
      </c>
      <c r="D1091">
        <f>_xlfn.XLOOKUP(Recon!A1091,[1]Backup!AJ:AJ,[1]Backup!K:K)</f>
        <v>1.3804000000000001</v>
      </c>
      <c r="E1091">
        <f>SUMIF('[1]PO Report'!A:A,Recon!A1091,'[1]PO Report'!P:P)</f>
        <v>320</v>
      </c>
      <c r="F1091">
        <f>VLOOKUP(A1091,'[1]PO Report'!$A:$Z,15,0)</f>
        <v>40.6</v>
      </c>
      <c r="H1091">
        <f t="shared" si="32"/>
        <v>0</v>
      </c>
      <c r="J1091">
        <f t="shared" si="33"/>
        <v>0</v>
      </c>
    </row>
    <row r="1092" spans="1:10" x14ac:dyDescent="0.25">
      <c r="A1092" t="s">
        <v>3072</v>
      </c>
      <c r="B1092">
        <v>216</v>
      </c>
      <c r="C1092">
        <f>_xlfn.XLOOKUP(Recon!A1092,[1]Backup!AJ:AJ,[1]Backup!L:L)</f>
        <v>32.21</v>
      </c>
      <c r="D1092">
        <f>_xlfn.XLOOKUP(Recon!A1092,[1]Backup!AJ:AJ,[1]Backup!K:K)</f>
        <v>1.09514</v>
      </c>
      <c r="E1092">
        <f>SUMIF('[1]PO Report'!A:A,Recon!A1092,'[1]PO Report'!P:P)</f>
        <v>216</v>
      </c>
      <c r="F1092">
        <f>VLOOKUP(A1092,'[1]PO Report'!$A:$Z,15,0)</f>
        <v>32.21</v>
      </c>
      <c r="H1092">
        <f t="shared" ref="H1092:H1155" si="34">B1092-E1092</f>
        <v>0</v>
      </c>
      <c r="J1092">
        <f t="shared" ref="J1092:J1155" si="35">C1092-F1092</f>
        <v>0</v>
      </c>
    </row>
    <row r="1093" spans="1:10" x14ac:dyDescent="0.25">
      <c r="A1093" t="s">
        <v>3073</v>
      </c>
      <c r="B1093">
        <v>32</v>
      </c>
      <c r="C1093">
        <f>_xlfn.XLOOKUP(Recon!A1093,[1]Backup!AJ:AJ,[1]Backup!L:L)</f>
        <v>103.06</v>
      </c>
      <c r="D1093">
        <f>_xlfn.XLOOKUP(Recon!A1093,[1]Backup!AJ:AJ,[1]Backup!K:K)</f>
        <v>3.5040399999999998</v>
      </c>
      <c r="E1093">
        <f>SUMIF('[1]PO Report'!A:A,Recon!A1093,'[1]PO Report'!P:P)</f>
        <v>32</v>
      </c>
      <c r="F1093">
        <f>VLOOKUP(A1093,'[1]PO Report'!$A:$Z,15,0)</f>
        <v>103.06</v>
      </c>
      <c r="H1093">
        <f t="shared" si="34"/>
        <v>0</v>
      </c>
      <c r="J1093">
        <f t="shared" si="35"/>
        <v>0</v>
      </c>
    </row>
    <row r="1094" spans="1:10" x14ac:dyDescent="0.25">
      <c r="A1094" t="s">
        <v>3074</v>
      </c>
      <c r="B1094">
        <v>4</v>
      </c>
      <c r="C1094">
        <f>_xlfn.XLOOKUP(Recon!A1094,[1]Backup!AJ:AJ,[1]Backup!L:L)</f>
        <v>39.56</v>
      </c>
      <c r="D1094">
        <f>_xlfn.XLOOKUP(Recon!A1094,[1]Backup!AJ:AJ,[1]Backup!K:K)</f>
        <v>1.34504</v>
      </c>
      <c r="E1094">
        <f>SUMIF('[1]PO Report'!A:A,Recon!A1094,'[1]PO Report'!P:P)</f>
        <v>4</v>
      </c>
      <c r="F1094">
        <f>VLOOKUP(A1094,'[1]PO Report'!$A:$Z,15,0)</f>
        <v>39.56</v>
      </c>
      <c r="H1094">
        <f t="shared" si="34"/>
        <v>0</v>
      </c>
      <c r="J1094">
        <f t="shared" si="35"/>
        <v>0</v>
      </c>
    </row>
    <row r="1095" spans="1:10" x14ac:dyDescent="0.25">
      <c r="A1095" t="s">
        <v>3075</v>
      </c>
      <c r="B1095">
        <v>4</v>
      </c>
      <c r="C1095">
        <f>_xlfn.XLOOKUP(Recon!A1095,[1]Backup!AJ:AJ,[1]Backup!L:L)</f>
        <v>44.84</v>
      </c>
      <c r="D1095">
        <f>_xlfn.XLOOKUP(Recon!A1095,[1]Backup!AJ:AJ,[1]Backup!K:K)</f>
        <v>1.5245599999999999</v>
      </c>
      <c r="E1095">
        <f>SUMIF('[1]PO Report'!A:A,Recon!A1095,'[1]PO Report'!P:P)</f>
        <v>4</v>
      </c>
      <c r="F1095">
        <f>VLOOKUP(A1095,'[1]PO Report'!$A:$Z,15,0)</f>
        <v>44.84</v>
      </c>
      <c r="H1095">
        <f t="shared" si="34"/>
        <v>0</v>
      </c>
      <c r="J1095">
        <f t="shared" si="35"/>
        <v>0</v>
      </c>
    </row>
    <row r="1096" spans="1:10" x14ac:dyDescent="0.25">
      <c r="A1096" t="s">
        <v>3076</v>
      </c>
      <c r="B1096">
        <v>360</v>
      </c>
      <c r="C1096">
        <f>_xlfn.XLOOKUP(Recon!A1096,[1]Backup!AJ:AJ,[1]Backup!L:L)</f>
        <v>75.41</v>
      </c>
      <c r="D1096">
        <f>_xlfn.XLOOKUP(Recon!A1096,[1]Backup!AJ:AJ,[1]Backup!K:K)</f>
        <v>2.5639400000000001</v>
      </c>
      <c r="E1096">
        <f>SUMIF('[1]PO Report'!A:A,Recon!A1096,'[1]PO Report'!P:P)</f>
        <v>360</v>
      </c>
      <c r="F1096">
        <f>VLOOKUP(A1096,'[1]PO Report'!$A:$Z,15,0)</f>
        <v>75.41</v>
      </c>
      <c r="H1096">
        <f t="shared" si="34"/>
        <v>0</v>
      </c>
      <c r="J1096">
        <f t="shared" si="35"/>
        <v>0</v>
      </c>
    </row>
    <row r="1097" spans="1:10" x14ac:dyDescent="0.25">
      <c r="A1097" t="s">
        <v>3077</v>
      </c>
      <c r="B1097">
        <v>44</v>
      </c>
      <c r="C1097">
        <f>_xlfn.XLOOKUP(Recon!A1097,[1]Backup!AJ:AJ,[1]Backup!L:L)</f>
        <v>131.38</v>
      </c>
      <c r="D1097">
        <f>_xlfn.XLOOKUP(Recon!A1097,[1]Backup!AJ:AJ,[1]Backup!K:K)</f>
        <v>4.46692</v>
      </c>
      <c r="E1097">
        <f>SUMIF('[1]PO Report'!A:A,Recon!A1097,'[1]PO Report'!P:P)</f>
        <v>44</v>
      </c>
      <c r="F1097">
        <f>VLOOKUP(A1097,'[1]PO Report'!$A:$Z,15,0)</f>
        <v>131.38</v>
      </c>
      <c r="H1097">
        <f t="shared" si="34"/>
        <v>0</v>
      </c>
      <c r="J1097">
        <f t="shared" si="35"/>
        <v>0</v>
      </c>
    </row>
    <row r="1098" spans="1:10" x14ac:dyDescent="0.25">
      <c r="A1098" t="s">
        <v>3078</v>
      </c>
      <c r="B1098">
        <v>4</v>
      </c>
      <c r="C1098">
        <f>_xlfn.XLOOKUP(Recon!A1098,[1]Backup!AJ:AJ,[1]Backup!L:L)</f>
        <v>75.41</v>
      </c>
      <c r="D1098">
        <f>_xlfn.XLOOKUP(Recon!A1098,[1]Backup!AJ:AJ,[1]Backup!K:K)</f>
        <v>2.5639400000000001</v>
      </c>
      <c r="E1098">
        <f>SUMIF('[1]PO Report'!A:A,Recon!A1098,'[1]PO Report'!P:P)</f>
        <v>4</v>
      </c>
      <c r="F1098">
        <f>VLOOKUP(A1098,'[1]PO Report'!$A:$Z,15,0)</f>
        <v>75.41</v>
      </c>
      <c r="H1098">
        <f t="shared" si="34"/>
        <v>0</v>
      </c>
      <c r="J1098">
        <f t="shared" si="35"/>
        <v>0</v>
      </c>
    </row>
    <row r="1099" spans="1:10" x14ac:dyDescent="0.25">
      <c r="A1099" t="s">
        <v>3079</v>
      </c>
      <c r="B1099">
        <v>8</v>
      </c>
      <c r="C1099">
        <f>_xlfn.XLOOKUP(Recon!A1099,[1]Backup!AJ:AJ,[1]Backup!L:L)</f>
        <v>32.21</v>
      </c>
      <c r="D1099">
        <f>_xlfn.XLOOKUP(Recon!A1099,[1]Backup!AJ:AJ,[1]Backup!K:K)</f>
        <v>1.09514</v>
      </c>
      <c r="E1099">
        <f>SUMIF('[1]PO Report'!A:A,Recon!A1099,'[1]PO Report'!P:P)</f>
        <v>8</v>
      </c>
      <c r="F1099">
        <f>VLOOKUP(A1099,'[1]PO Report'!$A:$Z,15,0)</f>
        <v>32.21</v>
      </c>
      <c r="H1099">
        <f t="shared" si="34"/>
        <v>0</v>
      </c>
      <c r="J1099">
        <f t="shared" si="35"/>
        <v>0</v>
      </c>
    </row>
    <row r="1100" spans="1:10" x14ac:dyDescent="0.25">
      <c r="A1100" t="s">
        <v>3080</v>
      </c>
      <c r="B1100">
        <v>4</v>
      </c>
      <c r="C1100">
        <f>_xlfn.XLOOKUP(Recon!A1100,[1]Backup!AJ:AJ,[1]Backup!L:L)</f>
        <v>69.03</v>
      </c>
      <c r="D1100">
        <f>_xlfn.XLOOKUP(Recon!A1100,[1]Backup!AJ:AJ,[1]Backup!K:K)</f>
        <v>2.3470200000000001</v>
      </c>
      <c r="E1100">
        <f>SUMIF('[1]PO Report'!A:A,Recon!A1100,'[1]PO Report'!P:P)</f>
        <v>4</v>
      </c>
      <c r="F1100">
        <f>VLOOKUP(A1100,'[1]PO Report'!$A:$Z,15,0)</f>
        <v>69.03</v>
      </c>
      <c r="H1100">
        <f t="shared" si="34"/>
        <v>0</v>
      </c>
      <c r="J1100">
        <f t="shared" si="35"/>
        <v>0</v>
      </c>
    </row>
    <row r="1101" spans="1:10" x14ac:dyDescent="0.25">
      <c r="A1101" t="s">
        <v>3081</v>
      </c>
      <c r="B1101">
        <v>30</v>
      </c>
      <c r="C1101">
        <f>_xlfn.XLOOKUP(Recon!A1101,[1]Backup!AJ:AJ,[1]Backup!L:L)</f>
        <v>23.42</v>
      </c>
      <c r="D1101">
        <f>_xlfn.XLOOKUP(Recon!A1101,[1]Backup!AJ:AJ,[1]Backup!K:K)</f>
        <v>0.79627999999999999</v>
      </c>
      <c r="E1101">
        <f>SUMIF('[1]PO Report'!A:A,Recon!A1101,'[1]PO Report'!P:P)</f>
        <v>30</v>
      </c>
      <c r="F1101">
        <f>VLOOKUP(A1101,'[1]PO Report'!$A:$Z,15,0)</f>
        <v>23.42</v>
      </c>
      <c r="H1101">
        <f t="shared" si="34"/>
        <v>0</v>
      </c>
      <c r="J1101">
        <f t="shared" si="35"/>
        <v>0</v>
      </c>
    </row>
    <row r="1102" spans="1:10" x14ac:dyDescent="0.25">
      <c r="A1102" t="s">
        <v>3082</v>
      </c>
      <c r="B1102">
        <v>12</v>
      </c>
      <c r="C1102">
        <f>_xlfn.XLOOKUP(Recon!A1102,[1]Backup!AJ:AJ,[1]Backup!L:L)</f>
        <v>80.64</v>
      </c>
      <c r="D1102">
        <f>_xlfn.XLOOKUP(Recon!A1102,[1]Backup!AJ:AJ,[1]Backup!K:K)</f>
        <v>2.7417599999999998</v>
      </c>
      <c r="E1102">
        <f>SUMIF('[1]PO Report'!A:A,Recon!A1102,'[1]PO Report'!P:P)</f>
        <v>12</v>
      </c>
      <c r="F1102">
        <f>VLOOKUP(A1102,'[1]PO Report'!$A:$Z,15,0)</f>
        <v>80.64</v>
      </c>
      <c r="H1102">
        <f t="shared" si="34"/>
        <v>0</v>
      </c>
      <c r="J1102">
        <f t="shared" si="35"/>
        <v>0</v>
      </c>
    </row>
    <row r="1103" spans="1:10" x14ac:dyDescent="0.25">
      <c r="A1103" t="s">
        <v>3083</v>
      </c>
      <c r="B1103">
        <v>56</v>
      </c>
      <c r="C1103">
        <f>_xlfn.XLOOKUP(Recon!A1103,[1]Backup!AJ:AJ,[1]Backup!L:L)</f>
        <v>69.03</v>
      </c>
      <c r="D1103">
        <f>_xlfn.XLOOKUP(Recon!A1103,[1]Backup!AJ:AJ,[1]Backup!K:K)</f>
        <v>2.3470200000000001</v>
      </c>
      <c r="E1103">
        <f>SUMIF('[1]PO Report'!A:A,Recon!A1103,'[1]PO Report'!P:P)</f>
        <v>56</v>
      </c>
      <c r="F1103">
        <f>VLOOKUP(A1103,'[1]PO Report'!$A:$Z,15,0)</f>
        <v>69.03</v>
      </c>
      <c r="H1103">
        <f t="shared" si="34"/>
        <v>0</v>
      </c>
      <c r="J1103">
        <f t="shared" si="35"/>
        <v>0</v>
      </c>
    </row>
    <row r="1104" spans="1:10" x14ac:dyDescent="0.25">
      <c r="A1104" t="s">
        <v>3084</v>
      </c>
      <c r="B1104">
        <v>24</v>
      </c>
      <c r="C1104">
        <f>_xlfn.XLOOKUP(Recon!A1104,[1]Backup!AJ:AJ,[1]Backup!L:L)</f>
        <v>32.21</v>
      </c>
      <c r="D1104">
        <f>_xlfn.XLOOKUP(Recon!A1104,[1]Backup!AJ:AJ,[1]Backup!K:K)</f>
        <v>1.09514</v>
      </c>
      <c r="E1104">
        <f>SUMIF('[1]PO Report'!A:A,Recon!A1104,'[1]PO Report'!P:P)</f>
        <v>24</v>
      </c>
      <c r="F1104">
        <f>VLOOKUP(A1104,'[1]PO Report'!$A:$Z,15,0)</f>
        <v>32.21</v>
      </c>
      <c r="H1104">
        <f t="shared" si="34"/>
        <v>0</v>
      </c>
      <c r="J1104">
        <f t="shared" si="35"/>
        <v>0</v>
      </c>
    </row>
    <row r="1105" spans="1:10" x14ac:dyDescent="0.25">
      <c r="A1105" t="s">
        <v>3085</v>
      </c>
      <c r="B1105">
        <v>332</v>
      </c>
      <c r="C1105">
        <f>_xlfn.XLOOKUP(Recon!A1105,[1]Backup!AJ:AJ,[1]Backup!L:L)</f>
        <v>63.230000000000004</v>
      </c>
      <c r="D1105">
        <f>_xlfn.XLOOKUP(Recon!A1105,[1]Backup!AJ:AJ,[1]Backup!K:K)</f>
        <v>2.1498200000000001</v>
      </c>
      <c r="E1105">
        <f>SUMIF('[1]PO Report'!A:A,Recon!A1105,'[1]PO Report'!P:P)</f>
        <v>332</v>
      </c>
      <c r="F1105">
        <f>VLOOKUP(A1105,'[1]PO Report'!$A:$Z,15,0)</f>
        <v>63.23</v>
      </c>
      <c r="H1105">
        <f t="shared" si="34"/>
        <v>0</v>
      </c>
      <c r="J1105">
        <f t="shared" si="35"/>
        <v>0</v>
      </c>
    </row>
    <row r="1106" spans="1:10" x14ac:dyDescent="0.25">
      <c r="A1106" t="s">
        <v>3086</v>
      </c>
      <c r="B1106">
        <v>4</v>
      </c>
      <c r="C1106">
        <f>_xlfn.XLOOKUP(Recon!A1106,[1]Backup!AJ:AJ,[1]Backup!L:L)</f>
        <v>172.23</v>
      </c>
      <c r="D1106">
        <f>_xlfn.XLOOKUP(Recon!A1106,[1]Backup!AJ:AJ,[1]Backup!K:K)</f>
        <v>5.8558199999999996</v>
      </c>
      <c r="E1106">
        <f>SUMIF('[1]PO Report'!A:A,Recon!A1106,'[1]PO Report'!P:P)</f>
        <v>4</v>
      </c>
      <c r="F1106">
        <f>VLOOKUP(A1106,'[1]PO Report'!$A:$Z,15,0)</f>
        <v>172.23</v>
      </c>
      <c r="H1106">
        <f t="shared" si="34"/>
        <v>0</v>
      </c>
      <c r="J1106">
        <f t="shared" si="35"/>
        <v>0</v>
      </c>
    </row>
    <row r="1107" spans="1:10" x14ac:dyDescent="0.25">
      <c r="A1107" t="s">
        <v>3087</v>
      </c>
      <c r="B1107">
        <v>16</v>
      </c>
      <c r="C1107">
        <f>_xlfn.XLOOKUP(Recon!A1107,[1]Backup!AJ:AJ,[1]Backup!L:L)</f>
        <v>96.83</v>
      </c>
      <c r="D1107">
        <f>_xlfn.XLOOKUP(Recon!A1107,[1]Backup!AJ:AJ,[1]Backup!K:K)</f>
        <v>3.2922199999999999</v>
      </c>
      <c r="E1107">
        <f>SUMIF('[1]PO Report'!A:A,Recon!A1107,'[1]PO Report'!P:P)</f>
        <v>16</v>
      </c>
      <c r="F1107">
        <f>VLOOKUP(A1107,'[1]PO Report'!$A:$Z,15,0)</f>
        <v>96.83</v>
      </c>
      <c r="H1107">
        <f t="shared" si="34"/>
        <v>0</v>
      </c>
      <c r="J1107">
        <f t="shared" si="35"/>
        <v>0</v>
      </c>
    </row>
    <row r="1108" spans="1:10" x14ac:dyDescent="0.25">
      <c r="A1108" t="s">
        <v>3088</v>
      </c>
      <c r="B1108">
        <v>352</v>
      </c>
      <c r="C1108">
        <f>_xlfn.XLOOKUP(Recon!A1108,[1]Backup!AJ:AJ,[1]Backup!L:L)</f>
        <v>20.5</v>
      </c>
      <c r="D1108">
        <f>_xlfn.XLOOKUP(Recon!A1108,[1]Backup!AJ:AJ,[1]Backup!K:K)</f>
        <v>0.69699999999999995</v>
      </c>
      <c r="E1108">
        <f>SUMIF('[1]PO Report'!A:A,Recon!A1108,'[1]PO Report'!P:P)</f>
        <v>352</v>
      </c>
      <c r="F1108">
        <f>VLOOKUP(A1108,'[1]PO Report'!$A:$Z,15,0)</f>
        <v>20.5</v>
      </c>
      <c r="H1108">
        <f t="shared" si="34"/>
        <v>0</v>
      </c>
      <c r="J1108">
        <f t="shared" si="35"/>
        <v>0</v>
      </c>
    </row>
    <row r="1109" spans="1:10" x14ac:dyDescent="0.25">
      <c r="A1109" t="s">
        <v>3089</v>
      </c>
      <c r="B1109">
        <v>90</v>
      </c>
      <c r="C1109">
        <f>_xlfn.XLOOKUP(Recon!A1109,[1]Backup!AJ:AJ,[1]Backup!L:L)</f>
        <v>10.530000000000001</v>
      </c>
      <c r="D1109">
        <f>_xlfn.XLOOKUP(Recon!A1109,[1]Backup!AJ:AJ,[1]Backup!K:K)</f>
        <v>0.35802</v>
      </c>
      <c r="E1109">
        <f>SUMIF('[1]PO Report'!A:A,Recon!A1109,'[1]PO Report'!P:P)</f>
        <v>90</v>
      </c>
      <c r="F1109">
        <f>VLOOKUP(A1109,'[1]PO Report'!$A:$Z,15,0)</f>
        <v>10.53</v>
      </c>
      <c r="H1109">
        <f t="shared" si="34"/>
        <v>0</v>
      </c>
      <c r="J1109">
        <f t="shared" si="35"/>
        <v>0</v>
      </c>
    </row>
    <row r="1110" spans="1:10" x14ac:dyDescent="0.25">
      <c r="A1110" t="s">
        <v>3090</v>
      </c>
      <c r="B1110">
        <v>380</v>
      </c>
      <c r="C1110">
        <f>_xlfn.XLOOKUP(Recon!A1110,[1]Backup!AJ:AJ,[1]Backup!L:L)</f>
        <v>10.53</v>
      </c>
      <c r="D1110">
        <f>_xlfn.XLOOKUP(Recon!A1110,[1]Backup!AJ:AJ,[1]Backup!K:K)</f>
        <v>0.35802</v>
      </c>
      <c r="E1110">
        <f>SUMIF('[1]PO Report'!A:A,Recon!A1110,'[1]PO Report'!P:P)</f>
        <v>1020</v>
      </c>
      <c r="F1110">
        <f>VLOOKUP(A1110,'[1]PO Report'!$A:$Z,15,0)</f>
        <v>10.53</v>
      </c>
      <c r="H1110">
        <f t="shared" si="34"/>
        <v>-640</v>
      </c>
      <c r="J1110">
        <f t="shared" si="35"/>
        <v>0</v>
      </c>
    </row>
    <row r="1111" spans="1:10" x14ac:dyDescent="0.25">
      <c r="A1111" t="s">
        <v>3091</v>
      </c>
      <c r="B1111">
        <v>168</v>
      </c>
      <c r="C1111">
        <f>_xlfn.XLOOKUP(Recon!A1111,[1]Backup!AJ:AJ,[1]Backup!L:L)</f>
        <v>20.5</v>
      </c>
      <c r="D1111">
        <f>_xlfn.XLOOKUP(Recon!A1111,[1]Backup!AJ:AJ,[1]Backup!K:K)</f>
        <v>0.69699999999999995</v>
      </c>
      <c r="E1111">
        <f>SUMIF('[1]PO Report'!A:A,Recon!A1111,'[1]PO Report'!P:P)</f>
        <v>168</v>
      </c>
      <c r="F1111">
        <f>VLOOKUP(A1111,'[1]PO Report'!$A:$Z,15,0)</f>
        <v>20.5</v>
      </c>
      <c r="H1111">
        <f t="shared" si="34"/>
        <v>0</v>
      </c>
      <c r="J1111">
        <f t="shared" si="35"/>
        <v>0</v>
      </c>
    </row>
    <row r="1112" spans="1:10" x14ac:dyDescent="0.25">
      <c r="A1112" t="s">
        <v>3092</v>
      </c>
      <c r="B1112">
        <v>12</v>
      </c>
      <c r="C1112">
        <f>_xlfn.XLOOKUP(Recon!A1112,[1]Backup!AJ:AJ,[1]Backup!L:L)</f>
        <v>20.5</v>
      </c>
      <c r="D1112">
        <f>_xlfn.XLOOKUP(Recon!A1112,[1]Backup!AJ:AJ,[1]Backup!K:K)</f>
        <v>0.69700000000000006</v>
      </c>
      <c r="E1112">
        <f>SUMIF('[1]PO Report'!A:A,Recon!A1112,'[1]PO Report'!P:P)</f>
        <v>12</v>
      </c>
      <c r="F1112">
        <f>VLOOKUP(A1112,'[1]PO Report'!$A:$Z,15,0)</f>
        <v>20.5</v>
      </c>
      <c r="H1112">
        <f t="shared" si="34"/>
        <v>0</v>
      </c>
      <c r="J1112">
        <f t="shared" si="35"/>
        <v>0</v>
      </c>
    </row>
    <row r="1113" spans="1:10" x14ac:dyDescent="0.25">
      <c r="A1113" t="s">
        <v>3093</v>
      </c>
      <c r="B1113">
        <v>8</v>
      </c>
      <c r="C1113">
        <f>_xlfn.XLOOKUP(Recon!A1113,[1]Backup!AJ:AJ,[1]Backup!L:L)</f>
        <v>96.83</v>
      </c>
      <c r="D1113">
        <f>_xlfn.XLOOKUP(Recon!A1113,[1]Backup!AJ:AJ,[1]Backup!K:K)</f>
        <v>3.2922199999999999</v>
      </c>
      <c r="E1113">
        <f>SUMIF('[1]PO Report'!A:A,Recon!A1113,'[1]PO Report'!P:P)</f>
        <v>8</v>
      </c>
      <c r="F1113">
        <f>VLOOKUP(A1113,'[1]PO Report'!$A:$Z,15,0)</f>
        <v>96.83</v>
      </c>
      <c r="H1113">
        <f t="shared" si="34"/>
        <v>0</v>
      </c>
      <c r="J1113">
        <f t="shared" si="35"/>
        <v>0</v>
      </c>
    </row>
    <row r="1114" spans="1:10" x14ac:dyDescent="0.25">
      <c r="A1114" t="s">
        <v>3094</v>
      </c>
      <c r="B1114">
        <v>50</v>
      </c>
      <c r="C1114">
        <f>_xlfn.XLOOKUP(Recon!A1114,[1]Backup!AJ:AJ,[1]Backup!L:L)</f>
        <v>9.36</v>
      </c>
      <c r="D1114">
        <f>_xlfn.XLOOKUP(Recon!A1114,[1]Backup!AJ:AJ,[1]Backup!K:K)</f>
        <v>0.31823999999999997</v>
      </c>
      <c r="E1114">
        <f>SUMIF('[1]PO Report'!A:A,Recon!A1114,'[1]PO Report'!P:P)</f>
        <v>50</v>
      </c>
      <c r="F1114">
        <f>VLOOKUP(A1114,'[1]PO Report'!$A:$Z,15,0)</f>
        <v>9.36</v>
      </c>
      <c r="H1114">
        <f t="shared" si="34"/>
        <v>0</v>
      </c>
      <c r="J1114">
        <f t="shared" si="35"/>
        <v>0</v>
      </c>
    </row>
    <row r="1115" spans="1:10" x14ac:dyDescent="0.25">
      <c r="A1115" t="s">
        <v>3095</v>
      </c>
      <c r="B1115">
        <v>70</v>
      </c>
      <c r="C1115">
        <f>_xlfn.XLOOKUP(Recon!A1115,[1]Backup!AJ:AJ,[1]Backup!L:L)</f>
        <v>26.35</v>
      </c>
      <c r="D1115">
        <f>_xlfn.XLOOKUP(Recon!A1115,[1]Backup!AJ:AJ,[1]Backup!K:K)</f>
        <v>0.89590000000000003</v>
      </c>
      <c r="E1115">
        <f>SUMIF('[1]PO Report'!A:A,Recon!A1115,'[1]PO Report'!P:P)</f>
        <v>70</v>
      </c>
      <c r="F1115">
        <f>VLOOKUP(A1115,'[1]PO Report'!$A:$Z,15,0)</f>
        <v>26.35</v>
      </c>
      <c r="H1115">
        <f t="shared" si="34"/>
        <v>0</v>
      </c>
      <c r="J1115">
        <f t="shared" si="35"/>
        <v>0</v>
      </c>
    </row>
    <row r="1116" spans="1:10" x14ac:dyDescent="0.25">
      <c r="A1116" t="s">
        <v>3096</v>
      </c>
      <c r="B1116">
        <v>470</v>
      </c>
      <c r="C1116">
        <f>_xlfn.XLOOKUP(Recon!A1116,[1]Backup!AJ:AJ,[1]Backup!L:L)</f>
        <v>16.39</v>
      </c>
      <c r="D1116">
        <f>_xlfn.XLOOKUP(Recon!A1116,[1]Backup!AJ:AJ,[1]Backup!K:K)</f>
        <v>0.55726000000000009</v>
      </c>
      <c r="E1116">
        <f>SUMIF('[1]PO Report'!A:A,Recon!A1116,'[1]PO Report'!P:P)</f>
        <v>460</v>
      </c>
      <c r="F1116">
        <f>VLOOKUP(A1116,'[1]PO Report'!$A:$Z,15,0)</f>
        <v>16.39</v>
      </c>
      <c r="H1116">
        <f t="shared" si="34"/>
        <v>10</v>
      </c>
      <c r="I1116">
        <f>H1116*D1116</f>
        <v>5.5726000000000013</v>
      </c>
      <c r="J1116">
        <f t="shared" si="35"/>
        <v>0</v>
      </c>
    </row>
    <row r="1117" spans="1:10" x14ac:dyDescent="0.25">
      <c r="A1117" t="s">
        <v>3097</v>
      </c>
      <c r="B1117">
        <v>70</v>
      </c>
      <c r="C1117">
        <f>_xlfn.XLOOKUP(Recon!A1117,[1]Backup!AJ:AJ,[1]Backup!L:L)</f>
        <v>43.92</v>
      </c>
      <c r="D1117">
        <f>_xlfn.XLOOKUP(Recon!A1117,[1]Backup!AJ:AJ,[1]Backup!K:K)</f>
        <v>1.4932799999999999</v>
      </c>
      <c r="E1117">
        <f>SUMIF('[1]PO Report'!A:A,Recon!A1117,'[1]PO Report'!P:P)</f>
        <v>70</v>
      </c>
      <c r="F1117">
        <f>VLOOKUP(A1117,'[1]PO Report'!$A:$Z,15,0)</f>
        <v>43.92</v>
      </c>
      <c r="H1117">
        <f t="shared" si="34"/>
        <v>0</v>
      </c>
      <c r="J1117">
        <f t="shared" si="35"/>
        <v>0</v>
      </c>
    </row>
    <row r="1118" spans="1:10" x14ac:dyDescent="0.25">
      <c r="A1118" t="s">
        <v>3098</v>
      </c>
      <c r="B1118">
        <v>16</v>
      </c>
      <c r="C1118">
        <f>_xlfn.XLOOKUP(Recon!A1118,[1]Backup!AJ:AJ,[1]Backup!L:L)</f>
        <v>96.83</v>
      </c>
      <c r="D1118">
        <f>_xlfn.XLOOKUP(Recon!A1118,[1]Backup!AJ:AJ,[1]Backup!K:K)</f>
        <v>3.2922199999999999</v>
      </c>
      <c r="E1118">
        <f>SUMIF('[1]PO Report'!A:A,Recon!A1118,'[1]PO Report'!P:P)</f>
        <v>16</v>
      </c>
      <c r="F1118">
        <f>VLOOKUP(A1118,'[1]PO Report'!$A:$Z,15,0)</f>
        <v>96.83</v>
      </c>
      <c r="H1118">
        <f t="shared" si="34"/>
        <v>0</v>
      </c>
      <c r="J1118">
        <f t="shared" si="35"/>
        <v>0</v>
      </c>
    </row>
    <row r="1119" spans="1:10" x14ac:dyDescent="0.25">
      <c r="A1119" t="s">
        <v>3099</v>
      </c>
      <c r="B1119">
        <v>12</v>
      </c>
      <c r="C1119">
        <f>_xlfn.XLOOKUP(Recon!A1119,[1]Backup!AJ:AJ,[1]Backup!L:L)</f>
        <v>73.34</v>
      </c>
      <c r="D1119">
        <f>_xlfn.XLOOKUP(Recon!A1119,[1]Backup!AJ:AJ,[1]Backup!K:K)</f>
        <v>2.49356</v>
      </c>
      <c r="E1119">
        <f>SUMIF('[1]PO Report'!A:A,Recon!A1119,'[1]PO Report'!P:P)</f>
        <v>12</v>
      </c>
      <c r="F1119">
        <f>VLOOKUP(A1119,'[1]PO Report'!$A:$Z,15,0)</f>
        <v>73.34</v>
      </c>
      <c r="H1119">
        <f t="shared" si="34"/>
        <v>0</v>
      </c>
      <c r="J1119">
        <f t="shared" si="35"/>
        <v>0</v>
      </c>
    </row>
    <row r="1120" spans="1:10" x14ac:dyDescent="0.25">
      <c r="A1120" t="s">
        <v>3100</v>
      </c>
      <c r="B1120">
        <v>60</v>
      </c>
      <c r="C1120">
        <f>_xlfn.XLOOKUP(Recon!A1120,[1]Backup!AJ:AJ,[1]Backup!L:L)</f>
        <v>69.61</v>
      </c>
      <c r="D1120">
        <f>_xlfn.XLOOKUP(Recon!A1120,[1]Backup!AJ:AJ,[1]Backup!K:K)</f>
        <v>2.3667400000000001</v>
      </c>
      <c r="E1120">
        <f>SUMIF('[1]PO Report'!A:A,Recon!A1120,'[1]PO Report'!P:P)</f>
        <v>60</v>
      </c>
      <c r="F1120">
        <f>VLOOKUP(A1120,'[1]PO Report'!$A:$Z,15,0)</f>
        <v>69.61</v>
      </c>
      <c r="H1120">
        <f t="shared" si="34"/>
        <v>0</v>
      </c>
      <c r="J1120">
        <f t="shared" si="35"/>
        <v>0</v>
      </c>
    </row>
    <row r="1121" spans="1:10" x14ac:dyDescent="0.25">
      <c r="A1121" t="s">
        <v>3101</v>
      </c>
      <c r="B1121">
        <v>8</v>
      </c>
      <c r="C1121">
        <f>_xlfn.XLOOKUP(Recon!A1121,[1]Backup!AJ:AJ,[1]Backup!L:L)</f>
        <v>83</v>
      </c>
      <c r="D1121">
        <f>_xlfn.XLOOKUP(Recon!A1121,[1]Backup!AJ:AJ,[1]Backup!K:K)</f>
        <v>2.8220000000000001</v>
      </c>
      <c r="E1121">
        <f>SUMIF('[1]PO Report'!A:A,Recon!A1121,'[1]PO Report'!P:P)</f>
        <v>8</v>
      </c>
      <c r="F1121">
        <f>VLOOKUP(A1121,'[1]PO Report'!$A:$Z,15,0)</f>
        <v>83</v>
      </c>
      <c r="H1121">
        <f t="shared" si="34"/>
        <v>0</v>
      </c>
      <c r="J1121">
        <f t="shared" si="35"/>
        <v>0</v>
      </c>
    </row>
    <row r="1122" spans="1:10" x14ac:dyDescent="0.25">
      <c r="A1122" t="s">
        <v>3102</v>
      </c>
      <c r="B1122">
        <v>24</v>
      </c>
      <c r="C1122">
        <f>_xlfn.XLOOKUP(Recon!A1122,[1]Backup!AJ:AJ,[1]Backup!L:L)</f>
        <v>42.860000000000007</v>
      </c>
      <c r="D1122">
        <f>_xlfn.XLOOKUP(Recon!A1122,[1]Backup!AJ:AJ,[1]Backup!K:K)</f>
        <v>1.4572399999999999</v>
      </c>
      <c r="E1122">
        <f>SUMIF('[1]PO Report'!A:A,Recon!A1122,'[1]PO Report'!P:P)</f>
        <v>24</v>
      </c>
      <c r="F1122">
        <f>VLOOKUP(A1122,'[1]PO Report'!$A:$Z,15,0)</f>
        <v>42.86</v>
      </c>
      <c r="H1122">
        <f t="shared" si="34"/>
        <v>0</v>
      </c>
      <c r="J1122">
        <f t="shared" si="35"/>
        <v>0</v>
      </c>
    </row>
    <row r="1123" spans="1:10" x14ac:dyDescent="0.25">
      <c r="A1123" t="s">
        <v>3103</v>
      </c>
      <c r="B1123">
        <v>8</v>
      </c>
      <c r="C1123">
        <f>_xlfn.XLOOKUP(Recon!A1123,[1]Backup!AJ:AJ,[1]Backup!L:L)</f>
        <v>47.48</v>
      </c>
      <c r="D1123">
        <f>_xlfn.XLOOKUP(Recon!A1123,[1]Backup!AJ:AJ,[1]Backup!K:K)</f>
        <v>1.61432</v>
      </c>
      <c r="E1123">
        <f>SUMIF('[1]PO Report'!A:A,Recon!A1123,'[1]PO Report'!P:P)</f>
        <v>8</v>
      </c>
      <c r="F1123">
        <f>VLOOKUP(A1123,'[1]PO Report'!$A:$Z,15,0)</f>
        <v>47.48</v>
      </c>
      <c r="H1123">
        <f t="shared" si="34"/>
        <v>0</v>
      </c>
      <c r="J1123">
        <f t="shared" si="35"/>
        <v>0</v>
      </c>
    </row>
    <row r="1124" spans="1:10" x14ac:dyDescent="0.25">
      <c r="A1124" t="s">
        <v>3104</v>
      </c>
      <c r="B1124">
        <v>4</v>
      </c>
      <c r="C1124">
        <f>_xlfn.XLOOKUP(Recon!A1124,[1]Backup!AJ:AJ,[1]Backup!L:L)</f>
        <v>73.34</v>
      </c>
      <c r="D1124">
        <f>_xlfn.XLOOKUP(Recon!A1124,[1]Backup!AJ:AJ,[1]Backup!K:K)</f>
        <v>2.49356</v>
      </c>
      <c r="E1124" t="e">
        <v>#N/A</v>
      </c>
      <c r="F1124" t="e">
        <f>VLOOKUP(A1124,'[1]PO Report'!$A:$Z,15,0)</f>
        <v>#N/A</v>
      </c>
      <c r="G1124">
        <f>B1124*D1124</f>
        <v>9.97424</v>
      </c>
      <c r="H1124" t="e">
        <f t="shared" si="34"/>
        <v>#N/A</v>
      </c>
      <c r="J1124" t="e">
        <f t="shared" si="35"/>
        <v>#N/A</v>
      </c>
    </row>
    <row r="1125" spans="1:10" x14ac:dyDescent="0.25">
      <c r="A1125" t="s">
        <v>3105</v>
      </c>
      <c r="B1125">
        <v>336</v>
      </c>
      <c r="C1125">
        <f>_xlfn.XLOOKUP(Recon!A1125,[1]Backup!AJ:AJ,[1]Backup!L:L)</f>
        <v>234.48</v>
      </c>
      <c r="D1125">
        <f>_xlfn.XLOOKUP(Recon!A1125,[1]Backup!AJ:AJ,[1]Backup!K:K)</f>
        <v>7.9723200000000007</v>
      </c>
      <c r="E1125">
        <f>SUMIF('[1]PO Report'!A:A,Recon!A1125,'[1]PO Report'!P:P)</f>
        <v>336</v>
      </c>
      <c r="F1125">
        <f>VLOOKUP(A1125,'[1]PO Report'!$A:$Z,15,0)</f>
        <v>234.48</v>
      </c>
      <c r="H1125">
        <f t="shared" si="34"/>
        <v>0</v>
      </c>
      <c r="J1125">
        <f t="shared" si="35"/>
        <v>0</v>
      </c>
    </row>
    <row r="1126" spans="1:10" x14ac:dyDescent="0.25">
      <c r="A1126" t="s">
        <v>3106</v>
      </c>
      <c r="B1126">
        <v>130</v>
      </c>
      <c r="C1126">
        <f>_xlfn.XLOOKUP(Recon!A1126,[1]Backup!AJ:AJ,[1]Backup!L:L)</f>
        <v>16.39</v>
      </c>
      <c r="D1126">
        <f>_xlfn.XLOOKUP(Recon!A1126,[1]Backup!AJ:AJ,[1]Backup!K:K)</f>
        <v>0.55726000000000009</v>
      </c>
      <c r="E1126">
        <f>SUMIF('[1]PO Report'!A:A,Recon!A1126,'[1]PO Report'!P:P)</f>
        <v>130</v>
      </c>
      <c r="F1126">
        <f>VLOOKUP(A1126,'[1]PO Report'!$A:$Z,15,0)</f>
        <v>16.39</v>
      </c>
      <c r="H1126">
        <f t="shared" si="34"/>
        <v>0</v>
      </c>
      <c r="J1126">
        <f t="shared" si="35"/>
        <v>0</v>
      </c>
    </row>
    <row r="1127" spans="1:10" x14ac:dyDescent="0.25">
      <c r="A1127" t="s">
        <v>3107</v>
      </c>
      <c r="B1127">
        <v>12</v>
      </c>
      <c r="C1127">
        <f>_xlfn.XLOOKUP(Recon!A1127,[1]Backup!AJ:AJ,[1]Backup!L:L)</f>
        <v>83.89</v>
      </c>
      <c r="D1127">
        <f>_xlfn.XLOOKUP(Recon!A1127,[1]Backup!AJ:AJ,[1]Backup!K:K)</f>
        <v>2.8522599999999998</v>
      </c>
      <c r="E1127">
        <f>SUMIF('[1]PO Report'!A:A,Recon!A1127,'[1]PO Report'!P:P)</f>
        <v>12</v>
      </c>
      <c r="F1127">
        <f>VLOOKUP(A1127,'[1]PO Report'!$A:$Z,15,0)</f>
        <v>83.89</v>
      </c>
      <c r="H1127">
        <f t="shared" si="34"/>
        <v>0</v>
      </c>
      <c r="J1127">
        <f t="shared" si="35"/>
        <v>0</v>
      </c>
    </row>
    <row r="1128" spans="1:10" x14ac:dyDescent="0.25">
      <c r="A1128" t="s">
        <v>3108</v>
      </c>
      <c r="B1128">
        <v>48</v>
      </c>
      <c r="C1128">
        <f>_xlfn.XLOOKUP(Recon!A1128,[1]Backup!AJ:AJ,[1]Backup!L:L)</f>
        <v>92.240000000000009</v>
      </c>
      <c r="D1128">
        <f>_xlfn.XLOOKUP(Recon!A1128,[1]Backup!AJ:AJ,[1]Backup!K:K)</f>
        <v>3.1361600000000003</v>
      </c>
      <c r="E1128">
        <f>SUMIF('[1]PO Report'!A:A,Recon!A1128,'[1]PO Report'!P:P)</f>
        <v>48</v>
      </c>
      <c r="F1128">
        <f>VLOOKUP(A1128,'[1]PO Report'!$A:$Z,15,0)</f>
        <v>92.24</v>
      </c>
      <c r="H1128">
        <f t="shared" si="34"/>
        <v>0</v>
      </c>
      <c r="J1128">
        <f t="shared" si="35"/>
        <v>0</v>
      </c>
    </row>
    <row r="1129" spans="1:10" x14ac:dyDescent="0.25">
      <c r="A1129" t="s">
        <v>3109</v>
      </c>
      <c r="B1129">
        <v>64</v>
      </c>
      <c r="C1129">
        <f>_xlfn.XLOOKUP(Recon!A1129,[1]Backup!AJ:AJ,[1]Backup!L:L)</f>
        <v>40.6</v>
      </c>
      <c r="D1129">
        <f>_xlfn.XLOOKUP(Recon!A1129,[1]Backup!AJ:AJ,[1]Backup!K:K)</f>
        <v>1.3804000000000001</v>
      </c>
      <c r="E1129">
        <f>SUMIF('[1]PO Report'!A:A,Recon!A1129,'[1]PO Report'!P:P)</f>
        <v>64</v>
      </c>
      <c r="F1129">
        <f>VLOOKUP(A1129,'[1]PO Report'!$A:$Z,15,0)</f>
        <v>40.6</v>
      </c>
      <c r="H1129">
        <f t="shared" si="34"/>
        <v>0</v>
      </c>
      <c r="J1129">
        <f t="shared" si="35"/>
        <v>0</v>
      </c>
    </row>
    <row r="1130" spans="1:10" x14ac:dyDescent="0.25">
      <c r="A1130" t="s">
        <v>3110</v>
      </c>
      <c r="B1130">
        <v>64</v>
      </c>
      <c r="C1130">
        <f>_xlfn.XLOOKUP(Recon!A1130,[1]Backup!AJ:AJ,[1]Backup!L:L)</f>
        <v>32.21</v>
      </c>
      <c r="D1130">
        <f>_xlfn.XLOOKUP(Recon!A1130,[1]Backup!AJ:AJ,[1]Backup!K:K)</f>
        <v>1.09514</v>
      </c>
      <c r="E1130">
        <f>SUMIF('[1]PO Report'!A:A,Recon!A1130,'[1]PO Report'!P:P)</f>
        <v>64</v>
      </c>
      <c r="F1130">
        <f>VLOOKUP(A1130,'[1]PO Report'!$A:$Z,15,0)</f>
        <v>32.21</v>
      </c>
      <c r="H1130">
        <f t="shared" si="34"/>
        <v>0</v>
      </c>
      <c r="J1130">
        <f t="shared" si="35"/>
        <v>0</v>
      </c>
    </row>
    <row r="1131" spans="1:10" x14ac:dyDescent="0.25">
      <c r="A1131" t="s">
        <v>3111</v>
      </c>
      <c r="B1131">
        <v>8</v>
      </c>
      <c r="C1131">
        <f>_xlfn.XLOOKUP(Recon!A1131,[1]Backup!AJ:AJ,[1]Backup!L:L)</f>
        <v>145.02000000000001</v>
      </c>
      <c r="D1131">
        <f>_xlfn.XLOOKUP(Recon!A1131,[1]Backup!AJ:AJ,[1]Backup!K:K)</f>
        <v>4.9306799999999997</v>
      </c>
      <c r="E1131">
        <f>SUMIF('[1]PO Report'!A:A,Recon!A1131,'[1]PO Report'!P:P)</f>
        <v>8</v>
      </c>
      <c r="F1131">
        <f>VLOOKUP(A1131,'[1]PO Report'!$A:$Z,15,0)</f>
        <v>145.02000000000001</v>
      </c>
      <c r="H1131">
        <f t="shared" si="34"/>
        <v>0</v>
      </c>
      <c r="J1131">
        <f t="shared" si="35"/>
        <v>0</v>
      </c>
    </row>
    <row r="1132" spans="1:10" x14ac:dyDescent="0.25">
      <c r="A1132" t="s">
        <v>3112</v>
      </c>
      <c r="B1132">
        <v>4</v>
      </c>
      <c r="C1132">
        <f>_xlfn.XLOOKUP(Recon!A1132,[1]Backup!AJ:AJ,[1]Backup!L:L)</f>
        <v>44.84</v>
      </c>
      <c r="D1132">
        <f>_xlfn.XLOOKUP(Recon!A1132,[1]Backup!AJ:AJ,[1]Backup!K:K)</f>
        <v>1.5245599999999999</v>
      </c>
      <c r="E1132">
        <f>SUMIF('[1]PO Report'!A:A,Recon!A1132,'[1]PO Report'!P:P)</f>
        <v>4</v>
      </c>
      <c r="F1132">
        <f>VLOOKUP(A1132,'[1]PO Report'!$A:$Z,15,0)</f>
        <v>44.84</v>
      </c>
      <c r="H1132">
        <f t="shared" si="34"/>
        <v>0</v>
      </c>
      <c r="J1132">
        <f t="shared" si="35"/>
        <v>0</v>
      </c>
    </row>
    <row r="1133" spans="1:10" x14ac:dyDescent="0.25">
      <c r="A1133" t="s">
        <v>3113</v>
      </c>
      <c r="B1133">
        <v>8</v>
      </c>
      <c r="C1133">
        <f>_xlfn.XLOOKUP(Recon!A1133,[1]Backup!AJ:AJ,[1]Backup!L:L)</f>
        <v>31.12</v>
      </c>
      <c r="D1133">
        <f>_xlfn.XLOOKUP(Recon!A1133,[1]Backup!AJ:AJ,[1]Backup!K:K)</f>
        <v>1.0580799999999999</v>
      </c>
      <c r="E1133">
        <f>SUMIF('[1]PO Report'!A:A,Recon!A1133,'[1]PO Report'!P:P)</f>
        <v>8</v>
      </c>
      <c r="F1133">
        <f>VLOOKUP(A1133,'[1]PO Report'!$A:$Z,15,0)</f>
        <v>31.12</v>
      </c>
      <c r="H1133">
        <f t="shared" si="34"/>
        <v>0</v>
      </c>
      <c r="J1133">
        <f t="shared" si="35"/>
        <v>0</v>
      </c>
    </row>
    <row r="1134" spans="1:10" x14ac:dyDescent="0.25">
      <c r="A1134" t="s">
        <v>3114</v>
      </c>
      <c r="B1134">
        <v>40</v>
      </c>
      <c r="C1134">
        <f>_xlfn.XLOOKUP(Recon!A1134,[1]Backup!AJ:AJ,[1]Backup!L:L)</f>
        <v>124.5</v>
      </c>
      <c r="D1134">
        <f>_xlfn.XLOOKUP(Recon!A1134,[1]Backup!AJ:AJ,[1]Backup!K:K)</f>
        <v>4.2329999999999997</v>
      </c>
      <c r="E1134">
        <f>SUMIF('[1]PO Report'!A:A,Recon!A1134,'[1]PO Report'!P:P)</f>
        <v>40</v>
      </c>
      <c r="F1134">
        <f>VLOOKUP(A1134,'[1]PO Report'!$A:$Z,15,0)</f>
        <v>124.5</v>
      </c>
      <c r="H1134">
        <f t="shared" si="34"/>
        <v>0</v>
      </c>
      <c r="J1134">
        <f t="shared" si="35"/>
        <v>0</v>
      </c>
    </row>
    <row r="1135" spans="1:10" x14ac:dyDescent="0.25">
      <c r="A1135" t="s">
        <v>3115</v>
      </c>
      <c r="B1135">
        <v>96</v>
      </c>
      <c r="C1135">
        <f>_xlfn.XLOOKUP(Recon!A1135,[1]Backup!AJ:AJ,[1]Backup!L:L)</f>
        <v>75.39</v>
      </c>
      <c r="D1135">
        <f>_xlfn.XLOOKUP(Recon!A1135,[1]Backup!AJ:AJ,[1]Backup!K:K)</f>
        <v>2.5632600000000001</v>
      </c>
      <c r="E1135">
        <f>SUMIF('[1]PO Report'!A:A,Recon!A1135,'[1]PO Report'!P:P)</f>
        <v>96</v>
      </c>
      <c r="F1135">
        <f>VLOOKUP(A1135,'[1]PO Report'!$A:$Z,15,0)</f>
        <v>75.39</v>
      </c>
      <c r="H1135">
        <f t="shared" si="34"/>
        <v>0</v>
      </c>
      <c r="J1135">
        <f t="shared" si="35"/>
        <v>0</v>
      </c>
    </row>
    <row r="1136" spans="1:10" x14ac:dyDescent="0.25">
      <c r="A1136" t="s">
        <v>3116</v>
      </c>
      <c r="B1136">
        <v>10</v>
      </c>
      <c r="C1136">
        <f>_xlfn.XLOOKUP(Recon!A1136,[1]Backup!AJ:AJ,[1]Backup!L:L)</f>
        <v>17.559999999999999</v>
      </c>
      <c r="D1136">
        <f>_xlfn.XLOOKUP(Recon!A1136,[1]Backup!AJ:AJ,[1]Backup!K:K)</f>
        <v>0.59704000000000002</v>
      </c>
      <c r="E1136">
        <f>SUMIF('[1]PO Report'!A:A,Recon!A1136,'[1]PO Report'!P:P)</f>
        <v>10</v>
      </c>
      <c r="F1136">
        <f>VLOOKUP(A1136,'[1]PO Report'!$A:$Z,15,0)</f>
        <v>17.559999999999999</v>
      </c>
      <c r="H1136">
        <f t="shared" si="34"/>
        <v>0</v>
      </c>
      <c r="J1136">
        <f t="shared" si="35"/>
        <v>0</v>
      </c>
    </row>
    <row r="1137" spans="1:10" x14ac:dyDescent="0.25">
      <c r="A1137" t="s">
        <v>3117</v>
      </c>
      <c r="B1137">
        <v>5</v>
      </c>
      <c r="C1137">
        <f>_xlfn.XLOOKUP(Recon!A1137,[1]Backup!AJ:AJ,[1]Backup!L:L)</f>
        <v>115.44000000000001</v>
      </c>
      <c r="D1137">
        <f>_xlfn.XLOOKUP(Recon!A1137,[1]Backup!AJ:AJ,[1]Backup!K:K)</f>
        <v>3.92496</v>
      </c>
      <c r="E1137">
        <f>SUMIF('[1]PO Report'!A:A,Recon!A1137,'[1]PO Report'!P:P)</f>
        <v>5</v>
      </c>
      <c r="F1137">
        <f>VLOOKUP(A1137,'[1]PO Report'!$A:$Z,15,0)</f>
        <v>115.44</v>
      </c>
      <c r="H1137">
        <f t="shared" si="34"/>
        <v>0</v>
      </c>
      <c r="J1137">
        <f t="shared" si="35"/>
        <v>0</v>
      </c>
    </row>
    <row r="1138" spans="1:10" x14ac:dyDescent="0.25">
      <c r="A1138" t="s">
        <v>3118</v>
      </c>
      <c r="B1138">
        <v>32</v>
      </c>
      <c r="C1138">
        <f>_xlfn.XLOOKUP(Recon!A1138,[1]Backup!AJ:AJ,[1]Backup!L:L)</f>
        <v>35.130000000000003</v>
      </c>
      <c r="D1138">
        <f>_xlfn.XLOOKUP(Recon!A1138,[1]Backup!AJ:AJ,[1]Backup!K:K)</f>
        <v>1.19442</v>
      </c>
      <c r="E1138">
        <f>SUMIF('[1]PO Report'!A:A,Recon!A1138,'[1]PO Report'!P:P)</f>
        <v>32</v>
      </c>
      <c r="F1138">
        <f>VLOOKUP(A1138,'[1]PO Report'!$A:$Z,15,0)</f>
        <v>35.130000000000003</v>
      </c>
      <c r="H1138">
        <f t="shared" si="34"/>
        <v>0</v>
      </c>
      <c r="J1138">
        <f t="shared" si="35"/>
        <v>0</v>
      </c>
    </row>
    <row r="1139" spans="1:10" x14ac:dyDescent="0.25">
      <c r="A1139" t="s">
        <v>3119</v>
      </c>
      <c r="B1139">
        <v>30</v>
      </c>
      <c r="C1139">
        <f>_xlfn.XLOOKUP(Recon!A1139,[1]Backup!AJ:AJ,[1]Backup!L:L)</f>
        <v>26.35</v>
      </c>
      <c r="D1139">
        <f>_xlfn.XLOOKUP(Recon!A1139,[1]Backup!AJ:AJ,[1]Backup!K:K)</f>
        <v>0.89589999999999992</v>
      </c>
      <c r="E1139">
        <f>SUMIF('[1]PO Report'!A:A,Recon!A1139,'[1]PO Report'!P:P)</f>
        <v>30</v>
      </c>
      <c r="F1139">
        <f>VLOOKUP(A1139,'[1]PO Report'!$A:$Z,15,0)</f>
        <v>26.35</v>
      </c>
      <c r="H1139">
        <f t="shared" si="34"/>
        <v>0</v>
      </c>
      <c r="J1139">
        <f t="shared" si="35"/>
        <v>0</v>
      </c>
    </row>
    <row r="1140" spans="1:10" x14ac:dyDescent="0.25">
      <c r="A1140" t="s">
        <v>3120</v>
      </c>
      <c r="B1140">
        <v>10</v>
      </c>
      <c r="C1140">
        <f>_xlfn.XLOOKUP(Recon!A1140,[1]Backup!AJ:AJ,[1]Backup!L:L)</f>
        <v>16.39</v>
      </c>
      <c r="D1140">
        <f>_xlfn.XLOOKUP(Recon!A1140,[1]Backup!AJ:AJ,[1]Backup!K:K)</f>
        <v>0.55726000000000009</v>
      </c>
      <c r="E1140">
        <f>SUMIF('[1]PO Report'!A:A,Recon!A1140,'[1]PO Report'!P:P)</f>
        <v>10</v>
      </c>
      <c r="F1140">
        <f>VLOOKUP(A1140,'[1]PO Report'!$A:$Z,15,0)</f>
        <v>16.39</v>
      </c>
      <c r="H1140">
        <f t="shared" si="34"/>
        <v>0</v>
      </c>
      <c r="J1140">
        <f t="shared" si="35"/>
        <v>0</v>
      </c>
    </row>
    <row r="1141" spans="1:10" x14ac:dyDescent="0.25">
      <c r="A1141" t="s">
        <v>3121</v>
      </c>
      <c r="B1141">
        <v>11</v>
      </c>
      <c r="C1141">
        <f>_xlfn.XLOOKUP(Recon!A1141,[1]Backup!AJ:AJ,[1]Backup!L:L)</f>
        <v>210.51999999999998</v>
      </c>
      <c r="D1141">
        <f>_xlfn.XLOOKUP(Recon!A1141,[1]Backup!AJ:AJ,[1]Backup!K:K)</f>
        <v>7.15768</v>
      </c>
      <c r="E1141">
        <f>SUMIF('[1]PO Report'!A:A,Recon!A1141,'[1]PO Report'!P:P)</f>
        <v>11</v>
      </c>
      <c r="F1141">
        <f>VLOOKUP(A1141,'[1]PO Report'!$A:$Z,15,0)</f>
        <v>210.52</v>
      </c>
      <c r="H1141">
        <f t="shared" si="34"/>
        <v>0</v>
      </c>
      <c r="J1141">
        <f t="shared" si="35"/>
        <v>0</v>
      </c>
    </row>
    <row r="1142" spans="1:10" x14ac:dyDescent="0.25">
      <c r="A1142" t="s">
        <v>3122</v>
      </c>
      <c r="B1142">
        <v>4</v>
      </c>
      <c r="C1142">
        <f>_xlfn.XLOOKUP(Recon!A1142,[1]Backup!AJ:AJ,[1]Backup!L:L)</f>
        <v>105</v>
      </c>
      <c r="D1142">
        <f>_xlfn.XLOOKUP(Recon!A1142,[1]Backup!AJ:AJ,[1]Backup!K:K)</f>
        <v>3.57</v>
      </c>
      <c r="E1142">
        <f>SUMIF('[1]PO Report'!A:A,Recon!A1142,'[1]PO Report'!P:P)</f>
        <v>4</v>
      </c>
      <c r="F1142">
        <f>VLOOKUP(A1142,'[1]PO Report'!$A:$Z,15,0)</f>
        <v>105</v>
      </c>
      <c r="H1142">
        <f t="shared" si="34"/>
        <v>0</v>
      </c>
      <c r="J1142">
        <f t="shared" si="35"/>
        <v>0</v>
      </c>
    </row>
    <row r="1143" spans="1:10" x14ac:dyDescent="0.25">
      <c r="A1143" t="s">
        <v>3123</v>
      </c>
      <c r="B1143">
        <v>4</v>
      </c>
      <c r="C1143">
        <f>_xlfn.XLOOKUP(Recon!A1143,[1]Backup!AJ:AJ,[1]Backup!L:L)</f>
        <v>75.41</v>
      </c>
      <c r="D1143">
        <f>_xlfn.XLOOKUP(Recon!A1143,[1]Backup!AJ:AJ,[1]Backup!K:K)</f>
        <v>2.5639400000000001</v>
      </c>
      <c r="E1143">
        <f>SUMIF('[1]PO Report'!A:A,Recon!A1143,'[1]PO Report'!P:P)</f>
        <v>4</v>
      </c>
      <c r="F1143">
        <f>VLOOKUP(A1143,'[1]PO Report'!$A:$Z,15,0)</f>
        <v>75.41</v>
      </c>
      <c r="H1143">
        <f t="shared" si="34"/>
        <v>0</v>
      </c>
      <c r="J1143">
        <f t="shared" si="35"/>
        <v>0</v>
      </c>
    </row>
    <row r="1144" spans="1:10" x14ac:dyDescent="0.25">
      <c r="A1144" t="s">
        <v>3124</v>
      </c>
      <c r="B1144">
        <v>10</v>
      </c>
      <c r="C1144">
        <f>_xlfn.XLOOKUP(Recon!A1144,[1]Backup!AJ:AJ,[1]Backup!L:L)</f>
        <v>16.39</v>
      </c>
      <c r="D1144">
        <f>_xlfn.XLOOKUP(Recon!A1144,[1]Backup!AJ:AJ,[1]Backup!K:K)</f>
        <v>0.55726000000000009</v>
      </c>
      <c r="E1144">
        <f>SUMIF('[1]PO Report'!A:A,Recon!A1144,'[1]PO Report'!P:P)</f>
        <v>10</v>
      </c>
      <c r="F1144">
        <f>VLOOKUP(A1144,'[1]PO Report'!$A:$Z,15,0)</f>
        <v>16.39</v>
      </c>
      <c r="H1144">
        <f t="shared" si="34"/>
        <v>0</v>
      </c>
      <c r="J1144">
        <f t="shared" si="35"/>
        <v>0</v>
      </c>
    </row>
    <row r="1145" spans="1:10" x14ac:dyDescent="0.25">
      <c r="A1145" t="s">
        <v>3125</v>
      </c>
      <c r="B1145">
        <v>4</v>
      </c>
      <c r="C1145">
        <f>_xlfn.XLOOKUP(Recon!A1145,[1]Backup!AJ:AJ,[1]Backup!L:L)</f>
        <v>159.09</v>
      </c>
      <c r="D1145">
        <f>_xlfn.XLOOKUP(Recon!A1145,[1]Backup!AJ:AJ,[1]Backup!K:K)</f>
        <v>5.4090600000000002</v>
      </c>
      <c r="E1145">
        <f>SUMIF('[1]PO Report'!A:A,Recon!A1145,'[1]PO Report'!P:P)</f>
        <v>4</v>
      </c>
      <c r="F1145">
        <f>VLOOKUP(A1145,'[1]PO Report'!$A:$Z,15,0)</f>
        <v>159.09</v>
      </c>
      <c r="H1145">
        <f t="shared" si="34"/>
        <v>0</v>
      </c>
      <c r="J1145">
        <f t="shared" si="35"/>
        <v>0</v>
      </c>
    </row>
    <row r="1146" spans="1:10" x14ac:dyDescent="0.25">
      <c r="A1146" t="s">
        <v>3126</v>
      </c>
      <c r="B1146">
        <v>128</v>
      </c>
      <c r="C1146">
        <f>_xlfn.XLOOKUP(Recon!A1146,[1]Backup!AJ:AJ,[1]Backup!L:L)</f>
        <v>43.92</v>
      </c>
      <c r="D1146">
        <f>_xlfn.XLOOKUP(Recon!A1146,[1]Backup!AJ:AJ,[1]Backup!K:K)</f>
        <v>1.4932799999999999</v>
      </c>
      <c r="E1146">
        <f>SUMIF('[1]PO Report'!A:A,Recon!A1146,'[1]PO Report'!P:P)</f>
        <v>128</v>
      </c>
      <c r="F1146">
        <f>VLOOKUP(A1146,'[1]PO Report'!$A:$Z,15,0)</f>
        <v>43.92</v>
      </c>
      <c r="H1146">
        <f t="shared" si="34"/>
        <v>0</v>
      </c>
      <c r="J1146">
        <f t="shared" si="35"/>
        <v>0</v>
      </c>
    </row>
    <row r="1147" spans="1:10" x14ac:dyDescent="0.25">
      <c r="A1147" t="s">
        <v>3127</v>
      </c>
      <c r="B1147">
        <v>51</v>
      </c>
      <c r="C1147">
        <f>_xlfn.XLOOKUP(Recon!A1147,[1]Backup!AJ:AJ,[1]Backup!L:L)</f>
        <v>157.76</v>
      </c>
      <c r="D1147">
        <f>_xlfn.XLOOKUP(Recon!A1147,[1]Backup!AJ:AJ,[1]Backup!K:K)</f>
        <v>5.3638399999999997</v>
      </c>
      <c r="E1147">
        <f>SUMIF('[1]PO Report'!A:A,Recon!A1147,'[1]PO Report'!P:P)</f>
        <v>51</v>
      </c>
      <c r="F1147">
        <f>VLOOKUP(A1147,'[1]PO Report'!$A:$Z,15,0)</f>
        <v>157.76</v>
      </c>
      <c r="H1147">
        <f t="shared" si="34"/>
        <v>0</v>
      </c>
      <c r="J1147">
        <f t="shared" si="35"/>
        <v>0</v>
      </c>
    </row>
    <row r="1148" spans="1:10" x14ac:dyDescent="0.25">
      <c r="A1148" t="s">
        <v>3128</v>
      </c>
      <c r="B1148">
        <v>16</v>
      </c>
      <c r="C1148">
        <f>_xlfn.XLOOKUP(Recon!A1148,[1]Backup!AJ:AJ,[1]Backup!L:L)</f>
        <v>32.21</v>
      </c>
      <c r="D1148">
        <f>_xlfn.XLOOKUP(Recon!A1148,[1]Backup!AJ:AJ,[1]Backup!K:K)</f>
        <v>1.09514</v>
      </c>
      <c r="E1148">
        <f>SUMIF('[1]PO Report'!A:A,Recon!A1148,'[1]PO Report'!P:P)</f>
        <v>16</v>
      </c>
      <c r="F1148">
        <f>VLOOKUP(A1148,'[1]PO Report'!$A:$Z,15,0)</f>
        <v>32.21</v>
      </c>
      <c r="H1148">
        <f t="shared" si="34"/>
        <v>0</v>
      </c>
      <c r="J1148">
        <f t="shared" si="35"/>
        <v>0</v>
      </c>
    </row>
    <row r="1149" spans="1:10" x14ac:dyDescent="0.25">
      <c r="A1149" t="s">
        <v>3129</v>
      </c>
      <c r="B1149">
        <v>4</v>
      </c>
      <c r="C1149">
        <f>_xlfn.XLOOKUP(Recon!A1149,[1]Backup!AJ:AJ,[1]Backup!L:L)</f>
        <v>32.21</v>
      </c>
      <c r="D1149">
        <f>_xlfn.XLOOKUP(Recon!A1149,[1]Backup!AJ:AJ,[1]Backup!K:K)</f>
        <v>1.09514</v>
      </c>
      <c r="E1149">
        <f>SUMIF('[1]PO Report'!A:A,Recon!A1149,'[1]PO Report'!P:P)</f>
        <v>4</v>
      </c>
      <c r="F1149">
        <f>VLOOKUP(A1149,'[1]PO Report'!$A:$Z,15,0)</f>
        <v>32.21</v>
      </c>
      <c r="H1149">
        <f t="shared" si="34"/>
        <v>0</v>
      </c>
      <c r="J1149">
        <f t="shared" si="35"/>
        <v>0</v>
      </c>
    </row>
    <row r="1150" spans="1:10" x14ac:dyDescent="0.25">
      <c r="A1150" t="s">
        <v>3130</v>
      </c>
      <c r="B1150">
        <v>4</v>
      </c>
      <c r="C1150">
        <f>_xlfn.XLOOKUP(Recon!A1150,[1]Backup!AJ:AJ,[1]Backup!L:L)</f>
        <v>29.28</v>
      </c>
      <c r="D1150">
        <f>_xlfn.XLOOKUP(Recon!A1150,[1]Backup!AJ:AJ,[1]Backup!K:K)</f>
        <v>0.99551999999999996</v>
      </c>
      <c r="E1150">
        <f>SUMIF('[1]PO Report'!A:A,Recon!A1150,'[1]PO Report'!P:P)</f>
        <v>4</v>
      </c>
      <c r="F1150">
        <f>VLOOKUP(A1150,'[1]PO Report'!$A:$Z,15,0)</f>
        <v>29.28</v>
      </c>
      <c r="H1150">
        <f t="shared" si="34"/>
        <v>0</v>
      </c>
      <c r="J1150">
        <f t="shared" si="35"/>
        <v>0</v>
      </c>
    </row>
    <row r="1151" spans="1:10" x14ac:dyDescent="0.25">
      <c r="A1151" t="s">
        <v>3131</v>
      </c>
      <c r="B1151">
        <v>2</v>
      </c>
      <c r="C1151">
        <f>_xlfn.XLOOKUP(Recon!A1151,[1]Backup!AJ:AJ,[1]Backup!L:L)</f>
        <v>210.52</v>
      </c>
      <c r="D1151">
        <f>_xlfn.XLOOKUP(Recon!A1151,[1]Backup!AJ:AJ,[1]Backup!K:K)</f>
        <v>7.15768</v>
      </c>
      <c r="E1151">
        <f>SUMIF('[1]PO Report'!A:A,Recon!A1151,'[1]PO Report'!P:P)</f>
        <v>2</v>
      </c>
      <c r="F1151">
        <f>VLOOKUP(A1151,'[1]PO Report'!$A:$Z,15,0)</f>
        <v>210.52</v>
      </c>
      <c r="H1151">
        <f t="shared" si="34"/>
        <v>0</v>
      </c>
      <c r="J1151">
        <f t="shared" si="35"/>
        <v>0</v>
      </c>
    </row>
    <row r="1152" spans="1:10" x14ac:dyDescent="0.25">
      <c r="A1152" t="s">
        <v>3132</v>
      </c>
      <c r="B1152">
        <v>4</v>
      </c>
      <c r="C1152">
        <f>_xlfn.XLOOKUP(Recon!A1152,[1]Backup!AJ:AJ,[1]Backup!L:L)</f>
        <v>94.44</v>
      </c>
      <c r="D1152">
        <f>_xlfn.XLOOKUP(Recon!A1152,[1]Backup!AJ:AJ,[1]Backup!K:K)</f>
        <v>3.21096</v>
      </c>
      <c r="E1152">
        <f>SUMIF('[1]PO Report'!A:A,Recon!A1152,'[1]PO Report'!P:P)</f>
        <v>4</v>
      </c>
      <c r="F1152">
        <f>VLOOKUP(A1152,'[1]PO Report'!$A:$Z,15,0)</f>
        <v>94.44</v>
      </c>
      <c r="H1152">
        <f t="shared" si="34"/>
        <v>0</v>
      </c>
      <c r="J1152">
        <f t="shared" si="35"/>
        <v>0</v>
      </c>
    </row>
    <row r="1153" spans="1:10" x14ac:dyDescent="0.25">
      <c r="A1153" t="s">
        <v>3133</v>
      </c>
      <c r="B1153">
        <v>66</v>
      </c>
      <c r="C1153">
        <f>_xlfn.XLOOKUP(Recon!A1153,[1]Backup!AJ:AJ,[1]Backup!L:L)</f>
        <v>29</v>
      </c>
      <c r="D1153">
        <f>_xlfn.XLOOKUP(Recon!A1153,[1]Backup!AJ:AJ,[1]Backup!K:K)</f>
        <v>0.98599999999999988</v>
      </c>
      <c r="E1153">
        <f>SUMIF('[1]PO Report'!A:A,Recon!A1153,'[1]PO Report'!P:P)</f>
        <v>66</v>
      </c>
      <c r="F1153">
        <f>VLOOKUP(A1153,'[1]PO Report'!$A:$Z,15,0)</f>
        <v>29</v>
      </c>
      <c r="H1153">
        <f t="shared" si="34"/>
        <v>0</v>
      </c>
      <c r="J1153">
        <f t="shared" si="35"/>
        <v>0</v>
      </c>
    </row>
    <row r="1154" spans="1:10" x14ac:dyDescent="0.25">
      <c r="A1154" t="s">
        <v>3134</v>
      </c>
      <c r="B1154">
        <v>52</v>
      </c>
      <c r="C1154">
        <f>_xlfn.XLOOKUP(Recon!A1154,[1]Backup!AJ:AJ,[1]Backup!L:L)</f>
        <v>69.61</v>
      </c>
      <c r="D1154">
        <f>_xlfn.XLOOKUP(Recon!A1154,[1]Backup!AJ:AJ,[1]Backup!K:K)</f>
        <v>2.3667400000000001</v>
      </c>
      <c r="E1154">
        <f>SUMIF('[1]PO Report'!A:A,Recon!A1154,'[1]PO Report'!P:P)</f>
        <v>52</v>
      </c>
      <c r="F1154">
        <f>VLOOKUP(A1154,'[1]PO Report'!$A:$Z,15,0)</f>
        <v>69.61</v>
      </c>
      <c r="H1154">
        <f t="shared" si="34"/>
        <v>0</v>
      </c>
      <c r="J1154">
        <f t="shared" si="35"/>
        <v>0</v>
      </c>
    </row>
    <row r="1155" spans="1:10" x14ac:dyDescent="0.25">
      <c r="A1155" t="s">
        <v>3135</v>
      </c>
      <c r="B1155">
        <v>872</v>
      </c>
      <c r="C1155">
        <f>_xlfn.XLOOKUP(Recon!A1155,[1]Backup!AJ:AJ,[1]Backup!L:L)</f>
        <v>221.07000000000002</v>
      </c>
      <c r="D1155">
        <f>_xlfn.XLOOKUP(Recon!A1155,[1]Backup!AJ:AJ,[1]Backup!K:K)</f>
        <v>7.5163800000000007</v>
      </c>
      <c r="E1155">
        <f>SUMIF('[1]PO Report'!A:A,Recon!A1155,'[1]PO Report'!P:P)</f>
        <v>872</v>
      </c>
      <c r="F1155">
        <f>VLOOKUP(A1155,'[1]PO Report'!$A:$Z,15,0)</f>
        <v>221.07</v>
      </c>
      <c r="H1155">
        <f t="shared" si="34"/>
        <v>0</v>
      </c>
      <c r="J1155">
        <f t="shared" si="35"/>
        <v>0</v>
      </c>
    </row>
    <row r="1156" spans="1:10" x14ac:dyDescent="0.25">
      <c r="A1156" t="s">
        <v>3136</v>
      </c>
      <c r="B1156">
        <v>66</v>
      </c>
      <c r="C1156">
        <f>_xlfn.XLOOKUP(Recon!A1156,[1]Backup!AJ:AJ,[1]Backup!L:L)</f>
        <v>221.07000000000002</v>
      </c>
      <c r="D1156">
        <f>_xlfn.XLOOKUP(Recon!A1156,[1]Backup!AJ:AJ,[1]Backup!K:K)</f>
        <v>7.5163799999999998</v>
      </c>
      <c r="E1156">
        <f>SUMIF('[1]PO Report'!A:A,Recon!A1156,'[1]PO Report'!P:P)</f>
        <v>66</v>
      </c>
      <c r="F1156">
        <f>VLOOKUP(A1156,'[1]PO Report'!$A:$Z,15,0)</f>
        <v>221.07</v>
      </c>
      <c r="H1156">
        <f t="shared" ref="H1156:H1217" si="36">B1156-E1156</f>
        <v>0</v>
      </c>
      <c r="J1156">
        <f t="shared" ref="J1156:J1217" si="37">C1156-F1156</f>
        <v>0</v>
      </c>
    </row>
    <row r="1157" spans="1:10" x14ac:dyDescent="0.25">
      <c r="A1157" t="s">
        <v>3137</v>
      </c>
      <c r="B1157">
        <v>231</v>
      </c>
      <c r="C1157">
        <f>_xlfn.XLOOKUP(Recon!A1157,[1]Backup!AJ:AJ,[1]Backup!L:L)</f>
        <v>226.35</v>
      </c>
      <c r="D1157">
        <f>_xlfn.XLOOKUP(Recon!A1157,[1]Backup!AJ:AJ,[1]Backup!K:K)</f>
        <v>7.6959</v>
      </c>
      <c r="E1157">
        <f>SUMIF('[1]PO Report'!A:A,Recon!A1157,'[1]PO Report'!P:P)</f>
        <v>231</v>
      </c>
      <c r="F1157">
        <f>VLOOKUP(A1157,'[1]PO Report'!$A:$Z,15,0)</f>
        <v>226.35</v>
      </c>
      <c r="H1157">
        <f t="shared" si="36"/>
        <v>0</v>
      </c>
      <c r="J1157">
        <f t="shared" si="37"/>
        <v>0</v>
      </c>
    </row>
    <row r="1158" spans="1:10" x14ac:dyDescent="0.25">
      <c r="A1158" t="s">
        <v>3138</v>
      </c>
      <c r="B1158">
        <v>16</v>
      </c>
      <c r="C1158">
        <f>_xlfn.XLOOKUP(Recon!A1158,[1]Backup!AJ:AJ,[1]Backup!L:L)</f>
        <v>40.6</v>
      </c>
      <c r="D1158">
        <f>_xlfn.XLOOKUP(Recon!A1158,[1]Backup!AJ:AJ,[1]Backup!K:K)</f>
        <v>1.3804000000000001</v>
      </c>
      <c r="E1158">
        <f>SUMIF('[1]PO Report'!A:A,Recon!A1158,'[1]PO Report'!P:P)</f>
        <v>16</v>
      </c>
      <c r="F1158">
        <f>VLOOKUP(A1158,'[1]PO Report'!$A:$Z,15,0)</f>
        <v>40.6</v>
      </c>
      <c r="H1158">
        <f t="shared" si="36"/>
        <v>0</v>
      </c>
      <c r="J1158">
        <f t="shared" si="37"/>
        <v>0</v>
      </c>
    </row>
    <row r="1159" spans="1:10" x14ac:dyDescent="0.25">
      <c r="A1159" t="s">
        <v>3139</v>
      </c>
      <c r="B1159">
        <v>348</v>
      </c>
      <c r="C1159">
        <f>_xlfn.XLOOKUP(Recon!A1159,[1]Backup!AJ:AJ,[1]Backup!L:L)</f>
        <v>78.61999999999999</v>
      </c>
      <c r="D1159">
        <f>_xlfn.XLOOKUP(Recon!A1159,[1]Backup!AJ:AJ,[1]Backup!K:K)</f>
        <v>2.6730800000000001</v>
      </c>
      <c r="E1159">
        <f>SUMIF('[1]PO Report'!A:A,Recon!A1159,'[1]PO Report'!P:P)</f>
        <v>352</v>
      </c>
      <c r="F1159">
        <f>VLOOKUP(A1159,'[1]PO Report'!$A:$Z,15,0)</f>
        <v>78.62</v>
      </c>
      <c r="H1159">
        <f t="shared" si="36"/>
        <v>-4</v>
      </c>
      <c r="J1159">
        <f t="shared" si="37"/>
        <v>0</v>
      </c>
    </row>
    <row r="1160" spans="1:10" x14ac:dyDescent="0.25">
      <c r="A1160" t="s">
        <v>3140</v>
      </c>
      <c r="B1160">
        <v>138</v>
      </c>
      <c r="C1160">
        <f>_xlfn.XLOOKUP(Recon!A1160,[1]Backup!AJ:AJ,[1]Backup!L:L)</f>
        <v>26.35</v>
      </c>
      <c r="D1160">
        <f>_xlfn.XLOOKUP(Recon!A1160,[1]Backup!AJ:AJ,[1]Backup!K:K)</f>
        <v>0.89590000000000003</v>
      </c>
      <c r="E1160">
        <f>SUMIF('[1]PO Report'!A:A,Recon!A1160,'[1]PO Report'!P:P)</f>
        <v>138</v>
      </c>
      <c r="F1160">
        <f>VLOOKUP(A1160,'[1]PO Report'!$A:$Z,15,0)</f>
        <v>26.35</v>
      </c>
      <c r="H1160">
        <f t="shared" si="36"/>
        <v>0</v>
      </c>
      <c r="J1160">
        <f t="shared" si="37"/>
        <v>0</v>
      </c>
    </row>
    <row r="1161" spans="1:10" x14ac:dyDescent="0.25">
      <c r="A1161" t="s">
        <v>3141</v>
      </c>
      <c r="B1161">
        <v>8</v>
      </c>
      <c r="C1161">
        <f>_xlfn.XLOOKUP(Recon!A1161,[1]Backup!AJ:AJ,[1]Backup!L:L)</f>
        <v>89.92</v>
      </c>
      <c r="D1161">
        <f>_xlfn.XLOOKUP(Recon!A1161,[1]Backup!AJ:AJ,[1]Backup!K:K)</f>
        <v>3.05728</v>
      </c>
      <c r="E1161">
        <f>SUMIF('[1]PO Report'!A:A,Recon!A1161,'[1]PO Report'!P:P)</f>
        <v>8</v>
      </c>
      <c r="F1161">
        <f>VLOOKUP(A1161,'[1]PO Report'!$A:$Z,15,0)</f>
        <v>89.92</v>
      </c>
      <c r="H1161">
        <f t="shared" si="36"/>
        <v>0</v>
      </c>
      <c r="J1161">
        <f t="shared" si="37"/>
        <v>0</v>
      </c>
    </row>
    <row r="1162" spans="1:10" x14ac:dyDescent="0.25">
      <c r="A1162" t="s">
        <v>3142</v>
      </c>
      <c r="B1162">
        <v>8</v>
      </c>
      <c r="C1162">
        <f>_xlfn.XLOOKUP(Recon!A1162,[1]Backup!AJ:AJ,[1]Backup!L:L)</f>
        <v>20.5</v>
      </c>
      <c r="D1162">
        <f>_xlfn.XLOOKUP(Recon!A1162,[1]Backup!AJ:AJ,[1]Backup!K:K)</f>
        <v>0.69699999999999995</v>
      </c>
      <c r="E1162">
        <f>SUMIF('[1]PO Report'!A:A,Recon!A1162,'[1]PO Report'!P:P)</f>
        <v>8</v>
      </c>
      <c r="F1162">
        <f>VLOOKUP(A1162,'[1]PO Report'!$A:$Z,15,0)</f>
        <v>20.5</v>
      </c>
      <c r="H1162">
        <f t="shared" si="36"/>
        <v>0</v>
      </c>
      <c r="J1162">
        <f t="shared" si="37"/>
        <v>0</v>
      </c>
    </row>
    <row r="1163" spans="1:10" x14ac:dyDescent="0.25">
      <c r="A1163" t="s">
        <v>3143</v>
      </c>
      <c r="B1163">
        <v>20</v>
      </c>
      <c r="C1163">
        <f>_xlfn.XLOOKUP(Recon!A1163,[1]Backup!AJ:AJ,[1]Backup!L:L)</f>
        <v>9.36</v>
      </c>
      <c r="D1163">
        <f>_xlfn.XLOOKUP(Recon!A1163,[1]Backup!AJ:AJ,[1]Backup!K:K)</f>
        <v>0.31823999999999997</v>
      </c>
      <c r="E1163">
        <f>SUMIF('[1]PO Report'!A:A,Recon!A1163,'[1]PO Report'!P:P)</f>
        <v>20</v>
      </c>
      <c r="F1163">
        <f>VLOOKUP(A1163,'[1]PO Report'!$A:$Z,15,0)</f>
        <v>9.36</v>
      </c>
      <c r="H1163">
        <f t="shared" si="36"/>
        <v>0</v>
      </c>
      <c r="J1163">
        <f t="shared" si="37"/>
        <v>0</v>
      </c>
    </row>
    <row r="1164" spans="1:10" x14ac:dyDescent="0.25">
      <c r="A1164" t="s">
        <v>3144</v>
      </c>
      <c r="B1164">
        <v>4</v>
      </c>
      <c r="C1164">
        <f>_xlfn.XLOOKUP(Recon!A1164,[1]Backup!AJ:AJ,[1]Backup!L:L)</f>
        <v>121.25</v>
      </c>
      <c r="D1164">
        <f>_xlfn.XLOOKUP(Recon!A1164,[1]Backup!AJ:AJ,[1]Backup!K:K)</f>
        <v>4.1224999999999996</v>
      </c>
      <c r="E1164">
        <f>SUMIF('[1]PO Report'!A:A,Recon!A1164,'[1]PO Report'!P:P)</f>
        <v>4</v>
      </c>
      <c r="F1164">
        <f>VLOOKUP(A1164,'[1]PO Report'!$A:$Z,15,0)</f>
        <v>121.25</v>
      </c>
      <c r="H1164">
        <f t="shared" si="36"/>
        <v>0</v>
      </c>
      <c r="J1164">
        <f t="shared" si="37"/>
        <v>0</v>
      </c>
    </row>
    <row r="1165" spans="1:10" x14ac:dyDescent="0.25">
      <c r="A1165" t="s">
        <v>3145</v>
      </c>
      <c r="B1165">
        <v>120</v>
      </c>
      <c r="C1165">
        <f>_xlfn.XLOOKUP(Recon!A1165,[1]Backup!AJ:AJ,[1]Backup!L:L)</f>
        <v>9.3600000000000012</v>
      </c>
      <c r="D1165">
        <f>_xlfn.XLOOKUP(Recon!A1165,[1]Backup!AJ:AJ,[1]Backup!K:K)</f>
        <v>0.31824000000000002</v>
      </c>
      <c r="E1165">
        <f>SUMIF('[1]PO Report'!A:A,Recon!A1165,'[1]PO Report'!P:P)</f>
        <v>120</v>
      </c>
      <c r="F1165">
        <f>VLOOKUP(A1165,'[1]PO Report'!$A:$Z,15,0)</f>
        <v>9.36</v>
      </c>
      <c r="H1165">
        <f t="shared" si="36"/>
        <v>0</v>
      </c>
      <c r="J1165">
        <f t="shared" si="37"/>
        <v>0</v>
      </c>
    </row>
    <row r="1166" spans="1:10" x14ac:dyDescent="0.25">
      <c r="A1166" t="s">
        <v>3146</v>
      </c>
      <c r="B1166">
        <v>10</v>
      </c>
      <c r="C1166">
        <f>_xlfn.XLOOKUP(Recon!A1166,[1]Backup!AJ:AJ,[1]Backup!L:L)</f>
        <v>32.21</v>
      </c>
      <c r="D1166">
        <f>_xlfn.XLOOKUP(Recon!A1166,[1]Backup!AJ:AJ,[1]Backup!K:K)</f>
        <v>1.09514</v>
      </c>
      <c r="E1166">
        <f>SUMIF('[1]PO Report'!A:A,Recon!A1166,'[1]PO Report'!P:P)</f>
        <v>10</v>
      </c>
      <c r="F1166">
        <f>VLOOKUP(A1166,'[1]PO Report'!$A:$Z,15,0)</f>
        <v>32.21</v>
      </c>
      <c r="H1166">
        <f t="shared" si="36"/>
        <v>0</v>
      </c>
      <c r="J1166">
        <f t="shared" si="37"/>
        <v>0</v>
      </c>
    </row>
    <row r="1167" spans="1:10" x14ac:dyDescent="0.25">
      <c r="A1167" t="s">
        <v>3147</v>
      </c>
      <c r="B1167">
        <v>40</v>
      </c>
      <c r="C1167">
        <f>_xlfn.XLOOKUP(Recon!A1167,[1]Backup!AJ:AJ,[1]Backup!L:L)</f>
        <v>34.29</v>
      </c>
      <c r="D1167">
        <f>_xlfn.XLOOKUP(Recon!A1167,[1]Backup!AJ:AJ,[1]Backup!K:K)</f>
        <v>1.1658599999999999</v>
      </c>
      <c r="E1167">
        <f>SUMIF('[1]PO Report'!A:A,Recon!A1167,'[1]PO Report'!P:P)</f>
        <v>128</v>
      </c>
      <c r="F1167">
        <f>VLOOKUP(A1167,'[1]PO Report'!$A:$Z,15,0)</f>
        <v>34.29</v>
      </c>
      <c r="H1167">
        <f t="shared" si="36"/>
        <v>-88</v>
      </c>
      <c r="J1167">
        <f t="shared" si="37"/>
        <v>0</v>
      </c>
    </row>
    <row r="1168" spans="1:10" x14ac:dyDescent="0.25">
      <c r="A1168" t="s">
        <v>3148</v>
      </c>
      <c r="B1168">
        <v>180</v>
      </c>
      <c r="C1168">
        <f>_xlfn.XLOOKUP(Recon!A1168,[1]Backup!AJ:AJ,[1]Backup!L:L)</f>
        <v>9.36</v>
      </c>
      <c r="D1168">
        <f>_xlfn.XLOOKUP(Recon!A1168,[1]Backup!AJ:AJ,[1]Backup!K:K)</f>
        <v>0.31824000000000002</v>
      </c>
      <c r="E1168">
        <f>SUMIF('[1]PO Report'!A:A,Recon!A1168,'[1]PO Report'!P:P)</f>
        <v>180</v>
      </c>
      <c r="F1168">
        <f>VLOOKUP(A1168,'[1]PO Report'!$A:$Z,15,0)</f>
        <v>9.36</v>
      </c>
      <c r="H1168">
        <f t="shared" si="36"/>
        <v>0</v>
      </c>
      <c r="J1168">
        <f t="shared" si="37"/>
        <v>0</v>
      </c>
    </row>
    <row r="1169" spans="1:10" x14ac:dyDescent="0.25">
      <c r="A1169" t="s">
        <v>3149</v>
      </c>
      <c r="B1169">
        <v>8</v>
      </c>
      <c r="C1169">
        <f>_xlfn.XLOOKUP(Recon!A1169,[1]Backup!AJ:AJ,[1]Backup!L:L)</f>
        <v>11.6</v>
      </c>
      <c r="D1169">
        <f>_xlfn.XLOOKUP(Recon!A1169,[1]Backup!AJ:AJ,[1]Backup!K:K)</f>
        <v>0.39439999999999997</v>
      </c>
      <c r="E1169">
        <f>SUMIF('[1]PO Report'!A:A,Recon!A1169,'[1]PO Report'!P:P)</f>
        <v>8</v>
      </c>
      <c r="F1169">
        <f>VLOOKUP(A1169,'[1]PO Report'!$A:$Z,15,0)</f>
        <v>11.6</v>
      </c>
      <c r="H1169">
        <f t="shared" si="36"/>
        <v>0</v>
      </c>
      <c r="J1169">
        <f t="shared" si="37"/>
        <v>0</v>
      </c>
    </row>
    <row r="1170" spans="1:10" x14ac:dyDescent="0.25">
      <c r="A1170" t="s">
        <v>3150</v>
      </c>
      <c r="B1170">
        <v>16</v>
      </c>
      <c r="C1170">
        <f>_xlfn.XLOOKUP(Recon!A1170,[1]Backup!AJ:AJ,[1]Backup!L:L)</f>
        <v>44.95</v>
      </c>
      <c r="D1170">
        <f>_xlfn.XLOOKUP(Recon!A1170,[1]Backup!AJ:AJ,[1]Backup!K:K)</f>
        <v>1.5283</v>
      </c>
      <c r="E1170">
        <f>SUMIF('[1]PO Report'!A:A,Recon!A1170,'[1]PO Report'!P:P)</f>
        <v>16</v>
      </c>
      <c r="F1170">
        <f>VLOOKUP(A1170,'[1]PO Report'!$A:$Z,15,0)</f>
        <v>44.95</v>
      </c>
      <c r="H1170">
        <f t="shared" si="36"/>
        <v>0</v>
      </c>
      <c r="J1170">
        <f t="shared" si="37"/>
        <v>0</v>
      </c>
    </row>
    <row r="1171" spans="1:10" x14ac:dyDescent="0.25">
      <c r="A1171" t="s">
        <v>3151</v>
      </c>
      <c r="B1171">
        <v>8</v>
      </c>
      <c r="C1171">
        <f>_xlfn.XLOOKUP(Recon!A1171,[1]Backup!AJ:AJ,[1]Backup!L:L)</f>
        <v>57.51</v>
      </c>
      <c r="D1171">
        <f>_xlfn.XLOOKUP(Recon!A1171,[1]Backup!AJ:AJ,[1]Backup!K:K)</f>
        <v>1.9553400000000001</v>
      </c>
      <c r="E1171">
        <f>SUMIF('[1]PO Report'!A:A,Recon!A1171,'[1]PO Report'!P:P)</f>
        <v>8</v>
      </c>
      <c r="F1171">
        <f>VLOOKUP(A1171,'[1]PO Report'!$A:$Z,15,0)</f>
        <v>57.51</v>
      </c>
      <c r="H1171">
        <f t="shared" si="36"/>
        <v>0</v>
      </c>
      <c r="J1171">
        <f t="shared" si="37"/>
        <v>0</v>
      </c>
    </row>
    <row r="1172" spans="1:10" x14ac:dyDescent="0.25">
      <c r="A1172" t="s">
        <v>3152</v>
      </c>
      <c r="B1172">
        <v>6</v>
      </c>
      <c r="C1172">
        <f>_xlfn.XLOOKUP(Recon!A1172,[1]Backup!AJ:AJ,[1]Backup!L:L)</f>
        <v>66.66</v>
      </c>
      <c r="D1172">
        <f>_xlfn.XLOOKUP(Recon!A1172,[1]Backup!AJ:AJ,[1]Backup!K:K)</f>
        <v>2.2664399999999998</v>
      </c>
      <c r="E1172">
        <f>SUMIF('[1]PO Report'!A:A,Recon!A1172,'[1]PO Report'!P:P)</f>
        <v>6</v>
      </c>
      <c r="F1172">
        <f>VLOOKUP(A1172,'[1]PO Report'!$A:$Z,15,0)</f>
        <v>66.66</v>
      </c>
      <c r="H1172">
        <f t="shared" si="36"/>
        <v>0</v>
      </c>
      <c r="J1172">
        <f t="shared" si="37"/>
        <v>0</v>
      </c>
    </row>
    <row r="1173" spans="1:10" x14ac:dyDescent="0.25">
      <c r="A1173" t="s">
        <v>3153</v>
      </c>
      <c r="B1173">
        <v>532</v>
      </c>
      <c r="C1173">
        <f>_xlfn.XLOOKUP(Recon!A1173,[1]Backup!AJ:AJ,[1]Backup!L:L)</f>
        <v>36.93</v>
      </c>
      <c r="D1173">
        <f>_xlfn.XLOOKUP(Recon!A1173,[1]Backup!AJ:AJ,[1]Backup!K:K)</f>
        <v>1.25562</v>
      </c>
      <c r="E1173">
        <f>SUMIF('[1]PO Report'!A:A,Recon!A1173,'[1]PO Report'!P:P)</f>
        <v>532</v>
      </c>
      <c r="F1173">
        <f>VLOOKUP(A1173,'[1]PO Report'!$A:$Z,15,0)</f>
        <v>36.93</v>
      </c>
      <c r="H1173">
        <f t="shared" si="36"/>
        <v>0</v>
      </c>
      <c r="J1173">
        <f t="shared" si="37"/>
        <v>0</v>
      </c>
    </row>
    <row r="1174" spans="1:10" x14ac:dyDescent="0.25">
      <c r="A1174" t="s">
        <v>3154</v>
      </c>
      <c r="B1174">
        <v>264</v>
      </c>
      <c r="C1174">
        <f>_xlfn.XLOOKUP(Recon!A1174,[1]Backup!AJ:AJ,[1]Backup!L:L)</f>
        <v>73.34</v>
      </c>
      <c r="D1174">
        <f>_xlfn.XLOOKUP(Recon!A1174,[1]Backup!AJ:AJ,[1]Backup!K:K)</f>
        <v>2.49356</v>
      </c>
      <c r="E1174">
        <f>SUMIF('[1]PO Report'!A:A,Recon!A1174,'[1]PO Report'!P:P)</f>
        <v>264</v>
      </c>
      <c r="F1174">
        <f>VLOOKUP(A1174,'[1]PO Report'!$A:$Z,15,0)</f>
        <v>73.34</v>
      </c>
      <c r="H1174">
        <f t="shared" si="36"/>
        <v>0</v>
      </c>
      <c r="J1174">
        <f t="shared" si="37"/>
        <v>0</v>
      </c>
    </row>
    <row r="1175" spans="1:10" x14ac:dyDescent="0.25">
      <c r="A1175" t="s">
        <v>3155</v>
      </c>
      <c r="B1175">
        <v>16</v>
      </c>
      <c r="C1175">
        <f>_xlfn.XLOOKUP(Recon!A1175,[1]Backup!AJ:AJ,[1]Backup!L:L)</f>
        <v>24.2</v>
      </c>
      <c r="D1175">
        <f>_xlfn.XLOOKUP(Recon!A1175,[1]Backup!AJ:AJ,[1]Backup!K:K)</f>
        <v>0.82279999999999998</v>
      </c>
      <c r="E1175">
        <f>SUMIF('[1]PO Report'!A:A,Recon!A1175,'[1]PO Report'!P:P)</f>
        <v>16</v>
      </c>
      <c r="F1175">
        <f>VLOOKUP(A1175,'[1]PO Report'!$A:$Z,15,0)</f>
        <v>24.2</v>
      </c>
      <c r="H1175">
        <f t="shared" si="36"/>
        <v>0</v>
      </c>
      <c r="J1175">
        <f t="shared" si="37"/>
        <v>0</v>
      </c>
    </row>
    <row r="1176" spans="1:10" x14ac:dyDescent="0.25">
      <c r="A1176" t="s">
        <v>3156</v>
      </c>
      <c r="B1176">
        <v>128</v>
      </c>
      <c r="C1176">
        <f>_xlfn.XLOOKUP(Recon!A1176,[1]Backup!AJ:AJ,[1]Backup!L:L)</f>
        <v>69.03</v>
      </c>
      <c r="D1176">
        <f>_xlfn.XLOOKUP(Recon!A1176,[1]Backup!AJ:AJ,[1]Backup!K:K)</f>
        <v>2.3470200000000001</v>
      </c>
      <c r="E1176">
        <f>SUMIF('[1]PO Report'!A:A,Recon!A1176,'[1]PO Report'!P:P)</f>
        <v>128</v>
      </c>
      <c r="F1176">
        <f>VLOOKUP(A1176,'[1]PO Report'!$A:$Z,15,0)</f>
        <v>69.03</v>
      </c>
      <c r="H1176">
        <f t="shared" si="36"/>
        <v>0</v>
      </c>
      <c r="J1176">
        <f t="shared" si="37"/>
        <v>0</v>
      </c>
    </row>
    <row r="1177" spans="1:10" x14ac:dyDescent="0.25">
      <c r="A1177" t="s">
        <v>3157</v>
      </c>
      <c r="B1177">
        <v>324</v>
      </c>
      <c r="C1177">
        <f>_xlfn.XLOOKUP(Recon!A1177,[1]Backup!AJ:AJ,[1]Backup!L:L)</f>
        <v>83.89</v>
      </c>
      <c r="D1177">
        <f>_xlfn.XLOOKUP(Recon!A1177,[1]Backup!AJ:AJ,[1]Backup!K:K)</f>
        <v>2.8522599999999998</v>
      </c>
      <c r="E1177">
        <f>SUMIF('[1]PO Report'!A:A,Recon!A1177,'[1]PO Report'!P:P)</f>
        <v>324</v>
      </c>
      <c r="F1177">
        <f>VLOOKUP(A1177,'[1]PO Report'!$A:$Z,15,0)</f>
        <v>83.89</v>
      </c>
      <c r="H1177">
        <f t="shared" si="36"/>
        <v>0</v>
      </c>
      <c r="J1177">
        <f t="shared" si="37"/>
        <v>0</v>
      </c>
    </row>
    <row r="1178" spans="1:10" x14ac:dyDescent="0.25">
      <c r="A1178" t="s">
        <v>3158</v>
      </c>
      <c r="B1178">
        <v>224</v>
      </c>
      <c r="C1178">
        <f>_xlfn.XLOOKUP(Recon!A1178,[1]Backup!AJ:AJ,[1]Backup!L:L)</f>
        <v>11.59</v>
      </c>
      <c r="D1178">
        <f>_xlfn.XLOOKUP(Recon!A1178,[1]Backup!AJ:AJ,[1]Backup!K:K)</f>
        <v>0.39406000000000002</v>
      </c>
      <c r="E1178">
        <f>SUMIF('[1]PO Report'!A:A,Recon!A1178,'[1]PO Report'!P:P)</f>
        <v>224</v>
      </c>
      <c r="F1178">
        <f>VLOOKUP(A1178,'[1]PO Report'!$A:$Z,15,0)</f>
        <v>11.59</v>
      </c>
      <c r="H1178">
        <f t="shared" si="36"/>
        <v>0</v>
      </c>
      <c r="J1178">
        <f t="shared" si="37"/>
        <v>0</v>
      </c>
    </row>
    <row r="1179" spans="1:10" x14ac:dyDescent="0.25">
      <c r="A1179" t="s">
        <v>3159</v>
      </c>
      <c r="B1179">
        <v>24</v>
      </c>
      <c r="C1179">
        <f>_xlfn.XLOOKUP(Recon!A1179,[1]Backup!AJ:AJ,[1]Backup!L:L)</f>
        <v>69.61</v>
      </c>
      <c r="D1179">
        <f>_xlfn.XLOOKUP(Recon!A1179,[1]Backup!AJ:AJ,[1]Backup!K:K)</f>
        <v>2.3667400000000001</v>
      </c>
      <c r="E1179">
        <f>SUMIF('[1]PO Report'!A:A,Recon!A1179,'[1]PO Report'!P:P)</f>
        <v>24</v>
      </c>
      <c r="F1179">
        <f>VLOOKUP(A1179,'[1]PO Report'!$A:$Z,15,0)</f>
        <v>69.61</v>
      </c>
      <c r="H1179">
        <f t="shared" si="36"/>
        <v>0</v>
      </c>
      <c r="J1179">
        <f t="shared" si="37"/>
        <v>0</v>
      </c>
    </row>
    <row r="1180" spans="1:10" x14ac:dyDescent="0.25">
      <c r="A1180" t="s">
        <v>3160</v>
      </c>
      <c r="B1180">
        <v>16</v>
      </c>
      <c r="C1180">
        <f>_xlfn.XLOOKUP(Recon!A1180,[1]Backup!AJ:AJ,[1]Backup!L:L)</f>
        <v>104.41</v>
      </c>
      <c r="D1180">
        <f>_xlfn.XLOOKUP(Recon!A1180,[1]Backup!AJ:AJ,[1]Backup!K:K)</f>
        <v>3.5499399999999999</v>
      </c>
      <c r="E1180">
        <f>SUMIF('[1]PO Report'!A:A,Recon!A1180,'[1]PO Report'!P:P)</f>
        <v>16</v>
      </c>
      <c r="F1180">
        <f>VLOOKUP(A1180,'[1]PO Report'!$A:$Z,15,0)</f>
        <v>104.41</v>
      </c>
      <c r="H1180">
        <f t="shared" si="36"/>
        <v>0</v>
      </c>
      <c r="J1180">
        <f t="shared" si="37"/>
        <v>0</v>
      </c>
    </row>
    <row r="1181" spans="1:10" x14ac:dyDescent="0.25">
      <c r="A1181" t="s">
        <v>3161</v>
      </c>
      <c r="B1181">
        <v>8</v>
      </c>
      <c r="C1181">
        <f>_xlfn.XLOOKUP(Recon!A1181,[1]Backup!AJ:AJ,[1]Backup!L:L)</f>
        <v>69.61</v>
      </c>
      <c r="D1181">
        <f>_xlfn.XLOOKUP(Recon!A1181,[1]Backup!AJ:AJ,[1]Backup!K:K)</f>
        <v>2.3667400000000001</v>
      </c>
      <c r="E1181">
        <f>SUMIF('[1]PO Report'!A:A,Recon!A1181,'[1]PO Report'!P:P)</f>
        <v>8</v>
      </c>
      <c r="F1181">
        <f>VLOOKUP(A1181,'[1]PO Report'!$A:$Z,15,0)</f>
        <v>69.61</v>
      </c>
      <c r="H1181">
        <f t="shared" si="36"/>
        <v>0</v>
      </c>
      <c r="J1181">
        <f t="shared" si="37"/>
        <v>0</v>
      </c>
    </row>
    <row r="1182" spans="1:10" x14ac:dyDescent="0.25">
      <c r="A1182" t="s">
        <v>3162</v>
      </c>
      <c r="B1182">
        <v>8</v>
      </c>
      <c r="C1182">
        <f>_xlfn.XLOOKUP(Recon!A1182,[1]Backup!AJ:AJ,[1]Backup!L:L)</f>
        <v>26.37</v>
      </c>
      <c r="D1182">
        <f>_xlfn.XLOOKUP(Recon!A1182,[1]Backup!AJ:AJ,[1]Backup!K:K)</f>
        <v>0.89658000000000004</v>
      </c>
      <c r="E1182">
        <f>SUMIF('[1]PO Report'!A:A,Recon!A1182,'[1]PO Report'!P:P)</f>
        <v>8</v>
      </c>
      <c r="F1182">
        <f>VLOOKUP(A1182,'[1]PO Report'!$A:$Z,15,0)</f>
        <v>26.37</v>
      </c>
      <c r="H1182">
        <f t="shared" si="36"/>
        <v>0</v>
      </c>
      <c r="J1182">
        <f t="shared" si="37"/>
        <v>0</v>
      </c>
    </row>
    <row r="1183" spans="1:10" x14ac:dyDescent="0.25">
      <c r="A1183" t="s">
        <v>3163</v>
      </c>
      <c r="B1183">
        <v>4</v>
      </c>
      <c r="C1183">
        <f>_xlfn.XLOOKUP(Recon!A1183,[1]Backup!AJ:AJ,[1]Backup!L:L)</f>
        <v>21.1</v>
      </c>
      <c r="D1183">
        <f>_xlfn.XLOOKUP(Recon!A1183,[1]Backup!AJ:AJ,[1]Backup!K:K)</f>
        <v>0.71740000000000004</v>
      </c>
      <c r="E1183">
        <f>SUMIF('[1]PO Report'!A:A,Recon!A1183,'[1]PO Report'!P:P)</f>
        <v>4</v>
      </c>
      <c r="F1183">
        <f>VLOOKUP(A1183,'[1]PO Report'!$A:$Z,15,0)</f>
        <v>21.1</v>
      </c>
      <c r="H1183">
        <f t="shared" si="36"/>
        <v>0</v>
      </c>
      <c r="J1183">
        <f t="shared" si="37"/>
        <v>0</v>
      </c>
    </row>
    <row r="1184" spans="1:10" x14ac:dyDescent="0.25">
      <c r="A1184" t="s">
        <v>3164</v>
      </c>
      <c r="B1184">
        <v>20</v>
      </c>
      <c r="C1184">
        <f>_xlfn.XLOOKUP(Recon!A1184,[1]Backup!AJ:AJ,[1]Backup!L:L)</f>
        <v>8.89</v>
      </c>
      <c r="D1184">
        <f>_xlfn.XLOOKUP(Recon!A1184,[1]Backup!AJ:AJ,[1]Backup!K:K)</f>
        <v>0.30226000000000003</v>
      </c>
      <c r="E1184">
        <f>SUMIF('[1]PO Report'!A:A,Recon!A1184,'[1]PO Report'!P:P)</f>
        <v>20</v>
      </c>
      <c r="F1184">
        <f>VLOOKUP(A1184,'[1]PO Report'!$A:$Z,15,0)</f>
        <v>8.89</v>
      </c>
      <c r="H1184">
        <f t="shared" si="36"/>
        <v>0</v>
      </c>
      <c r="J1184">
        <f t="shared" si="37"/>
        <v>0</v>
      </c>
    </row>
    <row r="1185" spans="1:10" x14ac:dyDescent="0.25">
      <c r="A1185" t="s">
        <v>3165</v>
      </c>
      <c r="B1185">
        <v>80</v>
      </c>
      <c r="C1185">
        <f>_xlfn.XLOOKUP(Recon!A1185,[1]Backup!AJ:AJ,[1]Backup!L:L)</f>
        <v>8.89</v>
      </c>
      <c r="D1185">
        <f>_xlfn.XLOOKUP(Recon!A1185,[1]Backup!AJ:AJ,[1]Backup!K:K)</f>
        <v>0.30226000000000003</v>
      </c>
      <c r="E1185">
        <f>SUMIF('[1]PO Report'!A:A,Recon!A1185,'[1]PO Report'!P:P)</f>
        <v>80</v>
      </c>
      <c r="F1185">
        <f>VLOOKUP(A1185,'[1]PO Report'!$A:$Z,15,0)</f>
        <v>8.89</v>
      </c>
      <c r="H1185">
        <f t="shared" si="36"/>
        <v>0</v>
      </c>
      <c r="J1185">
        <f t="shared" si="37"/>
        <v>0</v>
      </c>
    </row>
    <row r="1186" spans="1:10" x14ac:dyDescent="0.25">
      <c r="A1186" t="s">
        <v>3166</v>
      </c>
      <c r="B1186">
        <v>40</v>
      </c>
      <c r="C1186">
        <f>_xlfn.XLOOKUP(Recon!A1186,[1]Backup!AJ:AJ,[1]Backup!L:L)</f>
        <v>31.119999999999997</v>
      </c>
      <c r="D1186">
        <f>_xlfn.XLOOKUP(Recon!A1186,[1]Backup!AJ:AJ,[1]Backup!K:K)</f>
        <v>1.0580799999999999</v>
      </c>
      <c r="E1186">
        <f>SUMIF('[1]PO Report'!A:A,Recon!A1186,'[1]PO Report'!P:P)</f>
        <v>40</v>
      </c>
      <c r="F1186">
        <f>VLOOKUP(A1186,'[1]PO Report'!$A:$Z,15,0)</f>
        <v>31.12</v>
      </c>
      <c r="H1186">
        <f t="shared" si="36"/>
        <v>0</v>
      </c>
      <c r="J1186">
        <f t="shared" si="37"/>
        <v>0</v>
      </c>
    </row>
    <row r="1187" spans="1:10" x14ac:dyDescent="0.25">
      <c r="A1187" t="s">
        <v>3167</v>
      </c>
      <c r="B1187">
        <v>4</v>
      </c>
      <c r="C1187">
        <f>_xlfn.XLOOKUP(Recon!A1187,[1]Backup!AJ:AJ,[1]Backup!L:L)</f>
        <v>44.95</v>
      </c>
      <c r="D1187">
        <f>_xlfn.XLOOKUP(Recon!A1187,[1]Backup!AJ:AJ,[1]Backup!K:K)</f>
        <v>1.5283</v>
      </c>
      <c r="E1187">
        <f>SUMIF('[1]PO Report'!A:A,Recon!A1187,'[1]PO Report'!P:P)</f>
        <v>4</v>
      </c>
      <c r="F1187">
        <f>VLOOKUP(A1187,'[1]PO Report'!$A:$Z,15,0)</f>
        <v>44.95</v>
      </c>
      <c r="H1187">
        <f t="shared" si="36"/>
        <v>0</v>
      </c>
      <c r="J1187">
        <f t="shared" si="37"/>
        <v>0</v>
      </c>
    </row>
    <row r="1188" spans="1:10" x14ac:dyDescent="0.25">
      <c r="A1188" t="s">
        <v>3168</v>
      </c>
      <c r="B1188">
        <v>12</v>
      </c>
      <c r="C1188">
        <f>_xlfn.XLOOKUP(Recon!A1188,[1]Backup!AJ:AJ,[1]Backup!L:L)</f>
        <v>47.48</v>
      </c>
      <c r="D1188">
        <f>_xlfn.XLOOKUP(Recon!A1188,[1]Backup!AJ:AJ,[1]Backup!K:K)</f>
        <v>1.61432</v>
      </c>
      <c r="E1188">
        <f>SUMIF('[1]PO Report'!A:A,Recon!A1188,'[1]PO Report'!P:P)</f>
        <v>12</v>
      </c>
      <c r="F1188">
        <f>VLOOKUP(A1188,'[1]PO Report'!$A:$Z,15,0)</f>
        <v>47.48</v>
      </c>
      <c r="H1188">
        <f t="shared" si="36"/>
        <v>0</v>
      </c>
      <c r="J1188">
        <f t="shared" si="37"/>
        <v>0</v>
      </c>
    </row>
    <row r="1189" spans="1:10" x14ac:dyDescent="0.25">
      <c r="A1189" t="s">
        <v>3169</v>
      </c>
      <c r="B1189">
        <v>36</v>
      </c>
      <c r="C1189">
        <f>_xlfn.XLOOKUP(Recon!A1189,[1]Backup!AJ:AJ,[1]Backup!L:L)</f>
        <v>18.46</v>
      </c>
      <c r="D1189">
        <f>_xlfn.XLOOKUP(Recon!A1189,[1]Backup!AJ:AJ,[1]Backup!K:K)</f>
        <v>0.62763999999999998</v>
      </c>
      <c r="E1189">
        <f>SUMIF('[1]PO Report'!A:A,Recon!A1189,'[1]PO Report'!P:P)</f>
        <v>36</v>
      </c>
      <c r="F1189">
        <f>VLOOKUP(A1189,'[1]PO Report'!$A:$Z,15,0)</f>
        <v>18.46</v>
      </c>
      <c r="H1189">
        <f t="shared" si="36"/>
        <v>0</v>
      </c>
      <c r="J1189">
        <f t="shared" si="37"/>
        <v>0</v>
      </c>
    </row>
    <row r="1190" spans="1:10" x14ac:dyDescent="0.25">
      <c r="A1190" t="s">
        <v>3170</v>
      </c>
      <c r="B1190">
        <v>40</v>
      </c>
      <c r="C1190">
        <f>_xlfn.XLOOKUP(Recon!A1190,[1]Backup!AJ:AJ,[1]Backup!L:L)</f>
        <v>69.61</v>
      </c>
      <c r="D1190">
        <f>_xlfn.XLOOKUP(Recon!A1190,[1]Backup!AJ:AJ,[1]Backup!K:K)</f>
        <v>2.3667400000000001</v>
      </c>
      <c r="E1190">
        <f>SUMIF('[1]PO Report'!A:A,Recon!A1190,'[1]PO Report'!P:P)</f>
        <v>40</v>
      </c>
      <c r="F1190">
        <f>VLOOKUP(A1190,'[1]PO Report'!$A:$Z,15,0)</f>
        <v>69.61</v>
      </c>
      <c r="H1190">
        <f t="shared" si="36"/>
        <v>0</v>
      </c>
      <c r="J1190">
        <f t="shared" si="37"/>
        <v>0</v>
      </c>
    </row>
    <row r="1191" spans="1:10" x14ac:dyDescent="0.25">
      <c r="A1191" t="s">
        <v>3171</v>
      </c>
      <c r="B1191">
        <v>4</v>
      </c>
      <c r="C1191">
        <f>_xlfn.XLOOKUP(Recon!A1191,[1]Backup!AJ:AJ,[1]Backup!L:L)</f>
        <v>18.46</v>
      </c>
      <c r="D1191">
        <f>_xlfn.XLOOKUP(Recon!A1191,[1]Backup!AJ:AJ,[1]Backup!K:K)</f>
        <v>0.62763999999999998</v>
      </c>
      <c r="E1191">
        <f>SUMIF('[1]PO Report'!A:A,Recon!A1191,'[1]PO Report'!P:P)</f>
        <v>4</v>
      </c>
      <c r="F1191">
        <f>VLOOKUP(A1191,'[1]PO Report'!$A:$Z,15,0)</f>
        <v>18.46</v>
      </c>
      <c r="H1191">
        <f t="shared" si="36"/>
        <v>0</v>
      </c>
      <c r="J1191">
        <f t="shared" si="37"/>
        <v>0</v>
      </c>
    </row>
    <row r="1192" spans="1:10" x14ac:dyDescent="0.25">
      <c r="A1192" t="s">
        <v>3172</v>
      </c>
      <c r="B1192">
        <v>72</v>
      </c>
      <c r="C1192">
        <f>_xlfn.XLOOKUP(Recon!A1192,[1]Backup!AJ:AJ,[1]Backup!L:L)</f>
        <v>23.74</v>
      </c>
      <c r="D1192">
        <f>_xlfn.XLOOKUP(Recon!A1192,[1]Backup!AJ:AJ,[1]Backup!K:K)</f>
        <v>0.80715999999999999</v>
      </c>
      <c r="E1192">
        <f>SUMIF('[1]PO Report'!A:A,Recon!A1192,'[1]PO Report'!P:P)</f>
        <v>72</v>
      </c>
      <c r="F1192">
        <f>VLOOKUP(A1192,'[1]PO Report'!$A:$Z,15,0)</f>
        <v>23.74</v>
      </c>
      <c r="H1192">
        <f t="shared" si="36"/>
        <v>0</v>
      </c>
      <c r="J1192">
        <f t="shared" si="37"/>
        <v>0</v>
      </c>
    </row>
    <row r="1193" spans="1:10" x14ac:dyDescent="0.25">
      <c r="A1193" t="s">
        <v>3173</v>
      </c>
      <c r="B1193">
        <v>8</v>
      </c>
      <c r="C1193">
        <f>_xlfn.XLOOKUP(Recon!A1193,[1]Backup!AJ:AJ,[1]Backup!L:L)</f>
        <v>39.56</v>
      </c>
      <c r="D1193">
        <f>_xlfn.XLOOKUP(Recon!A1193,[1]Backup!AJ:AJ,[1]Backup!K:K)</f>
        <v>1.34504</v>
      </c>
      <c r="E1193">
        <f>SUMIF('[1]PO Report'!A:A,Recon!A1193,'[1]PO Report'!P:P)</f>
        <v>8</v>
      </c>
      <c r="F1193">
        <f>VLOOKUP(A1193,'[1]PO Report'!$A:$Z,15,0)</f>
        <v>39.56</v>
      </c>
      <c r="H1193">
        <f t="shared" si="36"/>
        <v>0</v>
      </c>
      <c r="J1193">
        <f t="shared" si="37"/>
        <v>0</v>
      </c>
    </row>
    <row r="1194" spans="1:10" x14ac:dyDescent="0.25">
      <c r="A1194" t="s">
        <v>3174</v>
      </c>
      <c r="B1194">
        <v>104</v>
      </c>
      <c r="C1194">
        <f>_xlfn.XLOOKUP(Recon!A1194,[1]Backup!AJ:AJ,[1]Backup!L:L)</f>
        <v>116.02</v>
      </c>
      <c r="D1194">
        <f>_xlfn.XLOOKUP(Recon!A1194,[1]Backup!AJ:AJ,[1]Backup!K:K)</f>
        <v>3.94468</v>
      </c>
      <c r="E1194">
        <f>SUMIF('[1]PO Report'!A:A,Recon!A1194,'[1]PO Report'!P:P)</f>
        <v>104</v>
      </c>
      <c r="F1194">
        <f>VLOOKUP(A1194,'[1]PO Report'!$A:$Z,15,0)</f>
        <v>116.02</v>
      </c>
      <c r="H1194">
        <f t="shared" si="36"/>
        <v>0</v>
      </c>
      <c r="J1194">
        <f t="shared" si="37"/>
        <v>0</v>
      </c>
    </row>
    <row r="1195" spans="1:10" x14ac:dyDescent="0.25">
      <c r="A1195" t="s">
        <v>3175</v>
      </c>
      <c r="B1195">
        <v>4</v>
      </c>
      <c r="C1195">
        <f>_xlfn.XLOOKUP(Recon!A1195,[1]Backup!AJ:AJ,[1]Backup!L:L)</f>
        <v>100.69</v>
      </c>
      <c r="D1195">
        <f>_xlfn.XLOOKUP(Recon!A1195,[1]Backup!AJ:AJ,[1]Backup!K:K)</f>
        <v>3.4234599999999999</v>
      </c>
      <c r="E1195">
        <f>SUMIF('[1]PO Report'!A:A,Recon!A1195,'[1]PO Report'!P:P)</f>
        <v>4</v>
      </c>
      <c r="F1195">
        <f>VLOOKUP(A1195,'[1]PO Report'!$A:$Z,15,0)</f>
        <v>100.69</v>
      </c>
      <c r="H1195">
        <f t="shared" si="36"/>
        <v>0</v>
      </c>
      <c r="J1195">
        <f t="shared" si="37"/>
        <v>0</v>
      </c>
    </row>
    <row r="1196" spans="1:10" x14ac:dyDescent="0.25">
      <c r="A1196" t="s">
        <v>3176</v>
      </c>
      <c r="B1196">
        <v>8</v>
      </c>
      <c r="C1196">
        <f>_xlfn.XLOOKUP(Recon!A1196,[1]Backup!AJ:AJ,[1]Backup!L:L)</f>
        <v>87.01</v>
      </c>
      <c r="D1196">
        <f>_xlfn.XLOOKUP(Recon!A1196,[1]Backup!AJ:AJ,[1]Backup!K:K)</f>
        <v>2.9583400000000002</v>
      </c>
      <c r="E1196">
        <f>SUMIF('[1]PO Report'!A:A,Recon!A1196,'[1]PO Report'!P:P)</f>
        <v>8</v>
      </c>
      <c r="F1196">
        <f>VLOOKUP(A1196,'[1]PO Report'!$A:$Z,15,0)</f>
        <v>87.01</v>
      </c>
      <c r="H1196">
        <f t="shared" si="36"/>
        <v>0</v>
      </c>
      <c r="J1196">
        <f t="shared" si="37"/>
        <v>0</v>
      </c>
    </row>
    <row r="1197" spans="1:10" x14ac:dyDescent="0.25">
      <c r="A1197" t="s">
        <v>3177</v>
      </c>
      <c r="B1197">
        <v>12</v>
      </c>
      <c r="C1197">
        <f>_xlfn.XLOOKUP(Recon!A1197,[1]Backup!AJ:AJ,[1]Backup!L:L)</f>
        <v>39.56</v>
      </c>
      <c r="D1197">
        <f>_xlfn.XLOOKUP(Recon!A1197,[1]Backup!AJ:AJ,[1]Backup!K:K)</f>
        <v>1.34504</v>
      </c>
      <c r="E1197">
        <f>SUMIF('[1]PO Report'!A:A,Recon!A1197,'[1]PO Report'!P:P)</f>
        <v>12</v>
      </c>
      <c r="F1197">
        <f>VLOOKUP(A1197,'[1]PO Report'!$A:$Z,15,0)</f>
        <v>39.56</v>
      </c>
      <c r="H1197">
        <f t="shared" si="36"/>
        <v>0</v>
      </c>
      <c r="J1197">
        <f t="shared" si="37"/>
        <v>0</v>
      </c>
    </row>
    <row r="1198" spans="1:10" x14ac:dyDescent="0.25">
      <c r="A1198" t="s">
        <v>3178</v>
      </c>
      <c r="B1198">
        <v>144</v>
      </c>
      <c r="C1198">
        <f>_xlfn.XLOOKUP(Recon!A1198,[1]Backup!AJ:AJ,[1]Backup!L:L)</f>
        <v>23.74</v>
      </c>
      <c r="D1198">
        <f>_xlfn.XLOOKUP(Recon!A1198,[1]Backup!AJ:AJ,[1]Backup!K:K)</f>
        <v>0.80715999999999999</v>
      </c>
      <c r="E1198">
        <f>SUMIF('[1]PO Report'!A:A,Recon!A1198,'[1]PO Report'!P:P)</f>
        <v>144</v>
      </c>
      <c r="F1198">
        <f>VLOOKUP(A1198,'[1]PO Report'!$A:$Z,15,0)</f>
        <v>23.74</v>
      </c>
      <c r="H1198">
        <f t="shared" si="36"/>
        <v>0</v>
      </c>
      <c r="J1198">
        <f t="shared" si="37"/>
        <v>0</v>
      </c>
    </row>
    <row r="1199" spans="1:10" x14ac:dyDescent="0.25">
      <c r="A1199" t="s">
        <v>3179</v>
      </c>
      <c r="B1199">
        <v>56</v>
      </c>
      <c r="C1199">
        <f>_xlfn.XLOOKUP(Recon!A1199,[1]Backup!AJ:AJ,[1]Backup!L:L)</f>
        <v>11.6</v>
      </c>
      <c r="D1199">
        <f>_xlfn.XLOOKUP(Recon!A1199,[1]Backup!AJ:AJ,[1]Backup!K:K)</f>
        <v>0.39440000000000003</v>
      </c>
      <c r="E1199">
        <f>SUMIF('[1]PO Report'!A:A,Recon!A1199,'[1]PO Report'!P:P)</f>
        <v>56</v>
      </c>
      <c r="F1199">
        <f>VLOOKUP(A1199,'[1]PO Report'!$A:$Z,15,0)</f>
        <v>11.6</v>
      </c>
      <c r="H1199">
        <f t="shared" si="36"/>
        <v>0</v>
      </c>
      <c r="J1199">
        <f t="shared" si="37"/>
        <v>0</v>
      </c>
    </row>
    <row r="1200" spans="1:10" x14ac:dyDescent="0.25">
      <c r="A1200" t="s">
        <v>3180</v>
      </c>
      <c r="B1200">
        <v>64</v>
      </c>
      <c r="C1200">
        <f>_xlfn.XLOOKUP(Recon!A1200,[1]Backup!AJ:AJ,[1]Backup!L:L)</f>
        <v>69.61</v>
      </c>
      <c r="D1200">
        <f>_xlfn.XLOOKUP(Recon!A1200,[1]Backup!AJ:AJ,[1]Backup!K:K)</f>
        <v>2.3667400000000001</v>
      </c>
      <c r="E1200">
        <f>SUMIF('[1]PO Report'!A:A,Recon!A1200,'[1]PO Report'!P:P)</f>
        <v>64</v>
      </c>
      <c r="F1200">
        <f>VLOOKUP(A1200,'[1]PO Report'!$A:$Z,15,0)</f>
        <v>69.61</v>
      </c>
      <c r="H1200">
        <f t="shared" si="36"/>
        <v>0</v>
      </c>
      <c r="J1200">
        <f t="shared" si="37"/>
        <v>0</v>
      </c>
    </row>
    <row r="1201" spans="1:10" x14ac:dyDescent="0.25">
      <c r="A1201" t="s">
        <v>3181</v>
      </c>
      <c r="B1201">
        <v>152</v>
      </c>
      <c r="C1201">
        <f>_xlfn.XLOOKUP(Recon!A1201,[1]Backup!AJ:AJ,[1]Backup!L:L)</f>
        <v>11.6</v>
      </c>
      <c r="D1201">
        <f>_xlfn.XLOOKUP(Recon!A1201,[1]Backup!AJ:AJ,[1]Backup!K:K)</f>
        <v>0.39439999999999997</v>
      </c>
      <c r="E1201">
        <f>SUMIF('[1]PO Report'!A:A,Recon!A1201,'[1]PO Report'!P:P)</f>
        <v>152</v>
      </c>
      <c r="F1201">
        <f>VLOOKUP(A1201,'[1]PO Report'!$A:$Z,15,0)</f>
        <v>11.6</v>
      </c>
      <c r="H1201">
        <f t="shared" si="36"/>
        <v>0</v>
      </c>
      <c r="J1201">
        <f t="shared" si="37"/>
        <v>0</v>
      </c>
    </row>
    <row r="1202" spans="1:10" x14ac:dyDescent="0.25">
      <c r="A1202" t="s">
        <v>3182</v>
      </c>
      <c r="B1202">
        <v>16</v>
      </c>
      <c r="C1202">
        <f>_xlfn.XLOOKUP(Recon!A1202,[1]Backup!AJ:AJ,[1]Backup!L:L)</f>
        <v>116.02</v>
      </c>
      <c r="D1202">
        <f>_xlfn.XLOOKUP(Recon!A1202,[1]Backup!AJ:AJ,[1]Backup!K:K)</f>
        <v>3.94468</v>
      </c>
      <c r="E1202">
        <f>SUMIF('[1]PO Report'!A:A,Recon!A1202,'[1]PO Report'!P:P)</f>
        <v>16</v>
      </c>
      <c r="F1202">
        <f>VLOOKUP(A1202,'[1]PO Report'!$A:$Z,15,0)</f>
        <v>116.02</v>
      </c>
      <c r="H1202">
        <f t="shared" si="36"/>
        <v>0</v>
      </c>
      <c r="J1202">
        <f t="shared" si="37"/>
        <v>0</v>
      </c>
    </row>
    <row r="1203" spans="1:10" x14ac:dyDescent="0.25">
      <c r="A1203" t="s">
        <v>3183</v>
      </c>
      <c r="B1203">
        <v>20</v>
      </c>
      <c r="C1203">
        <f>_xlfn.XLOOKUP(Recon!A1203,[1]Backup!AJ:AJ,[1]Backup!L:L)</f>
        <v>47.480000000000004</v>
      </c>
      <c r="D1203">
        <f>_xlfn.XLOOKUP(Recon!A1203,[1]Backup!AJ:AJ,[1]Backup!K:K)</f>
        <v>1.61432</v>
      </c>
      <c r="E1203">
        <f>SUMIF('[1]PO Report'!A:A,Recon!A1203,'[1]PO Report'!P:P)</f>
        <v>20</v>
      </c>
      <c r="F1203">
        <f>VLOOKUP(A1203,'[1]PO Report'!$A:$Z,15,0)</f>
        <v>47.48</v>
      </c>
      <c r="H1203">
        <f t="shared" si="36"/>
        <v>0</v>
      </c>
      <c r="J1203">
        <f t="shared" si="37"/>
        <v>0</v>
      </c>
    </row>
    <row r="1204" spans="1:10" x14ac:dyDescent="0.25">
      <c r="A1204" t="s">
        <v>3184</v>
      </c>
      <c r="B1204">
        <v>8</v>
      </c>
      <c r="C1204">
        <f>_xlfn.XLOOKUP(Recon!A1204,[1]Backup!AJ:AJ,[1]Backup!L:L)</f>
        <v>73.34</v>
      </c>
      <c r="D1204">
        <f>_xlfn.XLOOKUP(Recon!A1204,[1]Backup!AJ:AJ,[1]Backup!K:K)</f>
        <v>2.49356</v>
      </c>
      <c r="E1204">
        <f>SUMIF('[1]PO Report'!A:A,Recon!A1204,'[1]PO Report'!P:P)</f>
        <v>8</v>
      </c>
      <c r="F1204">
        <f>VLOOKUP(A1204,'[1]PO Report'!$A:$Z,15,0)</f>
        <v>73.34</v>
      </c>
      <c r="H1204">
        <f t="shared" si="36"/>
        <v>0</v>
      </c>
      <c r="J1204">
        <f t="shared" si="37"/>
        <v>0</v>
      </c>
    </row>
    <row r="1205" spans="1:10" x14ac:dyDescent="0.25">
      <c r="A1205" t="s">
        <v>3185</v>
      </c>
      <c r="B1205">
        <v>112</v>
      </c>
      <c r="C1205">
        <f>_xlfn.XLOOKUP(Recon!A1205,[1]Backup!AJ:AJ,[1]Backup!L:L)</f>
        <v>141.93</v>
      </c>
      <c r="D1205">
        <f>_xlfn.XLOOKUP(Recon!A1205,[1]Backup!AJ:AJ,[1]Backup!K:K)</f>
        <v>4.8256199999999998</v>
      </c>
      <c r="E1205">
        <f>SUMIF('[1]PO Report'!A:A,Recon!A1205,'[1]PO Report'!P:P)</f>
        <v>112</v>
      </c>
      <c r="F1205">
        <f>VLOOKUP(A1205,'[1]PO Report'!$A:$Z,15,0)</f>
        <v>141.93</v>
      </c>
      <c r="H1205">
        <f t="shared" si="36"/>
        <v>0</v>
      </c>
      <c r="J1205">
        <f t="shared" si="37"/>
        <v>0</v>
      </c>
    </row>
    <row r="1206" spans="1:10" x14ac:dyDescent="0.25">
      <c r="A1206" t="s">
        <v>3186</v>
      </c>
      <c r="B1206">
        <v>116</v>
      </c>
      <c r="C1206">
        <f>_xlfn.XLOOKUP(Recon!A1206,[1]Backup!AJ:AJ,[1]Backup!L:L)</f>
        <v>42.199999999999996</v>
      </c>
      <c r="D1206">
        <f>_xlfn.XLOOKUP(Recon!A1206,[1]Backup!AJ:AJ,[1]Backup!K:K)</f>
        <v>1.4348000000000001</v>
      </c>
      <c r="E1206">
        <f>SUMIF('[1]PO Report'!A:A,Recon!A1206,'[1]PO Report'!P:P)</f>
        <v>116</v>
      </c>
      <c r="F1206">
        <f>VLOOKUP(A1206,'[1]PO Report'!$A:$Z,15,0)</f>
        <v>42.2</v>
      </c>
      <c r="H1206">
        <f t="shared" si="36"/>
        <v>0</v>
      </c>
      <c r="J1206">
        <f t="shared" si="37"/>
        <v>0</v>
      </c>
    </row>
    <row r="1207" spans="1:10" x14ac:dyDescent="0.25">
      <c r="A1207" t="s">
        <v>3187</v>
      </c>
      <c r="B1207">
        <v>212</v>
      </c>
      <c r="C1207">
        <f>_xlfn.XLOOKUP(Recon!A1207,[1]Backup!AJ:AJ,[1]Backup!L:L)</f>
        <v>42.199999999999996</v>
      </c>
      <c r="D1207">
        <f>_xlfn.XLOOKUP(Recon!A1207,[1]Backup!AJ:AJ,[1]Backup!K:K)</f>
        <v>1.4347999999999999</v>
      </c>
      <c r="E1207">
        <f>SUMIF('[1]PO Report'!A:A,Recon!A1207,'[1]PO Report'!P:P)</f>
        <v>212</v>
      </c>
      <c r="F1207">
        <f>VLOOKUP(A1207,'[1]PO Report'!$A:$Z,15,0)</f>
        <v>42.2</v>
      </c>
      <c r="H1207">
        <f t="shared" si="36"/>
        <v>0</v>
      </c>
      <c r="J1207">
        <f t="shared" si="37"/>
        <v>0</v>
      </c>
    </row>
    <row r="1208" spans="1:10" x14ac:dyDescent="0.25">
      <c r="A1208" t="s">
        <v>3188</v>
      </c>
      <c r="B1208">
        <v>4</v>
      </c>
      <c r="C1208">
        <f>_xlfn.XLOOKUP(Recon!A1208,[1]Backup!AJ:AJ,[1]Backup!L:L)</f>
        <v>47.48</v>
      </c>
      <c r="D1208">
        <f>_xlfn.XLOOKUP(Recon!A1208,[1]Backup!AJ:AJ,[1]Backup!K:K)</f>
        <v>1.61432</v>
      </c>
      <c r="E1208">
        <f>SUMIF('[1]PO Report'!A:A,Recon!A1208,'[1]PO Report'!P:P)</f>
        <v>4</v>
      </c>
      <c r="F1208">
        <f>VLOOKUP(A1208,'[1]PO Report'!$A:$Z,15,0)</f>
        <v>47.48</v>
      </c>
      <c r="H1208">
        <f t="shared" si="36"/>
        <v>0</v>
      </c>
      <c r="J1208">
        <f t="shared" si="37"/>
        <v>0</v>
      </c>
    </row>
    <row r="1209" spans="1:10" x14ac:dyDescent="0.25">
      <c r="A1209" t="s">
        <v>3189</v>
      </c>
      <c r="B1209">
        <v>10</v>
      </c>
      <c r="C1209">
        <f>_xlfn.XLOOKUP(Recon!A1209,[1]Backup!AJ:AJ,[1]Backup!L:L)</f>
        <v>9.36</v>
      </c>
      <c r="D1209">
        <f>_xlfn.XLOOKUP(Recon!A1209,[1]Backup!AJ:AJ,[1]Backup!K:K)</f>
        <v>0.31823999999999997</v>
      </c>
      <c r="E1209">
        <f>SUMIF('[1]PO Report'!A:A,Recon!A1209,'[1]PO Report'!P:P)</f>
        <v>10</v>
      </c>
      <c r="F1209">
        <f>VLOOKUP(A1209,'[1]PO Report'!$A:$Z,15,0)</f>
        <v>9.36</v>
      </c>
      <c r="H1209">
        <f t="shared" si="36"/>
        <v>0</v>
      </c>
      <c r="J1209">
        <f t="shared" si="37"/>
        <v>0</v>
      </c>
    </row>
    <row r="1210" spans="1:10" x14ac:dyDescent="0.25">
      <c r="A1210" t="s">
        <v>3190</v>
      </c>
      <c r="B1210">
        <v>8</v>
      </c>
      <c r="C1210">
        <f>_xlfn.XLOOKUP(Recon!A1210,[1]Backup!AJ:AJ,[1]Backup!L:L)</f>
        <v>172.23</v>
      </c>
      <c r="D1210">
        <f>_xlfn.XLOOKUP(Recon!A1210,[1]Backup!AJ:AJ,[1]Backup!K:K)</f>
        <v>5.8558199999999996</v>
      </c>
      <c r="E1210">
        <f>SUMIF('[1]PO Report'!A:A,Recon!A1210,'[1]PO Report'!P:P)</f>
        <v>8</v>
      </c>
      <c r="F1210">
        <f>VLOOKUP(A1210,'[1]PO Report'!$A:$Z,15,0)</f>
        <v>172.23</v>
      </c>
      <c r="H1210">
        <f t="shared" si="36"/>
        <v>0</v>
      </c>
      <c r="J1210">
        <f t="shared" si="37"/>
        <v>0</v>
      </c>
    </row>
    <row r="1211" spans="1:10" x14ac:dyDescent="0.25">
      <c r="A1211" t="s">
        <v>3191</v>
      </c>
      <c r="B1211">
        <v>8</v>
      </c>
      <c r="C1211">
        <f>_xlfn.XLOOKUP(Recon!A1211,[1]Backup!AJ:AJ,[1]Backup!L:L)</f>
        <v>55.64</v>
      </c>
      <c r="D1211">
        <f>_xlfn.XLOOKUP(Recon!A1211,[1]Backup!AJ:AJ,[1]Backup!K:K)</f>
        <v>1.8917600000000001</v>
      </c>
      <c r="E1211">
        <f>SUMIF('[1]PO Report'!A:A,Recon!A1211,'[1]PO Report'!P:P)</f>
        <v>8</v>
      </c>
      <c r="F1211">
        <f>VLOOKUP(A1211,'[1]PO Report'!$A:$Z,15,0)</f>
        <v>55.64</v>
      </c>
      <c r="H1211">
        <f t="shared" si="36"/>
        <v>0</v>
      </c>
      <c r="J1211">
        <f t="shared" si="37"/>
        <v>0</v>
      </c>
    </row>
    <row r="1212" spans="1:10" x14ac:dyDescent="0.25">
      <c r="A1212" t="s">
        <v>3192</v>
      </c>
      <c r="B1212">
        <v>4</v>
      </c>
      <c r="C1212">
        <f>_xlfn.XLOOKUP(Recon!A1212,[1]Backup!AJ:AJ,[1]Backup!L:L)</f>
        <v>29.28</v>
      </c>
      <c r="D1212">
        <f>_xlfn.XLOOKUP(Recon!A1212,[1]Backup!AJ:AJ,[1]Backup!K:K)</f>
        <v>0.99551999999999996</v>
      </c>
      <c r="E1212">
        <f>SUMIF('[1]PO Report'!A:A,Recon!A1212,'[1]PO Report'!P:P)</f>
        <v>4</v>
      </c>
      <c r="F1212">
        <f>VLOOKUP(A1212,'[1]PO Report'!$A:$Z,15,0)</f>
        <v>29.28</v>
      </c>
      <c r="H1212">
        <f t="shared" si="36"/>
        <v>0</v>
      </c>
      <c r="J1212">
        <f t="shared" si="37"/>
        <v>0</v>
      </c>
    </row>
    <row r="1213" spans="1:10" x14ac:dyDescent="0.25">
      <c r="A1213" t="s">
        <v>3193</v>
      </c>
      <c r="B1213">
        <v>47</v>
      </c>
      <c r="C1213">
        <f>_xlfn.XLOOKUP(Recon!A1213,[1]Backup!AJ:AJ,[1]Backup!L:L)</f>
        <v>147.21</v>
      </c>
      <c r="D1213">
        <f>_xlfn.XLOOKUP(Recon!A1213,[1]Backup!AJ:AJ,[1]Backup!K:K)</f>
        <v>5.0051399999999999</v>
      </c>
      <c r="E1213">
        <f>SUMIF('[1]PO Report'!A:A,Recon!A1213,'[1]PO Report'!P:P)</f>
        <v>47</v>
      </c>
      <c r="F1213">
        <f>VLOOKUP(A1213,'[1]PO Report'!$A:$Z,15,0)</f>
        <v>147.21</v>
      </c>
      <c r="H1213">
        <f t="shared" si="36"/>
        <v>0</v>
      </c>
      <c r="J1213">
        <f t="shared" si="37"/>
        <v>0</v>
      </c>
    </row>
    <row r="1214" spans="1:10" x14ac:dyDescent="0.25">
      <c r="A1214" t="s">
        <v>3194</v>
      </c>
      <c r="B1214">
        <v>100</v>
      </c>
      <c r="C1214">
        <f>_xlfn.XLOOKUP(Recon!A1214,[1]Backup!AJ:AJ,[1]Backup!L:L)</f>
        <v>68.06</v>
      </c>
      <c r="D1214">
        <f>_xlfn.XLOOKUP(Recon!A1214,[1]Backup!AJ:AJ,[1]Backup!K:K)</f>
        <v>2.3140399999999999</v>
      </c>
      <c r="E1214">
        <f>SUMIF('[1]PO Report'!A:A,Recon!A1214,'[1]PO Report'!P:P)</f>
        <v>100</v>
      </c>
      <c r="F1214">
        <f>VLOOKUP(A1214,'[1]PO Report'!$A:$Z,15,0)</f>
        <v>68.06</v>
      </c>
      <c r="H1214">
        <f t="shared" si="36"/>
        <v>0</v>
      </c>
      <c r="J1214">
        <f t="shared" si="37"/>
        <v>0</v>
      </c>
    </row>
    <row r="1215" spans="1:10" x14ac:dyDescent="0.25">
      <c r="A1215" t="s">
        <v>3195</v>
      </c>
      <c r="B1215">
        <v>8</v>
      </c>
      <c r="C1215">
        <f>_xlfn.XLOOKUP(Recon!A1215,[1]Backup!AJ:AJ,[1]Backup!L:L)</f>
        <v>86.99</v>
      </c>
      <c r="D1215">
        <f>_xlfn.XLOOKUP(Recon!A1215,[1]Backup!AJ:AJ,[1]Backup!K:K)</f>
        <v>2.9576600000000002</v>
      </c>
      <c r="E1215">
        <f>SUMIF('[1]PO Report'!A:A,Recon!A1215,'[1]PO Report'!P:P)</f>
        <v>8</v>
      </c>
      <c r="F1215">
        <f>VLOOKUP(A1215,'[1]PO Report'!$A:$Z,15,0)</f>
        <v>86.99</v>
      </c>
      <c r="H1215">
        <f t="shared" si="36"/>
        <v>0</v>
      </c>
      <c r="J1215">
        <f t="shared" si="37"/>
        <v>0</v>
      </c>
    </row>
    <row r="1216" spans="1:10" x14ac:dyDescent="0.25">
      <c r="A1216" t="s">
        <v>3196</v>
      </c>
      <c r="B1216">
        <v>70</v>
      </c>
      <c r="C1216">
        <f>_xlfn.XLOOKUP(Recon!A1216,[1]Backup!AJ:AJ,[1]Backup!L:L)</f>
        <v>16.39</v>
      </c>
      <c r="D1216">
        <f>_xlfn.XLOOKUP(Recon!A1216,[1]Backup!AJ:AJ,[1]Backup!K:K)</f>
        <v>0.55725999999999998</v>
      </c>
      <c r="E1216">
        <f>SUMIF('[1]PO Report'!A:A,Recon!A1216,'[1]PO Report'!P:P)</f>
        <v>70</v>
      </c>
      <c r="F1216">
        <f>VLOOKUP(A1216,'[1]PO Report'!$A:$Z,15,0)</f>
        <v>16.39</v>
      </c>
      <c r="H1216">
        <f t="shared" si="36"/>
        <v>0</v>
      </c>
      <c r="J1216">
        <f t="shared" si="37"/>
        <v>0</v>
      </c>
    </row>
    <row r="1217" spans="1:10" x14ac:dyDescent="0.25">
      <c r="A1217" t="s">
        <v>3197</v>
      </c>
      <c r="B1217">
        <v>852</v>
      </c>
      <c r="C1217">
        <f>_xlfn.XLOOKUP(Recon!A1217,[1]Backup!AJ:AJ,[1]Backup!L:L)</f>
        <v>29.28</v>
      </c>
      <c r="D1217">
        <f>_xlfn.XLOOKUP(Recon!A1217,[1]Backup!AJ:AJ,[1]Backup!K:K)</f>
        <v>0.99551999999999996</v>
      </c>
      <c r="E1217">
        <f>SUMIF('[1]PO Report'!A:A,Recon!A1217,'[1]PO Report'!P:P)</f>
        <v>844</v>
      </c>
      <c r="F1217">
        <f>VLOOKUP(A1217,'[1]PO Report'!$A:$Z,15,0)</f>
        <v>29.28</v>
      </c>
      <c r="H1217">
        <f t="shared" si="36"/>
        <v>8</v>
      </c>
      <c r="I1217">
        <f>H1217*D1217</f>
        <v>7.9641599999999997</v>
      </c>
      <c r="J1217">
        <f t="shared" si="37"/>
        <v>0</v>
      </c>
    </row>
  </sheetData>
  <autoFilter ref="A2:J1217" xr:uid="{3469077A-7C5F-45D0-9070-F0D4B23F4B36}"/>
  <mergeCells count="3">
    <mergeCell ref="A1:D1"/>
    <mergeCell ref="E1:F1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6755-FC22-4F21-A336-7ED09F7FCC97}">
  <dimension ref="A2:G56"/>
  <sheetViews>
    <sheetView tabSelected="1" workbookViewId="0">
      <selection activeCell="H11" sqref="H11:H55"/>
    </sheetView>
  </sheetViews>
  <sheetFormatPr defaultRowHeight="15" x14ac:dyDescent="0.25"/>
  <sheetData>
    <row r="2" spans="1:7" x14ac:dyDescent="0.25">
      <c r="A2" t="s">
        <v>3198</v>
      </c>
    </row>
    <row r="3" spans="1:7" x14ac:dyDescent="0.25">
      <c r="A3" t="s">
        <v>3199</v>
      </c>
      <c r="B3" s="14" t="e">
        <v>#REF!</v>
      </c>
    </row>
    <row r="4" spans="1:7" x14ac:dyDescent="0.25">
      <c r="A4" t="s">
        <v>1981</v>
      </c>
      <c r="B4" s="14">
        <v>527.79764</v>
      </c>
    </row>
    <row r="5" spans="1:7" x14ac:dyDescent="0.25">
      <c r="B5" t="e">
        <v>#REF!</v>
      </c>
    </row>
    <row r="9" spans="1:7" x14ac:dyDescent="0.25">
      <c r="A9" t="s">
        <v>3199</v>
      </c>
    </row>
    <row r="10" spans="1:7" x14ac:dyDescent="0.25">
      <c r="A10" t="s">
        <v>3200</v>
      </c>
      <c r="B10" t="s">
        <v>3201</v>
      </c>
      <c r="C10" t="s">
        <v>3202</v>
      </c>
      <c r="D10" t="s">
        <v>3203</v>
      </c>
      <c r="E10" t="s">
        <v>1970</v>
      </c>
    </row>
    <row r="11" spans="1:7" x14ac:dyDescent="0.25">
      <c r="A11" t="s">
        <v>128</v>
      </c>
      <c r="B11" t="s">
        <v>260</v>
      </c>
      <c r="C11">
        <v>4</v>
      </c>
      <c r="D11" s="14">
        <v>0.79627999999999999</v>
      </c>
      <c r="E11" s="14" t="e">
        <v>#REF!</v>
      </c>
    </row>
    <row r="12" spans="1:7" x14ac:dyDescent="0.25">
      <c r="E12" s="14" t="e">
        <v>#REF!</v>
      </c>
    </row>
    <row r="14" spans="1:7" x14ac:dyDescent="0.25">
      <c r="A14" t="s">
        <v>1981</v>
      </c>
    </row>
    <row r="15" spans="1:7" x14ac:dyDescent="0.25">
      <c r="A15" t="s">
        <v>3200</v>
      </c>
      <c r="B15" t="s">
        <v>3201</v>
      </c>
      <c r="C15" t="s">
        <v>3204</v>
      </c>
      <c r="D15" t="s">
        <v>3205</v>
      </c>
      <c r="E15" t="s">
        <v>3206</v>
      </c>
      <c r="F15" t="s">
        <v>3207</v>
      </c>
      <c r="G15" t="s">
        <v>3208</v>
      </c>
    </row>
    <row r="16" spans="1:7" x14ac:dyDescent="0.25">
      <c r="A16" t="s">
        <v>462</v>
      </c>
      <c r="B16" t="s">
        <v>623</v>
      </c>
      <c r="C16">
        <v>32</v>
      </c>
      <c r="D16">
        <v>36</v>
      </c>
      <c r="E16">
        <v>4</v>
      </c>
      <c r="F16" s="14">
        <v>1.4932799999999999</v>
      </c>
      <c r="G16" s="14">
        <v>5.9731199999999998</v>
      </c>
    </row>
    <row r="17" spans="1:7" x14ac:dyDescent="0.25">
      <c r="A17" t="s">
        <v>154</v>
      </c>
      <c r="B17" t="s">
        <v>996</v>
      </c>
      <c r="C17">
        <v>132</v>
      </c>
      <c r="D17">
        <v>136</v>
      </c>
      <c r="E17">
        <v>4</v>
      </c>
      <c r="F17">
        <v>1.19442</v>
      </c>
      <c r="G17">
        <v>4.7776800000000001</v>
      </c>
    </row>
    <row r="18" spans="1:7" x14ac:dyDescent="0.25">
      <c r="A18" t="s">
        <v>969</v>
      </c>
      <c r="B18" t="s">
        <v>237</v>
      </c>
      <c r="C18">
        <v>8</v>
      </c>
      <c r="D18">
        <v>12</v>
      </c>
      <c r="E18">
        <v>4</v>
      </c>
      <c r="F18">
        <v>1.5283</v>
      </c>
      <c r="G18">
        <v>6.1132</v>
      </c>
    </row>
    <row r="19" spans="1:7" x14ac:dyDescent="0.25">
      <c r="A19" t="s">
        <v>270</v>
      </c>
      <c r="B19" t="s">
        <v>567</v>
      </c>
      <c r="C19">
        <v>152</v>
      </c>
      <c r="D19">
        <v>315</v>
      </c>
      <c r="E19">
        <v>163</v>
      </c>
      <c r="F19">
        <v>0.69700000000000006</v>
      </c>
      <c r="G19">
        <v>113.611</v>
      </c>
    </row>
    <row r="20" spans="1:7" x14ac:dyDescent="0.25">
      <c r="A20" t="s">
        <v>270</v>
      </c>
      <c r="B20" t="s">
        <v>948</v>
      </c>
      <c r="C20">
        <v>28</v>
      </c>
      <c r="D20">
        <v>32</v>
      </c>
      <c r="E20">
        <v>4</v>
      </c>
      <c r="F20">
        <v>2.3470200000000001</v>
      </c>
      <c r="G20">
        <v>9.3880800000000004</v>
      </c>
    </row>
    <row r="21" spans="1:7" x14ac:dyDescent="0.25">
      <c r="A21" t="s">
        <v>106</v>
      </c>
      <c r="B21" t="s">
        <v>1189</v>
      </c>
      <c r="C21">
        <v>144</v>
      </c>
      <c r="D21">
        <v>160</v>
      </c>
      <c r="E21">
        <v>16</v>
      </c>
      <c r="F21">
        <v>0.79627999999999999</v>
      </c>
      <c r="G21">
        <v>12.74048</v>
      </c>
    </row>
    <row r="22" spans="1:7" x14ac:dyDescent="0.25">
      <c r="A22" t="s">
        <v>106</v>
      </c>
      <c r="B22" t="s">
        <v>908</v>
      </c>
      <c r="C22">
        <v>268</v>
      </c>
      <c r="D22">
        <v>272</v>
      </c>
      <c r="E22">
        <v>4</v>
      </c>
      <c r="F22">
        <v>1.25562</v>
      </c>
      <c r="G22">
        <v>5.0224799999999998</v>
      </c>
    </row>
    <row r="23" spans="1:7" x14ac:dyDescent="0.25">
      <c r="A23" t="s">
        <v>222</v>
      </c>
      <c r="B23" t="s">
        <v>223</v>
      </c>
      <c r="C23">
        <v>36</v>
      </c>
      <c r="D23">
        <v>40</v>
      </c>
      <c r="E23">
        <v>4</v>
      </c>
      <c r="F23">
        <v>2.8522599999999998</v>
      </c>
      <c r="G23">
        <v>11.409039999999999</v>
      </c>
    </row>
    <row r="24" spans="1:7" x14ac:dyDescent="0.25">
      <c r="A24" t="s">
        <v>172</v>
      </c>
      <c r="B24" t="s">
        <v>173</v>
      </c>
      <c r="C24">
        <v>2820</v>
      </c>
      <c r="D24">
        <v>2870</v>
      </c>
      <c r="E24">
        <v>50</v>
      </c>
      <c r="F24">
        <v>0.55725999999999998</v>
      </c>
      <c r="G24">
        <v>27.863</v>
      </c>
    </row>
    <row r="25" spans="1:7" x14ac:dyDescent="0.25">
      <c r="A25" t="s">
        <v>102</v>
      </c>
      <c r="B25" t="s">
        <v>716</v>
      </c>
      <c r="C25">
        <v>8</v>
      </c>
      <c r="D25">
        <v>16</v>
      </c>
      <c r="E25">
        <v>8</v>
      </c>
      <c r="F25">
        <v>1.09514</v>
      </c>
      <c r="G25">
        <v>8.76112</v>
      </c>
    </row>
    <row r="26" spans="1:7" x14ac:dyDescent="0.25">
      <c r="A26" t="s">
        <v>168</v>
      </c>
      <c r="B26" t="s">
        <v>1318</v>
      </c>
      <c r="C26">
        <v>8</v>
      </c>
      <c r="D26">
        <v>12</v>
      </c>
      <c r="E26">
        <v>4</v>
      </c>
      <c r="F26">
        <v>2.1498200000000001</v>
      </c>
      <c r="G26">
        <v>8.5992800000000003</v>
      </c>
    </row>
    <row r="27" spans="1:7" x14ac:dyDescent="0.25">
      <c r="A27" t="s">
        <v>168</v>
      </c>
      <c r="B27" t="s">
        <v>657</v>
      </c>
      <c r="C27">
        <v>80</v>
      </c>
      <c r="D27">
        <v>84</v>
      </c>
      <c r="E27">
        <v>4</v>
      </c>
      <c r="F27">
        <v>0.80715999999999999</v>
      </c>
      <c r="G27">
        <v>3.22864</v>
      </c>
    </row>
    <row r="28" spans="1:7" x14ac:dyDescent="0.25">
      <c r="A28" t="s">
        <v>67</v>
      </c>
      <c r="B28" t="s">
        <v>987</v>
      </c>
      <c r="C28">
        <v>68</v>
      </c>
      <c r="D28">
        <v>72</v>
      </c>
      <c r="E28">
        <v>4</v>
      </c>
      <c r="F28">
        <v>2.8522599999999998</v>
      </c>
      <c r="G28">
        <v>11.409039999999999</v>
      </c>
    </row>
    <row r="29" spans="1:7" x14ac:dyDescent="0.25">
      <c r="A29" t="s">
        <v>89</v>
      </c>
      <c r="B29" t="s">
        <v>1318</v>
      </c>
      <c r="C29">
        <v>16</v>
      </c>
      <c r="D29">
        <v>20</v>
      </c>
      <c r="E29">
        <v>4</v>
      </c>
      <c r="F29">
        <v>2.1498200000000001</v>
      </c>
      <c r="G29">
        <v>8.5992800000000003</v>
      </c>
    </row>
    <row r="30" spans="1:7" x14ac:dyDescent="0.25">
      <c r="A30" t="s">
        <v>119</v>
      </c>
      <c r="B30" t="s">
        <v>941</v>
      </c>
      <c r="C30">
        <v>80</v>
      </c>
      <c r="D30">
        <v>90</v>
      </c>
      <c r="E30">
        <v>10</v>
      </c>
      <c r="F30">
        <v>0.55726000000000009</v>
      </c>
      <c r="G30">
        <v>5.5726000000000013</v>
      </c>
    </row>
    <row r="31" spans="1:7" x14ac:dyDescent="0.25">
      <c r="A31" t="s">
        <v>119</v>
      </c>
      <c r="B31" t="s">
        <v>1128</v>
      </c>
      <c r="C31">
        <v>250</v>
      </c>
      <c r="D31">
        <v>252</v>
      </c>
      <c r="E31">
        <v>2</v>
      </c>
      <c r="F31">
        <v>0.55725999999999998</v>
      </c>
      <c r="G31">
        <v>1.11452</v>
      </c>
    </row>
    <row r="32" spans="1:7" x14ac:dyDescent="0.25">
      <c r="A32" t="s">
        <v>202</v>
      </c>
      <c r="B32" t="s">
        <v>1079</v>
      </c>
      <c r="C32">
        <v>90</v>
      </c>
      <c r="D32">
        <v>180</v>
      </c>
      <c r="E32">
        <v>90</v>
      </c>
      <c r="F32">
        <v>0.89590000000000003</v>
      </c>
      <c r="G32">
        <v>80.631</v>
      </c>
    </row>
    <row r="33" spans="1:7" x14ac:dyDescent="0.25">
      <c r="A33" t="s">
        <v>426</v>
      </c>
      <c r="B33" t="s">
        <v>427</v>
      </c>
      <c r="C33">
        <v>300</v>
      </c>
      <c r="D33">
        <v>306</v>
      </c>
      <c r="E33">
        <v>6</v>
      </c>
      <c r="F33">
        <v>1.61432</v>
      </c>
      <c r="G33">
        <v>9.6859199999999994</v>
      </c>
    </row>
    <row r="34" spans="1:7" x14ac:dyDescent="0.25">
      <c r="A34" t="s">
        <v>365</v>
      </c>
      <c r="B34" t="s">
        <v>1307</v>
      </c>
      <c r="C34">
        <v>3064</v>
      </c>
      <c r="D34">
        <v>3066</v>
      </c>
      <c r="E34">
        <v>2</v>
      </c>
      <c r="F34">
        <v>1.1658599999999999</v>
      </c>
      <c r="G34">
        <v>2.3317199999999998</v>
      </c>
    </row>
    <row r="35" spans="1:7" x14ac:dyDescent="0.25">
      <c r="A35" t="s">
        <v>365</v>
      </c>
      <c r="B35" t="s">
        <v>516</v>
      </c>
      <c r="C35">
        <v>12</v>
      </c>
      <c r="D35">
        <v>16</v>
      </c>
      <c r="E35">
        <v>4</v>
      </c>
      <c r="F35">
        <v>1.25562</v>
      </c>
      <c r="G35">
        <v>5.0224799999999998</v>
      </c>
    </row>
    <row r="36" spans="1:7" x14ac:dyDescent="0.25">
      <c r="A36" t="s">
        <v>365</v>
      </c>
      <c r="B36" t="s">
        <v>1808</v>
      </c>
      <c r="C36">
        <v>4816</v>
      </c>
      <c r="D36">
        <v>4820</v>
      </c>
      <c r="E36">
        <v>4</v>
      </c>
      <c r="F36">
        <v>2.1498200000000001</v>
      </c>
      <c r="G36">
        <v>8.5992800000000003</v>
      </c>
    </row>
    <row r="37" spans="1:7" x14ac:dyDescent="0.25">
      <c r="A37" t="s">
        <v>365</v>
      </c>
      <c r="B37" t="s">
        <v>981</v>
      </c>
      <c r="C37">
        <v>48</v>
      </c>
      <c r="D37">
        <v>52</v>
      </c>
      <c r="E37">
        <v>4</v>
      </c>
      <c r="F37">
        <v>0.21487999999999999</v>
      </c>
      <c r="G37">
        <v>0.85951999999999995</v>
      </c>
    </row>
    <row r="38" spans="1:7" x14ac:dyDescent="0.25">
      <c r="A38" t="s">
        <v>177</v>
      </c>
      <c r="B38" t="s">
        <v>328</v>
      </c>
      <c r="C38">
        <v>304</v>
      </c>
      <c r="D38">
        <v>312</v>
      </c>
      <c r="E38">
        <v>8</v>
      </c>
      <c r="F38">
        <v>2.3470200000000001</v>
      </c>
      <c r="G38">
        <v>18.776160000000001</v>
      </c>
    </row>
    <row r="39" spans="1:7" x14ac:dyDescent="0.25">
      <c r="A39" t="s">
        <v>72</v>
      </c>
      <c r="B39" t="s">
        <v>73</v>
      </c>
      <c r="C39">
        <v>88</v>
      </c>
      <c r="D39">
        <v>92</v>
      </c>
      <c r="E39">
        <v>4</v>
      </c>
      <c r="F39">
        <v>2.5639400000000001</v>
      </c>
      <c r="G39">
        <v>10.25576</v>
      </c>
    </row>
    <row r="40" spans="1:7" x14ac:dyDescent="0.25">
      <c r="A40" t="s">
        <v>274</v>
      </c>
      <c r="B40" t="s">
        <v>635</v>
      </c>
      <c r="C40">
        <v>36</v>
      </c>
      <c r="D40">
        <v>40</v>
      </c>
      <c r="E40">
        <v>4</v>
      </c>
      <c r="F40">
        <v>1.25562</v>
      </c>
      <c r="G40">
        <v>5.0224799999999998</v>
      </c>
    </row>
    <row r="41" spans="1:7" x14ac:dyDescent="0.25">
      <c r="A41" t="s">
        <v>725</v>
      </c>
      <c r="B41" t="s">
        <v>1099</v>
      </c>
      <c r="C41">
        <v>16</v>
      </c>
      <c r="D41">
        <v>24</v>
      </c>
      <c r="E41">
        <v>8</v>
      </c>
      <c r="F41">
        <v>1.3804000000000001</v>
      </c>
      <c r="G41">
        <v>11.043200000000001</v>
      </c>
    </row>
    <row r="42" spans="1:7" x14ac:dyDescent="0.25">
      <c r="A42" t="s">
        <v>725</v>
      </c>
      <c r="B42" t="s">
        <v>726</v>
      </c>
      <c r="C42">
        <v>290</v>
      </c>
      <c r="D42">
        <v>300</v>
      </c>
      <c r="E42">
        <v>10</v>
      </c>
      <c r="F42">
        <v>1.0846</v>
      </c>
      <c r="G42">
        <v>10.846</v>
      </c>
    </row>
    <row r="43" spans="1:7" x14ac:dyDescent="0.25">
      <c r="A43" t="s">
        <v>141</v>
      </c>
      <c r="B43" t="s">
        <v>1325</v>
      </c>
      <c r="C43">
        <v>120</v>
      </c>
      <c r="D43">
        <v>130</v>
      </c>
      <c r="E43">
        <v>10</v>
      </c>
      <c r="F43">
        <v>0.55725999999999998</v>
      </c>
      <c r="G43">
        <v>5.5725999999999996</v>
      </c>
    </row>
    <row r="44" spans="1:7" x14ac:dyDescent="0.25">
      <c r="A44" t="s">
        <v>141</v>
      </c>
      <c r="B44" t="s">
        <v>851</v>
      </c>
      <c r="C44">
        <v>88</v>
      </c>
      <c r="D44">
        <v>96</v>
      </c>
      <c r="E44">
        <v>8</v>
      </c>
      <c r="F44">
        <v>1.3610200000000001</v>
      </c>
      <c r="G44">
        <v>10.888160000000001</v>
      </c>
    </row>
    <row r="45" spans="1:7" x14ac:dyDescent="0.25">
      <c r="A45" t="s">
        <v>120</v>
      </c>
      <c r="B45" t="s">
        <v>908</v>
      </c>
      <c r="C45">
        <v>36</v>
      </c>
      <c r="D45">
        <v>40</v>
      </c>
      <c r="E45">
        <v>4</v>
      </c>
      <c r="F45">
        <v>1.25562</v>
      </c>
      <c r="G45">
        <v>5.0224799999999998</v>
      </c>
    </row>
    <row r="46" spans="1:7" x14ac:dyDescent="0.25">
      <c r="A46" t="s">
        <v>1851</v>
      </c>
      <c r="B46" t="s">
        <v>163</v>
      </c>
      <c r="C46">
        <v>420</v>
      </c>
      <c r="D46">
        <v>430</v>
      </c>
      <c r="E46">
        <v>10</v>
      </c>
      <c r="F46">
        <v>0.55725999999999998</v>
      </c>
      <c r="G46">
        <v>5.5725999999999996</v>
      </c>
    </row>
    <row r="47" spans="1:7" x14ac:dyDescent="0.25">
      <c r="A47" t="s">
        <v>195</v>
      </c>
      <c r="B47" t="s">
        <v>1394</v>
      </c>
      <c r="C47">
        <v>12</v>
      </c>
      <c r="D47">
        <v>24</v>
      </c>
      <c r="E47">
        <v>12</v>
      </c>
      <c r="F47">
        <v>3.0317799999999999</v>
      </c>
      <c r="G47">
        <v>36.381360000000001</v>
      </c>
    </row>
    <row r="48" spans="1:7" x14ac:dyDescent="0.25">
      <c r="A48" t="s">
        <v>241</v>
      </c>
      <c r="B48" t="s">
        <v>266</v>
      </c>
      <c r="C48">
        <v>16</v>
      </c>
      <c r="D48">
        <v>20</v>
      </c>
      <c r="E48">
        <v>4</v>
      </c>
      <c r="F48">
        <v>1.25562</v>
      </c>
      <c r="G48">
        <v>5.0224799999999998</v>
      </c>
    </row>
    <row r="49" spans="1:7" x14ac:dyDescent="0.25">
      <c r="A49" t="s">
        <v>241</v>
      </c>
      <c r="B49" t="s">
        <v>370</v>
      </c>
      <c r="C49">
        <v>252</v>
      </c>
      <c r="D49">
        <v>260</v>
      </c>
      <c r="E49">
        <v>8</v>
      </c>
      <c r="F49">
        <v>1.5776000000000001</v>
      </c>
      <c r="G49">
        <v>12.620800000000001</v>
      </c>
    </row>
    <row r="50" spans="1:7" x14ac:dyDescent="0.25">
      <c r="A50" t="s">
        <v>97</v>
      </c>
      <c r="B50" t="s">
        <v>413</v>
      </c>
      <c r="C50">
        <v>4</v>
      </c>
      <c r="D50">
        <v>6</v>
      </c>
      <c r="E50">
        <v>2</v>
      </c>
      <c r="F50">
        <v>2.49356</v>
      </c>
      <c r="G50">
        <v>4.98712</v>
      </c>
    </row>
    <row r="51" spans="1:7" x14ac:dyDescent="0.25">
      <c r="A51" t="s">
        <v>63</v>
      </c>
      <c r="B51" t="s">
        <v>64</v>
      </c>
      <c r="C51">
        <v>284</v>
      </c>
      <c r="D51">
        <v>288</v>
      </c>
      <c r="E51">
        <v>4</v>
      </c>
      <c r="F51">
        <v>0.89658000000000004</v>
      </c>
      <c r="G51">
        <v>3.5863200000000002</v>
      </c>
    </row>
    <row r="52" spans="1:7" x14ac:dyDescent="0.25">
      <c r="A52" t="s">
        <v>63</v>
      </c>
      <c r="B52" t="s">
        <v>1686</v>
      </c>
      <c r="C52">
        <v>144</v>
      </c>
      <c r="D52">
        <v>148</v>
      </c>
      <c r="E52">
        <v>4</v>
      </c>
      <c r="F52">
        <v>2.3470200000000001</v>
      </c>
      <c r="G52">
        <v>9.3880800000000004</v>
      </c>
    </row>
    <row r="53" spans="1:7" x14ac:dyDescent="0.25">
      <c r="A53" t="s">
        <v>63</v>
      </c>
      <c r="B53" t="s">
        <v>648</v>
      </c>
      <c r="C53">
        <v>20</v>
      </c>
      <c r="D53">
        <v>30</v>
      </c>
      <c r="E53">
        <v>10</v>
      </c>
      <c r="F53">
        <v>0.79627999999999999</v>
      </c>
      <c r="G53">
        <v>7.9627999999999997</v>
      </c>
    </row>
    <row r="54" spans="1:7" x14ac:dyDescent="0.25">
      <c r="A54" t="s">
        <v>128</v>
      </c>
      <c r="B54" t="s">
        <v>163</v>
      </c>
      <c r="C54">
        <v>460</v>
      </c>
      <c r="D54">
        <v>470</v>
      </c>
      <c r="E54">
        <v>10</v>
      </c>
      <c r="F54">
        <v>0.55726000000000009</v>
      </c>
      <c r="G54">
        <v>5.5726000000000013</v>
      </c>
    </row>
    <row r="55" spans="1:7" x14ac:dyDescent="0.25">
      <c r="A55" t="s">
        <v>1626</v>
      </c>
      <c r="B55" t="s">
        <v>308</v>
      </c>
      <c r="C55">
        <v>844</v>
      </c>
      <c r="D55">
        <v>852</v>
      </c>
      <c r="E55">
        <v>8</v>
      </c>
      <c r="F55">
        <v>0.99551999999999996</v>
      </c>
      <c r="G55">
        <v>7.9641599999999997</v>
      </c>
    </row>
    <row r="56" spans="1:7" x14ac:dyDescent="0.25">
      <c r="G56" s="14">
        <v>527.79764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</vt:lpstr>
      <vt:lpstr>Recon</vt:lpstr>
      <vt:lpstr>Dispute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Dileep</dc:creator>
  <cp:lastModifiedBy>Devika Dileep</cp:lastModifiedBy>
  <dcterms:created xsi:type="dcterms:W3CDTF">2025-12-09T10:10:19Z</dcterms:created>
  <dcterms:modified xsi:type="dcterms:W3CDTF">2025-12-09T10:10:19Z</dcterms:modified>
</cp:coreProperties>
</file>